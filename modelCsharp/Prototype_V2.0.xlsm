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37D3A991-FFA4-4A98-AFC5-62A9C5A693B3}" xr6:coauthVersionLast="47" xr6:coauthVersionMax="47" xr10:uidLastSave="{00000000-0000-0000-0000-000000000000}"/>
  <bookViews>
    <workbookView xWindow="-120" yWindow="-120" windowWidth="29040" windowHeight="15225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ConceptDemo!$B$39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B7" i="3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B21" i="1" l="1"/>
  <c r="D23" i="1" s="1"/>
  <c r="B5" i="3" s="1"/>
  <c r="J4" i="3"/>
  <c r="J3" i="3"/>
  <c r="B39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Q21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B1" i="4"/>
  <c r="A2" i="4"/>
  <c r="AG2" i="4"/>
  <c r="AF3" i="4"/>
  <c r="AE4" i="4"/>
  <c r="AD5" i="4"/>
  <c r="AC6" i="4"/>
  <c r="AB7" i="4"/>
  <c r="AA8" i="4"/>
  <c r="R9" i="4"/>
  <c r="E10" i="4"/>
  <c r="Z10" i="4"/>
  <c r="P11" i="4"/>
  <c r="C12" i="4"/>
  <c r="X12" i="4"/>
  <c r="N13" i="4"/>
  <c r="A14" i="4"/>
  <c r="V14" i="4"/>
  <c r="L15" i="4"/>
  <c r="AF15" i="4"/>
  <c r="S16" i="4"/>
  <c r="B17" i="4"/>
  <c r="O17" i="4"/>
  <c r="Z17" i="4"/>
  <c r="C18" i="4"/>
  <c r="N18" i="4"/>
  <c r="Y18" i="4"/>
  <c r="B19" i="4"/>
  <c r="M19" i="4"/>
  <c r="X19" i="4"/>
  <c r="A20" i="4"/>
  <c r="L20" i="4"/>
  <c r="W20" i="4"/>
  <c r="AG20" i="4"/>
  <c r="K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C1" i="4"/>
  <c r="B2" i="4"/>
  <c r="A3" i="4"/>
  <c r="G9" i="1" s="1"/>
  <c r="AG3" i="4"/>
  <c r="AF4" i="4"/>
  <c r="AE5" i="4"/>
  <c r="AD6" i="4"/>
  <c r="AC7" i="4"/>
  <c r="AB8" i="4"/>
  <c r="S9" i="4"/>
  <c r="I10" i="4"/>
  <c r="AC10" i="4"/>
  <c r="Q11" i="4"/>
  <c r="G12" i="4"/>
  <c r="AA12" i="4"/>
  <c r="O13" i="4"/>
  <c r="E14" i="4"/>
  <c r="Y14" i="4"/>
  <c r="M15" i="4"/>
  <c r="C16" i="4"/>
  <c r="T16" i="4"/>
  <c r="C17" i="4"/>
  <c r="R1" i="4"/>
  <c r="Q2" i="4"/>
  <c r="P3" i="4"/>
  <c r="O4" i="4"/>
  <c r="N5" i="4"/>
  <c r="M6" i="4"/>
  <c r="L7" i="4"/>
  <c r="K8" i="4"/>
  <c r="F9" i="4"/>
  <c r="AA9" i="4"/>
  <c r="Q10" i="4"/>
  <c r="D11" i="4"/>
  <c r="Y11" i="4"/>
  <c r="O12" i="4"/>
  <c r="B13" i="4"/>
  <c r="W13" i="4"/>
  <c r="M14" i="4"/>
  <c r="AG14" i="4"/>
  <c r="U15" i="4"/>
  <c r="K16" i="4"/>
  <c r="AA16" i="4"/>
  <c r="J17" i="4"/>
  <c r="T17" i="4"/>
  <c r="AE17" i="4"/>
  <c r="I18" i="4"/>
  <c r="S18" i="4"/>
  <c r="AD18" i="4"/>
  <c r="H19" i="4"/>
  <c r="R19" i="4"/>
  <c r="AC19" i="4"/>
  <c r="G20" i="4"/>
  <c r="Q20" i="4"/>
  <c r="AB20" i="4"/>
  <c r="F21" i="4"/>
  <c r="P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S1" i="4"/>
  <c r="R2" i="4"/>
  <c r="Q3" i="4"/>
  <c r="P4" i="4"/>
  <c r="O5" i="4"/>
  <c r="N6" i="4"/>
  <c r="M7" i="4"/>
  <c r="L8" i="4"/>
  <c r="J9" i="4"/>
  <c r="AD9" i="4"/>
  <c r="R10" i="4"/>
  <c r="H11" i="4"/>
  <c r="AB11" i="4"/>
  <c r="P12" i="4"/>
  <c r="F13" i="4"/>
  <c r="Z13" i="4"/>
  <c r="N14" i="4"/>
  <c r="D15" i="4"/>
  <c r="X15" i="4"/>
  <c r="L16" i="4"/>
  <c r="AB16" i="4"/>
  <c r="K17" i="4"/>
  <c r="V17" i="4"/>
  <c r="AG17" i="4"/>
  <c r="J18" i="4"/>
  <c r="U18" i="4"/>
  <c r="AF18" i="4"/>
  <c r="I19" i="4"/>
  <c r="T19" i="4"/>
  <c r="AE19" i="4"/>
  <c r="H20" i="4"/>
  <c r="S20" i="4"/>
  <c r="AD20" i="4"/>
  <c r="G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Z1" i="4"/>
  <c r="Y2" i="4"/>
  <c r="X3" i="4"/>
  <c r="W4" i="4"/>
  <c r="V5" i="4"/>
  <c r="U6" i="4"/>
  <c r="T7" i="4"/>
  <c r="S8" i="4"/>
  <c r="K9" i="4"/>
  <c r="A10" i="4"/>
  <c r="U10" i="4"/>
  <c r="I11" i="4"/>
  <c r="AF11" i="4"/>
  <c r="S12" i="4"/>
  <c r="G13" i="4"/>
  <c r="AD13" i="4"/>
  <c r="Q14" i="4"/>
  <c r="E15" i="4"/>
  <c r="AB15" i="4"/>
  <c r="O16" i="4"/>
  <c r="AE16" i="4"/>
  <c r="L17" i="4"/>
  <c r="AA1" i="4"/>
  <c r="Z2" i="4"/>
  <c r="Y3" i="4"/>
  <c r="X4" i="4"/>
  <c r="W5" i="4"/>
  <c r="V6" i="4"/>
  <c r="U7" i="4"/>
  <c r="T8" i="4"/>
  <c r="N9" i="4"/>
  <c r="B10" i="4"/>
  <c r="Y10" i="4"/>
  <c r="L11" i="4"/>
  <c r="AG11" i="4"/>
  <c r="W12" i="4"/>
  <c r="J13" i="4"/>
  <c r="AE13" i="4"/>
  <c r="U14" i="4"/>
  <c r="H15" i="4"/>
  <c r="AC15" i="4"/>
  <c r="R16" i="4"/>
  <c r="A17" i="4"/>
  <c r="N17" i="4"/>
  <c r="Y17" i="4"/>
  <c r="B18" i="4"/>
  <c r="M18" i="4"/>
  <c r="X18" i="4"/>
  <c r="A19" i="4"/>
  <c r="L19" i="4"/>
  <c r="W19" i="4"/>
  <c r="AG19" i="4"/>
  <c r="K20" i="4"/>
  <c r="V20" i="4"/>
  <c r="AF20" i="4"/>
  <c r="J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1" i="4"/>
  <c r="F5" i="4"/>
  <c r="B9" i="4"/>
  <c r="T11" i="4"/>
  <c r="F14" i="4"/>
  <c r="W16" i="4"/>
  <c r="AA17" i="4"/>
  <c r="P18" i="4"/>
  <c r="D19" i="4"/>
  <c r="Y19" i="4"/>
  <c r="N20" i="4"/>
  <c r="B21" i="4"/>
  <c r="V21" i="4"/>
  <c r="E22" i="4"/>
  <c r="U22" i="4"/>
  <c r="D23" i="4"/>
  <c r="T23" i="4"/>
  <c r="C24" i="4"/>
  <c r="S24" i="4"/>
  <c r="B25" i="4"/>
  <c r="R25" i="4"/>
  <c r="A26" i="4"/>
  <c r="Q26" i="4"/>
  <c r="AG26" i="4"/>
  <c r="P27" i="4"/>
  <c r="AF27" i="4"/>
  <c r="O28" i="4"/>
  <c r="AE28" i="4"/>
  <c r="N29" i="4"/>
  <c r="AD29" i="4"/>
  <c r="M30" i="4"/>
  <c r="AC30" i="4"/>
  <c r="I31" i="4"/>
  <c r="T31" i="4"/>
  <c r="AD31" i="4"/>
  <c r="H32" i="4"/>
  <c r="S32" i="4"/>
  <c r="AC32" i="4"/>
  <c r="G33" i="4"/>
  <c r="R33" i="4"/>
  <c r="AB33" i="4"/>
  <c r="D34" i="4"/>
  <c r="M34" i="4"/>
  <c r="V34" i="4"/>
  <c r="AE34" i="4"/>
  <c r="H35" i="4"/>
  <c r="Q35" i="4"/>
  <c r="Z35" i="4"/>
  <c r="B36" i="4"/>
  <c r="K36" i="4"/>
  <c r="T36" i="4"/>
  <c r="AC36" i="4"/>
  <c r="F37" i="4"/>
  <c r="O37" i="4"/>
  <c r="X37" i="4"/>
  <c r="AG37" i="4"/>
  <c r="I38" i="4"/>
  <c r="R38" i="4"/>
  <c r="AA38" i="4"/>
  <c r="D39" i="4"/>
  <c r="M39" i="4"/>
  <c r="V39" i="4"/>
  <c r="AE39" i="4"/>
  <c r="G40" i="4"/>
  <c r="P40" i="4"/>
  <c r="Y40" i="4"/>
  <c r="B41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F45" i="4"/>
  <c r="N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I2" i="4"/>
  <c r="E6" i="4"/>
  <c r="V9" i="4"/>
  <c r="H12" i="4"/>
  <c r="AC14" i="4"/>
  <c r="F17" i="4"/>
  <c r="AD17" i="4"/>
  <c r="R18" i="4"/>
  <c r="J2" i="4"/>
  <c r="F6" i="4"/>
  <c r="Z9" i="4"/>
  <c r="K12" i="4"/>
  <c r="AD14" i="4"/>
  <c r="I17" i="4"/>
  <c r="A18" i="4"/>
  <c r="V18" i="4"/>
  <c r="H3" i="4"/>
  <c r="D7" i="4"/>
  <c r="J10" i="4"/>
  <c r="AE12" i="4"/>
  <c r="P15" i="4"/>
  <c r="Q17" i="4"/>
  <c r="E18" i="4"/>
  <c r="Z18" i="4"/>
  <c r="O19" i="4"/>
  <c r="C20" i="4"/>
  <c r="X20" i="4"/>
  <c r="M21" i="4"/>
  <c r="AD21" i="4"/>
  <c r="M22" i="4"/>
  <c r="AC22" i="4"/>
  <c r="L23" i="4"/>
  <c r="AB23" i="4"/>
  <c r="K24" i="4"/>
  <c r="AA24" i="4"/>
  <c r="J25" i="4"/>
  <c r="Z25" i="4"/>
  <c r="I26" i="4"/>
  <c r="Y26" i="4"/>
  <c r="H27" i="4"/>
  <c r="X27" i="4"/>
  <c r="G28" i="4"/>
  <c r="W28" i="4"/>
  <c r="F29" i="4"/>
  <c r="V29" i="4"/>
  <c r="E30" i="4"/>
  <c r="U30" i="4"/>
  <c r="D31" i="4"/>
  <c r="N31" i="4"/>
  <c r="Y31" i="4"/>
  <c r="C32" i="4"/>
  <c r="M32" i="4"/>
  <c r="X32" i="4"/>
  <c r="B33" i="4"/>
  <c r="L33" i="4"/>
  <c r="W33" i="4"/>
  <c r="AF33" i="4"/>
  <c r="I34" i="4"/>
  <c r="R34" i="4"/>
  <c r="AA34" i="4"/>
  <c r="C35" i="4"/>
  <c r="L35" i="4"/>
  <c r="U35" i="4"/>
  <c r="AD35" i="4"/>
  <c r="G36" i="4"/>
  <c r="P36" i="4"/>
  <c r="Y36" i="4"/>
  <c r="A37" i="4"/>
  <c r="J37" i="4"/>
  <c r="S37" i="4"/>
  <c r="AB37" i="4"/>
  <c r="E38" i="4"/>
  <c r="N38" i="4"/>
  <c r="W38" i="4"/>
  <c r="AF38" i="4"/>
  <c r="H39" i="4"/>
  <c r="Q39" i="4"/>
  <c r="Z39" i="4"/>
  <c r="C40" i="4"/>
  <c r="L40" i="4"/>
  <c r="U40" i="4"/>
  <c r="AD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J45" i="4"/>
  <c r="R45" i="4"/>
  <c r="Z45" i="4"/>
  <c r="A46" i="4"/>
  <c r="I3" i="4"/>
  <c r="E7" i="4"/>
  <c r="M10" i="4"/>
  <c r="AF12" i="4"/>
  <c r="T15" i="4"/>
  <c r="R17" i="4"/>
  <c r="F18" i="4"/>
  <c r="AA18" i="4"/>
  <c r="P19" i="4"/>
  <c r="D20" i="4"/>
  <c r="Y20" i="4"/>
  <c r="N21" i="4"/>
  <c r="AE21" i="4"/>
  <c r="N22" i="4"/>
  <c r="AD22" i="4"/>
  <c r="M23" i="4"/>
  <c r="AC23" i="4"/>
  <c r="L24" i="4"/>
  <c r="AB24" i="4"/>
  <c r="K25" i="4"/>
  <c r="AA25" i="4"/>
  <c r="J26" i="4"/>
  <c r="Z26" i="4"/>
  <c r="I27" i="4"/>
  <c r="Y27" i="4"/>
  <c r="H28" i="4"/>
  <c r="X28" i="4"/>
  <c r="G29" i="4"/>
  <c r="W29" i="4"/>
  <c r="F30" i="4"/>
  <c r="V30" i="4"/>
  <c r="E31" i="4"/>
  <c r="O31" i="4"/>
  <c r="Z31" i="4"/>
  <c r="D32" i="4"/>
  <c r="N32" i="4"/>
  <c r="Y32" i="4"/>
  <c r="C33" i="4"/>
  <c r="M33" i="4"/>
  <c r="X33" i="4"/>
  <c r="A34" i="4"/>
  <c r="J34" i="4"/>
  <c r="S34" i="4"/>
  <c r="AB34" i="4"/>
  <c r="D35" i="4"/>
  <c r="M35" i="4"/>
  <c r="V35" i="4"/>
  <c r="AF35" i="4"/>
  <c r="H36" i="4"/>
  <c r="Q36" i="4"/>
  <c r="Z36" i="4"/>
  <c r="B37" i="4"/>
  <c r="K37" i="4"/>
  <c r="T37" i="4"/>
  <c r="AD37" i="4"/>
  <c r="F38" i="4"/>
  <c r="O38" i="4"/>
  <c r="X38" i="4"/>
  <c r="AG38" i="4"/>
  <c r="I39" i="4"/>
  <c r="R39" i="4"/>
  <c r="AB39" i="4"/>
  <c r="D40" i="4"/>
  <c r="M40" i="4"/>
  <c r="V40" i="4"/>
  <c r="AE40" i="4"/>
  <c r="G41" i="4"/>
  <c r="G4" i="4"/>
  <c r="C8" i="4"/>
  <c r="AG10" i="4"/>
  <c r="R13" i="4"/>
  <c r="D16" i="4"/>
  <c r="S17" i="4"/>
  <c r="H18" i="4"/>
  <c r="AC18" i="4"/>
  <c r="Q19" i="4"/>
  <c r="F20" i="4"/>
  <c r="AA20" i="4"/>
  <c r="O21" i="4"/>
  <c r="AF21" i="4"/>
  <c r="O22" i="4"/>
  <c r="AE22" i="4"/>
  <c r="N23" i="4"/>
  <c r="AD23" i="4"/>
  <c r="M24" i="4"/>
  <c r="AC24" i="4"/>
  <c r="L25" i="4"/>
  <c r="AB25" i="4"/>
  <c r="K26" i="4"/>
  <c r="AA26" i="4"/>
  <c r="J27" i="4"/>
  <c r="Z27" i="4"/>
  <c r="I28" i="4"/>
  <c r="Y28" i="4"/>
  <c r="H29" i="4"/>
  <c r="X29" i="4"/>
  <c r="G30" i="4"/>
  <c r="W30" i="4"/>
  <c r="F31" i="4"/>
  <c r="Q31" i="4"/>
  <c r="AB31" i="4"/>
  <c r="E32" i="4"/>
  <c r="P32" i="4"/>
  <c r="AA32" i="4"/>
  <c r="D33" i="4"/>
  <c r="O33" i="4"/>
  <c r="Z33" i="4"/>
  <c r="B34" i="4"/>
  <c r="K34" i="4"/>
  <c r="T34" i="4"/>
  <c r="AC34" i="4"/>
  <c r="E35" i="4"/>
  <c r="N35" i="4"/>
  <c r="X35" i="4"/>
  <c r="AG35" i="4"/>
  <c r="I36" i="4"/>
  <c r="R36" i="4"/>
  <c r="AA36" i="4"/>
  <c r="C37" i="4"/>
  <c r="L37" i="4"/>
  <c r="V37" i="4"/>
  <c r="AE37" i="4"/>
  <c r="G38" i="4"/>
  <c r="P38" i="4"/>
  <c r="Y38" i="4"/>
  <c r="A39" i="4"/>
  <c r="J39" i="4"/>
  <c r="T39" i="4"/>
  <c r="AC39" i="4"/>
  <c r="E40" i="4"/>
  <c r="N40" i="4"/>
  <c r="W40" i="4"/>
  <c r="AF40" i="4"/>
  <c r="H41" i="4"/>
  <c r="K1" i="4"/>
  <c r="I14" i="4"/>
  <c r="E19" i="4"/>
  <c r="O20" i="4"/>
  <c r="W21" i="4"/>
  <c r="V22" i="4"/>
  <c r="U23" i="4"/>
  <c r="T24" i="4"/>
  <c r="S25" i="4"/>
  <c r="R26" i="4"/>
  <c r="Q27" i="4"/>
  <c r="P28" i="4"/>
  <c r="O29" i="4"/>
  <c r="N30" i="4"/>
  <c r="J31" i="4"/>
  <c r="AE31" i="4"/>
  <c r="T32" i="4"/>
  <c r="H33" i="4"/>
  <c r="AC33" i="4"/>
  <c r="N34" i="4"/>
  <c r="AG34" i="4"/>
  <c r="R35" i="4"/>
  <c r="C36" i="4"/>
  <c r="U36" i="4"/>
  <c r="G37" i="4"/>
  <c r="Y37" i="4"/>
  <c r="J38" i="4"/>
  <c r="AC38" i="4"/>
  <c r="N39" i="4"/>
  <c r="AF39" i="4"/>
  <c r="Q40" i="4"/>
  <c r="C41" i="4"/>
  <c r="R41" i="4"/>
  <c r="AD41" i="4"/>
  <c r="I42" i="4"/>
  <c r="U42" i="4"/>
  <c r="A43" i="4"/>
  <c r="L43" i="4"/>
  <c r="Y43" i="4"/>
  <c r="D44" i="4"/>
  <c r="P44" i="4"/>
  <c r="AB44" i="4"/>
  <c r="G45" i="4"/>
  <c r="Q45" i="4"/>
  <c r="AB45" i="4"/>
  <c r="F46" i="4"/>
  <c r="O46" i="4"/>
  <c r="X46" i="4"/>
  <c r="AG46" i="4"/>
  <c r="I47" i="4"/>
  <c r="R47" i="4"/>
  <c r="AA47" i="4"/>
  <c r="D48" i="4"/>
  <c r="M48" i="4"/>
  <c r="V48" i="4"/>
  <c r="AE48" i="4"/>
  <c r="G49" i="4"/>
  <c r="P49" i="4"/>
  <c r="Y49" i="4"/>
  <c r="B50" i="4"/>
  <c r="K50" i="4"/>
  <c r="T50" i="4"/>
  <c r="AC50" i="4"/>
  <c r="E51" i="4"/>
  <c r="N51" i="4"/>
  <c r="W51" i="4"/>
  <c r="AG51" i="4"/>
  <c r="I52" i="4"/>
  <c r="R52" i="4"/>
  <c r="AA52" i="4"/>
  <c r="C53" i="4"/>
  <c r="L53" i="4"/>
  <c r="U53" i="4"/>
  <c r="AE53" i="4"/>
  <c r="G54" i="4"/>
  <c r="P54" i="4"/>
  <c r="Y54" i="4"/>
  <c r="A55" i="4"/>
  <c r="J55" i="4"/>
  <c r="S55" i="4"/>
  <c r="AC55" i="4"/>
  <c r="E56" i="4"/>
  <c r="N56" i="4"/>
  <c r="W56" i="4"/>
  <c r="AF56" i="4"/>
  <c r="H57" i="4"/>
  <c r="Q57" i="4"/>
  <c r="AA57" i="4"/>
  <c r="C58" i="4"/>
  <c r="L58" i="4"/>
  <c r="U58" i="4"/>
  <c r="AD58" i="4"/>
  <c r="F59" i="4"/>
  <c r="O59" i="4"/>
  <c r="Y59" i="4"/>
  <c r="A60" i="4"/>
  <c r="J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C9" i="4"/>
  <c r="AB17" i="4"/>
  <c r="Z19" i="4"/>
  <c r="C21" i="4"/>
  <c r="F22" i="4"/>
  <c r="E23" i="4"/>
  <c r="D24" i="4"/>
  <c r="C25" i="4"/>
  <c r="B26" i="4"/>
  <c r="A27" i="4"/>
  <c r="AG27" i="4"/>
  <c r="AF28" i="4"/>
  <c r="AE29" i="4"/>
  <c r="AD30" i="4"/>
  <c r="U31" i="4"/>
  <c r="I32" i="4"/>
  <c r="AD32" i="4"/>
  <c r="S33" i="4"/>
  <c r="E34" i="4"/>
  <c r="W34" i="4"/>
  <c r="I35" i="4"/>
  <c r="AA35" i="4"/>
  <c r="L36" i="4"/>
  <c r="AE36" i="4"/>
  <c r="P37" i="4"/>
  <c r="A38" i="4"/>
  <c r="S38" i="4"/>
  <c r="E39" i="4"/>
  <c r="W39" i="4"/>
  <c r="H40" i="4"/>
  <c r="AA40" i="4"/>
  <c r="L41" i="4"/>
  <c r="W41" i="4"/>
  <c r="C42" i="4"/>
  <c r="O42" i="4"/>
  <c r="AA42" i="4"/>
  <c r="F43" i="4"/>
  <c r="S43" i="4"/>
  <c r="AD43" i="4"/>
  <c r="J44" i="4"/>
  <c r="W44" i="4"/>
  <c r="A45" i="4"/>
  <c r="L45" i="4"/>
  <c r="W45" i="4"/>
  <c r="AG45" i="4"/>
  <c r="J46" i="4"/>
  <c r="S46" i="4"/>
  <c r="AB46" i="4"/>
  <c r="E47" i="4"/>
  <c r="N47" i="4"/>
  <c r="W47" i="4"/>
  <c r="AF47" i="4"/>
  <c r="H48" i="4"/>
  <c r="Q48" i="4"/>
  <c r="Z48" i="4"/>
  <c r="C49" i="4"/>
  <c r="L49" i="4"/>
  <c r="U49" i="4"/>
  <c r="AD49" i="4"/>
  <c r="F50" i="4"/>
  <c r="O50" i="4"/>
  <c r="X50" i="4"/>
  <c r="A51" i="4"/>
  <c r="J51" i="4"/>
  <c r="S51" i="4"/>
  <c r="AB51" i="4"/>
  <c r="D52" i="4"/>
  <c r="M52" i="4"/>
  <c r="V52" i="4"/>
  <c r="AF52" i="4"/>
  <c r="H53" i="4"/>
  <c r="Q53" i="4"/>
  <c r="Z53" i="4"/>
  <c r="B54" i="4"/>
  <c r="K54" i="4"/>
  <c r="T54" i="4"/>
  <c r="AD54" i="4"/>
  <c r="F55" i="4"/>
  <c r="O55" i="4"/>
  <c r="X55" i="4"/>
  <c r="AG55" i="4"/>
  <c r="I56" i="4"/>
  <c r="R56" i="4"/>
  <c r="AB56" i="4"/>
  <c r="D57" i="4"/>
  <c r="M57" i="4"/>
  <c r="A11" i="4"/>
  <c r="K18" i="4"/>
  <c r="AB19" i="4"/>
  <c r="E21" i="4"/>
  <c r="G22" i="4"/>
  <c r="F23" i="4"/>
  <c r="E24" i="4"/>
  <c r="D25" i="4"/>
  <c r="C26" i="4"/>
  <c r="B27" i="4"/>
  <c r="A28" i="4"/>
  <c r="AG28" i="4"/>
  <c r="AF29" i="4"/>
  <c r="AE30" i="4"/>
  <c r="V31" i="4"/>
  <c r="K32" i="4"/>
  <c r="AF32" i="4"/>
  <c r="T33" i="4"/>
  <c r="F34" i="4"/>
  <c r="Y34" i="4"/>
  <c r="J35" i="4"/>
  <c r="AB35" i="4"/>
  <c r="M36" i="4"/>
  <c r="AF36" i="4"/>
  <c r="Q37" i="4"/>
  <c r="B38" i="4"/>
  <c r="U38" i="4"/>
  <c r="F39" i="4"/>
  <c r="X39" i="4"/>
  <c r="I40" i="4"/>
  <c r="AB40" i="4"/>
  <c r="M41" i="4"/>
  <c r="Z41" i="4"/>
  <c r="D42" i="4"/>
  <c r="Q42" i="4"/>
  <c r="AC42" i="4"/>
  <c r="H43" i="4"/>
  <c r="T43" i="4"/>
  <c r="AG43" i="4"/>
  <c r="K44" i="4"/>
  <c r="X44" i="4"/>
  <c r="C45" i="4"/>
  <c r="M45" i="4"/>
  <c r="X45" i="4"/>
  <c r="B46" i="4"/>
  <c r="K46" i="4"/>
  <c r="T46" i="4"/>
  <c r="AD46" i="4"/>
  <c r="F47" i="4"/>
  <c r="O47" i="4"/>
  <c r="X47" i="4"/>
  <c r="AG47" i="4"/>
  <c r="I48" i="4"/>
  <c r="R48" i="4"/>
  <c r="AB48" i="4"/>
  <c r="D49" i="4"/>
  <c r="M49" i="4"/>
  <c r="V49" i="4"/>
  <c r="AE49" i="4"/>
  <c r="G50" i="4"/>
  <c r="P50" i="4"/>
  <c r="Z50" i="4"/>
  <c r="B51" i="4"/>
  <c r="K51" i="4"/>
  <c r="T51" i="4"/>
  <c r="AC51" i="4"/>
  <c r="E52" i="4"/>
  <c r="N52" i="4"/>
  <c r="X52" i="4"/>
  <c r="AG52" i="4"/>
  <c r="I53" i="4"/>
  <c r="R53" i="4"/>
  <c r="AA53" i="4"/>
  <c r="C54" i="4"/>
  <c r="L54" i="4"/>
  <c r="V54" i="4"/>
  <c r="AE54" i="4"/>
  <c r="G55" i="4"/>
  <c r="P55" i="4"/>
  <c r="Y55" i="4"/>
  <c r="A56" i="4"/>
  <c r="J56" i="4"/>
  <c r="T56" i="4"/>
  <c r="AC56" i="4"/>
  <c r="E57" i="4"/>
  <c r="N57" i="4"/>
  <c r="W57" i="4"/>
  <c r="AF57" i="4"/>
  <c r="H58" i="4"/>
  <c r="R58" i="4"/>
  <c r="AA58" i="4"/>
  <c r="C59" i="4"/>
  <c r="L59" i="4"/>
  <c r="U59" i="4"/>
  <c r="AD59" i="4"/>
  <c r="F60" i="4"/>
  <c r="P60" i="4"/>
  <c r="X60" i="4"/>
  <c r="AF60" i="4"/>
  <c r="G61" i="4"/>
  <c r="O61" i="4"/>
  <c r="W61" i="4"/>
  <c r="AE61" i="4"/>
  <c r="F62" i="4"/>
  <c r="N62" i="4"/>
  <c r="V62" i="4"/>
  <c r="AD62" i="4"/>
  <c r="V13" i="4"/>
  <c r="AG18" i="4"/>
  <c r="I20" i="4"/>
  <c r="S21" i="4"/>
  <c r="R22" i="4"/>
  <c r="Q23" i="4"/>
  <c r="P24" i="4"/>
  <c r="O25" i="4"/>
  <c r="N26" i="4"/>
  <c r="M27" i="4"/>
  <c r="L28" i="4"/>
  <c r="K29" i="4"/>
  <c r="J30" i="4"/>
  <c r="G31" i="4"/>
  <c r="AC31" i="4"/>
  <c r="Q32" i="4"/>
  <c r="E33" i="4"/>
  <c r="AA33" i="4"/>
  <c r="L34" i="4"/>
  <c r="AD34" i="4"/>
  <c r="P35" i="4"/>
  <c r="A36" i="4"/>
  <c r="S36" i="4"/>
  <c r="D37" i="4"/>
  <c r="W37" i="4"/>
  <c r="H38" i="4"/>
  <c r="Z38" i="4"/>
  <c r="L39" i="4"/>
  <c r="AD39" i="4"/>
  <c r="O40" i="4"/>
  <c r="AG40" i="4"/>
  <c r="P41" i="4"/>
  <c r="AB41" i="4"/>
  <c r="G42" i="4"/>
  <c r="T42" i="4"/>
  <c r="AE42" i="4"/>
  <c r="K43" i="4"/>
  <c r="X43" i="4"/>
  <c r="B44" i="4"/>
  <c r="O44" i="4"/>
  <c r="AA44" i="4"/>
  <c r="E45" i="4"/>
  <c r="P45" i="4"/>
  <c r="AA45" i="4"/>
  <c r="D46" i="4"/>
  <c r="N46" i="4"/>
  <c r="W46" i="4"/>
  <c r="AF46" i="4"/>
  <c r="H47" i="4"/>
  <c r="Q47" i="4"/>
  <c r="Z47" i="4"/>
  <c r="B48" i="4"/>
  <c r="L48" i="4"/>
  <c r="U48" i="4"/>
  <c r="AD48" i="4"/>
  <c r="F49" i="4"/>
  <c r="O49" i="4"/>
  <c r="X49" i="4"/>
  <c r="AG49" i="4"/>
  <c r="J50" i="4"/>
  <c r="S50" i="4"/>
  <c r="AB50" i="4"/>
  <c r="D51" i="4"/>
  <c r="M51" i="4"/>
  <c r="V51" i="4"/>
  <c r="AE51" i="4"/>
  <c r="H52" i="4"/>
  <c r="Q52" i="4"/>
  <c r="Z52" i="4"/>
  <c r="B53" i="4"/>
  <c r="K53" i="4"/>
  <c r="T53" i="4"/>
  <c r="AC53" i="4"/>
  <c r="F54" i="4"/>
  <c r="O54" i="4"/>
  <c r="X54" i="4"/>
  <c r="AG54" i="4"/>
  <c r="I55" i="4"/>
  <c r="R55" i="4"/>
  <c r="AA55" i="4"/>
  <c r="D56" i="4"/>
  <c r="M56" i="4"/>
  <c r="V56" i="4"/>
  <c r="AE56" i="4"/>
  <c r="G57" i="4"/>
  <c r="H4" i="4"/>
  <c r="G19" i="4"/>
  <c r="X21" i="4"/>
  <c r="V23" i="4"/>
  <c r="T25" i="4"/>
  <c r="R27" i="4"/>
  <c r="P29" i="4"/>
  <c r="L31" i="4"/>
  <c r="U32" i="4"/>
  <c r="AD33" i="4"/>
  <c r="A35" i="4"/>
  <c r="D36" i="4"/>
  <c r="H37" i="4"/>
  <c r="K38" i="4"/>
  <c r="O39" i="4"/>
  <c r="S40" i="4"/>
  <c r="S41" i="4"/>
  <c r="K42" i="4"/>
  <c r="B43" i="4"/>
  <c r="Z43" i="4"/>
  <c r="R44" i="4"/>
  <c r="H45" i="4"/>
  <c r="AC45" i="4"/>
  <c r="P46" i="4"/>
  <c r="A47" i="4"/>
  <c r="S47" i="4"/>
  <c r="E48" i="4"/>
  <c r="W48" i="4"/>
  <c r="H49" i="4"/>
  <c r="AA49" i="4"/>
  <c r="L50" i="4"/>
  <c r="AD50" i="4"/>
  <c r="O51" i="4"/>
  <c r="A52" i="4"/>
  <c r="S52" i="4"/>
  <c r="D53" i="4"/>
  <c r="W53" i="4"/>
  <c r="H54" i="4"/>
  <c r="Z54" i="4"/>
  <c r="K55" i="4"/>
  <c r="AD55" i="4"/>
  <c r="O56" i="4"/>
  <c r="AG56" i="4"/>
  <c r="P57" i="4"/>
  <c r="AC57" i="4"/>
  <c r="G58" i="4"/>
  <c r="T58" i="4"/>
  <c r="AF58" i="4"/>
  <c r="K59" i="4"/>
  <c r="W59" i="4"/>
  <c r="C60" i="4"/>
  <c r="N60" i="4"/>
  <c r="Z60" i="4"/>
  <c r="D61" i="4"/>
  <c r="N61" i="4"/>
  <c r="Y61" i="4"/>
  <c r="C62" i="4"/>
  <c r="M62" i="4"/>
  <c r="X62" i="4"/>
  <c r="B63" i="4"/>
  <c r="K63" i="4"/>
  <c r="T63" i="4"/>
  <c r="AC63" i="4"/>
  <c r="E64" i="4"/>
  <c r="N64" i="4"/>
  <c r="X64" i="4"/>
  <c r="AG64" i="4"/>
  <c r="I65" i="4"/>
  <c r="R65" i="4"/>
  <c r="AA65" i="4"/>
  <c r="C66" i="4"/>
  <c r="L66" i="4"/>
  <c r="V66" i="4"/>
  <c r="AE66" i="4"/>
  <c r="G67" i="4"/>
  <c r="P67" i="4"/>
  <c r="Y67" i="4"/>
  <c r="A68" i="4"/>
  <c r="J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G5" i="4"/>
  <c r="J19" i="4"/>
  <c r="AA21" i="4"/>
  <c r="Y23" i="4"/>
  <c r="W25" i="4"/>
  <c r="U27" i="4"/>
  <c r="S29" i="4"/>
  <c r="M31" i="4"/>
  <c r="V32" i="4"/>
  <c r="AE33" i="4"/>
  <c r="B35" i="4"/>
  <c r="E36" i="4"/>
  <c r="I37" i="4"/>
  <c r="M38" i="4"/>
  <c r="P39" i="4"/>
  <c r="T40" i="4"/>
  <c r="U41" i="4"/>
  <c r="L42" i="4"/>
  <c r="C43" i="4"/>
  <c r="AB43" i="4"/>
  <c r="S44" i="4"/>
  <c r="I45" i="4"/>
  <c r="AE45" i="4"/>
  <c r="Q46" i="4"/>
  <c r="B47" i="4"/>
  <c r="U47" i="4"/>
  <c r="F48" i="4"/>
  <c r="X48" i="4"/>
  <c r="I49" i="4"/>
  <c r="AB49" i="4"/>
  <c r="M50" i="4"/>
  <c r="AE50" i="4"/>
  <c r="Q51" i="4"/>
  <c r="B52" i="4"/>
  <c r="T52" i="4"/>
  <c r="E53" i="4"/>
  <c r="X53" i="4"/>
  <c r="I54" i="4"/>
  <c r="AA54" i="4"/>
  <c r="M55" i="4"/>
  <c r="AE55" i="4"/>
  <c r="P56" i="4"/>
  <c r="A57" i="4"/>
  <c r="S57" i="4"/>
  <c r="AD57" i="4"/>
  <c r="J58" i="4"/>
  <c r="V58" i="4"/>
  <c r="A59" i="4"/>
  <c r="M59" i="4"/>
  <c r="Z59" i="4"/>
  <c r="D60" i="4"/>
  <c r="Q60" i="4"/>
  <c r="AB60" i="4"/>
  <c r="E61" i="4"/>
  <c r="P61" i="4"/>
  <c r="AA61" i="4"/>
  <c r="D62" i="4"/>
  <c r="O62" i="4"/>
  <c r="Z62" i="4"/>
  <c r="C63" i="4"/>
  <c r="L63" i="4"/>
  <c r="U63" i="4"/>
  <c r="AD63" i="4"/>
  <c r="F64" i="4"/>
  <c r="P64" i="4"/>
  <c r="Y64" i="4"/>
  <c r="A65" i="4"/>
  <c r="J65" i="4"/>
  <c r="S65" i="4"/>
  <c r="AB65" i="4"/>
  <c r="D66" i="4"/>
  <c r="N66" i="4"/>
  <c r="W66" i="4"/>
  <c r="AF66" i="4"/>
  <c r="H67" i="4"/>
  <c r="Q67" i="4"/>
  <c r="Z67" i="4"/>
  <c r="B68" i="4"/>
  <c r="G16" i="4"/>
  <c r="P20" i="4"/>
  <c r="W22" i="4"/>
  <c r="U24" i="4"/>
  <c r="S26" i="4"/>
  <c r="Q28" i="4"/>
  <c r="O30" i="4"/>
  <c r="AG31" i="4"/>
  <c r="J33" i="4"/>
  <c r="O34" i="4"/>
  <c r="S35" i="4"/>
  <c r="W36" i="4"/>
  <c r="Z37" i="4"/>
  <c r="AD38" i="4"/>
  <c r="AG39" i="4"/>
  <c r="D41" i="4"/>
  <c r="AE41" i="4"/>
  <c r="V42" i="4"/>
  <c r="N43" i="4"/>
  <c r="E44" i="4"/>
  <c r="AC44" i="4"/>
  <c r="S45" i="4"/>
  <c r="G46" i="4"/>
  <c r="Y46" i="4"/>
  <c r="J47" i="4"/>
  <c r="AC47" i="4"/>
  <c r="N48" i="4"/>
  <c r="AF48" i="4"/>
  <c r="Q49" i="4"/>
  <c r="C50" i="4"/>
  <c r="U50" i="4"/>
  <c r="F51" i="4"/>
  <c r="Y51" i="4"/>
  <c r="J52" i="4"/>
  <c r="AB52" i="4"/>
  <c r="M53" i="4"/>
  <c r="AF53" i="4"/>
  <c r="Q54" i="4"/>
  <c r="B55" i="4"/>
  <c r="U55" i="4"/>
  <c r="F56" i="4"/>
  <c r="X56" i="4"/>
  <c r="I57" i="4"/>
  <c r="V57" i="4"/>
  <c r="B58" i="4"/>
  <c r="N58" i="4"/>
  <c r="Z58" i="4"/>
  <c r="E59" i="4"/>
  <c r="R59" i="4"/>
  <c r="AC59" i="4"/>
  <c r="I60" i="4"/>
  <c r="U60" i="4"/>
  <c r="AE60" i="4"/>
  <c r="I61" i="4"/>
  <c r="T61" i="4"/>
  <c r="AD61" i="4"/>
  <c r="H62" i="4"/>
  <c r="S62" i="4"/>
  <c r="AC62" i="4"/>
  <c r="F63" i="4"/>
  <c r="O63" i="4"/>
  <c r="Y63" i="4"/>
  <c r="A64" i="4"/>
  <c r="J64" i="4"/>
  <c r="S64" i="4"/>
  <c r="AB64" i="4"/>
  <c r="D65" i="4"/>
  <c r="M65" i="4"/>
  <c r="W65" i="4"/>
  <c r="AF65" i="4"/>
  <c r="H66" i="4"/>
  <c r="Q66" i="4"/>
  <c r="Z66" i="4"/>
  <c r="B67" i="4"/>
  <c r="K67" i="4"/>
  <c r="U67" i="4"/>
  <c r="AD67" i="4"/>
  <c r="F68" i="4"/>
  <c r="O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Z16" i="4"/>
  <c r="T20" i="4"/>
  <c r="Z22" i="4"/>
  <c r="X24" i="4"/>
  <c r="V26" i="4"/>
  <c r="T28" i="4"/>
  <c r="R30" i="4"/>
  <c r="A32" i="4"/>
  <c r="K33" i="4"/>
  <c r="Q34" i="4"/>
  <c r="T35" i="4"/>
  <c r="X36" i="4"/>
  <c r="AA37" i="4"/>
  <c r="AE38" i="4"/>
  <c r="A40" i="4"/>
  <c r="E41" i="4"/>
  <c r="AF41" i="4"/>
  <c r="Y42" i="4"/>
  <c r="P43" i="4"/>
  <c r="G44" i="4"/>
  <c r="AF44" i="4"/>
  <c r="T45" i="4"/>
  <c r="H46" i="4"/>
  <c r="Z46" i="4"/>
  <c r="K47" i="4"/>
  <c r="AD47" i="4"/>
  <c r="O48" i="4"/>
  <c r="AG48" i="4"/>
  <c r="S49" i="4"/>
  <c r="D50" i="4"/>
  <c r="V50" i="4"/>
  <c r="G51" i="4"/>
  <c r="Z51" i="4"/>
  <c r="K52" i="4"/>
  <c r="AC52" i="4"/>
  <c r="O53" i="4"/>
  <c r="AG53" i="4"/>
  <c r="R54" i="4"/>
  <c r="C55" i="4"/>
  <c r="V55" i="4"/>
  <c r="G56" i="4"/>
  <c r="Y56" i="4"/>
  <c r="K57" i="4"/>
  <c r="X57" i="4"/>
  <c r="D58" i="4"/>
  <c r="O58" i="4"/>
  <c r="AB58" i="4"/>
  <c r="G59" i="4"/>
  <c r="S59" i="4"/>
  <c r="AE59" i="4"/>
  <c r="K60" i="4"/>
  <c r="V60" i="4"/>
  <c r="AG60" i="4"/>
  <c r="K61" i="4"/>
  <c r="U61" i="4"/>
  <c r="AF61" i="4"/>
  <c r="J62" i="4"/>
  <c r="T62" i="4"/>
  <c r="AE62" i="4"/>
  <c r="G63" i="4"/>
  <c r="Q63" i="4"/>
  <c r="Z63" i="4"/>
  <c r="B64" i="4"/>
  <c r="K64" i="4"/>
  <c r="T64" i="4"/>
  <c r="AC64" i="4"/>
  <c r="E65" i="4"/>
  <c r="O65" i="4"/>
  <c r="X65" i="4"/>
  <c r="AG65" i="4"/>
  <c r="I66" i="4"/>
  <c r="R66" i="4"/>
  <c r="AA66" i="4"/>
  <c r="C67" i="4"/>
  <c r="M67" i="4"/>
  <c r="V67" i="4"/>
  <c r="AE67" i="4"/>
  <c r="G68" i="4"/>
  <c r="P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W17" i="4"/>
  <c r="AE20" i="4"/>
  <c r="A23" i="4"/>
  <c r="AF24" i="4"/>
  <c r="AD26" i="4"/>
  <c r="AB28" i="4"/>
  <c r="Z30" i="4"/>
  <c r="F32" i="4"/>
  <c r="P33" i="4"/>
  <c r="U34" i="4"/>
  <c r="Y35" i="4"/>
  <c r="AB36" i="4"/>
  <c r="AF37" i="4"/>
  <c r="B39" i="4"/>
  <c r="F40" i="4"/>
  <c r="J41" i="4"/>
  <c r="B42" i="4"/>
  <c r="Z42" i="4"/>
  <c r="Q43" i="4"/>
  <c r="I44" i="4"/>
  <c r="AG44" i="4"/>
  <c r="U45" i="4"/>
  <c r="I46" i="4"/>
  <c r="AA46" i="4"/>
  <c r="M47" i="4"/>
  <c r="AE47" i="4"/>
  <c r="P48" i="4"/>
  <c r="A49" i="4"/>
  <c r="T49" i="4"/>
  <c r="E50" i="4"/>
  <c r="W50" i="4"/>
  <c r="I51" i="4"/>
  <c r="AA51" i="4"/>
  <c r="L52" i="4"/>
  <c r="AD52" i="4"/>
  <c r="P53" i="4"/>
  <c r="A54" i="4"/>
  <c r="S54" i="4"/>
  <c r="E55" i="4"/>
  <c r="W55" i="4"/>
  <c r="H56" i="4"/>
  <c r="Z56" i="4"/>
  <c r="L57" i="4"/>
  <c r="Y57" i="4"/>
  <c r="E58" i="4"/>
  <c r="P58" i="4"/>
  <c r="AC58" i="4"/>
  <c r="I59" i="4"/>
  <c r="T59" i="4"/>
  <c r="AG59" i="4"/>
  <c r="L60" i="4"/>
  <c r="W60" i="4"/>
  <c r="A61" i="4"/>
  <c r="L61" i="4"/>
  <c r="V61" i="4"/>
  <c r="AG61" i="4"/>
  <c r="K62" i="4"/>
  <c r="U62" i="4"/>
  <c r="AF62" i="4"/>
  <c r="I63" i="4"/>
  <c r="R63" i="4"/>
  <c r="AA63" i="4"/>
  <c r="C64" i="4"/>
  <c r="L64" i="4"/>
  <c r="U64" i="4"/>
  <c r="AD64" i="4"/>
  <c r="G65" i="4"/>
  <c r="P65" i="4"/>
  <c r="Y65" i="4"/>
  <c r="A66" i="4"/>
  <c r="J66" i="4"/>
  <c r="S66" i="4"/>
  <c r="AB66" i="4"/>
  <c r="E67" i="4"/>
  <c r="N67" i="4"/>
  <c r="W67" i="4"/>
  <c r="AF67" i="4"/>
  <c r="H68" i="4"/>
  <c r="Q18" i="4"/>
  <c r="H21" i="4"/>
  <c r="I23" i="4"/>
  <c r="G25" i="4"/>
  <c r="E27" i="4"/>
  <c r="C29" i="4"/>
  <c r="A31" i="4"/>
  <c r="L32" i="4"/>
  <c r="U33" i="4"/>
  <c r="Z34" i="4"/>
  <c r="AC35" i="4"/>
  <c r="AG36" i="4"/>
  <c r="C38" i="4"/>
  <c r="G39" i="4"/>
  <c r="K40" i="4"/>
  <c r="N41" i="4"/>
  <c r="F42" i="4"/>
  <c r="AD42" i="4"/>
  <c r="U43" i="4"/>
  <c r="M44" i="4"/>
  <c r="D45" i="4"/>
  <c r="Y45" i="4"/>
  <c r="L46" i="4"/>
  <c r="AE46" i="4"/>
  <c r="P47" i="4"/>
  <c r="A48" i="4"/>
  <c r="T48" i="4"/>
  <c r="E49" i="4"/>
  <c r="W49" i="4"/>
  <c r="H50" i="4"/>
  <c r="AA50" i="4"/>
  <c r="L51" i="4"/>
  <c r="AD51" i="4"/>
  <c r="P52" i="4"/>
  <c r="A53" i="4"/>
  <c r="S53" i="4"/>
  <c r="D54" i="4"/>
  <c r="W54" i="4"/>
  <c r="H55" i="4"/>
  <c r="Z55" i="4"/>
  <c r="L56" i="4"/>
  <c r="AD56" i="4"/>
  <c r="O57" i="4"/>
  <c r="AB57" i="4"/>
  <c r="F58" i="4"/>
  <c r="S58" i="4"/>
  <c r="AE58" i="4"/>
  <c r="J59" i="4"/>
  <c r="V59" i="4"/>
  <c r="B60" i="4"/>
  <c r="M60" i="4"/>
  <c r="Y60" i="4"/>
  <c r="C61" i="4"/>
  <c r="M61" i="4"/>
  <c r="X61" i="4"/>
  <c r="B62" i="4"/>
  <c r="L62" i="4"/>
  <c r="W62" i="4"/>
  <c r="A63" i="4"/>
  <c r="J63" i="4"/>
  <c r="S63" i="4"/>
  <c r="AB63" i="4"/>
  <c r="D64" i="4"/>
  <c r="M64" i="4"/>
  <c r="V64" i="4"/>
  <c r="AF64" i="4"/>
  <c r="H65" i="4"/>
  <c r="Q65" i="4"/>
  <c r="Z65" i="4"/>
  <c r="B66" i="4"/>
  <c r="K66" i="4"/>
  <c r="T66" i="4"/>
  <c r="AD66" i="4"/>
  <c r="F67" i="4"/>
  <c r="O67" i="4"/>
  <c r="X67" i="4"/>
  <c r="AG67" i="4"/>
  <c r="I68" i="4"/>
  <c r="R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B77" i="4"/>
  <c r="J77" i="4"/>
  <c r="R77" i="4"/>
  <c r="Z77" i="4"/>
  <c r="A78" i="4"/>
  <c r="I78" i="4"/>
  <c r="Q78" i="4"/>
  <c r="Y78" i="4"/>
  <c r="AG78" i="4"/>
  <c r="H79" i="4"/>
  <c r="P79" i="4"/>
  <c r="X79" i="4"/>
  <c r="AF79" i="4"/>
  <c r="G80" i="4"/>
  <c r="O80" i="4"/>
  <c r="D8" i="4"/>
  <c r="AE25" i="4"/>
  <c r="AB32" i="4"/>
  <c r="N37" i="4"/>
  <c r="V41" i="4"/>
  <c r="T44" i="4"/>
  <c r="C47" i="4"/>
  <c r="K49" i="4"/>
  <c r="R51" i="4"/>
  <c r="Y53" i="4"/>
  <c r="AF55" i="4"/>
  <c r="AE57" i="4"/>
  <c r="N59" i="4"/>
  <c r="AC60" i="4"/>
  <c r="E62" i="4"/>
  <c r="M63" i="4"/>
  <c r="Q64" i="4"/>
  <c r="T65" i="4"/>
  <c r="X66" i="4"/>
  <c r="AA67" i="4"/>
  <c r="U68" i="4"/>
  <c r="D69" i="4"/>
  <c r="T69" i="4"/>
  <c r="C70" i="4"/>
  <c r="S70" i="4"/>
  <c r="B71" i="4"/>
  <c r="R71" i="4"/>
  <c r="A72" i="4"/>
  <c r="Q72" i="4"/>
  <c r="AG72" i="4"/>
  <c r="P73" i="4"/>
  <c r="AF73" i="4"/>
  <c r="O74" i="4"/>
  <c r="AE74" i="4"/>
  <c r="N75" i="4"/>
  <c r="AD75" i="4"/>
  <c r="M76" i="4"/>
  <c r="AC76" i="4"/>
  <c r="L77" i="4"/>
  <c r="AB77" i="4"/>
  <c r="K78" i="4"/>
  <c r="AA78" i="4"/>
  <c r="J79" i="4"/>
  <c r="Z79" i="4"/>
  <c r="I80" i="4"/>
  <c r="V80" i="4"/>
  <c r="AG80" i="4"/>
  <c r="J81" i="4"/>
  <c r="U81" i="4"/>
  <c r="AF81" i="4"/>
  <c r="I82" i="4"/>
  <c r="T82" i="4"/>
  <c r="AE82" i="4"/>
  <c r="H83" i="4"/>
  <c r="S83" i="4"/>
  <c r="AD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B22" i="4"/>
  <c r="AA29" i="4"/>
  <c r="F35" i="4"/>
  <c r="U39" i="4"/>
  <c r="E43" i="4"/>
  <c r="AF45" i="4"/>
  <c r="G48" i="4"/>
  <c r="N50" i="4"/>
  <c r="U52" i="4"/>
  <c r="AB54" i="4"/>
  <c r="C57" i="4"/>
  <c r="W58" i="4"/>
  <c r="E60" i="4"/>
  <c r="Q61" i="4"/>
  <c r="AA62" i="4"/>
  <c r="AE63" i="4"/>
  <c r="B65" i="4"/>
  <c r="F66" i="4"/>
  <c r="I67" i="4"/>
  <c r="L68" i="4"/>
  <c r="AC68" i="4"/>
  <c r="L69" i="4"/>
  <c r="AB69" i="4"/>
  <c r="K70" i="4"/>
  <c r="AA70" i="4"/>
  <c r="J71" i="4"/>
  <c r="Z71" i="4"/>
  <c r="I72" i="4"/>
  <c r="Y72" i="4"/>
  <c r="H73" i="4"/>
  <c r="X73" i="4"/>
  <c r="G74" i="4"/>
  <c r="W74" i="4"/>
  <c r="F75" i="4"/>
  <c r="V75" i="4"/>
  <c r="E76" i="4"/>
  <c r="U76" i="4"/>
  <c r="D77" i="4"/>
  <c r="T77" i="4"/>
  <c r="C78" i="4"/>
  <c r="S78" i="4"/>
  <c r="B79" i="4"/>
  <c r="R79" i="4"/>
  <c r="A80" i="4"/>
  <c r="Q80" i="4"/>
  <c r="AA80" i="4"/>
  <c r="E81" i="4"/>
  <c r="P81" i="4"/>
  <c r="Z81" i="4"/>
  <c r="D82" i="4"/>
  <c r="O82" i="4"/>
  <c r="Y82" i="4"/>
  <c r="C83" i="4"/>
  <c r="N83" i="4"/>
  <c r="X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J22" i="4"/>
  <c r="B30" i="4"/>
  <c r="K35" i="4"/>
  <c r="Y39" i="4"/>
  <c r="J43" i="4"/>
  <c r="C46" i="4"/>
  <c r="J48" i="4"/>
  <c r="R50" i="4"/>
  <c r="Y52" i="4"/>
  <c r="AF54" i="4"/>
  <c r="F57" i="4"/>
  <c r="X58" i="4"/>
  <c r="H60" i="4"/>
  <c r="S61" i="4"/>
  <c r="AB62" i="4"/>
  <c r="AG63" i="4"/>
  <c r="C65" i="4"/>
  <c r="G66" i="4"/>
  <c r="J67" i="4"/>
  <c r="M68" i="4"/>
  <c r="AD68" i="4"/>
  <c r="M69" i="4"/>
  <c r="AC69" i="4"/>
  <c r="L70" i="4"/>
  <c r="AB70" i="4"/>
  <c r="K71" i="4"/>
  <c r="AA71" i="4"/>
  <c r="J72" i="4"/>
  <c r="Z72" i="4"/>
  <c r="I73" i="4"/>
  <c r="Y73" i="4"/>
  <c r="H74" i="4"/>
  <c r="X74" i="4"/>
  <c r="G75" i="4"/>
  <c r="W75" i="4"/>
  <c r="F76" i="4"/>
  <c r="V76" i="4"/>
  <c r="E77" i="4"/>
  <c r="U77" i="4"/>
  <c r="D78" i="4"/>
  <c r="T78" i="4"/>
  <c r="C79" i="4"/>
  <c r="S79" i="4"/>
  <c r="B80" i="4"/>
  <c r="R80" i="4"/>
  <c r="AB80" i="4"/>
  <c r="F81" i="4"/>
  <c r="Q81" i="4"/>
  <c r="AA81" i="4"/>
  <c r="E82" i="4"/>
  <c r="P82" i="4"/>
  <c r="Z82" i="4"/>
  <c r="D83" i="4"/>
  <c r="O83" i="4"/>
  <c r="Y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R88" i="4"/>
  <c r="AA88" i="4"/>
  <c r="C89" i="4"/>
  <c r="L89" i="4"/>
  <c r="U89" i="4"/>
  <c r="AD89" i="4"/>
  <c r="G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H24" i="4"/>
  <c r="W31" i="4"/>
  <c r="O36" i="4"/>
  <c r="AC40" i="4"/>
  <c r="A44" i="4"/>
  <c r="V46" i="4"/>
  <c r="AC48" i="4"/>
  <c r="C51" i="4"/>
  <c r="J53" i="4"/>
  <c r="Q55" i="4"/>
  <c r="U57" i="4"/>
  <c r="D59" i="4"/>
  <c r="T60" i="4"/>
  <c r="AC61" i="4"/>
  <c r="E63" i="4"/>
  <c r="I64" i="4"/>
  <c r="L65" i="4"/>
  <c r="P66" i="4"/>
  <c r="S67" i="4"/>
  <c r="Q68" i="4"/>
  <c r="A69" i="4"/>
  <c r="Q69" i="4"/>
  <c r="AG69" i="4"/>
  <c r="P70" i="4"/>
  <c r="AF70" i="4"/>
  <c r="O71" i="4"/>
  <c r="AE71" i="4"/>
  <c r="N72" i="4"/>
  <c r="AD72" i="4"/>
  <c r="M73" i="4"/>
  <c r="AC73" i="4"/>
  <c r="L74" i="4"/>
  <c r="AB74" i="4"/>
  <c r="K75" i="4"/>
  <c r="AA75" i="4"/>
  <c r="J76" i="4"/>
  <c r="Z76" i="4"/>
  <c r="I77" i="4"/>
  <c r="Y77" i="4"/>
  <c r="H78" i="4"/>
  <c r="X78" i="4"/>
  <c r="G79" i="4"/>
  <c r="W79" i="4"/>
  <c r="F80" i="4"/>
  <c r="T80" i="4"/>
  <c r="AE80" i="4"/>
  <c r="I81" i="4"/>
  <c r="S81" i="4"/>
  <c r="AD81" i="4"/>
  <c r="H82" i="4"/>
  <c r="R82" i="4"/>
  <c r="AC82" i="4"/>
  <c r="G83" i="4"/>
  <c r="Q83" i="4"/>
  <c r="AB83" i="4"/>
  <c r="F84" i="4"/>
  <c r="O84" i="4"/>
  <c r="X84" i="4"/>
  <c r="AG84" i="4"/>
  <c r="I85" i="4"/>
  <c r="R85" i="4"/>
  <c r="AB85" i="4"/>
  <c r="D86" i="4"/>
  <c r="M86" i="4"/>
  <c r="V86" i="4"/>
  <c r="AE86" i="4"/>
  <c r="G87" i="4"/>
  <c r="P87" i="4"/>
  <c r="Z87" i="4"/>
  <c r="B88" i="4"/>
  <c r="K88" i="4"/>
  <c r="T88" i="4"/>
  <c r="AC88" i="4"/>
  <c r="E89" i="4"/>
  <c r="N89" i="4"/>
  <c r="X89" i="4"/>
  <c r="AG89" i="4"/>
  <c r="I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X11" i="4"/>
  <c r="AG32" i="4"/>
  <c r="AA41" i="4"/>
  <c r="G47" i="4"/>
  <c r="U51" i="4"/>
  <c r="B56" i="4"/>
  <c r="Q59" i="4"/>
  <c r="G62" i="4"/>
  <c r="R64" i="4"/>
  <c r="Y66" i="4"/>
  <c r="V68" i="4"/>
  <c r="U69" i="4"/>
  <c r="T70" i="4"/>
  <c r="S71" i="4"/>
  <c r="R72" i="4"/>
  <c r="Q73" i="4"/>
  <c r="P74" i="4"/>
  <c r="O75" i="4"/>
  <c r="N76" i="4"/>
  <c r="M77" i="4"/>
  <c r="L78" i="4"/>
  <c r="K79" i="4"/>
  <c r="J80" i="4"/>
  <c r="A81" i="4"/>
  <c r="V81" i="4"/>
  <c r="J82" i="4"/>
  <c r="AF82" i="4"/>
  <c r="T83" i="4"/>
  <c r="H84" i="4"/>
  <c r="Z84" i="4"/>
  <c r="L85" i="4"/>
  <c r="AD85" i="4"/>
  <c r="O86" i="4"/>
  <c r="AG86" i="4"/>
  <c r="S87" i="4"/>
  <c r="D88" i="4"/>
  <c r="V88" i="4"/>
  <c r="H89" i="4"/>
  <c r="Z89" i="4"/>
  <c r="K90" i="4"/>
  <c r="AB90" i="4"/>
  <c r="K91" i="4"/>
  <c r="AA91" i="4"/>
  <c r="J92" i="4"/>
  <c r="Z92" i="4"/>
  <c r="I93" i="4"/>
  <c r="Y93" i="4"/>
  <c r="H94" i="4"/>
  <c r="X94" i="4"/>
  <c r="G95" i="4"/>
  <c r="W95" i="4"/>
  <c r="F96" i="4"/>
  <c r="V96" i="4"/>
  <c r="E97" i="4"/>
  <c r="U97" i="4"/>
  <c r="D98" i="4"/>
  <c r="T98" i="4"/>
  <c r="C99" i="4"/>
  <c r="S99" i="4"/>
  <c r="B100" i="4"/>
  <c r="R100" i="4"/>
  <c r="A101" i="4"/>
  <c r="Q101" i="4"/>
  <c r="AG101" i="4"/>
  <c r="P102" i="4"/>
  <c r="AF102" i="4"/>
  <c r="O103" i="4"/>
  <c r="AE103" i="4"/>
  <c r="N104" i="4"/>
  <c r="AD104" i="4"/>
  <c r="M105" i="4"/>
  <c r="AC105" i="4"/>
  <c r="L106" i="4"/>
  <c r="AB106" i="4"/>
  <c r="K107" i="4"/>
  <c r="AA107" i="4"/>
  <c r="J108" i="4"/>
  <c r="Z108" i="4"/>
  <c r="D109" i="4"/>
  <c r="O109" i="4"/>
  <c r="Z109" i="4"/>
  <c r="C110" i="4"/>
  <c r="N110" i="4"/>
  <c r="Y110" i="4"/>
  <c r="B111" i="4"/>
  <c r="M111" i="4"/>
  <c r="AF19" i="4"/>
  <c r="G34" i="4"/>
  <c r="R42" i="4"/>
  <c r="Y47" i="4"/>
  <c r="F52" i="4"/>
  <c r="U56" i="4"/>
  <c r="AB59" i="4"/>
  <c r="R62" i="4"/>
  <c r="AA64" i="4"/>
  <c r="A67" i="4"/>
  <c r="Z68" i="4"/>
  <c r="Y69" i="4"/>
  <c r="X70" i="4"/>
  <c r="W71" i="4"/>
  <c r="V72" i="4"/>
  <c r="U73" i="4"/>
  <c r="T74" i="4"/>
  <c r="S75" i="4"/>
  <c r="R76" i="4"/>
  <c r="Q77" i="4"/>
  <c r="P78" i="4"/>
  <c r="O79" i="4"/>
  <c r="N80" i="4"/>
  <c r="C81" i="4"/>
  <c r="Y81" i="4"/>
  <c r="M82" i="4"/>
  <c r="A83" i="4"/>
  <c r="W83" i="4"/>
  <c r="J84" i="4"/>
  <c r="AC84" i="4"/>
  <c r="N85" i="4"/>
  <c r="AF85" i="4"/>
  <c r="Q86" i="4"/>
  <c r="C87" i="4"/>
  <c r="U87" i="4"/>
  <c r="F88" i="4"/>
  <c r="Y88" i="4"/>
  <c r="J89" i="4"/>
  <c r="AB89" i="4"/>
  <c r="M90" i="4"/>
  <c r="AD90" i="4"/>
  <c r="M91" i="4"/>
  <c r="AC91" i="4"/>
  <c r="L92" i="4"/>
  <c r="AB92" i="4"/>
  <c r="K93" i="4"/>
  <c r="AA93" i="4"/>
  <c r="J94" i="4"/>
  <c r="Z94" i="4"/>
  <c r="I95" i="4"/>
  <c r="Y95" i="4"/>
  <c r="H96" i="4"/>
  <c r="X96" i="4"/>
  <c r="G97" i="4"/>
  <c r="W97" i="4"/>
  <c r="F98" i="4"/>
  <c r="V98" i="4"/>
  <c r="E99" i="4"/>
  <c r="U99" i="4"/>
  <c r="D100" i="4"/>
  <c r="T100" i="4"/>
  <c r="C101" i="4"/>
  <c r="S101" i="4"/>
  <c r="B102" i="4"/>
  <c r="R102" i="4"/>
  <c r="A103" i="4"/>
  <c r="Q103" i="4"/>
  <c r="AG103" i="4"/>
  <c r="P104" i="4"/>
  <c r="AF104" i="4"/>
  <c r="O105" i="4"/>
  <c r="AE105" i="4"/>
  <c r="N106" i="4"/>
  <c r="AD106" i="4"/>
  <c r="M107" i="4"/>
  <c r="AC107" i="4"/>
  <c r="L108" i="4"/>
  <c r="AB108" i="4"/>
  <c r="G109" i="4"/>
  <c r="R109" i="4"/>
  <c r="AB109" i="4"/>
  <c r="F110" i="4"/>
  <c r="Q110" i="4"/>
  <c r="AA110" i="4"/>
  <c r="E111" i="4"/>
  <c r="F26" i="4"/>
  <c r="R37" i="4"/>
  <c r="Y44" i="4"/>
  <c r="N49" i="4"/>
  <c r="AB53" i="4"/>
  <c r="AG57" i="4"/>
  <c r="AD60" i="4"/>
  <c r="N63" i="4"/>
  <c r="U65" i="4"/>
  <c r="AC67" i="4"/>
  <c r="E69" i="4"/>
  <c r="D70" i="4"/>
  <c r="C71" i="4"/>
  <c r="B72" i="4"/>
  <c r="A73" i="4"/>
  <c r="AG73" i="4"/>
  <c r="AF74" i="4"/>
  <c r="AE75" i="4"/>
  <c r="AD76" i="4"/>
  <c r="AC77" i="4"/>
  <c r="AB78" i="4"/>
  <c r="AA79" i="4"/>
  <c r="W80" i="4"/>
  <c r="K81" i="4"/>
  <c r="AG81" i="4"/>
  <c r="U82" i="4"/>
  <c r="I83" i="4"/>
  <c r="AE83" i="4"/>
  <c r="Q84" i="4"/>
  <c r="B85" i="4"/>
  <c r="U85" i="4"/>
  <c r="F86" i="4"/>
  <c r="X86" i="4"/>
  <c r="J87" i="4"/>
  <c r="AC27" i="4"/>
  <c r="Q38" i="4"/>
  <c r="K45" i="4"/>
  <c r="AC49" i="4"/>
  <c r="J54" i="4"/>
  <c r="K58" i="4"/>
  <c r="F61" i="4"/>
  <c r="V63" i="4"/>
  <c r="AC65" i="4"/>
  <c r="D68" i="4"/>
  <c r="F69" i="4"/>
  <c r="E70" i="4"/>
  <c r="D71" i="4"/>
  <c r="C72" i="4"/>
  <c r="B73" i="4"/>
  <c r="A74" i="4"/>
  <c r="AG74" i="4"/>
  <c r="AF75" i="4"/>
  <c r="AE76" i="4"/>
  <c r="AD77" i="4"/>
  <c r="AC78" i="4"/>
  <c r="AB79" i="4"/>
  <c r="Y80" i="4"/>
  <c r="M81" i="4"/>
  <c r="A82" i="4"/>
  <c r="W82" i="4"/>
  <c r="K83" i="4"/>
  <c r="AF83" i="4"/>
  <c r="R84" i="4"/>
  <c r="D85" i="4"/>
  <c r="V85" i="4"/>
  <c r="G86" i="4"/>
  <c r="Y86" i="4"/>
  <c r="K87" i="4"/>
  <c r="R31" i="4"/>
  <c r="X40" i="4"/>
  <c r="R46" i="4"/>
  <c r="AF50" i="4"/>
  <c r="N55" i="4"/>
  <c r="B59" i="4"/>
  <c r="AB61" i="4"/>
  <c r="H64" i="4"/>
  <c r="O66" i="4"/>
  <c r="N68" i="4"/>
  <c r="N69" i="4"/>
  <c r="M70" i="4"/>
  <c r="L71" i="4"/>
  <c r="K72" i="4"/>
  <c r="J73" i="4"/>
  <c r="I74" i="4"/>
  <c r="H75" i="4"/>
  <c r="G76" i="4"/>
  <c r="F77" i="4"/>
  <c r="E78" i="4"/>
  <c r="D79" i="4"/>
  <c r="C80" i="4"/>
  <c r="AD80" i="4"/>
  <c r="R81" i="4"/>
  <c r="G82" i="4"/>
  <c r="AB82" i="4"/>
  <c r="P83" i="4"/>
  <c r="E84" i="4"/>
  <c r="W84" i="4"/>
  <c r="H85" i="4"/>
  <c r="Z85" i="4"/>
  <c r="AG23" i="4"/>
  <c r="V47" i="4"/>
  <c r="M58" i="4"/>
  <c r="K65" i="4"/>
  <c r="V69" i="4"/>
  <c r="F72" i="4"/>
  <c r="Y74" i="4"/>
  <c r="N77" i="4"/>
  <c r="AE79" i="4"/>
  <c r="AC81" i="4"/>
  <c r="V83" i="4"/>
  <c r="E85" i="4"/>
  <c r="P86" i="4"/>
  <c r="T87" i="4"/>
  <c r="M88" i="4"/>
  <c r="A89" i="4"/>
  <c r="AA89" i="4"/>
  <c r="T90" i="4"/>
  <c r="E91" i="4"/>
  <c r="AB91" i="4"/>
  <c r="R92" i="4"/>
  <c r="C93" i="4"/>
  <c r="Z93" i="4"/>
  <c r="P94" i="4"/>
  <c r="A95" i="4"/>
  <c r="X95" i="4"/>
  <c r="N96" i="4"/>
  <c r="AF96" i="4"/>
  <c r="V97" i="4"/>
  <c r="L98" i="4"/>
  <c r="AD98" i="4"/>
  <c r="T99" i="4"/>
  <c r="J100" i="4"/>
  <c r="AB100" i="4"/>
  <c r="R101" i="4"/>
  <c r="H102" i="4"/>
  <c r="Z102" i="4"/>
  <c r="P103" i="4"/>
  <c r="F104" i="4"/>
  <c r="X104" i="4"/>
  <c r="N105" i="4"/>
  <c r="D106" i="4"/>
  <c r="V106" i="4"/>
  <c r="L107" i="4"/>
  <c r="B108" i="4"/>
  <c r="T108" i="4"/>
  <c r="F109" i="4"/>
  <c r="T109" i="4"/>
  <c r="A110" i="4"/>
  <c r="P110" i="4"/>
  <c r="AD110" i="4"/>
  <c r="J111" i="4"/>
  <c r="W111" i="4"/>
  <c r="AG111" i="4"/>
  <c r="K112" i="4"/>
  <c r="V112" i="4"/>
  <c r="AE112" i="4"/>
  <c r="G113" i="4"/>
  <c r="P113" i="4"/>
  <c r="Y113" i="4"/>
  <c r="A114" i="4"/>
  <c r="J114" i="4"/>
  <c r="T114" i="4"/>
  <c r="AC114" i="4"/>
  <c r="E115" i="4"/>
  <c r="N115" i="4"/>
  <c r="W115" i="4"/>
  <c r="AF115" i="4"/>
  <c r="H116" i="4"/>
  <c r="R116" i="4"/>
  <c r="AA116" i="4"/>
  <c r="C117" i="4"/>
  <c r="L117" i="4"/>
  <c r="U117" i="4"/>
  <c r="AD117" i="4"/>
  <c r="F118" i="4"/>
  <c r="O118" i="4"/>
  <c r="W118" i="4"/>
  <c r="AE118" i="4"/>
  <c r="F119" i="4"/>
  <c r="N119" i="4"/>
  <c r="V119" i="4"/>
  <c r="AD119" i="4"/>
  <c r="E120" i="4"/>
  <c r="M120" i="4"/>
  <c r="D28" i="4"/>
  <c r="Y48" i="4"/>
  <c r="AA59" i="4"/>
  <c r="AE65" i="4"/>
  <c r="AD69" i="4"/>
  <c r="S72" i="4"/>
  <c r="C75" i="4"/>
  <c r="V77" i="4"/>
  <c r="K80" i="4"/>
  <c r="B82" i="4"/>
  <c r="AA83" i="4"/>
  <c r="M85" i="4"/>
  <c r="U86" i="4"/>
  <c r="X87" i="4"/>
  <c r="N88" i="4"/>
  <c r="D89" i="4"/>
  <c r="AF89" i="4"/>
  <c r="U90" i="4"/>
  <c r="H91" i="4"/>
  <c r="AF91" i="4"/>
  <c r="S92" i="4"/>
  <c r="F93" i="4"/>
  <c r="AD93" i="4"/>
  <c r="Q94" i="4"/>
  <c r="D95" i="4"/>
  <c r="AB95" i="4"/>
  <c r="O96" i="4"/>
  <c r="B97" i="4"/>
  <c r="Z97" i="4"/>
  <c r="M98" i="4"/>
  <c r="AG98" i="4"/>
  <c r="X99" i="4"/>
  <c r="K100" i="4"/>
  <c r="AE100" i="4"/>
  <c r="V101" i="4"/>
  <c r="I102" i="4"/>
  <c r="AC102" i="4"/>
  <c r="T103" i="4"/>
  <c r="G104" i="4"/>
  <c r="AA104" i="4"/>
  <c r="R105" i="4"/>
  <c r="E106" i="4"/>
  <c r="Y106" i="4"/>
  <c r="P107" i="4"/>
  <c r="C108" i="4"/>
  <c r="W108" i="4"/>
  <c r="I109" i="4"/>
  <c r="V109" i="4"/>
  <c r="B110" i="4"/>
  <c r="R110" i="4"/>
  <c r="AF110" i="4"/>
  <c r="L111" i="4"/>
  <c r="X111" i="4"/>
  <c r="A112" i="4"/>
  <c r="L112" i="4"/>
  <c r="W112" i="4"/>
  <c r="AF112" i="4"/>
  <c r="H113" i="4"/>
  <c r="Q113" i="4"/>
  <c r="Z113" i="4"/>
  <c r="J36" i="4"/>
  <c r="C52" i="4"/>
  <c r="H61" i="4"/>
  <c r="R67" i="4"/>
  <c r="U70" i="4"/>
  <c r="E73" i="4"/>
  <c r="X75" i="4"/>
  <c r="M78" i="4"/>
  <c r="Z80" i="4"/>
  <c r="Q82" i="4"/>
  <c r="I84" i="4"/>
  <c r="W85" i="4"/>
  <c r="AD86" i="4"/>
  <c r="AC87" i="4"/>
  <c r="S88" i="4"/>
  <c r="M89" i="4"/>
  <c r="C90" i="4"/>
  <c r="Y90" i="4"/>
  <c r="P91" i="4"/>
  <c r="C92" i="4"/>
  <c r="W92" i="4"/>
  <c r="V38" i="4"/>
  <c r="G53" i="4"/>
  <c r="P62" i="4"/>
  <c r="E68" i="4"/>
  <c r="AC70" i="4"/>
  <c r="R73" i="4"/>
  <c r="B76" i="4"/>
  <c r="U78" i="4"/>
  <c r="B81" i="4"/>
  <c r="X82" i="4"/>
  <c r="N84" i="4"/>
  <c r="AE85" i="4"/>
  <c r="B87" i="4"/>
  <c r="AD87" i="4"/>
  <c r="W88" i="4"/>
  <c r="Q89" i="4"/>
  <c r="D90" i="4"/>
  <c r="AC90" i="4"/>
  <c r="S91" i="4"/>
  <c r="D92" i="4"/>
  <c r="AA92" i="4"/>
  <c r="Q93" i="4"/>
  <c r="B94" i="4"/>
  <c r="Y94" i="4"/>
  <c r="O95" i="4"/>
  <c r="AG95" i="4"/>
  <c r="W96" i="4"/>
  <c r="M97" i="4"/>
  <c r="AE97" i="4"/>
  <c r="U98" i="4"/>
  <c r="K99" i="4"/>
  <c r="AC99" i="4"/>
  <c r="S100" i="4"/>
  <c r="I101" i="4"/>
  <c r="AA101" i="4"/>
  <c r="Q102" i="4"/>
  <c r="G103" i="4"/>
  <c r="Y103" i="4"/>
  <c r="O104" i="4"/>
  <c r="E105" i="4"/>
  <c r="W105" i="4"/>
  <c r="M106" i="4"/>
  <c r="C107" i="4"/>
  <c r="U107" i="4"/>
  <c r="K108" i="4"/>
  <c r="AF108" i="4"/>
  <c r="L109" i="4"/>
  <c r="AA109" i="4"/>
  <c r="I110" i="4"/>
  <c r="V110" i="4"/>
  <c r="U19" i="4"/>
  <c r="T57" i="4"/>
  <c r="I69" i="4"/>
  <c r="Q74" i="4"/>
  <c r="T79" i="4"/>
  <c r="L83" i="4"/>
  <c r="L86" i="4"/>
  <c r="J88" i="4"/>
  <c r="V89" i="4"/>
  <c r="D91" i="4"/>
  <c r="O92" i="4"/>
  <c r="S93" i="4"/>
  <c r="U94" i="4"/>
  <c r="T95" i="4"/>
  <c r="AA96" i="4"/>
  <c r="AC97" i="4"/>
  <c r="AB98" i="4"/>
  <c r="AB99" i="4"/>
  <c r="AA100" i="4"/>
  <c r="AD101" i="4"/>
  <c r="AG102" i="4"/>
  <c r="AF103" i="4"/>
  <c r="B105" i="4"/>
  <c r="A106" i="4"/>
  <c r="D107" i="4"/>
  <c r="D108" i="4"/>
  <c r="B109" i="4"/>
  <c r="Y109" i="4"/>
  <c r="M110" i="4"/>
  <c r="D111" i="4"/>
  <c r="T111" i="4"/>
  <c r="C112" i="4"/>
  <c r="P112" i="4"/>
  <c r="AB112" i="4"/>
  <c r="I113" i="4"/>
  <c r="U113" i="4"/>
  <c r="AF113" i="4"/>
  <c r="I114" i="4"/>
  <c r="U114" i="4"/>
  <c r="AE114" i="4"/>
  <c r="H115" i="4"/>
  <c r="S115" i="4"/>
  <c r="AC115" i="4"/>
  <c r="F116" i="4"/>
  <c r="P116" i="4"/>
  <c r="AB116" i="4"/>
  <c r="E117" i="4"/>
  <c r="O117" i="4"/>
  <c r="Z117" i="4"/>
  <c r="C118" i="4"/>
  <c r="M118" i="4"/>
  <c r="V118" i="4"/>
  <c r="AF118" i="4"/>
  <c r="H119" i="4"/>
  <c r="Q119" i="4"/>
  <c r="Z119" i="4"/>
  <c r="B120" i="4"/>
  <c r="K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C34" i="4"/>
  <c r="R60" i="4"/>
  <c r="H70" i="4"/>
  <c r="P75" i="4"/>
  <c r="S80" i="4"/>
  <c r="AG83" i="4"/>
  <c r="AA86" i="4"/>
  <c r="O88" i="4"/>
  <c r="B90" i="4"/>
  <c r="L91" i="4"/>
  <c r="T92" i="4"/>
  <c r="V93" i="4"/>
  <c r="AC94" i="4"/>
  <c r="AE95" i="4"/>
  <c r="AD96" i="4"/>
  <c r="AD97" i="4"/>
  <c r="AC98" i="4"/>
  <c r="AF99" i="4"/>
  <c r="B101" i="4"/>
  <c r="A102" i="4"/>
  <c r="D103" i="4"/>
  <c r="C104" i="4"/>
  <c r="F105" i="4"/>
  <c r="F106" i="4"/>
  <c r="E107" i="4"/>
  <c r="G108" i="4"/>
  <c r="C109" i="4"/>
  <c r="AD109" i="4"/>
  <c r="S110" i="4"/>
  <c r="G111" i="4"/>
  <c r="U111" i="4"/>
  <c r="D112" i="4"/>
  <c r="Q112" i="4"/>
  <c r="AD112" i="4"/>
  <c r="J113" i="4"/>
  <c r="V113" i="4"/>
  <c r="AG113" i="4"/>
  <c r="L114" i="4"/>
  <c r="V114" i="4"/>
  <c r="AF114" i="4"/>
  <c r="I115" i="4"/>
  <c r="T115" i="4"/>
  <c r="AD115" i="4"/>
  <c r="G116" i="4"/>
  <c r="S116" i="4"/>
  <c r="AC116" i="4"/>
  <c r="F117" i="4"/>
  <c r="Q117" i="4"/>
  <c r="AA117" i="4"/>
  <c r="D118" i="4"/>
  <c r="N118" i="4"/>
  <c r="X118" i="4"/>
  <c r="AG118" i="4"/>
  <c r="I119" i="4"/>
  <c r="R119" i="4"/>
  <c r="AA119" i="4"/>
  <c r="C120" i="4"/>
  <c r="L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M42" i="4"/>
  <c r="D63" i="4"/>
  <c r="G71" i="4"/>
  <c r="O76" i="4"/>
  <c r="H81" i="4"/>
  <c r="S84" i="4"/>
  <c r="F87" i="4"/>
  <c r="AB88" i="4"/>
  <c r="H90" i="4"/>
  <c r="T91" i="4"/>
  <c r="AE92" i="4"/>
  <c r="AG93" i="4"/>
  <c r="AF94" i="4"/>
  <c r="AF95" i="4"/>
  <c r="AE96" i="4"/>
  <c r="A98" i="4"/>
  <c r="D99" i="4"/>
  <c r="C100" i="4"/>
  <c r="F101" i="4"/>
  <c r="E102" i="4"/>
  <c r="H103" i="4"/>
  <c r="H104" i="4"/>
  <c r="G105" i="4"/>
  <c r="I106" i="4"/>
  <c r="H107" i="4"/>
  <c r="O108" i="4"/>
  <c r="J109" i="4"/>
  <c r="AE109" i="4"/>
  <c r="U110" i="4"/>
  <c r="H111" i="4"/>
  <c r="Y111" i="4"/>
  <c r="F112" i="4"/>
  <c r="S112" i="4"/>
  <c r="AG112" i="4"/>
  <c r="K113" i="4"/>
  <c r="W113" i="4"/>
  <c r="B114" i="4"/>
  <c r="M114" i="4"/>
  <c r="W114" i="4"/>
  <c r="AG114" i="4"/>
  <c r="K115" i="4"/>
  <c r="U115" i="4"/>
  <c r="AE115" i="4"/>
  <c r="J116" i="4"/>
  <c r="T116" i="4"/>
  <c r="AD116" i="4"/>
  <c r="G117" i="4"/>
  <c r="R117" i="4"/>
  <c r="AB117" i="4"/>
  <c r="E118" i="4"/>
  <c r="P118" i="4"/>
  <c r="Y118" i="4"/>
  <c r="A119" i="4"/>
  <c r="J119" i="4"/>
  <c r="S119" i="4"/>
  <c r="AB119" i="4"/>
  <c r="D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AC43" i="4"/>
  <c r="W63" i="4"/>
  <c r="T71" i="4"/>
  <c r="W76" i="4"/>
  <c r="N81" i="4"/>
  <c r="AA84" i="4"/>
  <c r="L87" i="4"/>
  <c r="AE88" i="4"/>
  <c r="L90" i="4"/>
  <c r="U91" i="4"/>
  <c r="A93" i="4"/>
  <c r="A94" i="4"/>
  <c r="AG94" i="4"/>
  <c r="C96" i="4"/>
  <c r="F97" i="4"/>
  <c r="E98" i="4"/>
  <c r="H99" i="4"/>
  <c r="G100" i="4"/>
  <c r="J101" i="4"/>
  <c r="J102" i="4"/>
  <c r="I103" i="4"/>
  <c r="K104" i="4"/>
  <c r="J105" i="4"/>
  <c r="Q106" i="4"/>
  <c r="S107" i="4"/>
  <c r="R108" i="4"/>
  <c r="K109" i="4"/>
  <c r="AG109" i="4"/>
  <c r="X110" i="4"/>
  <c r="I111" i="4"/>
  <c r="Z111" i="4"/>
  <c r="G112" i="4"/>
  <c r="T112" i="4"/>
  <c r="A113" i="4"/>
  <c r="M113" i="4"/>
  <c r="X113" i="4"/>
  <c r="D114" i="4"/>
  <c r="N114" i="4"/>
  <c r="X114" i="4"/>
  <c r="A115" i="4"/>
  <c r="L115" i="4"/>
  <c r="V115" i="4"/>
  <c r="AG115" i="4"/>
  <c r="K116" i="4"/>
  <c r="U116" i="4"/>
  <c r="AE116" i="4"/>
  <c r="I117" i="4"/>
  <c r="S117" i="4"/>
  <c r="AC117" i="4"/>
  <c r="H118" i="4"/>
  <c r="Q118" i="4"/>
  <c r="Z118" i="4"/>
  <c r="B119" i="4"/>
  <c r="K119" i="4"/>
  <c r="T119" i="4"/>
  <c r="AC119" i="4"/>
  <c r="F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AF49" i="4"/>
  <c r="AG66" i="4"/>
  <c r="AA72" i="4"/>
  <c r="AG77" i="4"/>
  <c r="L82" i="4"/>
  <c r="Q85" i="4"/>
  <c r="AB87" i="4"/>
  <c r="I89" i="4"/>
  <c r="V90" i="4"/>
  <c r="B92" i="4"/>
  <c r="J93" i="4"/>
  <c r="I94" i="4"/>
  <c r="L95" i="4"/>
  <c r="K96" i="4"/>
  <c r="N97" i="4"/>
  <c r="N98" i="4"/>
  <c r="M99" i="4"/>
  <c r="O100" i="4"/>
  <c r="N101" i="4"/>
  <c r="U102" i="4"/>
  <c r="W103" i="4"/>
  <c r="V104" i="4"/>
  <c r="V105" i="4"/>
  <c r="U106" i="4"/>
  <c r="X107" i="4"/>
  <c r="AA108" i="4"/>
  <c r="Q109" i="4"/>
  <c r="H110" i="4"/>
  <c r="AC110" i="4"/>
  <c r="P111" i="4"/>
  <c r="AC111" i="4"/>
  <c r="I112" i="4"/>
  <c r="Y112" i="4"/>
  <c r="C113" i="4"/>
  <c r="O113" i="4"/>
  <c r="AC113" i="4"/>
  <c r="F114" i="4"/>
  <c r="P114" i="4"/>
  <c r="Z114" i="4"/>
  <c r="D115" i="4"/>
  <c r="O115" i="4"/>
  <c r="Y115" i="4"/>
  <c r="C116" i="4"/>
  <c r="M116" i="4"/>
  <c r="W116" i="4"/>
  <c r="A117" i="4"/>
  <c r="K117" i="4"/>
  <c r="V117" i="4"/>
  <c r="AG117" i="4"/>
  <c r="J118" i="4"/>
  <c r="S118" i="4"/>
  <c r="AB118" i="4"/>
  <c r="D119" i="4"/>
  <c r="M119" i="4"/>
  <c r="W119" i="4"/>
  <c r="AF119" i="4"/>
  <c r="H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O45" i="4"/>
  <c r="D74" i="4"/>
  <c r="C86" i="4"/>
  <c r="Q90" i="4"/>
  <c r="R93" i="4"/>
  <c r="P96" i="4"/>
  <c r="L99" i="4"/>
  <c r="Z101" i="4"/>
  <c r="W104" i="4"/>
  <c r="T107" i="4"/>
  <c r="W109" i="4"/>
  <c r="Q111" i="4"/>
  <c r="X112" i="4"/>
  <c r="S113" i="4"/>
  <c r="Q114" i="4"/>
  <c r="M115" i="4"/>
  <c r="E116" i="4"/>
  <c r="B117" i="4"/>
  <c r="AE117" i="4"/>
  <c r="U118" i="4"/>
  <c r="O119" i="4"/>
  <c r="G120" i="4"/>
  <c r="AA120" i="4"/>
  <c r="Q121" i="4"/>
  <c r="F122" i="4"/>
  <c r="Y122" i="4"/>
  <c r="O123" i="4"/>
  <c r="D124" i="4"/>
  <c r="W124" i="4"/>
  <c r="M125" i="4"/>
  <c r="B126" i="4"/>
  <c r="U126" i="4"/>
  <c r="I127" i="4"/>
  <c r="Y127" i="4"/>
  <c r="H128" i="4"/>
  <c r="X128" i="4"/>
  <c r="G129" i="4"/>
  <c r="W129" i="4"/>
  <c r="F130" i="4"/>
  <c r="V130" i="4"/>
  <c r="E131" i="4"/>
  <c r="P131" i="4"/>
  <c r="AB131" i="4"/>
  <c r="E132" i="4"/>
  <c r="O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N54" i="4"/>
  <c r="A77" i="4"/>
  <c r="H86" i="4"/>
  <c r="AG90" i="4"/>
  <c r="E94" i="4"/>
  <c r="S96" i="4"/>
  <c r="P99" i="4"/>
  <c r="M102" i="4"/>
  <c r="AE104" i="4"/>
  <c r="AB107" i="4"/>
  <c r="E110" i="4"/>
  <c r="R111" i="4"/>
  <c r="Z112" i="4"/>
  <c r="AA113" i="4"/>
  <c r="R114" i="4"/>
  <c r="P115" i="4"/>
  <c r="L116" i="4"/>
  <c r="D117" i="4"/>
  <c r="A118" i="4"/>
  <c r="AA118" i="4"/>
  <c r="P119" i="4"/>
  <c r="I120" i="4"/>
  <c r="AF120" i="4"/>
  <c r="R121" i="4"/>
  <c r="H122" i="4"/>
  <c r="AD122" i="4"/>
  <c r="P123" i="4"/>
  <c r="F124" i="4"/>
  <c r="AB124" i="4"/>
  <c r="N125" i="4"/>
  <c r="D126" i="4"/>
  <c r="Z126" i="4"/>
  <c r="K127" i="4"/>
  <c r="AA127" i="4"/>
  <c r="J128" i="4"/>
  <c r="Z128" i="4"/>
  <c r="I129" i="4"/>
  <c r="Y129" i="4"/>
  <c r="H130" i="4"/>
  <c r="X130" i="4"/>
  <c r="G131" i="4"/>
  <c r="S131" i="4"/>
  <c r="AC131" i="4"/>
  <c r="F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E108" i="4"/>
  <c r="N124" i="4"/>
  <c r="L126" i="4"/>
  <c r="A127" i="4"/>
  <c r="AG127" i="4"/>
  <c r="AF128" i="4"/>
  <c r="AE129" i="4"/>
  <c r="AD130" i="4"/>
  <c r="V131" i="4"/>
  <c r="U132" i="4"/>
  <c r="D133" i="4"/>
  <c r="T133" i="4"/>
  <c r="K134" i="4"/>
  <c r="AA134" i="4"/>
  <c r="J135" i="4"/>
  <c r="A136" i="4"/>
  <c r="Q136" i="4"/>
  <c r="AG136" i="4"/>
  <c r="X137" i="4"/>
  <c r="G138" i="4"/>
  <c r="W138" i="4"/>
  <c r="N139" i="4"/>
  <c r="AD139" i="4"/>
  <c r="E140" i="4"/>
  <c r="AC140" i="4"/>
  <c r="L141" i="4"/>
  <c r="Q56" i="4"/>
  <c r="AF78" i="4"/>
  <c r="O87" i="4"/>
  <c r="C91" i="4"/>
  <c r="M94" i="4"/>
  <c r="J97" i="4"/>
  <c r="AA99" i="4"/>
  <c r="X102" i="4"/>
  <c r="U105" i="4"/>
  <c r="AF107" i="4"/>
  <c r="J110" i="4"/>
  <c r="AB111" i="4"/>
  <c r="AA112" i="4"/>
  <c r="AD113" i="4"/>
  <c r="Y114" i="4"/>
  <c r="Q115" i="4"/>
  <c r="N116" i="4"/>
  <c r="J117" i="4"/>
  <c r="B118" i="4"/>
  <c r="AC118" i="4"/>
  <c r="U119" i="4"/>
  <c r="J120" i="4"/>
  <c r="A121" i="4"/>
  <c r="W121" i="4"/>
  <c r="I122" i="4"/>
  <c r="AF122" i="4"/>
  <c r="U123" i="4"/>
  <c r="G124" i="4"/>
  <c r="AD124" i="4"/>
  <c r="S125" i="4"/>
  <c r="E126" i="4"/>
  <c r="AB126" i="4"/>
  <c r="L127" i="4"/>
  <c r="AB127" i="4"/>
  <c r="K128" i="4"/>
  <c r="AA128" i="4"/>
  <c r="J129" i="4"/>
  <c r="Z129" i="4"/>
  <c r="I130" i="4"/>
  <c r="Y130" i="4"/>
  <c r="H131" i="4"/>
  <c r="T131" i="4"/>
  <c r="AD131" i="4"/>
  <c r="G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AD105" i="4"/>
  <c r="C125" i="4"/>
  <c r="P128" i="4"/>
  <c r="N130" i="4"/>
  <c r="L131" i="4"/>
  <c r="K132" i="4"/>
  <c r="AC132" i="4"/>
  <c r="L133" i="4"/>
  <c r="C134" i="4"/>
  <c r="S134" i="4"/>
  <c r="B135" i="4"/>
  <c r="R135" i="4"/>
  <c r="I136" i="4"/>
  <c r="Y136" i="4"/>
  <c r="H137" i="4"/>
  <c r="AF137" i="4"/>
  <c r="O138" i="4"/>
  <c r="F139" i="4"/>
  <c r="V139" i="4"/>
  <c r="M140" i="4"/>
  <c r="D141" i="4"/>
  <c r="T141" i="4"/>
  <c r="S128" i="4"/>
  <c r="V133" i="4"/>
  <c r="AC134" i="4"/>
  <c r="L135" i="4"/>
  <c r="AB135" i="4"/>
  <c r="S136" i="4"/>
  <c r="B137" i="4"/>
  <c r="R137" i="4"/>
  <c r="I138" i="4"/>
  <c r="Y138" i="4"/>
  <c r="P139" i="4"/>
  <c r="AF139" i="4"/>
  <c r="W140" i="4"/>
  <c r="N141" i="4"/>
  <c r="Z73" i="4"/>
  <c r="Z64" i="4"/>
  <c r="L79" i="4"/>
  <c r="A88" i="4"/>
  <c r="X91" i="4"/>
  <c r="R94" i="4"/>
  <c r="O97" i="4"/>
  <c r="L100" i="4"/>
  <c r="Y102" i="4"/>
  <c r="Z105" i="4"/>
  <c r="S108" i="4"/>
  <c r="K110" i="4"/>
  <c r="AE111" i="4"/>
  <c r="B113" i="4"/>
  <c r="AE113" i="4"/>
  <c r="AB114" i="4"/>
  <c r="X115" i="4"/>
  <c r="O116" i="4"/>
  <c r="M117" i="4"/>
  <c r="I118" i="4"/>
  <c r="AD118" i="4"/>
  <c r="X119" i="4"/>
  <c r="P120" i="4"/>
  <c r="B121" i="4"/>
  <c r="Y121" i="4"/>
  <c r="N122" i="4"/>
  <c r="AG122" i="4"/>
  <c r="W123" i="4"/>
  <c r="L124" i="4"/>
  <c r="AE124" i="4"/>
  <c r="U125" i="4"/>
  <c r="J126" i="4"/>
  <c r="AC126" i="4"/>
  <c r="P127" i="4"/>
  <c r="AF127" i="4"/>
  <c r="O128" i="4"/>
  <c r="AE128" i="4"/>
  <c r="N129" i="4"/>
  <c r="AD129" i="4"/>
  <c r="M130" i="4"/>
  <c r="AC130" i="4"/>
  <c r="K131" i="4"/>
  <c r="U131" i="4"/>
  <c r="AE131" i="4"/>
  <c r="J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S89" i="4"/>
  <c r="AF132" i="4"/>
  <c r="C137" i="4"/>
  <c r="Q139" i="4"/>
  <c r="G141" i="4"/>
  <c r="C138" i="4"/>
  <c r="B139" i="4"/>
  <c r="A140" i="4"/>
  <c r="Y140" i="4"/>
  <c r="P141" i="4"/>
  <c r="W68" i="4"/>
  <c r="X81" i="4"/>
  <c r="E88" i="4"/>
  <c r="G92" i="4"/>
  <c r="H95" i="4"/>
  <c r="R97" i="4"/>
  <c r="W100" i="4"/>
  <c r="L103" i="4"/>
  <c r="Z110" i="4"/>
  <c r="AF111" i="4"/>
  <c r="E113" i="4"/>
  <c r="E114" i="4"/>
  <c r="AD114" i="4"/>
  <c r="AA115" i="4"/>
  <c r="V116" i="4"/>
  <c r="N117" i="4"/>
  <c r="K118" i="4"/>
  <c r="C119" i="4"/>
  <c r="Y119" i="4"/>
  <c r="R120" i="4"/>
  <c r="G121" i="4"/>
  <c r="Z121" i="4"/>
  <c r="P122" i="4"/>
  <c r="E123" i="4"/>
  <c r="X123" i="4"/>
  <c r="V125" i="4"/>
  <c r="Q127" i="4"/>
  <c r="O129" i="4"/>
  <c r="AF131" i="4"/>
  <c r="AB133" i="4"/>
  <c r="Z135" i="4"/>
  <c r="P137" i="4"/>
  <c r="AE138" i="4"/>
  <c r="U140" i="4"/>
  <c r="AB141" i="4"/>
  <c r="C132" i="4"/>
  <c r="K136" i="4"/>
  <c r="A138" i="4"/>
  <c r="AG138" i="4"/>
  <c r="X139" i="4"/>
  <c r="O140" i="4"/>
  <c r="F141" i="4"/>
  <c r="AD141" i="4"/>
  <c r="AF84" i="4"/>
  <c r="L119" i="4"/>
  <c r="M123" i="4"/>
  <c r="AD125" i="4"/>
  <c r="X127" i="4"/>
  <c r="F129" i="4"/>
  <c r="U130" i="4"/>
  <c r="AA131" i="4"/>
  <c r="X132" i="4"/>
  <c r="O133" i="4"/>
  <c r="AE133" i="4"/>
  <c r="N134" i="4"/>
  <c r="E135" i="4"/>
  <c r="AC135" i="4"/>
  <c r="T136" i="4"/>
  <c r="K137" i="4"/>
  <c r="AA137" i="4"/>
  <c r="R138" i="4"/>
  <c r="A139" i="4"/>
  <c r="Y139" i="4"/>
  <c r="H140" i="4"/>
  <c r="X140" i="4"/>
  <c r="W141" i="4"/>
  <c r="AB137" i="4"/>
  <c r="AA138" i="4"/>
  <c r="R139" i="4"/>
  <c r="Q140" i="4"/>
  <c r="H141" i="4"/>
  <c r="AF141" i="4"/>
  <c r="AE68" i="4"/>
  <c r="AG82" i="4"/>
  <c r="AG88" i="4"/>
  <c r="K92" i="4"/>
  <c r="P95" i="4"/>
  <c r="I98" i="4"/>
  <c r="Z100" i="4"/>
  <c r="X103" i="4"/>
  <c r="T106" i="4"/>
  <c r="A109" i="4"/>
  <c r="AG110" i="4"/>
  <c r="H112" i="4"/>
  <c r="F113" i="4"/>
  <c r="G114" i="4"/>
  <c r="C115" i="4"/>
  <c r="AB115" i="4"/>
  <c r="X116" i="4"/>
  <c r="T117" i="4"/>
  <c r="L118" i="4"/>
  <c r="E119" i="4"/>
  <c r="AE119" i="4"/>
  <c r="S120" i="4"/>
  <c r="I121" i="4"/>
  <c r="AE121" i="4"/>
  <c r="Q122" i="4"/>
  <c r="G123" i="4"/>
  <c r="AC123" i="4"/>
  <c r="O124" i="4"/>
  <c r="E125" i="4"/>
  <c r="AA125" i="4"/>
  <c r="M126" i="4"/>
  <c r="C127" i="4"/>
  <c r="S127" i="4"/>
  <c r="B128" i="4"/>
  <c r="R128" i="4"/>
  <c r="A129" i="4"/>
  <c r="Q129" i="4"/>
  <c r="AG129" i="4"/>
  <c r="P130" i="4"/>
  <c r="AF130" i="4"/>
  <c r="M131" i="4"/>
  <c r="W131" i="4"/>
  <c r="B132" i="4"/>
  <c r="L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B71" i="4"/>
  <c r="F83" i="4"/>
  <c r="R89" i="4"/>
  <c r="B93" i="4"/>
  <c r="Q95" i="4"/>
  <c r="Q98" i="4"/>
  <c r="K101" i="4"/>
  <c r="AB103" i="4"/>
  <c r="AC106" i="4"/>
  <c r="N109" i="4"/>
  <c r="A111" i="4"/>
  <c r="N112" i="4"/>
  <c r="N113" i="4"/>
  <c r="H114" i="4"/>
  <c r="F115" i="4"/>
  <c r="B116" i="4"/>
  <c r="Z116" i="4"/>
  <c r="W117" i="4"/>
  <c r="R118" i="4"/>
  <c r="G119" i="4"/>
  <c r="AG119" i="4"/>
  <c r="X120" i="4"/>
  <c r="J121" i="4"/>
  <c r="AG121" i="4"/>
  <c r="V122" i="4"/>
  <c r="H123" i="4"/>
  <c r="AE123" i="4"/>
  <c r="T124" i="4"/>
  <c r="F125" i="4"/>
  <c r="AC125" i="4"/>
  <c r="R126" i="4"/>
  <c r="D127" i="4"/>
  <c r="T127" i="4"/>
  <c r="C128" i="4"/>
  <c r="B129" i="4"/>
  <c r="R129" i="4"/>
  <c r="A130" i="4"/>
  <c r="Q130" i="4"/>
  <c r="AG130" i="4"/>
  <c r="N131" i="4"/>
  <c r="X131" i="4"/>
  <c r="M132" i="4"/>
  <c r="W132" i="4"/>
  <c r="AE132" i="4"/>
  <c r="F133" i="4"/>
  <c r="N133" i="4"/>
  <c r="AD133" i="4"/>
  <c r="E134" i="4"/>
  <c r="M134" i="4"/>
  <c r="U134" i="4"/>
  <c r="D135" i="4"/>
  <c r="T135" i="4"/>
  <c r="C136" i="4"/>
  <c r="AA136" i="4"/>
  <c r="J137" i="4"/>
  <c r="Z137" i="4"/>
  <c r="Q138" i="4"/>
  <c r="H139" i="4"/>
  <c r="G140" i="4"/>
  <c r="AE140" i="4"/>
  <c r="V141" i="4"/>
  <c r="N93" i="4"/>
  <c r="G96" i="4"/>
  <c r="Y98" i="4"/>
  <c r="Y101" i="4"/>
  <c r="S104" i="4"/>
  <c r="AG106" i="4"/>
  <c r="S109" i="4"/>
  <c r="O111" i="4"/>
  <c r="O112" i="4"/>
  <c r="R113" i="4"/>
  <c r="O114" i="4"/>
  <c r="G115" i="4"/>
  <c r="D116" i="4"/>
  <c r="AF116" i="4"/>
  <c r="Y117" i="4"/>
  <c r="T118" i="4"/>
  <c r="A120" i="4"/>
  <c r="Z120" i="4"/>
  <c r="O121" i="4"/>
  <c r="A122" i="4"/>
  <c r="X122" i="4"/>
  <c r="AF123" i="4"/>
  <c r="V124" i="4"/>
  <c r="K125" i="4"/>
  <c r="T126" i="4"/>
  <c r="H127" i="4"/>
  <c r="G128" i="4"/>
  <c r="W128" i="4"/>
  <c r="V129" i="4"/>
  <c r="E130" i="4"/>
  <c r="D131" i="4"/>
  <c r="O131" i="4"/>
  <c r="D132" i="4"/>
  <c r="N132" i="4"/>
  <c r="G133" i="4"/>
  <c r="W133" i="4"/>
  <c r="F134" i="4"/>
  <c r="V134" i="4"/>
  <c r="AD134" i="4"/>
  <c r="M135" i="4"/>
  <c r="U135" i="4"/>
  <c r="D136" i="4"/>
  <c r="L136" i="4"/>
  <c r="AB136" i="4"/>
  <c r="S137" i="4"/>
  <c r="B138" i="4"/>
  <c r="J138" i="4"/>
  <c r="Z138" i="4"/>
  <c r="I139" i="4"/>
  <c r="AG139" i="4"/>
  <c r="P140" i="4"/>
  <c r="AF140" i="4"/>
  <c r="O141" i="4"/>
  <c r="AE141" i="4"/>
  <c r="T137" i="4"/>
  <c r="K138" i="4"/>
  <c r="S138" i="4"/>
  <c r="J139" i="4"/>
  <c r="Z139" i="4"/>
  <c r="I140" i="4"/>
  <c r="AG140" i="4"/>
  <c r="X141" i="4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B44" i="3" s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D11" i="1" l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7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" i="3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AE8" i="3" s="1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Z56" i="3"/>
  <c r="U57" i="3"/>
  <c r="AE57" i="3" s="1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O82" i="3" s="1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N49" i="3" s="1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S44" i="3"/>
  <c r="T45" i="3"/>
  <c r="U46" i="3"/>
  <c r="AE46" i="3" s="1"/>
  <c r="S47" i="3"/>
  <c r="T48" i="3"/>
  <c r="R49" i="3"/>
  <c r="S50" i="3"/>
  <c r="T51" i="3"/>
  <c r="R52" i="3"/>
  <c r="S53" i="3"/>
  <c r="P54" i="3"/>
  <c r="AB54" i="3"/>
  <c r="Y55" i="3"/>
  <c r="U56" i="3"/>
  <c r="Q57" i="3"/>
  <c r="Y57" i="3"/>
  <c r="T58" i="3"/>
  <c r="AB58" i="3"/>
  <c r="W59" i="3"/>
  <c r="R60" i="3"/>
  <c r="Z60" i="3"/>
  <c r="U61" i="3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O87" i="3" s="1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AD103" i="3" s="1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AE42" i="3" s="1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AE45" i="3" s="1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AE104" i="3" s="1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U13" i="3"/>
  <c r="AE13" i="3" s="1"/>
  <c r="V24" i="3"/>
  <c r="R36" i="3"/>
  <c r="U40" i="3"/>
  <c r="Z42" i="3"/>
  <c r="V45" i="3"/>
  <c r="U48" i="3"/>
  <c r="Y50" i="3"/>
  <c r="U53" i="3"/>
  <c r="AE53" i="3" s="1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U77" i="3"/>
  <c r="AE77" i="3" s="1"/>
  <c r="Q78" i="3"/>
  <c r="Z78" i="3"/>
  <c r="V79" i="3"/>
  <c r="S80" i="3"/>
  <c r="AB80" i="3"/>
  <c r="X81" i="3"/>
  <c r="T82" i="3"/>
  <c r="P83" i="3"/>
  <c r="Y83" i="3"/>
  <c r="U84" i="3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AE64" i="3" s="1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P38" i="3"/>
  <c r="N38" i="3" s="1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AE63" i="3" s="1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Q113" i="3"/>
  <c r="AB113" i="3"/>
  <c r="AA114" i="3"/>
  <c r="X115" i="3"/>
  <c r="T116" i="3"/>
  <c r="P117" i="3"/>
  <c r="Y117" i="3"/>
  <c r="V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P155" i="3"/>
  <c r="X155" i="3"/>
  <c r="Z65" i="3"/>
  <c r="AA73" i="3"/>
  <c r="P79" i="3"/>
  <c r="Z81" i="3"/>
  <c r="X84" i="3"/>
  <c r="U87" i="3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AE119" i="3" s="1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O141" i="3" s="1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AE100" i="3" s="1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U92" i="3"/>
  <c r="AE92" i="3" s="1"/>
  <c r="R94" i="3"/>
  <c r="W95" i="3"/>
  <c r="T97" i="3"/>
  <c r="Q99" i="3"/>
  <c r="V100" i="3"/>
  <c r="S102" i="3"/>
  <c r="P104" i="3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P124" i="3"/>
  <c r="X124" i="3"/>
  <c r="S125" i="3"/>
  <c r="AA116" i="3"/>
  <c r="Q122" i="3"/>
  <c r="U126" i="3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X148" i="3"/>
  <c r="AA149" i="3"/>
  <c r="Q151" i="3"/>
  <c r="T152" i="3"/>
  <c r="U153" i="3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AE170" i="3" s="1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N195" i="3" s="1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AE226" i="3" s="1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AD192" i="3" s="1"/>
  <c r="X192" i="3"/>
  <c r="S193" i="3"/>
  <c r="AA193" i="3"/>
  <c r="V194" i="3"/>
  <c r="Q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V129" i="3"/>
  <c r="AB131" i="3"/>
  <c r="U134" i="3"/>
  <c r="AE134" i="3" s="1"/>
  <c r="AA136" i="3"/>
  <c r="T139" i="3"/>
  <c r="R141" i="3"/>
  <c r="AB142" i="3"/>
  <c r="R144" i="3"/>
  <c r="U145" i="3"/>
  <c r="AE145" i="3" s="1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AE161" i="3" s="1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O205" i="3" s="1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S141" i="3"/>
  <c r="P143" i="3"/>
  <c r="N143" i="3" s="1"/>
  <c r="S144" i="3"/>
  <c r="V145" i="3"/>
  <c r="Y146" i="3"/>
  <c r="AB147" i="3"/>
  <c r="R149" i="3"/>
  <c r="U150" i="3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AE166" i="3" s="1"/>
  <c r="T167" i="3"/>
  <c r="P168" i="3"/>
  <c r="Y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X149" i="3"/>
  <c r="AA150" i="3"/>
  <c r="Q152" i="3"/>
  <c r="AB152" i="3"/>
  <c r="P154" i="3"/>
  <c r="Q155" i="3"/>
  <c r="AB155" i="3"/>
  <c r="AA156" i="3"/>
  <c r="X157" i="3"/>
  <c r="U158" i="3"/>
  <c r="AE158" i="3" s="1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N146" i="3" s="1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AD174" i="3" s="1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Z170" i="3"/>
  <c r="S173" i="3"/>
  <c r="Y175" i="3"/>
  <c r="R178" i="3"/>
  <c r="X180" i="3"/>
  <c r="W182" i="3"/>
  <c r="T184" i="3"/>
  <c r="Y185" i="3"/>
  <c r="V187" i="3"/>
  <c r="S189" i="3"/>
  <c r="X190" i="3"/>
  <c r="U192" i="3"/>
  <c r="AE192" i="3" s="1"/>
  <c r="R194" i="3"/>
  <c r="U195" i="3"/>
  <c r="AE195" i="3" s="1"/>
  <c r="X196" i="3"/>
  <c r="AA197" i="3"/>
  <c r="P199" i="3"/>
  <c r="AA199" i="3"/>
  <c r="AB200" i="3"/>
  <c r="P202" i="3"/>
  <c r="N202" i="3" s="1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O262" i="3" s="1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AE184" i="3" s="1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AE189" i="3" s="1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AE231" i="3" s="1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AD264" i="3" s="1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O193" i="3" s="1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AD225" i="3" s="1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O245" i="3" s="1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V204" i="3"/>
  <c r="T205" i="3"/>
  <c r="U206" i="3"/>
  <c r="AE206" i="3" s="1"/>
  <c r="S207" i="3"/>
  <c r="T208" i="3"/>
  <c r="U209" i="3"/>
  <c r="AE209" i="3" s="1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AE205" i="3" s="1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AE230" i="3" s="1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AE212" i="3" s="1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E243" i="3" s="1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AE276" i="3" s="1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N313" i="3" s="1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N345" i="3" s="1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N302" i="3" s="1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AE265" i="3" s="1"/>
  <c r="S266" i="3"/>
  <c r="T267" i="3"/>
  <c r="U268" i="3"/>
  <c r="R269" i="3"/>
  <c r="AB269" i="3"/>
  <c r="AA270" i="3"/>
  <c r="X271" i="3"/>
  <c r="U272" i="3"/>
  <c r="AE272" i="3" s="1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AE290" i="3" s="1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N315" i="3" s="1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Q282" i="3"/>
  <c r="Z282" i="3"/>
  <c r="V283" i="3"/>
  <c r="S284" i="3"/>
  <c r="AB284" i="3"/>
  <c r="X285" i="3"/>
  <c r="T286" i="3"/>
  <c r="P287" i="3"/>
  <c r="Y287" i="3"/>
  <c r="U288" i="3"/>
  <c r="AE288" i="3" s="1"/>
  <c r="R289" i="3"/>
  <c r="AA289" i="3"/>
  <c r="W290" i="3"/>
  <c r="R291" i="3"/>
  <c r="Z291" i="3"/>
  <c r="U292" i="3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N276" i="3" s="1"/>
  <c r="AB276" i="3"/>
  <c r="Y277" i="3"/>
  <c r="V278" i="3"/>
  <c r="U279" i="3"/>
  <c r="Q280" i="3"/>
  <c r="Z280" i="3"/>
  <c r="V281" i="3"/>
  <c r="R282" i="3"/>
  <c r="AA282" i="3"/>
  <c r="X283" i="3"/>
  <c r="T284" i="3"/>
  <c r="P285" i="3"/>
  <c r="O285" i="3" s="1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AE284" i="3" s="1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AD295" i="3" s="1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N303" i="3" s="1"/>
  <c r="Z242" i="3"/>
  <c r="AA245" i="3"/>
  <c r="T248" i="3"/>
  <c r="Q250" i="3"/>
  <c r="V251" i="3"/>
  <c r="S253" i="3"/>
  <c r="P255" i="3"/>
  <c r="N255" i="3" s="1"/>
  <c r="U256" i="3"/>
  <c r="AE256" i="3" s="1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R272" i="3"/>
  <c r="AB272" i="3"/>
  <c r="AA273" i="3"/>
  <c r="X274" i="3"/>
  <c r="U275" i="3"/>
  <c r="AE275" i="3" s="1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N300" i="3" s="1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AE326" i="3" s="1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AE339" i="3" s="1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AE356" i="3" s="1"/>
  <c r="Q357" i="3"/>
  <c r="Z357" i="3"/>
  <c r="V358" i="3"/>
  <c r="S359" i="3"/>
  <c r="AB359" i="3"/>
  <c r="X360" i="3"/>
  <c r="T361" i="3"/>
  <c r="P362" i="3"/>
  <c r="AD362" i="3" s="1"/>
  <c r="Y362" i="3"/>
  <c r="U363" i="3"/>
  <c r="AE363" i="3" s="1"/>
  <c r="R364" i="3"/>
  <c r="AA364" i="3"/>
  <c r="W365" i="3"/>
  <c r="R366" i="3"/>
  <c r="Z366" i="3"/>
  <c r="U367" i="3"/>
  <c r="AE367" i="3" s="1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AE321" i="3" s="1"/>
  <c r="Z322" i="3"/>
  <c r="P324" i="3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AE347" i="3" s="1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AE369" i="3" s="1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AD394" i="3" s="1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O402" i="3" s="1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D333" i="3" s="1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AE364" i="3" s="1"/>
  <c r="Q365" i="3"/>
  <c r="Z365" i="3"/>
  <c r="U366" i="3"/>
  <c r="AE366" i="3" s="1"/>
  <c r="P367" i="3"/>
  <c r="N367" i="3" s="1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N338" i="3" s="1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AD349" i="3" s="1"/>
  <c r="Y349" i="3"/>
  <c r="U350" i="3"/>
  <c r="AE350" i="3" s="1"/>
  <c r="Q351" i="3"/>
  <c r="AA351" i="3"/>
  <c r="W352" i="3"/>
  <c r="S353" i="3"/>
  <c r="AB353" i="3"/>
  <c r="X354" i="3"/>
  <c r="T355" i="3"/>
  <c r="P356" i="3"/>
  <c r="O356" i="3" s="1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AD388" i="3" s="1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AE327" i="3" s="1"/>
  <c r="T328" i="3"/>
  <c r="U329" i="3"/>
  <c r="AE329" i="3" s="1"/>
  <c r="V330" i="3"/>
  <c r="T331" i="3"/>
  <c r="U332" i="3"/>
  <c r="AE332" i="3" s="1"/>
  <c r="S333" i="3"/>
  <c r="T334" i="3"/>
  <c r="U335" i="3"/>
  <c r="AE335" i="3" s="1"/>
  <c r="S336" i="3"/>
  <c r="T337" i="3"/>
  <c r="R338" i="3"/>
  <c r="S339" i="3"/>
  <c r="T340" i="3"/>
  <c r="R341" i="3"/>
  <c r="S342" i="3"/>
  <c r="P343" i="3"/>
  <c r="N343" i="3" s="1"/>
  <c r="AB343" i="3"/>
  <c r="Y344" i="3"/>
  <c r="V345" i="3"/>
  <c r="U346" i="3"/>
  <c r="AE346" i="3" s="1"/>
  <c r="Q347" i="3"/>
  <c r="Z347" i="3"/>
  <c r="V348" i="3"/>
  <c r="R349" i="3"/>
  <c r="AA349" i="3"/>
  <c r="X350" i="3"/>
  <c r="T351" i="3"/>
  <c r="P352" i="3"/>
  <c r="N352" i="3" s="1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O366" i="3" s="1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AE334" i="3" s="1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AE351" i="3" s="1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O379" i="3" s="1"/>
  <c r="Z375" i="3"/>
  <c r="Q380" i="3"/>
  <c r="V381" i="3"/>
  <c r="S383" i="3"/>
  <c r="P385" i="3"/>
  <c r="N385" i="3" s="1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O432" i="3" s="1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O429" i="3" s="1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AE468" i="3" s="1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N401" i="3" s="1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AD426" i="3" s="1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O458" i="3" s="1"/>
  <c r="X458" i="3"/>
  <c r="S459" i="3"/>
  <c r="X377" i="3"/>
  <c r="Y380" i="3"/>
  <c r="Q382" i="3"/>
  <c r="AA383" i="3"/>
  <c r="X385" i="3"/>
  <c r="P387" i="3"/>
  <c r="AD387" i="3" s="1"/>
  <c r="Z388" i="3"/>
  <c r="W390" i="3"/>
  <c r="AB391" i="3"/>
  <c r="Y393" i="3"/>
  <c r="U395" i="3"/>
  <c r="AE395" i="3" s="1"/>
  <c r="X396" i="3"/>
  <c r="AA397" i="3"/>
  <c r="Q399" i="3"/>
  <c r="S400" i="3"/>
  <c r="Q401" i="3"/>
  <c r="R402" i="3"/>
  <c r="P403" i="3"/>
  <c r="AD403" i="3" s="1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O415" i="3" s="1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AE414" i="3" s="1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N425" i="3" s="1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AD433" i="3" s="1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AE405" i="3" s="1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X379" i="3"/>
  <c r="U381" i="3"/>
  <c r="AE381" i="3" s="1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AE410" i="3" s="1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O427" i="3" s="1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AD454" i="3" s="1"/>
  <c r="S455" i="3"/>
  <c r="V456" i="3"/>
  <c r="Y457" i="3"/>
  <c r="AB458" i="3"/>
  <c r="Q460" i="3"/>
  <c r="Q461" i="3"/>
  <c r="P462" i="3"/>
  <c r="N462" i="3" s="1"/>
  <c r="P463" i="3"/>
  <c r="O463" i="3" s="1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AE475" i="3" s="1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AE489" i="3" s="1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AE466" i="3" s="1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O477" i="3" s="1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N465" i="3" s="1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AE488" i="3" s="1"/>
  <c r="P489" i="3"/>
  <c r="N489" i="3" s="1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AE453" i="3" s="1"/>
  <c r="X454" i="3"/>
  <c r="AA455" i="3"/>
  <c r="Q457" i="3"/>
  <c r="T458" i="3"/>
  <c r="W459" i="3"/>
  <c r="W460" i="3"/>
  <c r="V461" i="3"/>
  <c r="W462" i="3"/>
  <c r="W463" i="3"/>
  <c r="T464" i="3"/>
  <c r="Q465" i="3"/>
  <c r="P466" i="3"/>
  <c r="N466" i="3" s="1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AE464" i="3" s="1"/>
  <c r="R465" i="3"/>
  <c r="Q466" i="3"/>
  <c r="AA466" i="3"/>
  <c r="X467" i="3"/>
  <c r="W468" i="3"/>
  <c r="T469" i="3"/>
  <c r="Q470" i="3"/>
  <c r="P471" i="3"/>
  <c r="N471" i="3" s="1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N491" i="3" s="1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AE469" i="3" s="1"/>
  <c r="T470" i="3"/>
  <c r="Q471" i="3"/>
  <c r="AA471" i="3"/>
  <c r="Z472" i="3"/>
  <c r="W473" i="3"/>
  <c r="T474" i="3"/>
  <c r="S475" i="3"/>
  <c r="P476" i="3"/>
  <c r="AD476" i="3" s="1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O481" i="3" s="1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R17" i="1"/>
  <c r="AE28" i="3"/>
  <c r="AE60" i="3"/>
  <c r="AE17" i="3"/>
  <c r="AE25" i="3"/>
  <c r="AE18" i="3"/>
  <c r="AE40" i="3"/>
  <c r="AE56" i="3"/>
  <c r="AD32" i="3"/>
  <c r="AE27" i="3"/>
  <c r="AE31" i="3"/>
  <c r="AE41" i="3"/>
  <c r="AE55" i="3"/>
  <c r="AD63" i="3"/>
  <c r="N79" i="3"/>
  <c r="O69" i="3"/>
  <c r="O51" i="3"/>
  <c r="AE26" i="3"/>
  <c r="N41" i="3"/>
  <c r="AE32" i="3"/>
  <c r="AE48" i="3"/>
  <c r="AE19" i="3"/>
  <c r="AE6" i="3"/>
  <c r="AE38" i="3"/>
  <c r="AD110" i="3"/>
  <c r="AE147" i="3"/>
  <c r="AE15" i="3"/>
  <c r="AE61" i="3"/>
  <c r="AE68" i="3"/>
  <c r="AE75" i="3"/>
  <c r="AE51" i="3"/>
  <c r="AE43" i="3"/>
  <c r="AE7" i="3"/>
  <c r="AE87" i="3"/>
  <c r="AD106" i="3"/>
  <c r="AE76" i="3"/>
  <c r="AE83" i="3"/>
  <c r="AD56" i="3"/>
  <c r="AE133" i="3"/>
  <c r="AE84" i="3"/>
  <c r="AE91" i="3"/>
  <c r="AD80" i="3"/>
  <c r="AE123" i="3"/>
  <c r="AE139" i="3"/>
  <c r="AE113" i="3"/>
  <c r="AE129" i="3"/>
  <c r="AE141" i="3"/>
  <c r="O60" i="3"/>
  <c r="AE150" i="3"/>
  <c r="AE153" i="3"/>
  <c r="AE108" i="3"/>
  <c r="AE148" i="3"/>
  <c r="AD129" i="3"/>
  <c r="AE96" i="3"/>
  <c r="AE29" i="3"/>
  <c r="AE112" i="3"/>
  <c r="AE128" i="3"/>
  <c r="AE93" i="3"/>
  <c r="AE126" i="3"/>
  <c r="AE169" i="3"/>
  <c r="AE164" i="3"/>
  <c r="AE116" i="3"/>
  <c r="AE203" i="3"/>
  <c r="AD123" i="3"/>
  <c r="AE168" i="3"/>
  <c r="AD265" i="3"/>
  <c r="AE90" i="3"/>
  <c r="O151" i="3"/>
  <c r="O176" i="3"/>
  <c r="AD186" i="3"/>
  <c r="AE182" i="3"/>
  <c r="AE292" i="3"/>
  <c r="O127" i="3"/>
  <c r="AE154" i="3"/>
  <c r="AE304" i="3"/>
  <c r="N153" i="3"/>
  <c r="N242" i="3"/>
  <c r="AE172" i="3"/>
  <c r="AE333" i="3"/>
  <c r="AE247" i="3"/>
  <c r="AE289" i="3"/>
  <c r="N278" i="3"/>
  <c r="AD287" i="3"/>
  <c r="AE344" i="3"/>
  <c r="AE264" i="3"/>
  <c r="AE185" i="3"/>
  <c r="AE244" i="3"/>
  <c r="AE341" i="3"/>
  <c r="AE271" i="3"/>
  <c r="AE268" i="3"/>
  <c r="AD384" i="3"/>
  <c r="AE281" i="3"/>
  <c r="AD324" i="3"/>
  <c r="N112" i="3"/>
  <c r="O186" i="3"/>
  <c r="N186" i="3"/>
  <c r="AD104" i="3"/>
  <c r="O16" i="3"/>
  <c r="AD118" i="3"/>
  <c r="N67" i="3"/>
  <c r="O80" i="3"/>
  <c r="O234" i="3"/>
  <c r="O118" i="3"/>
  <c r="N80" i="3"/>
  <c r="N142" i="3"/>
  <c r="N151" i="3"/>
  <c r="AD151" i="3"/>
  <c r="N239" i="3"/>
  <c r="AD239" i="3"/>
  <c r="AD193" i="3"/>
  <c r="N124" i="3"/>
  <c r="O124" i="3"/>
  <c r="AD124" i="3"/>
  <c r="N110" i="3"/>
  <c r="AD69" i="3"/>
  <c r="N106" i="3"/>
  <c r="O106" i="3"/>
  <c r="AD45" i="3"/>
  <c r="AE218" i="3"/>
  <c r="AD79" i="3"/>
  <c r="O79" i="3"/>
  <c r="N317" i="3"/>
  <c r="O317" i="3"/>
  <c r="AD317" i="3"/>
  <c r="O349" i="3" l="1"/>
  <c r="AD263" i="3"/>
  <c r="AD141" i="3"/>
  <c r="O9" i="3"/>
  <c r="AH113" i="3"/>
  <c r="AD49" i="3"/>
  <c r="O49" i="3"/>
  <c r="N14" i="3"/>
  <c r="AH255" i="3"/>
  <c r="O293" i="3"/>
  <c r="AD14" i="3"/>
  <c r="N20" i="3"/>
  <c r="AD20" i="3"/>
  <c r="N293" i="3"/>
  <c r="AD143" i="3"/>
  <c r="AD313" i="3"/>
  <c r="O295" i="3"/>
  <c r="N295" i="3"/>
  <c r="O146" i="3"/>
  <c r="N349" i="3"/>
  <c r="AD146" i="3"/>
  <c r="AH126" i="3"/>
  <c r="AH18" i="3"/>
  <c r="AD82" i="3"/>
  <c r="N82" i="3"/>
  <c r="O450" i="3"/>
  <c r="O390" i="3"/>
  <c r="AD390" i="3"/>
  <c r="N141" i="3"/>
  <c r="N9" i="3"/>
  <c r="O303" i="3"/>
  <c r="N264" i="3"/>
  <c r="AD303" i="3"/>
  <c r="N332" i="3"/>
  <c r="N229" i="3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I478" i="3" s="1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I233" i="3" s="1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I113" i="3" l="1"/>
  <c r="AI255" i="3"/>
  <c r="AI18" i="3"/>
  <c r="AI212" i="3"/>
  <c r="AI183" i="3"/>
  <c r="AI7" i="3"/>
  <c r="AI211" i="3"/>
  <c r="AI126" i="3"/>
  <c r="AI304" i="3"/>
  <c r="AI269" i="3"/>
  <c r="AI138" i="3"/>
  <c r="AI222" i="3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4" i="1" a="1"/>
  <c r="A24" i="1" s="1"/>
  <c r="F29" i="1" s="1"/>
  <c r="G29" i="1" s="1"/>
  <c r="AI192" i="3"/>
  <c r="AI409" i="3"/>
  <c r="AI97" i="3"/>
  <c r="AI184" i="3"/>
  <c r="AI112" i="3"/>
  <c r="AI41" i="3"/>
  <c r="AI146" i="3"/>
  <c r="AI203" i="3"/>
  <c r="AI169" i="3"/>
  <c r="AI177" i="3"/>
  <c r="S4" i="3"/>
  <c r="D56" i="1" s="1"/>
  <c r="AI13" i="3"/>
  <c r="R18" i="1" a="1"/>
  <c r="R154" i="1" s="1"/>
  <c r="S154" i="1" s="1"/>
  <c r="Z154" i="1" s="1"/>
  <c r="R4" i="3"/>
  <c r="D67" i="1" s="1"/>
  <c r="U2" i="3"/>
  <c r="D15" i="1" s="1"/>
  <c r="S2" i="3"/>
  <c r="T2" i="3"/>
  <c r="F19" i="1" s="1"/>
  <c r="X3" i="3"/>
  <c r="AD3" i="3" s="1"/>
  <c r="W154" i="1" l="1"/>
  <c r="T154" i="1"/>
  <c r="Y154" i="1"/>
  <c r="AD2" i="3"/>
  <c r="AC3" i="3" s="1"/>
  <c r="A35" i="1"/>
  <c r="A36" i="1"/>
  <c r="A29" i="1"/>
  <c r="A28" i="1"/>
  <c r="A37" i="1"/>
  <c r="A33" i="1"/>
  <c r="B24" i="1"/>
  <c r="H29" i="1" s="1"/>
  <c r="A38" i="1"/>
  <c r="A34" i="1"/>
  <c r="A25" i="1"/>
  <c r="F30" i="1" s="1"/>
  <c r="G30" i="1" s="1"/>
  <c r="A30" i="1"/>
  <c r="A27" i="1"/>
  <c r="A31" i="1"/>
  <c r="A26" i="1"/>
  <c r="A32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V149" i="1" l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5" i="1"/>
  <c r="B30" i="1" s="1"/>
  <c r="V121" i="1"/>
  <c r="U311" i="1"/>
  <c r="U155" i="1"/>
  <c r="V102" i="1"/>
  <c r="AC2" i="3"/>
  <c r="U281" i="1"/>
  <c r="V291" i="1"/>
  <c r="F40" i="1"/>
  <c r="G40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H35" i="1"/>
  <c r="G35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30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6" i="1"/>
  <c r="G36" i="1" s="1"/>
  <c r="B25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32" i="1"/>
  <c r="G32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43" i="1"/>
  <c r="G43" i="1" s="1"/>
  <c r="V156" i="1"/>
  <c r="U200" i="1"/>
  <c r="V300" i="1"/>
  <c r="U56" i="1"/>
  <c r="F31" i="1"/>
  <c r="B26" i="1" s="1"/>
  <c r="F42" i="1"/>
  <c r="B37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7" i="1"/>
  <c r="G37" i="1" s="1"/>
  <c r="T187" i="1"/>
  <c r="T296" i="1"/>
  <c r="T262" i="1"/>
  <c r="V91" i="1"/>
  <c r="F39" i="1"/>
  <c r="H39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34" i="1"/>
  <c r="F41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33" i="1"/>
  <c r="V68" i="1"/>
  <c r="V54" i="1"/>
  <c r="V164" i="1"/>
  <c r="V179" i="1"/>
  <c r="U391" i="1"/>
  <c r="F38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B31" i="1" l="1"/>
  <c r="H36" i="1"/>
  <c r="B35" i="1"/>
  <c r="H40" i="1"/>
  <c r="H32" i="1"/>
  <c r="H43" i="1"/>
  <c r="H37" i="1"/>
  <c r="B27" i="1"/>
  <c r="B32" i="1"/>
  <c r="B38" i="1"/>
  <c r="H31" i="1"/>
  <c r="B34" i="1"/>
  <c r="G39" i="1"/>
  <c r="G42" i="1"/>
  <c r="H42" i="1"/>
  <c r="G31" i="1"/>
  <c r="H41" i="1"/>
  <c r="B36" i="1"/>
  <c r="G41" i="1"/>
  <c r="H34" i="1"/>
  <c r="G34" i="1"/>
  <c r="B29" i="1"/>
  <c r="G33" i="1"/>
  <c r="B28" i="1"/>
  <c r="H33" i="1"/>
  <c r="H38" i="1"/>
  <c r="G38" i="1"/>
  <c r="B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<sst xmlns="http://schemas.openxmlformats.org/spreadsheetml/2006/main" count="419" uniqueCount="243">
  <si>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</si>
  <si>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</si>
  <si>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</si>
  <si>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</si>
  <si>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</si>
  <si>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</si>
  <si>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</si>
  <si>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</si>
  <si>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</si>
  <si>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</si>
  <si>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</si>
  <si>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</si>
  <si>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</si>
  <si>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</si>
  <si>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</si>
  <si>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</si>
  <si>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</si>
  <si>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</si>
  <si>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</si>
  <si>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</si>
  <si>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</si>
  <si>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</si>
  <si>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</si>
  <si>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</si>
  <si>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</si>
  <si>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</si>
  <si>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</si>
  <si>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</si>
  <si>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</si>
  <si>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</si>
  <si>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</si>
  <si>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</si>
  <si>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</si>
  <si>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</si>
  <si>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</si>
  <si>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</si>
  <si>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</si>
  <si>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</si>
  <si>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</si>
  <si>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</si>
  <si>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</si>
  <si>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</si>
  <si>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</si>
  <si>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</si>
  <si>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</si>
  <si>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</si>
  <si>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</si>
  <si>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</si>
  <si>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</si>
  <si>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</si>
  <si>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</si>
  <si>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</si>
  <si>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</si>
  <si>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</si>
  <si>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</si>
  <si>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</si>
  <si>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</si>
  <si>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</si>
  <si>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Green manure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</si>
  <si>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</si>
  <si>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</si>
  <si>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</si>
  <si>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</si>
  <si>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</si>
  <si>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</si>
  <si>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</si>
  <si>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</si>
  <si>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</si>
  <si>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</si>
  <si>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</si>
  <si>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</si>
  <si>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</si>
  <si>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</si>
  <si>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</si>
  <si>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</si>
  <si>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</si>
  <si>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</si>
  <si>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</si>
  <si>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</si>
  <si>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</si>
  <si>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</si>
  <si>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</si>
  <si>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</si>
  <si>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</si>
  <si>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</si>
  <si>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</si>
  <si>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</si>
  <si>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</si>
  <si>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</si>
  <si>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</si>
  <si>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</si>
  <si>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</si>
  <si>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</si>
  <si>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</si>
  <si>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</si>
  <si>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</si>
  <si>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</si>
  <si>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</si>
  <si>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</si>
  <si>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</si>
  <si>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</si>
  <si>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</si>
  <si>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</si>
  <si>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</si>
  <si>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</si>
  <si>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</si>
  <si>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</si>
  <si>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</si>
  <si>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</si>
  <si>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</si>
  <si>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</si>
  <si>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</si>
  <si>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</si>
  <si>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</si>
  <si>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</si>
  <si>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</si>
  <si>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</si>
  <si>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</si>
  <si>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</si>
  <si>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</si>
  <si>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</si>
  <si>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</si>
  <si>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</si>
  <si>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</si>
  <si>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</si>
  <si>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</si>
  <si>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</si>
  <si>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</si>
  <si>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</si>
  <si>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</si>
  <si>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</si>
  <si>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</si>
  <si>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</si>
  <si>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</si>
  <si>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</si>
  <si>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</si>
  <si>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</si>
  <si>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</si>
  <si>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</si>
  <si>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</si>
  <si>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</si>
  <si>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</si>
  <si>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</si>
  <si>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</si>
  <si>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</si>
  <si>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</si>
  <si>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</si>
  <si>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</si>
  <si>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</si>
  <si>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</si>
  <si>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</si>
  <si>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</si>
  <si>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</si>
  <si>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</si>
  <si>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</si>
  <si>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</si>
  <si>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</si>
  <si>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</si>
  <si>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</si>
  <si>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</si>
  <si>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</si>
  <si>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</si>
  <si>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</si>
  <si>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</si>
  <si>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</si>
  <si>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</si>
  <si>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</si>
  <si>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</si>
  <si>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</si>
  <si>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N fertiliser required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</si>
  <si>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</si>
  <si>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</si>
  <si>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</si>
  <si>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</si>
  <si>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</si>
  <si>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</si>
  <si>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</si>
  <si>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</si>
  <si>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</si>
  <si>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</si>
  <si>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</si>
  <si>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</si>
  <si>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</si>
  <si>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</si>
  <si>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</si>
  <si>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</si>
  <si>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</si>
  <si>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</si>
  <si>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</si>
  <si>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</si>
  <si>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</si>
  <si>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</si>
  <si>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</si>
  <si>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Date for current crop graph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</si>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</sst>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10" xfId="0" applyFill="1" applyBorder="1"/>
    <xf numFmtId="0" fontId="0" fillId="7" borderId="13" xfId="0" applyFill="1" applyBorder="1"/>
    <xf numFmtId="0" fontId="0" fillId="7" borderId="15" xfId="0" applyFill="1" applyBorder="1"/>
    <xf numFmtId="0" fontId="0" fillId="8" borderId="10" xfId="0" applyFill="1" applyBorder="1"/>
    <xf numFmtId="0" fontId="0" fillId="8" borderId="13" xfId="0" applyFill="1" applyBorder="1"/>
    <xf numFmtId="0" fontId="0" fillId="8" borderId="14" xfId="0" applyFill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4" xfId="0" applyFill="1" applyBorder="1"/>
    <xf numFmtId="16" fontId="0" fillId="9" borderId="13" xfId="0" applyNumberFormat="1" applyFill="1" applyBorder="1"/>
    <xf numFmtId="0" fontId="0" fillId="9" borderId="15" xfId="0" applyFill="1" applyBorder="1"/>
    <xf numFmtId="0" fontId="0" fillId="9" borderId="16" xfId="0" applyFill="1" applyBorder="1"/>
    <xf numFmtId="0" fontId="0" fillId="0" borderId="20" xfId="0" applyBorder="1" applyAlignment="1">
      <alignment horizontal="right" wrapText="1"/>
    </xf>
    <xf numFmtId="0" fontId="0" fillId="0" borderId="20" xfId="0" applyBorder="1"/>
    <xf numFmtId="0" fontId="0" fillId="0" borderId="20" xfId="0" applyFont="1" applyBorder="1" applyAlignment="1">
      <alignment horizontal="right" wrapText="1"/>
    </xf>
    <xf numFmtId="0" fontId="0" fillId="0" borderId="11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1" xfId="0" applyNumberFormat="1" applyBorder="1"/>
    <xf numFmtId="0" fontId="0" fillId="0" borderId="21" xfId="0" applyBorder="1"/>
    <xf numFmtId="1" fontId="0" fillId="0" borderId="21" xfId="1" applyNumberFormat="1" applyFont="1" applyBorder="1" applyAlignment="1"/>
    <xf numFmtId="1" fontId="0" fillId="0" borderId="16" xfId="0" applyNumberFormat="1" applyBorder="1"/>
    <xf numFmtId="16" fontId="0" fillId="0" borderId="0" xfId="0" applyNumberFormat="1" applyBorder="1"/>
    <xf numFmtId="16" fontId="0" fillId="0" borderId="21" xfId="0" applyNumberFormat="1" applyBorder="1"/>
    <xf numFmtId="0" fontId="2" fillId="0" borderId="10" xfId="0" applyFont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14" fontId="0" fillId="7" borderId="18" xfId="0" applyNumberFormat="1" applyFill="1" applyBorder="1"/>
    <xf numFmtId="16" fontId="0" fillId="9" borderId="15" xfId="0" applyNumberFormat="1" applyFill="1" applyBorder="1"/>
    <xf numFmtId="14" fontId="0" fillId="0" borderId="14" xfId="0" applyNumberFormat="1" applyBorder="1"/>
    <xf numFmtId="16" fontId="0" fillId="9" borderId="10" xfId="0" applyNumberFormat="1" applyFill="1" applyBorder="1"/>
    <xf numFmtId="0" fontId="0" fillId="9" borderId="11" xfId="0" applyFill="1" applyBorder="1"/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0" borderId="0" xfId="0" applyNumberFormat="1"/>
    <xf numFmtId="0" fontId="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7" xfId="0" quotePrefix="1" applyFont="1" applyBorder="1"/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0" fillId="0" borderId="13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2" fillId="0" borderId="20" xfId="0" applyFont="1" applyBorder="1"/>
    <xf numFmtId="0" fontId="2" fillId="0" borderId="11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10" xfId="0" applyFill="1" applyBorder="1" applyProtection="1"/>
    <xf numFmtId="0" fontId="0" fillId="8" borderId="11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2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6" xfId="0" applyNumberFormat="1" applyFill="1" applyBorder="1" applyAlignment="1" applyProtection="1">
      <alignment horizontal="right" vertical="center"/>
    </xf>
    <xf numFmtId="14" fontId="0" fillId="3" borderId="8" xfId="0" applyNumberFormat="1" applyFill="1" applyBorder="1" applyAlignment="1" applyProtection="1">
      <alignment horizontal="right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14" fontId="0" fillId="5" borderId="4" xfId="0" applyNumberFormat="1" applyFill="1" applyBorder="1" applyAlignment="1" applyProtection="1">
      <alignment horizontal="right"/>
      <protection locked="0"/>
    </xf>
    <xf numFmtId="14" fontId="0" fillId="5" borderId="6" xfId="0" applyNumberFormat="1" applyFill="1" applyBorder="1" applyAlignment="1" applyProtection="1">
      <alignment horizontal="right"/>
      <protection locked="0"/>
    </xf>
    <xf numFmtId="14" fontId="0" fillId="5" borderId="8" xfId="0" applyNumberFormat="1" applyFill="1" applyBorder="1" applyAlignment="1" applyProtection="1">
      <alignment horizontal="right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9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2" xfId="0" applyFill="1" applyBorder="1" applyAlignment="1" applyProtection="1">
      <alignment horizontal="left" vertical="center"/>
      <protection locked="0"/>
    </xf>
    <xf numFmtId="0" fontId="0" fillId="10" borderId="22" xfId="0" applyFill="1" applyBorder="1" applyAlignment="1" applyProtection="1">
      <alignment horizontal="left" vertical="center"/>
    </xf>
    <xf numFmtId="3" fontId="0" fillId="5" borderId="22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10" xfId="0" applyFill="1" applyBorder="1"/>
    <xf numFmtId="0" fontId="0" fillId="12" borderId="11" xfId="0" applyFill="1" applyBorder="1"/>
    <xf numFmtId="16" fontId="0" fillId="12" borderId="13" xfId="0" applyNumberFormat="1" applyFill="1" applyBorder="1"/>
    <xf numFmtId="0" fontId="0" fillId="12" borderId="14" xfId="0" applyFill="1" applyBorder="1"/>
    <xf numFmtId="16" fontId="0" fillId="12" borderId="15" xfId="0" applyNumberFormat="1" applyFill="1" applyBorder="1"/>
    <xf numFmtId="0" fontId="0" fillId="12" borderId="16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4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2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30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2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9" xfId="0" applyFont="1" applyFill="1" applyBorder="1" applyAlignment="1" applyProtection="1">
      <alignment horizontal="right"/>
    </xf>
    <xf numFmtId="1" fontId="8" fillId="6" borderId="29" xfId="0" applyNumberFormat="1" applyFont="1" applyFill="1" applyBorder="1" applyAlignment="1" applyProtection="1">
      <alignment horizontal="center"/>
    </xf>
    <xf numFmtId="0" fontId="0" fillId="6" borderId="29" xfId="0" applyFill="1" applyBorder="1" applyAlignment="1" applyProtection="1">
      <alignment horizontal="center"/>
    </xf>
    <xf numFmtId="16" fontId="0" fillId="3" borderId="12" xfId="0" applyNumberFormat="1" applyFill="1" applyBorder="1" applyProtection="1"/>
    <xf numFmtId="0" fontId="0" fillId="3" borderId="12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7" xfId="0" applyBorder="1"/>
    <xf numFmtId="0" fontId="0" fillId="5" borderId="3" xfId="0" applyFill="1" applyBorder="1" applyProtection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3" borderId="0" xfId="0" applyFill="1" applyAlignment="1" applyProtection="1">
      <alignment horizontal="left"/>
    </xf>
    <xf numFmtId="4" fontId="0" fillId="5" borderId="3" xfId="0" applyNumberFormat="1" applyFill="1" applyBorder="1" applyAlignment="1" applyProtection="1">
      <protection locked="0"/>
    </xf>
    <xf numFmtId="0" fontId="0" fillId="4" borderId="29" xfId="0" applyFill="1" applyBorder="1" applyAlignment="1" applyProtection="1">
      <alignment horizontal="center"/>
    </xf>
    <xf numFmtId="0" fontId="2" fillId="4" borderId="29" xfId="0" applyFont="1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2" borderId="33" xfId="0" applyFill="1" applyBorder="1" applyAlignment="1" applyProtection="1">
      <alignment horizontal="center" vertical="center" wrapText="1"/>
    </xf>
    <xf numFmtId="0" fontId="2" fillId="4" borderId="32" xfId="0" applyFont="1" applyFill="1" applyBorder="1" applyAlignment="1" applyProtection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1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59.859859649620894</c:v>
                </c:pt>
                <c:pt idx="1">
                  <c:v>29.33948129721832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0.63740753629685498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77.746471689023423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12.199999999999998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102.40615883830436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55.141777836009439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0.15632090340909599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8.7748006127012594</c:v>
                </c:pt>
                <c:pt idx="1">
                  <c:v>8.9311215161102009</c:v>
                </c:pt>
                <c:pt idx="2">
                  <c:v>9.0985585456304996</c:v>
                </c:pt>
                <c:pt idx="3">
                  <c:v>9.2636196419439294</c:v>
                </c:pt>
                <c:pt idx="4">
                  <c:v>9.4311455069204992</c:v>
                </c:pt>
                <c:pt idx="5">
                  <c:v>9.5968602188961096</c:v>
                </c:pt>
                <c:pt idx="6">
                  <c:v>9.7740003800218993</c:v>
                </c:pt>
                <c:pt idx="7">
                  <c:v>9.9555220281929593</c:v>
                </c:pt>
                <c:pt idx="8">
                  <c:v>10.132772304842</c:v>
                </c:pt>
                <c:pt idx="9">
                  <c:v>10.3008756235056</c:v>
                </c:pt>
                <c:pt idx="10">
                  <c:v>10.4928336344753</c:v>
                </c:pt>
                <c:pt idx="11">
                  <c:v>10.703693753574001</c:v>
                </c:pt>
                <c:pt idx="12">
                  <c:v>10.916727911761001</c:v>
                </c:pt>
                <c:pt idx="13">
                  <c:v>11.1284814687056</c:v>
                </c:pt>
                <c:pt idx="14">
                  <c:v>11.3552908124894</c:v>
                </c:pt>
                <c:pt idx="15">
                  <c:v>11.605470879395</c:v>
                </c:pt>
                <c:pt idx="16">
                  <c:v>11.856690221997599</c:v>
                </c:pt>
                <c:pt idx="17">
                  <c:v>12.0976586830378</c:v>
                </c:pt>
                <c:pt idx="18">
                  <c:v>12.3372875378865</c:v>
                </c:pt>
                <c:pt idx="19">
                  <c:v>12.5885391382314</c:v>
                </c:pt>
                <c:pt idx="20">
                  <c:v>12.834847927900199</c:v>
                </c:pt>
                <c:pt idx="21">
                  <c:v>13.0984565637152</c:v>
                </c:pt>
                <c:pt idx="22">
                  <c:v>13.358167801487999</c:v>
                </c:pt>
                <c:pt idx="23">
                  <c:v>13.617247964511799</c:v>
                </c:pt>
                <c:pt idx="24">
                  <c:v>13.894948455724901</c:v>
                </c:pt>
                <c:pt idx="25">
                  <c:v>14.164428931418</c:v>
                </c:pt>
                <c:pt idx="26">
                  <c:v>14.462469934664799</c:v>
                </c:pt>
                <c:pt idx="27">
                  <c:v>14.7726738228328</c:v>
                </c:pt>
                <c:pt idx="28">
                  <c:v>15.081753733306501</c:v>
                </c:pt>
                <c:pt idx="29">
                  <c:v>15.3931594036085</c:v>
                </c:pt>
                <c:pt idx="30">
                  <c:v>15.7483591183606</c:v>
                </c:pt>
                <c:pt idx="31">
                  <c:v>16.1127068775513</c:v>
                </c:pt>
                <c:pt idx="32">
                  <c:v>16.495245805652502</c:v>
                </c:pt>
                <c:pt idx="33">
                  <c:v>16.861362203738899</c:v>
                </c:pt>
                <c:pt idx="34">
                  <c:v>17.225808624527399</c:v>
                </c:pt>
                <c:pt idx="35">
                  <c:v>17.594980473029601</c:v>
                </c:pt>
                <c:pt idx="36">
                  <c:v>17.992639844589299</c:v>
                </c:pt>
                <c:pt idx="37">
                  <c:v>18.402131413216999</c:v>
                </c:pt>
                <c:pt idx="38">
                  <c:v>18.793310729253299</c:v>
                </c:pt>
                <c:pt idx="39">
                  <c:v>19.180236920528799</c:v>
                </c:pt>
                <c:pt idx="40">
                  <c:v>19.5721683013881</c:v>
                </c:pt>
                <c:pt idx="41">
                  <c:v>19.999370332133498</c:v>
                </c:pt>
                <c:pt idx="42">
                  <c:v>20.487416976305902</c:v>
                </c:pt>
                <c:pt idx="43">
                  <c:v>20.9630115789634</c:v>
                </c:pt>
                <c:pt idx="44">
                  <c:v>21.433717708811699</c:v>
                </c:pt>
                <c:pt idx="45">
                  <c:v>21.902837865357299</c:v>
                </c:pt>
                <c:pt idx="46">
                  <c:v>22.406872858243599</c:v>
                </c:pt>
                <c:pt idx="47">
                  <c:v>22.958171084836799</c:v>
                </c:pt>
                <c:pt idx="48">
                  <c:v>23.493510011552701</c:v>
                </c:pt>
                <c:pt idx="49">
                  <c:v>24.039297769170801</c:v>
                </c:pt>
                <c:pt idx="50">
                  <c:v>24.600119825018599</c:v>
                </c:pt>
                <c:pt idx="51">
                  <c:v>25.227280596404199</c:v>
                </c:pt>
                <c:pt idx="52">
                  <c:v>25.8144656302198</c:v>
                </c:pt>
                <c:pt idx="53">
                  <c:v>26.411203583520599</c:v>
                </c:pt>
                <c:pt idx="54">
                  <c:v>27.024809873379098</c:v>
                </c:pt>
                <c:pt idx="55">
                  <c:v>27.663553972880301</c:v>
                </c:pt>
                <c:pt idx="56">
                  <c:v>28.375306850106799</c:v>
                </c:pt>
                <c:pt idx="57">
                  <c:v>29.0765853937075</c:v>
                </c:pt>
                <c:pt idx="58">
                  <c:v>29.8310898911922</c:v>
                </c:pt>
                <c:pt idx="59">
                  <c:v>30.6148537074898</c:v>
                </c:pt>
                <c:pt idx="60">
                  <c:v>31.396710633640598</c:v>
                </c:pt>
                <c:pt idx="61">
                  <c:v>32.193289815420599</c:v>
                </c:pt>
                <c:pt idx="62">
                  <c:v>33.0493130910573</c:v>
                </c:pt>
                <c:pt idx="63">
                  <c:v>33.881454562835202</c:v>
                </c:pt>
                <c:pt idx="64">
                  <c:v>34.7467329245031</c:v>
                </c:pt>
                <c:pt idx="65">
                  <c:v>35.636219523208602</c:v>
                </c:pt>
                <c:pt idx="66">
                  <c:v>36.5343881195897</c:v>
                </c:pt>
                <c:pt idx="67">
                  <c:v>37.415369316314198</c:v>
                </c:pt>
                <c:pt idx="68">
                  <c:v>38.336663711842597</c:v>
                </c:pt>
                <c:pt idx="69">
                  <c:v>39.274439531171602</c:v>
                </c:pt>
                <c:pt idx="70">
                  <c:v>40.2539021417548</c:v>
                </c:pt>
                <c:pt idx="71">
                  <c:v>41.375619765091301</c:v>
                </c:pt>
                <c:pt idx="72">
                  <c:v>42.470843523754397</c:v>
                </c:pt>
                <c:pt idx="73">
                  <c:v>43.562614307060798</c:v>
                </c:pt>
                <c:pt idx="74">
                  <c:v>44.604763966194703</c:v>
                </c:pt>
                <c:pt idx="75">
                  <c:v>45.718855808090403</c:v>
                </c:pt>
                <c:pt idx="76">
                  <c:v>46.896323827386297</c:v>
                </c:pt>
                <c:pt idx="77">
                  <c:v>48.131685882409698</c:v>
                </c:pt>
                <c:pt idx="78">
                  <c:v>49.314336012298398</c:v>
                </c:pt>
                <c:pt idx="79">
                  <c:v>50.472576753156503</c:v>
                </c:pt>
                <c:pt idx="80">
                  <c:v>51.635003545391797</c:v>
                </c:pt>
                <c:pt idx="81">
                  <c:v>52.908584862935797</c:v>
                </c:pt>
                <c:pt idx="82">
                  <c:v>54.200901767539001</c:v>
                </c:pt>
                <c:pt idx="83">
                  <c:v>55.449381429172703</c:v>
                </c:pt>
                <c:pt idx="84">
                  <c:v>56.863623579623798</c:v>
                </c:pt>
                <c:pt idx="85">
                  <c:v>58.340018531312403</c:v>
                </c:pt>
                <c:pt idx="86">
                  <c:v>59.885526187603602</c:v>
                </c:pt>
                <c:pt idx="87">
                  <c:v>61.433200268118803</c:v>
                </c:pt>
                <c:pt idx="88">
                  <c:v>62.978854347427699</c:v>
                </c:pt>
                <c:pt idx="89">
                  <c:v>64.532705019506096</c:v>
                </c:pt>
                <c:pt idx="90">
                  <c:v>66.083915487178899</c:v>
                </c:pt>
                <c:pt idx="91">
                  <c:v>67.716791782725906</c:v>
                </c:pt>
                <c:pt idx="92">
                  <c:v>69.505893661696504</c:v>
                </c:pt>
                <c:pt idx="93">
                  <c:v>71.368030268868594</c:v>
                </c:pt>
                <c:pt idx="94">
                  <c:v>73.354573944256899</c:v>
                </c:pt>
                <c:pt idx="95">
                  <c:v>75.329937779524698</c:v>
                </c:pt>
                <c:pt idx="96">
                  <c:v>77.334576329214897</c:v>
                </c:pt>
                <c:pt idx="97">
                  <c:v>79.298619539005799</c:v>
                </c:pt>
                <c:pt idx="98">
                  <c:v>81.376900498111397</c:v>
                </c:pt>
                <c:pt idx="99">
                  <c:v>83.505526539801807</c:v>
                </c:pt>
                <c:pt idx="100">
                  <c:v>85.580250435620897</c:v>
                </c:pt>
                <c:pt idx="101">
                  <c:v>87.799849016427402</c:v>
                </c:pt>
                <c:pt idx="102">
                  <c:v>90.221708066393504</c:v>
                </c:pt>
                <c:pt idx="103">
                  <c:v>92.802205304380806</c:v>
                </c:pt>
                <c:pt idx="104">
                  <c:v>95.277097772938404</c:v>
                </c:pt>
                <c:pt idx="105">
                  <c:v>97.682940130895702</c:v>
                </c:pt>
                <c:pt idx="106">
                  <c:v>100.317515748175</c:v>
                </c:pt>
                <c:pt idx="107">
                  <c:v>102.92927694812801</c:v>
                </c:pt>
                <c:pt idx="108">
                  <c:v>105.536003935705</c:v>
                </c:pt>
                <c:pt idx="109">
                  <c:v>108.23398168669399</c:v>
                </c:pt>
                <c:pt idx="110">
                  <c:v>110.985366662818</c:v>
                </c:pt>
                <c:pt idx="111">
                  <c:v>113.723832498709</c:v>
                </c:pt>
                <c:pt idx="112">
                  <c:v>116.47211258563399</c:v>
                </c:pt>
                <c:pt idx="113">
                  <c:v>119.32695611071</c:v>
                </c:pt>
                <c:pt idx="114">
                  <c:v>122.187177078956</c:v>
                </c:pt>
                <c:pt idx="115">
                  <c:v>125.21761400996201</c:v>
                </c:pt>
                <c:pt idx="116">
                  <c:v>128.30640975324101</c:v>
                </c:pt>
                <c:pt idx="117">
                  <c:v>131.31047422325699</c:v>
                </c:pt>
                <c:pt idx="118">
                  <c:v>134.71585456894101</c:v>
                </c:pt>
                <c:pt idx="119">
                  <c:v>138.22454578104399</c:v>
                </c:pt>
                <c:pt idx="120">
                  <c:v>141.504950506987</c:v>
                </c:pt>
                <c:pt idx="121">
                  <c:v>144.94478232606599</c:v>
                </c:pt>
                <c:pt idx="122">
                  <c:v>148.32348732592399</c:v>
                </c:pt>
                <c:pt idx="123">
                  <c:v>151.82066250669001</c:v>
                </c:pt>
                <c:pt idx="124">
                  <c:v>155.57772747358101</c:v>
                </c:pt>
                <c:pt idx="125">
                  <c:v>159.304869914439</c:v>
                </c:pt>
                <c:pt idx="126">
                  <c:v>162.841912865007</c:v>
                </c:pt>
                <c:pt idx="127">
                  <c:v>166.47905819042401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61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60.483764748387273</c:v>
                </c:pt>
                <c:pt idx="1">
                  <c:v>60.992393057593205</c:v>
                </c:pt>
                <c:pt idx="2">
                  <c:v>61.514934012599952</c:v>
                </c:pt>
                <c:pt idx="3">
                  <c:v>62.011811771808915</c:v>
                </c:pt>
                <c:pt idx="4">
                  <c:v>62.493006962853947</c:v>
                </c:pt>
                <c:pt idx="5">
                  <c:v>62.949600301505093</c:v>
                </c:pt>
                <c:pt idx="6">
                  <c:v>63.413464076596306</c:v>
                </c:pt>
                <c:pt idx="7">
                  <c:v>63.861523304394851</c:v>
                </c:pt>
                <c:pt idx="8">
                  <c:v>64.279970979558485</c:v>
                </c:pt>
                <c:pt idx="9">
                  <c:v>64.664255093991414</c:v>
                </c:pt>
                <c:pt idx="10">
                  <c:v>65.074007751360725</c:v>
                </c:pt>
                <c:pt idx="11">
                  <c:v>65.503672923801233</c:v>
                </c:pt>
                <c:pt idx="12">
                  <c:v>65.917230209797594</c:v>
                </c:pt>
                <c:pt idx="13">
                  <c:v>66.312097148900094</c:v>
                </c:pt>
                <c:pt idx="14">
                  <c:v>66.710444987493005</c:v>
                </c:pt>
                <c:pt idx="15">
                  <c:v>67.121212325639078</c:v>
                </c:pt>
                <c:pt idx="16">
                  <c:v>67.50181669767376</c:v>
                </c:pt>
                <c:pt idx="17">
                  <c:v>67.841048432721905</c:v>
                </c:pt>
                <c:pt idx="18">
                  <c:v>68.161446209503566</c:v>
                </c:pt>
                <c:pt idx="19">
                  <c:v>68.481699826528626</c:v>
                </c:pt>
                <c:pt idx="20">
                  <c:v>68.780369235046919</c:v>
                </c:pt>
                <c:pt idx="21">
                  <c:v>69.081089180740634</c:v>
                </c:pt>
                <c:pt idx="22">
                  <c:v>69.361249994598396</c:v>
                </c:pt>
                <c:pt idx="23">
                  <c:v>69.622516677192223</c:v>
                </c:pt>
                <c:pt idx="24">
                  <c:v>69.890225155408118</c:v>
                </c:pt>
                <c:pt idx="25">
                  <c:v>70.142655984023662</c:v>
                </c:pt>
                <c:pt idx="26">
                  <c:v>70.403333973558347</c:v>
                </c:pt>
                <c:pt idx="27">
                  <c:v>70.649912029456843</c:v>
                </c:pt>
                <c:pt idx="28">
                  <c:v>70.885982985829344</c:v>
                </c:pt>
                <c:pt idx="29">
                  <c:v>71.111614762648202</c:v>
                </c:pt>
                <c:pt idx="30">
                  <c:v>71.341783600385241</c:v>
                </c:pt>
                <c:pt idx="31">
                  <c:v>71.549242880081422</c:v>
                </c:pt>
                <c:pt idx="32">
                  <c:v>71.742733050677501</c:v>
                </c:pt>
                <c:pt idx="33">
                  <c:v>71.915728216621773</c:v>
                </c:pt>
                <c:pt idx="34">
                  <c:v>72.080100739790964</c:v>
                </c:pt>
                <c:pt idx="35">
                  <c:v>72.228270744357715</c:v>
                </c:pt>
                <c:pt idx="36">
                  <c:v>72.365628586954131</c:v>
                </c:pt>
                <c:pt idx="37">
                  <c:v>72.485322700192953</c:v>
                </c:pt>
                <c:pt idx="38">
                  <c:v>72.595935734935594</c:v>
                </c:pt>
                <c:pt idx="39">
                  <c:v>72.69816950891834</c:v>
                </c:pt>
                <c:pt idx="40">
                  <c:v>72.792374655444817</c:v>
                </c:pt>
                <c:pt idx="41">
                  <c:v>72.878518970740046</c:v>
                </c:pt>
                <c:pt idx="42">
                  <c:v>72.957744115673165</c:v>
                </c:pt>
                <c:pt idx="43">
                  <c:v>73.01974254912318</c:v>
                </c:pt>
                <c:pt idx="44">
                  <c:v>73.060671248621617</c:v>
                </c:pt>
                <c:pt idx="45">
                  <c:v>73.079398342199738</c:v>
                </c:pt>
                <c:pt idx="46">
                  <c:v>73.07652379913678</c:v>
                </c:pt>
                <c:pt idx="47">
                  <c:v>73.051827623788768</c:v>
                </c:pt>
                <c:pt idx="48">
                  <c:v>72.998096754402255</c:v>
                </c:pt>
                <c:pt idx="49">
                  <c:v>72.923675446725085</c:v>
                </c:pt>
                <c:pt idx="50">
                  <c:v>72.82060923418797</c:v>
                </c:pt>
                <c:pt idx="51">
                  <c:v>72.681738641689009</c:v>
                </c:pt>
                <c:pt idx="52">
                  <c:v>72.524871561500376</c:v>
                </c:pt>
                <c:pt idx="53">
                  <c:v>72.346797746234643</c:v>
                </c:pt>
                <c:pt idx="54">
                  <c:v>72.141965140846636</c:v>
                </c:pt>
                <c:pt idx="55">
                  <c:v>71.904381668463898</c:v>
                </c:pt>
                <c:pt idx="56">
                  <c:v>71.915584882586899</c:v>
                </c:pt>
                <c:pt idx="57">
                  <c:v>71.889591197348679</c:v>
                </c:pt>
                <c:pt idx="58">
                  <c:v>71.831511154923589</c:v>
                </c:pt>
                <c:pt idx="59">
                  <c:v>71.733801695489419</c:v>
                </c:pt>
                <c:pt idx="60">
                  <c:v>71.597717396167013</c:v>
                </c:pt>
                <c:pt idx="61">
                  <c:v>71.415714362493205</c:v>
                </c:pt>
                <c:pt idx="62">
                  <c:v>71.182968158951056</c:v>
                </c:pt>
                <c:pt idx="63">
                  <c:v>70.919746677939557</c:v>
                </c:pt>
                <c:pt idx="64">
                  <c:v>70.609669147632985</c:v>
                </c:pt>
                <c:pt idx="65">
                  <c:v>70.255848988708976</c:v>
                </c:pt>
                <c:pt idx="66">
                  <c:v>69.86836835944213</c:v>
                </c:pt>
                <c:pt idx="67">
                  <c:v>69.458832980241553</c:v>
                </c:pt>
                <c:pt idx="68">
                  <c:v>69.010815510820606</c:v>
                </c:pt>
                <c:pt idx="69">
                  <c:v>68.527981609310785</c:v>
                </c:pt>
                <c:pt idx="70">
                  <c:v>67.998144704395372</c:v>
                </c:pt>
                <c:pt idx="71">
                  <c:v>67.703970982842449</c:v>
                </c:pt>
                <c:pt idx="72">
                  <c:v>67.356550886413999</c:v>
                </c:pt>
                <c:pt idx="73">
                  <c:v>66.971898119676155</c:v>
                </c:pt>
                <c:pt idx="74">
                  <c:v>66.561081620987338</c:v>
                </c:pt>
                <c:pt idx="75">
                  <c:v>66.080507324851041</c:v>
                </c:pt>
                <c:pt idx="76">
                  <c:v>65.528648535892657</c:v>
                </c:pt>
                <c:pt idx="77">
                  <c:v>64.916478608239146</c:v>
                </c:pt>
                <c:pt idx="78">
                  <c:v>64.291801405901211</c:v>
                </c:pt>
                <c:pt idx="79">
                  <c:v>63.655808326815318</c:v>
                </c:pt>
                <c:pt idx="80">
                  <c:v>62.998508577964522</c:v>
                </c:pt>
                <c:pt idx="81">
                  <c:v>62.253741939718203</c:v>
                </c:pt>
                <c:pt idx="82">
                  <c:v>61.478533633234392</c:v>
                </c:pt>
                <c:pt idx="83">
                  <c:v>60.700581001104652</c:v>
                </c:pt>
                <c:pt idx="84">
                  <c:v>59.79424724402736</c:v>
                </c:pt>
                <c:pt idx="85">
                  <c:v>58.817777491642175</c:v>
                </c:pt>
                <c:pt idx="86">
                  <c:v>57.778163211129161</c:v>
                </c:pt>
                <c:pt idx="87">
                  <c:v>57.041243528887151</c:v>
                </c:pt>
                <c:pt idx="88">
                  <c:v>56.252541938550969</c:v>
                </c:pt>
                <c:pt idx="89">
                  <c:v>55.4268137940957</c:v>
                </c:pt>
                <c:pt idx="90">
                  <c:v>54.559230492357976</c:v>
                </c:pt>
                <c:pt idx="91">
                  <c:v>53.614051360566165</c:v>
                </c:pt>
                <c:pt idx="92">
                  <c:v>52.542716026480669</c:v>
                </c:pt>
                <c:pt idx="93">
                  <c:v>51.384646018173797</c:v>
                </c:pt>
                <c:pt idx="94">
                  <c:v>50.108731851835891</c:v>
                </c:pt>
                <c:pt idx="95">
                  <c:v>48.788304150541158</c:v>
                </c:pt>
                <c:pt idx="96">
                  <c:v>47.411341988760171</c:v>
                </c:pt>
                <c:pt idx="97">
                  <c:v>46.028902220743056</c:v>
                </c:pt>
                <c:pt idx="98">
                  <c:v>44.534519206021969</c:v>
                </c:pt>
                <c:pt idx="99">
                  <c:v>42.979788818364497</c:v>
                </c:pt>
                <c:pt idx="100">
                  <c:v>41.423107053126898</c:v>
                </c:pt>
                <c:pt idx="101">
                  <c:v>39.731621429077414</c:v>
                </c:pt>
                <c:pt idx="102">
                  <c:v>38.234730369578358</c:v>
                </c:pt>
                <c:pt idx="103">
                  <c:v>36.588815108112463</c:v>
                </c:pt>
                <c:pt idx="104">
                  <c:v>34.953375922489343</c:v>
                </c:pt>
                <c:pt idx="105">
                  <c:v>33.303675055537305</c:v>
                </c:pt>
                <c:pt idx="106">
                  <c:v>31.457170283315406</c:v>
                </c:pt>
                <c:pt idx="107">
                  <c:v>78.383731518547961</c:v>
                </c:pt>
                <c:pt idx="108">
                  <c:v>76.47796008560023</c:v>
                </c:pt>
                <c:pt idx="109">
                  <c:v>74.471320101845748</c:v>
                </c:pt>
                <c:pt idx="110">
                  <c:v>72.388617179557613</c:v>
                </c:pt>
                <c:pt idx="111">
                  <c:v>70.294783118782163</c:v>
                </c:pt>
                <c:pt idx="112">
                  <c:v>68.162116409588265</c:v>
                </c:pt>
                <c:pt idx="113">
                  <c:v>65.918341882326899</c:v>
                </c:pt>
                <c:pt idx="114">
                  <c:v>63.638160868935678</c:v>
                </c:pt>
                <c:pt idx="115">
                  <c:v>61.18865721282306</c:v>
                </c:pt>
                <c:pt idx="116">
                  <c:v>59.044045208017302</c:v>
                </c:pt>
                <c:pt idx="117">
                  <c:v>56.89394802050704</c:v>
                </c:pt>
                <c:pt idx="118">
                  <c:v>54.423706382716105</c:v>
                </c:pt>
                <c:pt idx="119">
                  <c:v>51.838751932450663</c:v>
                </c:pt>
                <c:pt idx="120">
                  <c:v>49.353871561226534</c:v>
                </c:pt>
                <c:pt idx="121">
                  <c:v>46.724323705267068</c:v>
                </c:pt>
                <c:pt idx="122">
                  <c:v>44.087000056211906</c:v>
                </c:pt>
                <c:pt idx="123">
                  <c:v>41.311142232110413</c:v>
                </c:pt>
                <c:pt idx="124">
                  <c:v>38.300265439112835</c:v>
                </c:pt>
                <c:pt idx="125">
                  <c:v>35.27459327251151</c:v>
                </c:pt>
                <c:pt idx="126">
                  <c:v>32.362319925996871</c:v>
                </c:pt>
                <c:pt idx="127">
                  <c:v>29.33948129721832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D2-4A1B-A98F-C7303D4F0811}"/>
              </c:ext>
            </c:extLst>
          </c:dPt>
          <c:cat>
            <c:numRef>
              <c:f>'Model Interface'!$P$6:$P$495</c:f>
              <c:numCache>
                <c:formatCode>m/d/yyyy</c:formatCode>
                <c:ptCount val="49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45157</c:v>
                </c:pt>
                <c:pt idx="5">
                  <c:v>45158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45164</c:v>
                </c:pt>
                <c:pt idx="12">
                  <c:v>45165</c:v>
                </c:pt>
                <c:pt idx="13">
                  <c:v>45166</c:v>
                </c:pt>
                <c:pt idx="14">
                  <c:v>45167</c:v>
                </c:pt>
                <c:pt idx="15">
                  <c:v>45168</c:v>
                </c:pt>
                <c:pt idx="16">
                  <c:v>45169</c:v>
                </c:pt>
                <c:pt idx="17">
                  <c:v>45170</c:v>
                </c:pt>
                <c:pt idx="18">
                  <c:v>45171</c:v>
                </c:pt>
                <c:pt idx="19">
                  <c:v>45172</c:v>
                </c:pt>
                <c:pt idx="20">
                  <c:v>45173</c:v>
                </c:pt>
                <c:pt idx="21">
                  <c:v>45174</c:v>
                </c:pt>
                <c:pt idx="22">
                  <c:v>45175</c:v>
                </c:pt>
                <c:pt idx="23">
                  <c:v>45176</c:v>
                </c:pt>
                <c:pt idx="24">
                  <c:v>45177</c:v>
                </c:pt>
                <c:pt idx="25">
                  <c:v>45178</c:v>
                </c:pt>
                <c:pt idx="26">
                  <c:v>45179</c:v>
                </c:pt>
                <c:pt idx="27">
                  <c:v>45180</c:v>
                </c:pt>
                <c:pt idx="28">
                  <c:v>45181</c:v>
                </c:pt>
                <c:pt idx="29">
                  <c:v>45182</c:v>
                </c:pt>
                <c:pt idx="30">
                  <c:v>45183</c:v>
                </c:pt>
                <c:pt idx="31">
                  <c:v>45184</c:v>
                </c:pt>
                <c:pt idx="32">
                  <c:v>45185</c:v>
                </c:pt>
                <c:pt idx="33">
                  <c:v>45186</c:v>
                </c:pt>
                <c:pt idx="34">
                  <c:v>45187</c:v>
                </c:pt>
                <c:pt idx="35">
                  <c:v>45188</c:v>
                </c:pt>
                <c:pt idx="36">
                  <c:v>45189</c:v>
                </c:pt>
                <c:pt idx="37">
                  <c:v>45190</c:v>
                </c:pt>
                <c:pt idx="38">
                  <c:v>45191</c:v>
                </c:pt>
                <c:pt idx="39">
                  <c:v>45192</c:v>
                </c:pt>
                <c:pt idx="40">
                  <c:v>45193</c:v>
                </c:pt>
                <c:pt idx="41">
                  <c:v>45194</c:v>
                </c:pt>
                <c:pt idx="42">
                  <c:v>45195</c:v>
                </c:pt>
                <c:pt idx="43">
                  <c:v>45196</c:v>
                </c:pt>
                <c:pt idx="44">
                  <c:v>45197</c:v>
                </c:pt>
                <c:pt idx="45">
                  <c:v>45198</c:v>
                </c:pt>
                <c:pt idx="46">
                  <c:v>45199</c:v>
                </c:pt>
                <c:pt idx="47">
                  <c:v>45200</c:v>
                </c:pt>
                <c:pt idx="48">
                  <c:v>45201</c:v>
                </c:pt>
                <c:pt idx="49">
                  <c:v>45202</c:v>
                </c:pt>
                <c:pt idx="50">
                  <c:v>45203</c:v>
                </c:pt>
                <c:pt idx="51">
                  <c:v>45204</c:v>
                </c:pt>
                <c:pt idx="52">
                  <c:v>45205</c:v>
                </c:pt>
                <c:pt idx="53">
                  <c:v>45206</c:v>
                </c:pt>
                <c:pt idx="54">
                  <c:v>45207</c:v>
                </c:pt>
                <c:pt idx="55">
                  <c:v>45208</c:v>
                </c:pt>
                <c:pt idx="56">
                  <c:v>45209</c:v>
                </c:pt>
                <c:pt idx="57">
                  <c:v>45210</c:v>
                </c:pt>
                <c:pt idx="58">
                  <c:v>45211</c:v>
                </c:pt>
                <c:pt idx="59">
                  <c:v>45212</c:v>
                </c:pt>
                <c:pt idx="60">
                  <c:v>45213</c:v>
                </c:pt>
                <c:pt idx="61">
                  <c:v>45214</c:v>
                </c:pt>
                <c:pt idx="62">
                  <c:v>45215</c:v>
                </c:pt>
                <c:pt idx="63">
                  <c:v>45216</c:v>
                </c:pt>
                <c:pt idx="64">
                  <c:v>45217</c:v>
                </c:pt>
                <c:pt idx="65">
                  <c:v>45218</c:v>
                </c:pt>
                <c:pt idx="66">
                  <c:v>45219</c:v>
                </c:pt>
                <c:pt idx="67">
                  <c:v>45220</c:v>
                </c:pt>
                <c:pt idx="68">
                  <c:v>45221</c:v>
                </c:pt>
                <c:pt idx="69">
                  <c:v>45222</c:v>
                </c:pt>
                <c:pt idx="70">
                  <c:v>45223</c:v>
                </c:pt>
                <c:pt idx="71">
                  <c:v>45224</c:v>
                </c:pt>
                <c:pt idx="72">
                  <c:v>45225</c:v>
                </c:pt>
                <c:pt idx="73">
                  <c:v>45226</c:v>
                </c:pt>
                <c:pt idx="74">
                  <c:v>45227</c:v>
                </c:pt>
                <c:pt idx="75">
                  <c:v>45228</c:v>
                </c:pt>
                <c:pt idx="76">
                  <c:v>45229</c:v>
                </c:pt>
                <c:pt idx="77">
                  <c:v>45230</c:v>
                </c:pt>
                <c:pt idx="78">
                  <c:v>45231</c:v>
                </c:pt>
                <c:pt idx="79">
                  <c:v>45232</c:v>
                </c:pt>
                <c:pt idx="80">
                  <c:v>45233</c:v>
                </c:pt>
                <c:pt idx="81">
                  <c:v>45234</c:v>
                </c:pt>
                <c:pt idx="82">
                  <c:v>45235</c:v>
                </c:pt>
                <c:pt idx="83">
                  <c:v>45236</c:v>
                </c:pt>
                <c:pt idx="84">
                  <c:v>45237</c:v>
                </c:pt>
                <c:pt idx="85">
                  <c:v>45238</c:v>
                </c:pt>
                <c:pt idx="86">
                  <c:v>45239</c:v>
                </c:pt>
                <c:pt idx="87">
                  <c:v>45240</c:v>
                </c:pt>
                <c:pt idx="88">
                  <c:v>45241</c:v>
                </c:pt>
                <c:pt idx="89">
                  <c:v>45242</c:v>
                </c:pt>
                <c:pt idx="90">
                  <c:v>45243</c:v>
                </c:pt>
                <c:pt idx="91">
                  <c:v>45244</c:v>
                </c:pt>
                <c:pt idx="92">
                  <c:v>45245</c:v>
                </c:pt>
                <c:pt idx="93">
                  <c:v>45246</c:v>
                </c:pt>
                <c:pt idx="94">
                  <c:v>45247</c:v>
                </c:pt>
                <c:pt idx="95">
                  <c:v>45248</c:v>
                </c:pt>
                <c:pt idx="96">
                  <c:v>45249</c:v>
                </c:pt>
                <c:pt idx="97">
                  <c:v>45250</c:v>
                </c:pt>
                <c:pt idx="98">
                  <c:v>45251</c:v>
                </c:pt>
                <c:pt idx="99">
                  <c:v>45252</c:v>
                </c:pt>
                <c:pt idx="100">
                  <c:v>45253</c:v>
                </c:pt>
                <c:pt idx="101">
                  <c:v>45254</c:v>
                </c:pt>
                <c:pt idx="102">
                  <c:v>45255</c:v>
                </c:pt>
                <c:pt idx="103">
                  <c:v>45256</c:v>
                </c:pt>
                <c:pt idx="104">
                  <c:v>45257</c:v>
                </c:pt>
                <c:pt idx="105">
                  <c:v>45258</c:v>
                </c:pt>
                <c:pt idx="106">
                  <c:v>45259</c:v>
                </c:pt>
                <c:pt idx="107">
                  <c:v>45260</c:v>
                </c:pt>
                <c:pt idx="108">
                  <c:v>45261</c:v>
                </c:pt>
                <c:pt idx="109">
                  <c:v>45262</c:v>
                </c:pt>
                <c:pt idx="110">
                  <c:v>45263</c:v>
                </c:pt>
                <c:pt idx="111">
                  <c:v>45264</c:v>
                </c:pt>
                <c:pt idx="112">
                  <c:v>45265</c:v>
                </c:pt>
                <c:pt idx="113">
                  <c:v>45266</c:v>
                </c:pt>
                <c:pt idx="114">
                  <c:v>45267</c:v>
                </c:pt>
                <c:pt idx="115">
                  <c:v>45268</c:v>
                </c:pt>
                <c:pt idx="116">
                  <c:v>45269</c:v>
                </c:pt>
                <c:pt idx="117">
                  <c:v>45270</c:v>
                </c:pt>
                <c:pt idx="118">
                  <c:v>45271</c:v>
                </c:pt>
                <c:pt idx="119">
                  <c:v>45272</c:v>
                </c:pt>
                <c:pt idx="120">
                  <c:v>45273</c:v>
                </c:pt>
                <c:pt idx="121">
                  <c:v>45274</c:v>
                </c:pt>
                <c:pt idx="122">
                  <c:v>45275</c:v>
                </c:pt>
                <c:pt idx="123">
                  <c:v>45276</c:v>
                </c:pt>
                <c:pt idx="124">
                  <c:v>45277</c:v>
                </c:pt>
                <c:pt idx="125">
                  <c:v>45278</c:v>
                </c:pt>
                <c:pt idx="126">
                  <c:v>45279</c:v>
                </c:pt>
                <c:pt idx="127">
                  <c:v>45280</c:v>
                </c:pt>
                <c:pt idx="128">
                  <c:v>45281</c:v>
                </c:pt>
                <c:pt idx="129">
                  <c:v>45282</c:v>
                </c:pt>
                <c:pt idx="130">
                  <c:v>45283</c:v>
                </c:pt>
                <c:pt idx="131">
                  <c:v>45284</c:v>
                </c:pt>
                <c:pt idx="132">
                  <c:v>45285</c:v>
                </c:pt>
                <c:pt idx="133">
                  <c:v>45286</c:v>
                </c:pt>
                <c:pt idx="134">
                  <c:v>45287</c:v>
                </c:pt>
                <c:pt idx="135">
                  <c:v>45288</c:v>
                </c:pt>
                <c:pt idx="136">
                  <c:v>45289</c:v>
                </c:pt>
                <c:pt idx="137">
                  <c:v>45290</c:v>
                </c:pt>
                <c:pt idx="138">
                  <c:v>45291</c:v>
                </c:pt>
                <c:pt idx="139">
                  <c:v>45292</c:v>
                </c:pt>
                <c:pt idx="140">
                  <c:v>45293</c:v>
                </c:pt>
                <c:pt idx="141">
                  <c:v>45294</c:v>
                </c:pt>
                <c:pt idx="142">
                  <c:v>45295</c:v>
                </c:pt>
                <c:pt idx="143">
                  <c:v>45296</c:v>
                </c:pt>
                <c:pt idx="144">
                  <c:v>45297</c:v>
                </c:pt>
                <c:pt idx="145">
                  <c:v>45298</c:v>
                </c:pt>
                <c:pt idx="146">
                  <c:v>45299</c:v>
                </c:pt>
                <c:pt idx="147">
                  <c:v>45300</c:v>
                </c:pt>
                <c:pt idx="148">
                  <c:v>45301</c:v>
                </c:pt>
                <c:pt idx="149">
                  <c:v>45302</c:v>
                </c:pt>
                <c:pt idx="150">
                  <c:v>45303</c:v>
                </c:pt>
                <c:pt idx="151">
                  <c:v>45304</c:v>
                </c:pt>
                <c:pt idx="152">
                  <c:v>45305</c:v>
                </c:pt>
                <c:pt idx="153">
                  <c:v>45306</c:v>
                </c:pt>
                <c:pt idx="154">
                  <c:v>45307</c:v>
                </c:pt>
                <c:pt idx="155">
                  <c:v>45308</c:v>
                </c:pt>
                <c:pt idx="156">
                  <c:v>45309</c:v>
                </c:pt>
                <c:pt idx="157">
                  <c:v>45310</c:v>
                </c:pt>
                <c:pt idx="158">
                  <c:v>45311</c:v>
                </c:pt>
                <c:pt idx="159">
                  <c:v>45312</c:v>
                </c:pt>
                <c:pt idx="160">
                  <c:v>45313</c:v>
                </c:pt>
                <c:pt idx="161">
                  <c:v>45314</c:v>
                </c:pt>
                <c:pt idx="162">
                  <c:v>45315</c:v>
                </c:pt>
                <c:pt idx="163">
                  <c:v>45316</c:v>
                </c:pt>
                <c:pt idx="164">
                  <c:v>45317</c:v>
                </c:pt>
                <c:pt idx="165">
                  <c:v>45318</c:v>
                </c:pt>
                <c:pt idx="166">
                  <c:v>45319</c:v>
                </c:pt>
                <c:pt idx="167">
                  <c:v>45320</c:v>
                </c:pt>
                <c:pt idx="168">
                  <c:v>45321</c:v>
                </c:pt>
                <c:pt idx="169">
                  <c:v>45322</c:v>
                </c:pt>
                <c:pt idx="170">
                  <c:v>45323</c:v>
                </c:pt>
                <c:pt idx="171">
                  <c:v>45324</c:v>
                </c:pt>
                <c:pt idx="172">
                  <c:v>45325</c:v>
                </c:pt>
                <c:pt idx="173">
                  <c:v>45326</c:v>
                </c:pt>
                <c:pt idx="174">
                  <c:v>45327</c:v>
                </c:pt>
                <c:pt idx="175">
                  <c:v>45328</c:v>
                </c:pt>
                <c:pt idx="176">
                  <c:v>45329</c:v>
                </c:pt>
                <c:pt idx="177">
                  <c:v>45330</c:v>
                </c:pt>
                <c:pt idx="178">
                  <c:v>45331</c:v>
                </c:pt>
                <c:pt idx="179">
                  <c:v>45332</c:v>
                </c:pt>
                <c:pt idx="180">
                  <c:v>45333</c:v>
                </c:pt>
                <c:pt idx="181">
                  <c:v>45334</c:v>
                </c:pt>
                <c:pt idx="182">
                  <c:v>45335</c:v>
                </c:pt>
                <c:pt idx="183">
                  <c:v>45336</c:v>
                </c:pt>
                <c:pt idx="184">
                  <c:v>45337</c:v>
                </c:pt>
                <c:pt idx="185">
                  <c:v>45338</c:v>
                </c:pt>
                <c:pt idx="186">
                  <c:v>45339</c:v>
                </c:pt>
                <c:pt idx="187">
                  <c:v>45340</c:v>
                </c:pt>
                <c:pt idx="188">
                  <c:v>45341</c:v>
                </c:pt>
                <c:pt idx="189">
                  <c:v>45342</c:v>
                </c:pt>
                <c:pt idx="190">
                  <c:v>45343</c:v>
                </c:pt>
                <c:pt idx="191">
                  <c:v>45344</c:v>
                </c:pt>
                <c:pt idx="192">
                  <c:v>45345</c:v>
                </c:pt>
                <c:pt idx="193">
                  <c:v>45346</c:v>
                </c:pt>
                <c:pt idx="194">
                  <c:v>45347</c:v>
                </c:pt>
                <c:pt idx="195">
                  <c:v>45348</c:v>
                </c:pt>
                <c:pt idx="196">
                  <c:v>45349</c:v>
                </c:pt>
                <c:pt idx="197">
                  <c:v>45350</c:v>
                </c:pt>
                <c:pt idx="198">
                  <c:v>45351</c:v>
                </c:pt>
                <c:pt idx="199">
                  <c:v>45352</c:v>
                </c:pt>
                <c:pt idx="200">
                  <c:v>45353</c:v>
                </c:pt>
                <c:pt idx="201">
                  <c:v>45354</c:v>
                </c:pt>
                <c:pt idx="202">
                  <c:v>45355</c:v>
                </c:pt>
                <c:pt idx="203">
                  <c:v>45356</c:v>
                </c:pt>
                <c:pt idx="204">
                  <c:v>45357</c:v>
                </c:pt>
                <c:pt idx="205">
                  <c:v>45358</c:v>
                </c:pt>
                <c:pt idx="206">
                  <c:v>45359</c:v>
                </c:pt>
                <c:pt idx="207">
                  <c:v>45360</c:v>
                </c:pt>
                <c:pt idx="208">
                  <c:v>45361</c:v>
                </c:pt>
                <c:pt idx="209">
                  <c:v>45362</c:v>
                </c:pt>
                <c:pt idx="210">
                  <c:v>45363</c:v>
                </c:pt>
                <c:pt idx="211">
                  <c:v>45364</c:v>
                </c:pt>
                <c:pt idx="212">
                  <c:v>45365</c:v>
                </c:pt>
                <c:pt idx="213">
                  <c:v>45366</c:v>
                </c:pt>
                <c:pt idx="214">
                  <c:v>45367</c:v>
                </c:pt>
                <c:pt idx="215">
                  <c:v>45368</c:v>
                </c:pt>
                <c:pt idx="216">
                  <c:v>45369</c:v>
                </c:pt>
                <c:pt idx="217">
                  <c:v>45370</c:v>
                </c:pt>
                <c:pt idx="218">
                  <c:v>45371</c:v>
                </c:pt>
                <c:pt idx="219">
                  <c:v>45372</c:v>
                </c:pt>
                <c:pt idx="220">
                  <c:v>45373</c:v>
                </c:pt>
                <c:pt idx="221">
                  <c:v>45374</c:v>
                </c:pt>
                <c:pt idx="222">
                  <c:v>45375</c:v>
                </c:pt>
                <c:pt idx="223">
                  <c:v>45376</c:v>
                </c:pt>
                <c:pt idx="224">
                  <c:v>45377</c:v>
                </c:pt>
                <c:pt idx="225">
                  <c:v>45378</c:v>
                </c:pt>
                <c:pt idx="226">
                  <c:v>45379</c:v>
                </c:pt>
                <c:pt idx="227">
                  <c:v>45380</c:v>
                </c:pt>
                <c:pt idx="228">
                  <c:v>45381</c:v>
                </c:pt>
                <c:pt idx="229">
                  <c:v>45382</c:v>
                </c:pt>
                <c:pt idx="230">
                  <c:v>45383</c:v>
                </c:pt>
                <c:pt idx="231">
                  <c:v>45384</c:v>
                </c:pt>
                <c:pt idx="232">
                  <c:v>45385</c:v>
                </c:pt>
                <c:pt idx="233">
                  <c:v>45386</c:v>
                </c:pt>
                <c:pt idx="234">
                  <c:v>45387</c:v>
                </c:pt>
                <c:pt idx="235">
                  <c:v>45388</c:v>
                </c:pt>
                <c:pt idx="236">
                  <c:v>45389</c:v>
                </c:pt>
                <c:pt idx="237">
                  <c:v>45390</c:v>
                </c:pt>
                <c:pt idx="238">
                  <c:v>45391</c:v>
                </c:pt>
                <c:pt idx="239">
                  <c:v>45392</c:v>
                </c:pt>
                <c:pt idx="240">
                  <c:v>45393</c:v>
                </c:pt>
                <c:pt idx="241">
                  <c:v>45394</c:v>
                </c:pt>
                <c:pt idx="242">
                  <c:v>45395</c:v>
                </c:pt>
                <c:pt idx="243">
                  <c:v>45396</c:v>
                </c:pt>
                <c:pt idx="244">
                  <c:v>45397</c:v>
                </c:pt>
                <c:pt idx="245">
                  <c:v>45398</c:v>
                </c:pt>
                <c:pt idx="246">
                  <c:v>45399</c:v>
                </c:pt>
                <c:pt idx="247">
                  <c:v>45400</c:v>
                </c:pt>
                <c:pt idx="248">
                  <c:v>45401</c:v>
                </c:pt>
                <c:pt idx="249">
                  <c:v>45402</c:v>
                </c:pt>
                <c:pt idx="250">
                  <c:v>45403</c:v>
                </c:pt>
                <c:pt idx="251">
                  <c:v>45404</c:v>
                </c:pt>
                <c:pt idx="252">
                  <c:v>45405</c:v>
                </c:pt>
                <c:pt idx="253">
                  <c:v>45406</c:v>
                </c:pt>
                <c:pt idx="254">
                  <c:v>45407</c:v>
                </c:pt>
                <c:pt idx="255">
                  <c:v>45408</c:v>
                </c:pt>
                <c:pt idx="256">
                  <c:v>45409</c:v>
                </c:pt>
                <c:pt idx="257">
                  <c:v>45410</c:v>
                </c:pt>
                <c:pt idx="258">
                  <c:v>45411</c:v>
                </c:pt>
                <c:pt idx="259">
                  <c:v>45412</c:v>
                </c:pt>
                <c:pt idx="260">
                  <c:v>45413</c:v>
                </c:pt>
                <c:pt idx="261">
                  <c:v>45414</c:v>
                </c:pt>
                <c:pt idx="262">
                  <c:v>45415</c:v>
                </c:pt>
                <c:pt idx="263">
                  <c:v>45416</c:v>
                </c:pt>
                <c:pt idx="264">
                  <c:v>45417</c:v>
                </c:pt>
                <c:pt idx="265">
                  <c:v>45418</c:v>
                </c:pt>
                <c:pt idx="266">
                  <c:v>45419</c:v>
                </c:pt>
                <c:pt idx="267">
                  <c:v>45420</c:v>
                </c:pt>
                <c:pt idx="268">
                  <c:v>45421</c:v>
                </c:pt>
                <c:pt idx="269">
                  <c:v>45422</c:v>
                </c:pt>
                <c:pt idx="270">
                  <c:v>45423</c:v>
                </c:pt>
                <c:pt idx="271">
                  <c:v>45424</c:v>
                </c:pt>
                <c:pt idx="272">
                  <c:v>45425</c:v>
                </c:pt>
                <c:pt idx="273">
                  <c:v>45426</c:v>
                </c:pt>
                <c:pt idx="274">
                  <c:v>45427</c:v>
                </c:pt>
                <c:pt idx="275">
                  <c:v>45428</c:v>
                </c:pt>
                <c:pt idx="276">
                  <c:v>45429</c:v>
                </c:pt>
                <c:pt idx="277">
                  <c:v>45430</c:v>
                </c:pt>
                <c:pt idx="278">
                  <c:v>45431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Interface'!$U$6:$U$495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61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Interface'!$P$6:$P$495</c:f>
              <c:numCache>
                <c:formatCode>m/d/yyyy</c:formatCode>
                <c:ptCount val="490"/>
                <c:pt idx="0">
                  <c:v>45153</c:v>
                </c:pt>
                <c:pt idx="1">
                  <c:v>45154</c:v>
                </c:pt>
                <c:pt idx="2">
                  <c:v>45155</c:v>
                </c:pt>
                <c:pt idx="3">
                  <c:v>45156</c:v>
                </c:pt>
                <c:pt idx="4">
                  <c:v>45157</c:v>
                </c:pt>
                <c:pt idx="5">
                  <c:v>45158</c:v>
                </c:pt>
                <c:pt idx="6">
                  <c:v>45159</c:v>
                </c:pt>
                <c:pt idx="7">
                  <c:v>45160</c:v>
                </c:pt>
                <c:pt idx="8">
                  <c:v>45161</c:v>
                </c:pt>
                <c:pt idx="9">
                  <c:v>45162</c:v>
                </c:pt>
                <c:pt idx="10">
                  <c:v>45163</c:v>
                </c:pt>
                <c:pt idx="11">
                  <c:v>45164</c:v>
                </c:pt>
                <c:pt idx="12">
                  <c:v>45165</c:v>
                </c:pt>
                <c:pt idx="13">
                  <c:v>45166</c:v>
                </c:pt>
                <c:pt idx="14">
                  <c:v>45167</c:v>
                </c:pt>
                <c:pt idx="15">
                  <c:v>45168</c:v>
                </c:pt>
                <c:pt idx="16">
                  <c:v>45169</c:v>
                </c:pt>
                <c:pt idx="17">
                  <c:v>45170</c:v>
                </c:pt>
                <c:pt idx="18">
                  <c:v>45171</c:v>
                </c:pt>
                <c:pt idx="19">
                  <c:v>45172</c:v>
                </c:pt>
                <c:pt idx="20">
                  <c:v>45173</c:v>
                </c:pt>
                <c:pt idx="21">
                  <c:v>45174</c:v>
                </c:pt>
                <c:pt idx="22">
                  <c:v>45175</c:v>
                </c:pt>
                <c:pt idx="23">
                  <c:v>45176</c:v>
                </c:pt>
                <c:pt idx="24">
                  <c:v>45177</c:v>
                </c:pt>
                <c:pt idx="25">
                  <c:v>45178</c:v>
                </c:pt>
                <c:pt idx="26">
                  <c:v>45179</c:v>
                </c:pt>
                <c:pt idx="27">
                  <c:v>45180</c:v>
                </c:pt>
                <c:pt idx="28">
                  <c:v>45181</c:v>
                </c:pt>
                <c:pt idx="29">
                  <c:v>45182</c:v>
                </c:pt>
                <c:pt idx="30">
                  <c:v>45183</c:v>
                </c:pt>
                <c:pt idx="31">
                  <c:v>45184</c:v>
                </c:pt>
                <c:pt idx="32">
                  <c:v>45185</c:v>
                </c:pt>
                <c:pt idx="33">
                  <c:v>45186</c:v>
                </c:pt>
                <c:pt idx="34">
                  <c:v>45187</c:v>
                </c:pt>
                <c:pt idx="35">
                  <c:v>45188</c:v>
                </c:pt>
                <c:pt idx="36">
                  <c:v>45189</c:v>
                </c:pt>
                <c:pt idx="37">
                  <c:v>45190</c:v>
                </c:pt>
                <c:pt idx="38">
                  <c:v>45191</c:v>
                </c:pt>
                <c:pt idx="39">
                  <c:v>45192</c:v>
                </c:pt>
                <c:pt idx="40">
                  <c:v>45193</c:v>
                </c:pt>
                <c:pt idx="41">
                  <c:v>45194</c:v>
                </c:pt>
                <c:pt idx="42">
                  <c:v>45195</c:v>
                </c:pt>
                <c:pt idx="43">
                  <c:v>45196</c:v>
                </c:pt>
                <c:pt idx="44">
                  <c:v>45197</c:v>
                </c:pt>
                <c:pt idx="45">
                  <c:v>45198</c:v>
                </c:pt>
                <c:pt idx="46">
                  <c:v>45199</c:v>
                </c:pt>
                <c:pt idx="47">
                  <c:v>45200</c:v>
                </c:pt>
                <c:pt idx="48">
                  <c:v>45201</c:v>
                </c:pt>
                <c:pt idx="49">
                  <c:v>45202</c:v>
                </c:pt>
                <c:pt idx="50">
                  <c:v>45203</c:v>
                </c:pt>
                <c:pt idx="51">
                  <c:v>45204</c:v>
                </c:pt>
                <c:pt idx="52">
                  <c:v>45205</c:v>
                </c:pt>
                <c:pt idx="53">
                  <c:v>45206</c:v>
                </c:pt>
                <c:pt idx="54">
                  <c:v>45207</c:v>
                </c:pt>
                <c:pt idx="55">
                  <c:v>45208</c:v>
                </c:pt>
                <c:pt idx="56">
                  <c:v>45209</c:v>
                </c:pt>
                <c:pt idx="57">
                  <c:v>45210</c:v>
                </c:pt>
                <c:pt idx="58">
                  <c:v>45211</c:v>
                </c:pt>
                <c:pt idx="59">
                  <c:v>45212</c:v>
                </c:pt>
                <c:pt idx="60">
                  <c:v>45213</c:v>
                </c:pt>
                <c:pt idx="61">
                  <c:v>45214</c:v>
                </c:pt>
                <c:pt idx="62">
                  <c:v>45215</c:v>
                </c:pt>
                <c:pt idx="63">
                  <c:v>45216</c:v>
                </c:pt>
                <c:pt idx="64">
                  <c:v>45217</c:v>
                </c:pt>
                <c:pt idx="65">
                  <c:v>45218</c:v>
                </c:pt>
                <c:pt idx="66">
                  <c:v>45219</c:v>
                </c:pt>
                <c:pt idx="67">
                  <c:v>45220</c:v>
                </c:pt>
                <c:pt idx="68">
                  <c:v>45221</c:v>
                </c:pt>
                <c:pt idx="69">
                  <c:v>45222</c:v>
                </c:pt>
                <c:pt idx="70">
                  <c:v>45223</c:v>
                </c:pt>
                <c:pt idx="71">
                  <c:v>45224</c:v>
                </c:pt>
                <c:pt idx="72">
                  <c:v>45225</c:v>
                </c:pt>
                <c:pt idx="73">
                  <c:v>45226</c:v>
                </c:pt>
                <c:pt idx="74">
                  <c:v>45227</c:v>
                </c:pt>
                <c:pt idx="75">
                  <c:v>45228</c:v>
                </c:pt>
                <c:pt idx="76">
                  <c:v>45229</c:v>
                </c:pt>
                <c:pt idx="77">
                  <c:v>45230</c:v>
                </c:pt>
                <c:pt idx="78">
                  <c:v>45231</c:v>
                </c:pt>
                <c:pt idx="79">
                  <c:v>45232</c:v>
                </c:pt>
                <c:pt idx="80">
                  <c:v>45233</c:v>
                </c:pt>
                <c:pt idx="81">
                  <c:v>45234</c:v>
                </c:pt>
                <c:pt idx="82">
                  <c:v>45235</c:v>
                </c:pt>
                <c:pt idx="83">
                  <c:v>45236</c:v>
                </c:pt>
                <c:pt idx="84">
                  <c:v>45237</c:v>
                </c:pt>
                <c:pt idx="85">
                  <c:v>45238</c:v>
                </c:pt>
                <c:pt idx="86">
                  <c:v>45239</c:v>
                </c:pt>
                <c:pt idx="87">
                  <c:v>45240</c:v>
                </c:pt>
                <c:pt idx="88">
                  <c:v>45241</c:v>
                </c:pt>
                <c:pt idx="89">
                  <c:v>45242</c:v>
                </c:pt>
                <c:pt idx="90">
                  <c:v>45243</c:v>
                </c:pt>
                <c:pt idx="91">
                  <c:v>45244</c:v>
                </c:pt>
                <c:pt idx="92">
                  <c:v>45245</c:v>
                </c:pt>
                <c:pt idx="93">
                  <c:v>45246</c:v>
                </c:pt>
                <c:pt idx="94">
                  <c:v>45247</c:v>
                </c:pt>
                <c:pt idx="95">
                  <c:v>45248</c:v>
                </c:pt>
                <c:pt idx="96">
                  <c:v>45249</c:v>
                </c:pt>
                <c:pt idx="97">
                  <c:v>45250</c:v>
                </c:pt>
                <c:pt idx="98">
                  <c:v>45251</c:v>
                </c:pt>
                <c:pt idx="99">
                  <c:v>45252</c:v>
                </c:pt>
                <c:pt idx="100">
                  <c:v>45253</c:v>
                </c:pt>
                <c:pt idx="101">
                  <c:v>45254</c:v>
                </c:pt>
                <c:pt idx="102">
                  <c:v>45255</c:v>
                </c:pt>
                <c:pt idx="103">
                  <c:v>45256</c:v>
                </c:pt>
                <c:pt idx="104">
                  <c:v>45257</c:v>
                </c:pt>
                <c:pt idx="105">
                  <c:v>45258</c:v>
                </c:pt>
                <c:pt idx="106">
                  <c:v>45259</c:v>
                </c:pt>
                <c:pt idx="107">
                  <c:v>45260</c:v>
                </c:pt>
                <c:pt idx="108">
                  <c:v>45261</c:v>
                </c:pt>
                <c:pt idx="109">
                  <c:v>45262</c:v>
                </c:pt>
                <c:pt idx="110">
                  <c:v>45263</c:v>
                </c:pt>
                <c:pt idx="111">
                  <c:v>45264</c:v>
                </c:pt>
                <c:pt idx="112">
                  <c:v>45265</c:v>
                </c:pt>
                <c:pt idx="113">
                  <c:v>45266</c:v>
                </c:pt>
                <c:pt idx="114">
                  <c:v>45267</c:v>
                </c:pt>
                <c:pt idx="115">
                  <c:v>45268</c:v>
                </c:pt>
                <c:pt idx="116">
                  <c:v>45269</c:v>
                </c:pt>
                <c:pt idx="117">
                  <c:v>45270</c:v>
                </c:pt>
                <c:pt idx="118">
                  <c:v>45271</c:v>
                </c:pt>
                <c:pt idx="119">
                  <c:v>45272</c:v>
                </c:pt>
                <c:pt idx="120">
                  <c:v>45273</c:v>
                </c:pt>
                <c:pt idx="121">
                  <c:v>45274</c:v>
                </c:pt>
                <c:pt idx="122">
                  <c:v>45275</c:v>
                </c:pt>
                <c:pt idx="123">
                  <c:v>45276</c:v>
                </c:pt>
                <c:pt idx="124">
                  <c:v>45277</c:v>
                </c:pt>
                <c:pt idx="125">
                  <c:v>45278</c:v>
                </c:pt>
                <c:pt idx="126">
                  <c:v>45279</c:v>
                </c:pt>
                <c:pt idx="127">
                  <c:v>45280</c:v>
                </c:pt>
                <c:pt idx="128">
                  <c:v>45281</c:v>
                </c:pt>
                <c:pt idx="129">
                  <c:v>45282</c:v>
                </c:pt>
                <c:pt idx="130">
                  <c:v>45283</c:v>
                </c:pt>
                <c:pt idx="131">
                  <c:v>45284</c:v>
                </c:pt>
                <c:pt idx="132">
                  <c:v>45285</c:v>
                </c:pt>
                <c:pt idx="133">
                  <c:v>45286</c:v>
                </c:pt>
                <c:pt idx="134">
                  <c:v>45287</c:v>
                </c:pt>
                <c:pt idx="135">
                  <c:v>45288</c:v>
                </c:pt>
                <c:pt idx="136">
                  <c:v>45289</c:v>
                </c:pt>
                <c:pt idx="137">
                  <c:v>45290</c:v>
                </c:pt>
                <c:pt idx="138">
                  <c:v>45291</c:v>
                </c:pt>
                <c:pt idx="139">
                  <c:v>45292</c:v>
                </c:pt>
                <c:pt idx="140">
                  <c:v>45293</c:v>
                </c:pt>
                <c:pt idx="141">
                  <c:v>45294</c:v>
                </c:pt>
                <c:pt idx="142">
                  <c:v>45295</c:v>
                </c:pt>
                <c:pt idx="143">
                  <c:v>45296</c:v>
                </c:pt>
                <c:pt idx="144">
                  <c:v>45297</c:v>
                </c:pt>
                <c:pt idx="145">
                  <c:v>45298</c:v>
                </c:pt>
                <c:pt idx="146">
                  <c:v>45299</c:v>
                </c:pt>
                <c:pt idx="147">
                  <c:v>45300</c:v>
                </c:pt>
                <c:pt idx="148">
                  <c:v>45301</c:v>
                </c:pt>
                <c:pt idx="149">
                  <c:v>45302</c:v>
                </c:pt>
                <c:pt idx="150">
                  <c:v>45303</c:v>
                </c:pt>
                <c:pt idx="151">
                  <c:v>45304</c:v>
                </c:pt>
                <c:pt idx="152">
                  <c:v>45305</c:v>
                </c:pt>
                <c:pt idx="153">
                  <c:v>45306</c:v>
                </c:pt>
                <c:pt idx="154">
                  <c:v>45307</c:v>
                </c:pt>
                <c:pt idx="155">
                  <c:v>45308</c:v>
                </c:pt>
                <c:pt idx="156">
                  <c:v>45309</c:v>
                </c:pt>
                <c:pt idx="157">
                  <c:v>45310</c:v>
                </c:pt>
                <c:pt idx="158">
                  <c:v>45311</c:v>
                </c:pt>
                <c:pt idx="159">
                  <c:v>45312</c:v>
                </c:pt>
                <c:pt idx="160">
                  <c:v>45313</c:v>
                </c:pt>
                <c:pt idx="161">
                  <c:v>45314</c:v>
                </c:pt>
                <c:pt idx="162">
                  <c:v>45315</c:v>
                </c:pt>
                <c:pt idx="163">
                  <c:v>45316</c:v>
                </c:pt>
                <c:pt idx="164">
                  <c:v>45317</c:v>
                </c:pt>
                <c:pt idx="165">
                  <c:v>45318</c:v>
                </c:pt>
                <c:pt idx="166">
                  <c:v>45319</c:v>
                </c:pt>
                <c:pt idx="167">
                  <c:v>45320</c:v>
                </c:pt>
                <c:pt idx="168">
                  <c:v>45321</c:v>
                </c:pt>
                <c:pt idx="169">
                  <c:v>45322</c:v>
                </c:pt>
                <c:pt idx="170">
                  <c:v>45323</c:v>
                </c:pt>
                <c:pt idx="171">
                  <c:v>45324</c:v>
                </c:pt>
                <c:pt idx="172">
                  <c:v>45325</c:v>
                </c:pt>
                <c:pt idx="173">
                  <c:v>45326</c:v>
                </c:pt>
                <c:pt idx="174">
                  <c:v>45327</c:v>
                </c:pt>
                <c:pt idx="175">
                  <c:v>45328</c:v>
                </c:pt>
                <c:pt idx="176">
                  <c:v>45329</c:v>
                </c:pt>
                <c:pt idx="177">
                  <c:v>45330</c:v>
                </c:pt>
                <c:pt idx="178">
                  <c:v>45331</c:v>
                </c:pt>
                <c:pt idx="179">
                  <c:v>45332</c:v>
                </c:pt>
                <c:pt idx="180">
                  <c:v>45333</c:v>
                </c:pt>
                <c:pt idx="181">
                  <c:v>45334</c:v>
                </c:pt>
                <c:pt idx="182">
                  <c:v>45335</c:v>
                </c:pt>
                <c:pt idx="183">
                  <c:v>45336</c:v>
                </c:pt>
                <c:pt idx="184">
                  <c:v>45337</c:v>
                </c:pt>
                <c:pt idx="185">
                  <c:v>45338</c:v>
                </c:pt>
                <c:pt idx="186">
                  <c:v>45339</c:v>
                </c:pt>
                <c:pt idx="187">
                  <c:v>45340</c:v>
                </c:pt>
                <c:pt idx="188">
                  <c:v>45341</c:v>
                </c:pt>
                <c:pt idx="189">
                  <c:v>45342</c:v>
                </c:pt>
                <c:pt idx="190">
                  <c:v>45343</c:v>
                </c:pt>
                <c:pt idx="191">
                  <c:v>45344</c:v>
                </c:pt>
                <c:pt idx="192">
                  <c:v>45345</c:v>
                </c:pt>
                <c:pt idx="193">
                  <c:v>45346</c:v>
                </c:pt>
                <c:pt idx="194">
                  <c:v>45347</c:v>
                </c:pt>
                <c:pt idx="195">
                  <c:v>45348</c:v>
                </c:pt>
                <c:pt idx="196">
                  <c:v>45349</c:v>
                </c:pt>
                <c:pt idx="197">
                  <c:v>45350</c:v>
                </c:pt>
                <c:pt idx="198">
                  <c:v>45351</c:v>
                </c:pt>
                <c:pt idx="199">
                  <c:v>45352</c:v>
                </c:pt>
                <c:pt idx="200">
                  <c:v>45353</c:v>
                </c:pt>
                <c:pt idx="201">
                  <c:v>45354</c:v>
                </c:pt>
                <c:pt idx="202">
                  <c:v>45355</c:v>
                </c:pt>
                <c:pt idx="203">
                  <c:v>45356</c:v>
                </c:pt>
                <c:pt idx="204">
                  <c:v>45357</c:v>
                </c:pt>
                <c:pt idx="205">
                  <c:v>45358</c:v>
                </c:pt>
                <c:pt idx="206">
                  <c:v>45359</c:v>
                </c:pt>
                <c:pt idx="207">
                  <c:v>45360</c:v>
                </c:pt>
                <c:pt idx="208">
                  <c:v>45361</c:v>
                </c:pt>
                <c:pt idx="209">
                  <c:v>45362</c:v>
                </c:pt>
                <c:pt idx="210">
                  <c:v>45363</c:v>
                </c:pt>
                <c:pt idx="211">
                  <c:v>45364</c:v>
                </c:pt>
                <c:pt idx="212">
                  <c:v>45365</c:v>
                </c:pt>
                <c:pt idx="213">
                  <c:v>45366</c:v>
                </c:pt>
                <c:pt idx="214">
                  <c:v>45367</c:v>
                </c:pt>
                <c:pt idx="215">
                  <c:v>45368</c:v>
                </c:pt>
                <c:pt idx="216">
                  <c:v>45369</c:v>
                </c:pt>
                <c:pt idx="217">
                  <c:v>45370</c:v>
                </c:pt>
                <c:pt idx="218">
                  <c:v>45371</c:v>
                </c:pt>
                <c:pt idx="219">
                  <c:v>45372</c:v>
                </c:pt>
                <c:pt idx="220">
                  <c:v>45373</c:v>
                </c:pt>
                <c:pt idx="221">
                  <c:v>45374</c:v>
                </c:pt>
                <c:pt idx="222">
                  <c:v>45375</c:v>
                </c:pt>
                <c:pt idx="223">
                  <c:v>45376</c:v>
                </c:pt>
                <c:pt idx="224">
                  <c:v>45377</c:v>
                </c:pt>
                <c:pt idx="225">
                  <c:v>45378</c:v>
                </c:pt>
                <c:pt idx="226">
                  <c:v>45379</c:v>
                </c:pt>
                <c:pt idx="227">
                  <c:v>45380</c:v>
                </c:pt>
                <c:pt idx="228">
                  <c:v>45381</c:v>
                </c:pt>
                <c:pt idx="229">
                  <c:v>45382</c:v>
                </c:pt>
                <c:pt idx="230">
                  <c:v>45383</c:v>
                </c:pt>
                <c:pt idx="231">
                  <c:v>45384</c:v>
                </c:pt>
                <c:pt idx="232">
                  <c:v>45385</c:v>
                </c:pt>
                <c:pt idx="233">
                  <c:v>45386</c:v>
                </c:pt>
                <c:pt idx="234">
                  <c:v>45387</c:v>
                </c:pt>
                <c:pt idx="235">
                  <c:v>45388</c:v>
                </c:pt>
                <c:pt idx="236">
                  <c:v>45389</c:v>
                </c:pt>
                <c:pt idx="237">
                  <c:v>45390</c:v>
                </c:pt>
                <c:pt idx="238">
                  <c:v>45391</c:v>
                </c:pt>
                <c:pt idx="239">
                  <c:v>45392</c:v>
                </c:pt>
                <c:pt idx="240">
                  <c:v>45393</c:v>
                </c:pt>
                <c:pt idx="241">
                  <c:v>45394</c:v>
                </c:pt>
                <c:pt idx="242">
                  <c:v>45395</c:v>
                </c:pt>
                <c:pt idx="243">
                  <c:v>45396</c:v>
                </c:pt>
                <c:pt idx="244">
                  <c:v>45397</c:v>
                </c:pt>
                <c:pt idx="245">
                  <c:v>45398</c:v>
                </c:pt>
                <c:pt idx="246">
                  <c:v>45399</c:v>
                </c:pt>
                <c:pt idx="247">
                  <c:v>45400</c:v>
                </c:pt>
                <c:pt idx="248">
                  <c:v>45401</c:v>
                </c:pt>
                <c:pt idx="249">
                  <c:v>45402</c:v>
                </c:pt>
                <c:pt idx="250">
                  <c:v>45403</c:v>
                </c:pt>
                <c:pt idx="251">
                  <c:v>45404</c:v>
                </c:pt>
                <c:pt idx="252">
                  <c:v>45405</c:v>
                </c:pt>
                <c:pt idx="253">
                  <c:v>45406</c:v>
                </c:pt>
                <c:pt idx="254">
                  <c:v>45407</c:v>
                </c:pt>
                <c:pt idx="255">
                  <c:v>45408</c:v>
                </c:pt>
                <c:pt idx="256">
                  <c:v>45409</c:v>
                </c:pt>
                <c:pt idx="257">
                  <c:v>45410</c:v>
                </c:pt>
                <c:pt idx="258">
                  <c:v>45411</c:v>
                </c:pt>
                <c:pt idx="259">
                  <c:v>45412</c:v>
                </c:pt>
                <c:pt idx="260">
                  <c:v>45413</c:v>
                </c:pt>
                <c:pt idx="261">
                  <c:v>45414</c:v>
                </c:pt>
                <c:pt idx="262">
                  <c:v>45415</c:v>
                </c:pt>
                <c:pt idx="263">
                  <c:v>45416</c:v>
                </c:pt>
                <c:pt idx="264">
                  <c:v>45417</c:v>
                </c:pt>
                <c:pt idx="265">
                  <c:v>45418</c:v>
                </c:pt>
                <c:pt idx="266">
                  <c:v>45419</c:v>
                </c:pt>
                <c:pt idx="267">
                  <c:v>45420</c:v>
                </c:pt>
                <c:pt idx="268">
                  <c:v>45421</c:v>
                </c:pt>
                <c:pt idx="269">
                  <c:v>45422</c:v>
                </c:pt>
                <c:pt idx="270">
                  <c:v>45423</c:v>
                </c:pt>
                <c:pt idx="271">
                  <c:v>45424</c:v>
                </c:pt>
                <c:pt idx="272">
                  <c:v>45425</c:v>
                </c:pt>
                <c:pt idx="273">
                  <c:v>45426</c:v>
                </c:pt>
                <c:pt idx="274">
                  <c:v>45427</c:v>
                </c:pt>
                <c:pt idx="275">
                  <c:v>45428</c:v>
                </c:pt>
                <c:pt idx="276">
                  <c:v>45429</c:v>
                </c:pt>
                <c:pt idx="277">
                  <c:v>45430</c:v>
                </c:pt>
                <c:pt idx="278">
                  <c:v>45431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Interface'!$V$6:$V$495</c:f>
              <c:numCache>
                <c:formatCode>General</c:formatCode>
                <c:ptCount val="490"/>
                <c:pt idx="0">
                  <c:v>23.796297973366201</c:v>
                </c:pt>
                <c:pt idx="1">
                  <c:v>24.425023964354601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8.7748006127012594</c:v>
                </c:pt>
                <c:pt idx="17">
                  <c:v>8.9311215161102009</c:v>
                </c:pt>
                <c:pt idx="18">
                  <c:v>9.0985585456304996</c:v>
                </c:pt>
                <c:pt idx="19">
                  <c:v>9.2636196419439294</c:v>
                </c:pt>
                <c:pt idx="20">
                  <c:v>9.4311455069204992</c:v>
                </c:pt>
                <c:pt idx="21">
                  <c:v>9.5968602188961096</c:v>
                </c:pt>
                <c:pt idx="22">
                  <c:v>9.7740003800218993</c:v>
                </c:pt>
                <c:pt idx="23">
                  <c:v>9.9555220281929593</c:v>
                </c:pt>
                <c:pt idx="24">
                  <c:v>10.132772304842</c:v>
                </c:pt>
                <c:pt idx="25">
                  <c:v>10.3008756235056</c:v>
                </c:pt>
                <c:pt idx="26">
                  <c:v>10.4928336344753</c:v>
                </c:pt>
                <c:pt idx="27">
                  <c:v>10.703693753574001</c:v>
                </c:pt>
                <c:pt idx="28">
                  <c:v>10.916727911761001</c:v>
                </c:pt>
                <c:pt idx="29">
                  <c:v>11.1284814687056</c:v>
                </c:pt>
                <c:pt idx="30">
                  <c:v>11.3552908124894</c:v>
                </c:pt>
                <c:pt idx="31">
                  <c:v>11.605470879395</c:v>
                </c:pt>
                <c:pt idx="32">
                  <c:v>11.856690221997599</c:v>
                </c:pt>
                <c:pt idx="33">
                  <c:v>12.0976586830378</c:v>
                </c:pt>
                <c:pt idx="34">
                  <c:v>12.3372875378865</c:v>
                </c:pt>
                <c:pt idx="35">
                  <c:v>12.5885391382314</c:v>
                </c:pt>
                <c:pt idx="36">
                  <c:v>12.834847927900199</c:v>
                </c:pt>
                <c:pt idx="37">
                  <c:v>13.0984565637152</c:v>
                </c:pt>
                <c:pt idx="38">
                  <c:v>13.358167801487999</c:v>
                </c:pt>
                <c:pt idx="39">
                  <c:v>13.617247964511799</c:v>
                </c:pt>
                <c:pt idx="40">
                  <c:v>13.894948455724901</c:v>
                </c:pt>
                <c:pt idx="41">
                  <c:v>14.164428931418</c:v>
                </c:pt>
                <c:pt idx="42">
                  <c:v>14.462469934664799</c:v>
                </c:pt>
                <c:pt idx="43">
                  <c:v>14.7726738228328</c:v>
                </c:pt>
                <c:pt idx="44">
                  <c:v>15.081753733306501</c:v>
                </c:pt>
                <c:pt idx="45">
                  <c:v>15.3931594036085</c:v>
                </c:pt>
                <c:pt idx="46">
                  <c:v>15.7483591183606</c:v>
                </c:pt>
                <c:pt idx="47">
                  <c:v>16.1127068775513</c:v>
                </c:pt>
                <c:pt idx="48">
                  <c:v>16.495245805652502</c:v>
                </c:pt>
                <c:pt idx="49">
                  <c:v>16.861362203738899</c:v>
                </c:pt>
                <c:pt idx="50">
                  <c:v>17.225808624527399</c:v>
                </c:pt>
                <c:pt idx="51">
                  <c:v>17.594980473029601</c:v>
                </c:pt>
                <c:pt idx="52">
                  <c:v>17.992639844589299</c:v>
                </c:pt>
                <c:pt idx="53">
                  <c:v>18.402131413216999</c:v>
                </c:pt>
                <c:pt idx="54">
                  <c:v>18.793310729253299</c:v>
                </c:pt>
                <c:pt idx="55">
                  <c:v>19.180236920528799</c:v>
                </c:pt>
                <c:pt idx="56">
                  <c:v>19.5721683013881</c:v>
                </c:pt>
                <c:pt idx="57">
                  <c:v>19.999370332133498</c:v>
                </c:pt>
                <c:pt idx="58">
                  <c:v>20.487416976305902</c:v>
                </c:pt>
                <c:pt idx="59">
                  <c:v>20.9630115789634</c:v>
                </c:pt>
                <c:pt idx="60">
                  <c:v>21.433717708811699</c:v>
                </c:pt>
                <c:pt idx="61">
                  <c:v>21.902837865357299</c:v>
                </c:pt>
                <c:pt idx="62">
                  <c:v>22.406872858243599</c:v>
                </c:pt>
                <c:pt idx="63">
                  <c:v>22.958171084836799</c:v>
                </c:pt>
                <c:pt idx="64">
                  <c:v>23.493510011552701</c:v>
                </c:pt>
                <c:pt idx="65">
                  <c:v>24.039297769170801</c:v>
                </c:pt>
                <c:pt idx="66">
                  <c:v>24.600119825018599</c:v>
                </c:pt>
                <c:pt idx="67">
                  <c:v>25.227280596404199</c:v>
                </c:pt>
                <c:pt idx="68">
                  <c:v>25.8144656302198</c:v>
                </c:pt>
                <c:pt idx="69">
                  <c:v>26.411203583520599</c:v>
                </c:pt>
                <c:pt idx="70">
                  <c:v>27.024809873379098</c:v>
                </c:pt>
                <c:pt idx="71">
                  <c:v>27.663553972880301</c:v>
                </c:pt>
                <c:pt idx="72">
                  <c:v>28.375306850106799</c:v>
                </c:pt>
                <c:pt idx="73">
                  <c:v>29.0765853937075</c:v>
                </c:pt>
                <c:pt idx="74">
                  <c:v>29.8310898911922</c:v>
                </c:pt>
                <c:pt idx="75">
                  <c:v>30.6148537074898</c:v>
                </c:pt>
                <c:pt idx="76">
                  <c:v>31.396710633640598</c:v>
                </c:pt>
                <c:pt idx="77">
                  <c:v>32.193289815420599</c:v>
                </c:pt>
                <c:pt idx="78">
                  <c:v>33.0493130910573</c:v>
                </c:pt>
                <c:pt idx="79">
                  <c:v>33.881454562835202</c:v>
                </c:pt>
                <c:pt idx="80">
                  <c:v>34.7467329245031</c:v>
                </c:pt>
                <c:pt idx="81">
                  <c:v>35.636219523208602</c:v>
                </c:pt>
                <c:pt idx="82">
                  <c:v>36.5343881195897</c:v>
                </c:pt>
                <c:pt idx="83">
                  <c:v>37.415369316314198</c:v>
                </c:pt>
                <c:pt idx="84">
                  <c:v>38.336663711842597</c:v>
                </c:pt>
                <c:pt idx="85">
                  <c:v>39.274439531171602</c:v>
                </c:pt>
                <c:pt idx="86">
                  <c:v>40.2539021417548</c:v>
                </c:pt>
                <c:pt idx="87">
                  <c:v>41.375619765091301</c:v>
                </c:pt>
                <c:pt idx="88">
                  <c:v>42.470843523754397</c:v>
                </c:pt>
                <c:pt idx="89">
                  <c:v>43.562614307060798</c:v>
                </c:pt>
                <c:pt idx="90">
                  <c:v>44.604763966194703</c:v>
                </c:pt>
                <c:pt idx="91">
                  <c:v>45.718855808090403</c:v>
                </c:pt>
                <c:pt idx="92">
                  <c:v>46.896323827386297</c:v>
                </c:pt>
                <c:pt idx="93">
                  <c:v>48.131685882409698</c:v>
                </c:pt>
                <c:pt idx="94">
                  <c:v>49.314336012298398</c:v>
                </c:pt>
                <c:pt idx="95">
                  <c:v>50.472576753156503</c:v>
                </c:pt>
                <c:pt idx="96">
                  <c:v>51.635003545391797</c:v>
                </c:pt>
                <c:pt idx="97">
                  <c:v>52.908584862935797</c:v>
                </c:pt>
                <c:pt idx="98">
                  <c:v>54.200901767539001</c:v>
                </c:pt>
                <c:pt idx="99">
                  <c:v>55.449381429172703</c:v>
                </c:pt>
                <c:pt idx="100">
                  <c:v>56.863623579623798</c:v>
                </c:pt>
                <c:pt idx="101">
                  <c:v>58.340018531312403</c:v>
                </c:pt>
                <c:pt idx="102">
                  <c:v>59.885526187603602</c:v>
                </c:pt>
                <c:pt idx="103">
                  <c:v>61.433200268118803</c:v>
                </c:pt>
                <c:pt idx="104">
                  <c:v>62.978854347427699</c:v>
                </c:pt>
                <c:pt idx="105">
                  <c:v>64.532705019506096</c:v>
                </c:pt>
                <c:pt idx="106">
                  <c:v>66.083915487178899</c:v>
                </c:pt>
                <c:pt idx="107">
                  <c:v>67.716791782725906</c:v>
                </c:pt>
                <c:pt idx="108">
                  <c:v>69.505893661696504</c:v>
                </c:pt>
                <c:pt idx="109">
                  <c:v>71.368030268868594</c:v>
                </c:pt>
                <c:pt idx="110">
                  <c:v>73.354573944256899</c:v>
                </c:pt>
                <c:pt idx="111">
                  <c:v>75.329937779524698</c:v>
                </c:pt>
                <c:pt idx="112">
                  <c:v>77.334576329214897</c:v>
                </c:pt>
                <c:pt idx="113">
                  <c:v>79.298619539005799</c:v>
                </c:pt>
                <c:pt idx="114">
                  <c:v>81.376900498111397</c:v>
                </c:pt>
                <c:pt idx="115">
                  <c:v>83.505526539801807</c:v>
                </c:pt>
                <c:pt idx="116">
                  <c:v>85.580250435620897</c:v>
                </c:pt>
                <c:pt idx="117">
                  <c:v>87.799849016427402</c:v>
                </c:pt>
                <c:pt idx="118">
                  <c:v>90.221708066393504</c:v>
                </c:pt>
                <c:pt idx="119">
                  <c:v>92.802205304380806</c:v>
                </c:pt>
                <c:pt idx="120">
                  <c:v>95.277097772938404</c:v>
                </c:pt>
                <c:pt idx="121">
                  <c:v>97.682940130895702</c:v>
                </c:pt>
                <c:pt idx="122">
                  <c:v>100.317515748175</c:v>
                </c:pt>
                <c:pt idx="123">
                  <c:v>102.92927694812801</c:v>
                </c:pt>
                <c:pt idx="124">
                  <c:v>105.536003935705</c:v>
                </c:pt>
                <c:pt idx="125">
                  <c:v>108.23398168669399</c:v>
                </c:pt>
                <c:pt idx="126">
                  <c:v>110.985366662818</c:v>
                </c:pt>
                <c:pt idx="127">
                  <c:v>113.723832498709</c:v>
                </c:pt>
                <c:pt idx="128">
                  <c:v>116.47211258563399</c:v>
                </c:pt>
                <c:pt idx="129">
                  <c:v>119.32695611071</c:v>
                </c:pt>
                <c:pt idx="130">
                  <c:v>122.187177078956</c:v>
                </c:pt>
                <c:pt idx="131">
                  <c:v>125.21761400996201</c:v>
                </c:pt>
                <c:pt idx="132">
                  <c:v>128.30640975324101</c:v>
                </c:pt>
                <c:pt idx="133">
                  <c:v>131.31047422325699</c:v>
                </c:pt>
                <c:pt idx="134">
                  <c:v>134.71585456894101</c:v>
                </c:pt>
                <c:pt idx="135">
                  <c:v>138.22454578104399</c:v>
                </c:pt>
                <c:pt idx="136">
                  <c:v>141.504950506987</c:v>
                </c:pt>
                <c:pt idx="137">
                  <c:v>144.94478232606599</c:v>
                </c:pt>
                <c:pt idx="138">
                  <c:v>148.32348732592399</c:v>
                </c:pt>
                <c:pt idx="139">
                  <c:v>151.82066250669001</c:v>
                </c:pt>
                <c:pt idx="140">
                  <c:v>155.57772747358101</c:v>
                </c:pt>
                <c:pt idx="141">
                  <c:v>159.304869914439</c:v>
                </c:pt>
                <c:pt idx="142">
                  <c:v>162.841912865007</c:v>
                </c:pt>
                <c:pt idx="143">
                  <c:v>166.47905819042401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0.71645737716021196</c:v>
                </c:pt>
                <c:pt idx="159">
                  <c:v>0.75671087688501104</c:v>
                </c:pt>
                <c:pt idx="160">
                  <c:v>0.80111745525774003</c:v>
                </c:pt>
                <c:pt idx="161">
                  <c:v>0.84523193090739301</c:v>
                </c:pt>
                <c:pt idx="162">
                  <c:v>0.89077004094208101</c:v>
                </c:pt>
                <c:pt idx="163">
                  <c:v>0.93828723252517698</c:v>
                </c:pt>
                <c:pt idx="164">
                  <c:v>0.98747259040123903</c:v>
                </c:pt>
                <c:pt idx="165">
                  <c:v>1.0388366667528299</c:v>
                </c:pt>
                <c:pt idx="166">
                  <c:v>1.09520564355773</c:v>
                </c:pt>
                <c:pt idx="167">
                  <c:v>1.1560980983378899</c:v>
                </c:pt>
                <c:pt idx="168">
                  <c:v>1.22225989977143</c:v>
                </c:pt>
                <c:pt idx="169">
                  <c:v>1.2925374850767799</c:v>
                </c:pt>
                <c:pt idx="170">
                  <c:v>1.3643402272602001</c:v>
                </c:pt>
                <c:pt idx="171">
                  <c:v>1.4354197702585401</c:v>
                </c:pt>
                <c:pt idx="172">
                  <c:v>1.5091653765091699</c:v>
                </c:pt>
                <c:pt idx="173">
                  <c:v>1.5942185987305899</c:v>
                </c:pt>
                <c:pt idx="174">
                  <c:v>1.6744407270650401</c:v>
                </c:pt>
                <c:pt idx="175">
                  <c:v>1.76094442036221</c:v>
                </c:pt>
                <c:pt idx="176">
                  <c:v>1.85162244279321</c:v>
                </c:pt>
                <c:pt idx="177">
                  <c:v>1.9486511039368799</c:v>
                </c:pt>
                <c:pt idx="178">
                  <c:v>2.0511029072714702</c:v>
                </c:pt>
                <c:pt idx="179">
                  <c:v>2.1580257192882799</c:v>
                </c:pt>
                <c:pt idx="180">
                  <c:v>2.2743879959353701</c:v>
                </c:pt>
                <c:pt idx="181">
                  <c:v>2.40015555386656</c:v>
                </c:pt>
                <c:pt idx="182">
                  <c:v>2.5205028042476898</c:v>
                </c:pt>
                <c:pt idx="183">
                  <c:v>2.6423955787532498</c:v>
                </c:pt>
                <c:pt idx="184">
                  <c:v>2.76631516530967</c:v>
                </c:pt>
                <c:pt idx="185">
                  <c:v>2.9003900979019299</c:v>
                </c:pt>
                <c:pt idx="186">
                  <c:v>3.0504123631342499</c:v>
                </c:pt>
                <c:pt idx="187">
                  <c:v>3.2113832844011099</c:v>
                </c:pt>
                <c:pt idx="188">
                  <c:v>3.37432438180018</c:v>
                </c:pt>
                <c:pt idx="189">
                  <c:v>3.5412526910690998</c:v>
                </c:pt>
                <c:pt idx="190">
                  <c:v>3.7159746344878699</c:v>
                </c:pt>
                <c:pt idx="191">
                  <c:v>3.8949768680700898</c:v>
                </c:pt>
                <c:pt idx="192">
                  <c:v>4.07801974414466</c:v>
                </c:pt>
                <c:pt idx="193">
                  <c:v>4.2769789484106298</c:v>
                </c:pt>
                <c:pt idx="194">
                  <c:v>4.4768884988525404</c:v>
                </c:pt>
                <c:pt idx="195">
                  <c:v>4.6848976349722804</c:v>
                </c:pt>
                <c:pt idx="196">
                  <c:v>4.9013542126493501</c:v>
                </c:pt>
                <c:pt idx="197">
                  <c:v>5.1243759237830702</c:v>
                </c:pt>
                <c:pt idx="198">
                  <c:v>5.3586819597201201</c:v>
                </c:pt>
                <c:pt idx="199">
                  <c:v>5.5974250626758097</c:v>
                </c:pt>
                <c:pt idx="200">
                  <c:v>5.8329812109174597</c:v>
                </c:pt>
                <c:pt idx="201">
                  <c:v>6.0667519891573196</c:v>
                </c:pt>
                <c:pt idx="202">
                  <c:v>6.3274630467842004</c:v>
                </c:pt>
                <c:pt idx="203">
                  <c:v>6.6010068065753504</c:v>
                </c:pt>
                <c:pt idx="204">
                  <c:v>6.86622562382433</c:v>
                </c:pt>
                <c:pt idx="205">
                  <c:v>7.1453845409224597</c:v>
                </c:pt>
                <c:pt idx="206">
                  <c:v>7.41992721393546</c:v>
                </c:pt>
                <c:pt idx="207">
                  <c:v>7.7251516042219297</c:v>
                </c:pt>
                <c:pt idx="208">
                  <c:v>8.0247471506044405</c:v>
                </c:pt>
                <c:pt idx="209">
                  <c:v>8.3307399669001398</c:v>
                </c:pt>
                <c:pt idx="210">
                  <c:v>8.6502838480979598</c:v>
                </c:pt>
                <c:pt idx="211">
                  <c:v>8.9714218141063604</c:v>
                </c:pt>
                <c:pt idx="212">
                  <c:v>9.3027316368534105</c:v>
                </c:pt>
                <c:pt idx="213">
                  <c:v>9.64266987267664</c:v>
                </c:pt>
                <c:pt idx="214">
                  <c:v>9.9864451520168895</c:v>
                </c:pt>
                <c:pt idx="215">
                  <c:v>10.312196322697201</c:v>
                </c:pt>
                <c:pt idx="216">
                  <c:v>10.665252259195499</c:v>
                </c:pt>
                <c:pt idx="217">
                  <c:v>11.0447177477797</c:v>
                </c:pt>
                <c:pt idx="218">
                  <c:v>11.4217197041646</c:v>
                </c:pt>
                <c:pt idx="219">
                  <c:v>11.7952583414584</c:v>
                </c:pt>
                <c:pt idx="220">
                  <c:v>12.1605909574147</c:v>
                </c:pt>
                <c:pt idx="221">
                  <c:v>12.535102902481199</c:v>
                </c:pt>
                <c:pt idx="222">
                  <c:v>12.923317641869501</c:v>
                </c:pt>
                <c:pt idx="223">
                  <c:v>13.295653111927001</c:v>
                </c:pt>
                <c:pt idx="224">
                  <c:v>13.6966717941567</c:v>
                </c:pt>
                <c:pt idx="225">
                  <c:v>14.115813677200199</c:v>
                </c:pt>
                <c:pt idx="226">
                  <c:v>14.5384354239602</c:v>
                </c:pt>
                <c:pt idx="227">
                  <c:v>14.9677434283208</c:v>
                </c:pt>
                <c:pt idx="228">
                  <c:v>15.3749153296554</c:v>
                </c:pt>
                <c:pt idx="229">
                  <c:v>15.768905764711301</c:v>
                </c:pt>
                <c:pt idx="230">
                  <c:v>16.182097478956099</c:v>
                </c:pt>
                <c:pt idx="231">
                  <c:v>16.585837831256299</c:v>
                </c:pt>
                <c:pt idx="232">
                  <c:v>16.9761085008804</c:v>
                </c:pt>
                <c:pt idx="233">
                  <c:v>17.3610162119862</c:v>
                </c:pt>
                <c:pt idx="234">
                  <c:v>17.751585034769501</c:v>
                </c:pt>
                <c:pt idx="235">
                  <c:v>18.1400714000278</c:v>
                </c:pt>
                <c:pt idx="236">
                  <c:v>18.530260649439899</c:v>
                </c:pt>
                <c:pt idx="237">
                  <c:v>18.903826943440201</c:v>
                </c:pt>
                <c:pt idx="238">
                  <c:v>19.247036373891302</c:v>
                </c:pt>
                <c:pt idx="239">
                  <c:v>19.597506979115199</c:v>
                </c:pt>
                <c:pt idx="240">
                  <c:v>19.942742167309799</c:v>
                </c:pt>
                <c:pt idx="241">
                  <c:v>20.3008950147854</c:v>
                </c:pt>
                <c:pt idx="242">
                  <c:v>20.646219863140701</c:v>
                </c:pt>
                <c:pt idx="243">
                  <c:v>21.0190898917113</c:v>
                </c:pt>
                <c:pt idx="244">
                  <c:v>21.3791100202391</c:v>
                </c:pt>
                <c:pt idx="245">
                  <c:v>21.7439621780387</c:v>
                </c:pt>
                <c:pt idx="246">
                  <c:v>22.085833306395902</c:v>
                </c:pt>
                <c:pt idx="247">
                  <c:v>22.428922811480401</c:v>
                </c:pt>
                <c:pt idx="248">
                  <c:v>22.7806639814692</c:v>
                </c:pt>
                <c:pt idx="249">
                  <c:v>23.103747217210199</c:v>
                </c:pt>
                <c:pt idx="250">
                  <c:v>23.4190654667585</c:v>
                </c:pt>
                <c:pt idx="251">
                  <c:v>23.748255839967499</c:v>
                </c:pt>
                <c:pt idx="252">
                  <c:v>24.057898118690499</c:v>
                </c:pt>
                <c:pt idx="253">
                  <c:v>24.379842607079599</c:v>
                </c:pt>
                <c:pt idx="254">
                  <c:v>24.702480124855398</c:v>
                </c:pt>
                <c:pt idx="255">
                  <c:v>25.025230457651801</c:v>
                </c:pt>
                <c:pt idx="256">
                  <c:v>25.351970745804799</c:v>
                </c:pt>
                <c:pt idx="257">
                  <c:v>25.640027964314399</c:v>
                </c:pt>
                <c:pt idx="258">
                  <c:v>25.917523464686202</c:v>
                </c:pt>
                <c:pt idx="259">
                  <c:v>26.182494336847999</c:v>
                </c:pt>
                <c:pt idx="260">
                  <c:v>26.447191740732201</c:v>
                </c:pt>
                <c:pt idx="261">
                  <c:v>26.707168241732202</c:v>
                </c:pt>
                <c:pt idx="262">
                  <c:v>26.977067052663202</c:v>
                </c:pt>
                <c:pt idx="263">
                  <c:v>27.24224264815</c:v>
                </c:pt>
                <c:pt idx="264">
                  <c:v>27.522924508920202</c:v>
                </c:pt>
                <c:pt idx="265">
                  <c:v>27.788420659926999</c:v>
                </c:pt>
                <c:pt idx="266">
                  <c:v>28.024917342212198</c:v>
                </c:pt>
                <c:pt idx="267">
                  <c:v>28.2612035634147</c:v>
                </c:pt>
                <c:pt idx="268">
                  <c:v>28.4909447752533</c:v>
                </c:pt>
                <c:pt idx="269">
                  <c:v>28.724521174159701</c:v>
                </c:pt>
                <c:pt idx="270">
                  <c:v>28.961901518043799</c:v>
                </c:pt>
                <c:pt idx="271">
                  <c:v>29.1810610981221</c:v>
                </c:pt>
                <c:pt idx="272">
                  <c:v>29.393885266554999</c:v>
                </c:pt>
                <c:pt idx="273">
                  <c:v>29.594598517994498</c:v>
                </c:pt>
                <c:pt idx="274">
                  <c:v>29.803139803242999</c:v>
                </c:pt>
                <c:pt idx="275">
                  <c:v>29.989892006361099</c:v>
                </c:pt>
                <c:pt idx="276">
                  <c:v>30.168950391816999</c:v>
                </c:pt>
                <c:pt idx="277">
                  <c:v>30.351069707461502</c:v>
                </c:pt>
                <c:pt idx="278">
                  <c:v>30.5312799554432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2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Interface'!$Q$6:$Q$495</c:f>
              <c:numCache>
                <c:formatCode>General</c:formatCode>
                <c:ptCount val="490"/>
                <c:pt idx="0">
                  <c:v>49.957224995404836</c:v>
                </c:pt>
                <c:pt idx="1">
                  <c:v>49.947000316391247</c:v>
                </c:pt>
                <c:pt idx="2">
                  <c:v>50.742591217858362</c:v>
                </c:pt>
                <c:pt idx="3">
                  <c:v>51.520801119637056</c:v>
                </c:pt>
                <c:pt idx="4">
                  <c:v>52.254603297933095</c:v>
                </c:pt>
                <c:pt idx="5">
                  <c:v>52.974342108107372</c:v>
                </c:pt>
                <c:pt idx="6">
                  <c:v>53.654763668612084</c:v>
                </c:pt>
                <c:pt idx="7">
                  <c:v>54.340875905274316</c:v>
                </c:pt>
                <c:pt idx="8">
                  <c:v>55.023873826672968</c:v>
                </c:pt>
                <c:pt idx="9">
                  <c:v>55.728369802503586</c:v>
                </c:pt>
                <c:pt idx="10">
                  <c:v>56.434476266782845</c:v>
                </c:pt>
                <c:pt idx="11">
                  <c:v>57.12556283285074</c:v>
                </c:pt>
                <c:pt idx="12">
                  <c:v>57.807901791905429</c:v>
                </c:pt>
                <c:pt idx="13">
                  <c:v>58.503196538299676</c:v>
                </c:pt>
                <c:pt idx="14">
                  <c:v>59.164643800360395</c:v>
                </c:pt>
                <c:pt idx="15">
                  <c:v>59.859859649620894</c:v>
                </c:pt>
                <c:pt idx="16">
                  <c:v>60.483764748387273</c:v>
                </c:pt>
                <c:pt idx="17">
                  <c:v>60.992393057593205</c:v>
                </c:pt>
                <c:pt idx="18">
                  <c:v>61.514934012599952</c:v>
                </c:pt>
                <c:pt idx="19">
                  <c:v>62.011811771808915</c:v>
                </c:pt>
                <c:pt idx="20">
                  <c:v>62.493006962853947</c:v>
                </c:pt>
                <c:pt idx="21">
                  <c:v>62.949600301505093</c:v>
                </c:pt>
                <c:pt idx="22">
                  <c:v>63.413464076596306</c:v>
                </c:pt>
                <c:pt idx="23">
                  <c:v>63.861523304394851</c:v>
                </c:pt>
                <c:pt idx="24">
                  <c:v>64.279970979558485</c:v>
                </c:pt>
                <c:pt idx="25">
                  <c:v>64.664255093991414</c:v>
                </c:pt>
                <c:pt idx="26">
                  <c:v>65.074007751360725</c:v>
                </c:pt>
                <c:pt idx="27">
                  <c:v>65.503672923801233</c:v>
                </c:pt>
                <c:pt idx="28">
                  <c:v>65.917230209797594</c:v>
                </c:pt>
                <c:pt idx="29">
                  <c:v>66.312097148900094</c:v>
                </c:pt>
                <c:pt idx="30">
                  <c:v>66.710444987493005</c:v>
                </c:pt>
                <c:pt idx="31">
                  <c:v>67.121212325639078</c:v>
                </c:pt>
                <c:pt idx="32">
                  <c:v>67.50181669767376</c:v>
                </c:pt>
                <c:pt idx="33">
                  <c:v>67.841048432721905</c:v>
                </c:pt>
                <c:pt idx="34">
                  <c:v>68.161446209503566</c:v>
                </c:pt>
                <c:pt idx="35">
                  <c:v>68.481699826528626</c:v>
                </c:pt>
                <c:pt idx="36">
                  <c:v>68.780369235046919</c:v>
                </c:pt>
                <c:pt idx="37">
                  <c:v>69.081089180740634</c:v>
                </c:pt>
                <c:pt idx="38">
                  <c:v>69.361249994598396</c:v>
                </c:pt>
                <c:pt idx="39">
                  <c:v>69.622516677192223</c:v>
                </c:pt>
                <c:pt idx="40">
                  <c:v>69.890225155408118</c:v>
                </c:pt>
                <c:pt idx="41">
                  <c:v>70.142655984023662</c:v>
                </c:pt>
                <c:pt idx="42">
                  <c:v>70.403333973558347</c:v>
                </c:pt>
                <c:pt idx="43">
                  <c:v>70.649912029456843</c:v>
                </c:pt>
                <c:pt idx="44">
                  <c:v>70.885982985829344</c:v>
                </c:pt>
                <c:pt idx="45">
                  <c:v>71.111614762648202</c:v>
                </c:pt>
                <c:pt idx="46">
                  <c:v>71.341783600385241</c:v>
                </c:pt>
                <c:pt idx="47">
                  <c:v>71.549242880081422</c:v>
                </c:pt>
                <c:pt idx="48">
                  <c:v>71.742733050677501</c:v>
                </c:pt>
                <c:pt idx="49">
                  <c:v>71.915728216621773</c:v>
                </c:pt>
                <c:pt idx="50">
                  <c:v>72.080100739790964</c:v>
                </c:pt>
                <c:pt idx="51">
                  <c:v>72.228270744357715</c:v>
                </c:pt>
                <c:pt idx="52">
                  <c:v>72.365628586954131</c:v>
                </c:pt>
                <c:pt idx="53">
                  <c:v>72.485322700192953</c:v>
                </c:pt>
                <c:pt idx="54">
                  <c:v>72.595935734935594</c:v>
                </c:pt>
                <c:pt idx="55">
                  <c:v>72.69816950891834</c:v>
                </c:pt>
                <c:pt idx="56">
                  <c:v>72.792374655444817</c:v>
                </c:pt>
                <c:pt idx="57">
                  <c:v>72.878518970740046</c:v>
                </c:pt>
                <c:pt idx="58">
                  <c:v>72.957744115673165</c:v>
                </c:pt>
                <c:pt idx="59">
                  <c:v>73.01974254912318</c:v>
                </c:pt>
                <c:pt idx="60">
                  <c:v>73.060671248621617</c:v>
                </c:pt>
                <c:pt idx="61">
                  <c:v>73.079398342199738</c:v>
                </c:pt>
                <c:pt idx="62">
                  <c:v>73.07652379913678</c:v>
                </c:pt>
                <c:pt idx="63">
                  <c:v>73.051827623788768</c:v>
                </c:pt>
                <c:pt idx="64">
                  <c:v>72.998096754402255</c:v>
                </c:pt>
                <c:pt idx="65">
                  <c:v>72.923675446725085</c:v>
                </c:pt>
                <c:pt idx="66">
                  <c:v>72.82060923418797</c:v>
                </c:pt>
                <c:pt idx="67">
                  <c:v>72.681738641689009</c:v>
                </c:pt>
                <c:pt idx="68">
                  <c:v>72.524871561500376</c:v>
                </c:pt>
                <c:pt idx="69">
                  <c:v>72.346797746234643</c:v>
                </c:pt>
                <c:pt idx="70">
                  <c:v>72.141965140846636</c:v>
                </c:pt>
                <c:pt idx="71">
                  <c:v>71.904381668463898</c:v>
                </c:pt>
                <c:pt idx="72">
                  <c:v>71.915584882586899</c:v>
                </c:pt>
                <c:pt idx="73">
                  <c:v>71.889591197348679</c:v>
                </c:pt>
                <c:pt idx="74">
                  <c:v>71.831511154923589</c:v>
                </c:pt>
                <c:pt idx="75">
                  <c:v>71.733801695489419</c:v>
                </c:pt>
                <c:pt idx="76">
                  <c:v>71.597717396167013</c:v>
                </c:pt>
                <c:pt idx="77">
                  <c:v>71.415714362493205</c:v>
                </c:pt>
                <c:pt idx="78">
                  <c:v>71.182968158951056</c:v>
                </c:pt>
                <c:pt idx="79">
                  <c:v>70.919746677939557</c:v>
                </c:pt>
                <c:pt idx="80">
                  <c:v>70.609669147632985</c:v>
                </c:pt>
                <c:pt idx="81">
                  <c:v>70.255848988708976</c:v>
                </c:pt>
                <c:pt idx="82">
                  <c:v>69.86836835944213</c:v>
                </c:pt>
                <c:pt idx="83">
                  <c:v>69.458832980241553</c:v>
                </c:pt>
                <c:pt idx="84">
                  <c:v>69.010815510820606</c:v>
                </c:pt>
                <c:pt idx="85">
                  <c:v>68.527981609310785</c:v>
                </c:pt>
                <c:pt idx="86">
                  <c:v>67.998144704395372</c:v>
                </c:pt>
                <c:pt idx="87">
                  <c:v>67.703970982842449</c:v>
                </c:pt>
                <c:pt idx="88">
                  <c:v>67.356550886413999</c:v>
                </c:pt>
                <c:pt idx="89">
                  <c:v>66.971898119676155</c:v>
                </c:pt>
                <c:pt idx="90">
                  <c:v>66.561081620987338</c:v>
                </c:pt>
                <c:pt idx="91">
                  <c:v>66.080507324851041</c:v>
                </c:pt>
                <c:pt idx="92">
                  <c:v>65.528648535892657</c:v>
                </c:pt>
                <c:pt idx="93">
                  <c:v>64.916478608239146</c:v>
                </c:pt>
                <c:pt idx="94">
                  <c:v>64.291801405901211</c:v>
                </c:pt>
                <c:pt idx="95">
                  <c:v>63.655808326815318</c:v>
                </c:pt>
                <c:pt idx="96">
                  <c:v>62.998508577964522</c:v>
                </c:pt>
                <c:pt idx="97">
                  <c:v>62.253741939718203</c:v>
                </c:pt>
                <c:pt idx="98">
                  <c:v>61.478533633234392</c:v>
                </c:pt>
                <c:pt idx="99">
                  <c:v>60.700581001104652</c:v>
                </c:pt>
                <c:pt idx="100">
                  <c:v>59.79424724402736</c:v>
                </c:pt>
                <c:pt idx="101">
                  <c:v>58.817777491642175</c:v>
                </c:pt>
                <c:pt idx="102">
                  <c:v>57.778163211129161</c:v>
                </c:pt>
                <c:pt idx="103">
                  <c:v>57.041243528887151</c:v>
                </c:pt>
                <c:pt idx="104">
                  <c:v>56.252541938550969</c:v>
                </c:pt>
                <c:pt idx="105">
                  <c:v>55.4268137940957</c:v>
                </c:pt>
                <c:pt idx="106">
                  <c:v>54.559230492357976</c:v>
                </c:pt>
                <c:pt idx="107">
                  <c:v>53.614051360566165</c:v>
                </c:pt>
                <c:pt idx="108">
                  <c:v>52.542716026480669</c:v>
                </c:pt>
                <c:pt idx="109">
                  <c:v>51.384646018173797</c:v>
                </c:pt>
                <c:pt idx="110">
                  <c:v>50.108731851835891</c:v>
                </c:pt>
                <c:pt idx="111">
                  <c:v>48.788304150541158</c:v>
                </c:pt>
                <c:pt idx="112">
                  <c:v>47.411341988760171</c:v>
                </c:pt>
                <c:pt idx="113">
                  <c:v>46.028902220743056</c:v>
                </c:pt>
                <c:pt idx="114">
                  <c:v>44.534519206021969</c:v>
                </c:pt>
                <c:pt idx="115">
                  <c:v>42.979788818364497</c:v>
                </c:pt>
                <c:pt idx="116">
                  <c:v>41.423107053126898</c:v>
                </c:pt>
                <c:pt idx="117">
                  <c:v>39.731621429077414</c:v>
                </c:pt>
                <c:pt idx="118">
                  <c:v>38.234730369578358</c:v>
                </c:pt>
                <c:pt idx="119">
                  <c:v>36.588815108112463</c:v>
                </c:pt>
                <c:pt idx="120">
                  <c:v>34.953375922489343</c:v>
                </c:pt>
                <c:pt idx="121">
                  <c:v>33.303675055537305</c:v>
                </c:pt>
                <c:pt idx="122">
                  <c:v>31.457170283315406</c:v>
                </c:pt>
                <c:pt idx="123">
                  <c:v>78.383731518547961</c:v>
                </c:pt>
                <c:pt idx="124">
                  <c:v>76.47796008560023</c:v>
                </c:pt>
                <c:pt idx="125">
                  <c:v>74.471320101845748</c:v>
                </c:pt>
                <c:pt idx="126">
                  <c:v>72.388617179557613</c:v>
                </c:pt>
                <c:pt idx="127">
                  <c:v>70.294783118782163</c:v>
                </c:pt>
                <c:pt idx="128">
                  <c:v>68.162116409588265</c:v>
                </c:pt>
                <c:pt idx="129">
                  <c:v>65.918341882326899</c:v>
                </c:pt>
                <c:pt idx="130">
                  <c:v>63.638160868935678</c:v>
                </c:pt>
                <c:pt idx="131">
                  <c:v>61.18865721282306</c:v>
                </c:pt>
                <c:pt idx="132">
                  <c:v>59.044045208017302</c:v>
                </c:pt>
                <c:pt idx="133">
                  <c:v>56.89394802050704</c:v>
                </c:pt>
                <c:pt idx="134">
                  <c:v>54.423706382716105</c:v>
                </c:pt>
                <c:pt idx="135">
                  <c:v>51.838751932450663</c:v>
                </c:pt>
                <c:pt idx="136">
                  <c:v>49.353871561226534</c:v>
                </c:pt>
                <c:pt idx="137">
                  <c:v>46.724323705267068</c:v>
                </c:pt>
                <c:pt idx="138">
                  <c:v>44.087000056211906</c:v>
                </c:pt>
                <c:pt idx="139">
                  <c:v>41.311142232110413</c:v>
                </c:pt>
                <c:pt idx="140">
                  <c:v>38.300265439112835</c:v>
                </c:pt>
                <c:pt idx="141">
                  <c:v>35.27459327251151</c:v>
                </c:pt>
                <c:pt idx="142">
                  <c:v>32.362319925996871</c:v>
                </c:pt>
                <c:pt idx="143">
                  <c:v>29.33948129721832</c:v>
                </c:pt>
                <c:pt idx="144">
                  <c:v>34.872039171835624</c:v>
                </c:pt>
                <c:pt idx="145">
                  <c:v>40.238271029487194</c:v>
                </c:pt>
                <c:pt idx="146">
                  <c:v>45.098444649840673</c:v>
                </c:pt>
                <c:pt idx="147">
                  <c:v>49.250454839338218</c:v>
                </c:pt>
                <c:pt idx="148">
                  <c:v>53.091134307858574</c:v>
                </c:pt>
                <c:pt idx="149">
                  <c:v>56.783562663843455</c:v>
                </c:pt>
                <c:pt idx="150">
                  <c:v>60.358232223678733</c:v>
                </c:pt>
                <c:pt idx="151">
                  <c:v>63.662211700176421</c:v>
                </c:pt>
                <c:pt idx="152">
                  <c:v>66.667179762205137</c:v>
                </c:pt>
                <c:pt idx="153">
                  <c:v>72.142414671721895</c:v>
                </c:pt>
                <c:pt idx="154">
                  <c:v>76.558259275882349</c:v>
                </c:pt>
                <c:pt idx="155">
                  <c:v>80.27079933100751</c:v>
                </c:pt>
                <c:pt idx="156">
                  <c:v>83.691160767189643</c:v>
                </c:pt>
                <c:pt idx="157">
                  <c:v>86.592599833431819</c:v>
                </c:pt>
                <c:pt idx="158">
                  <c:v>88.920891600847654</c:v>
                </c:pt>
                <c:pt idx="159">
                  <c:v>91.153171294312045</c:v>
                </c:pt>
                <c:pt idx="160">
                  <c:v>93.255977262004677</c:v>
                </c:pt>
                <c:pt idx="161">
                  <c:v>94.996629179474553</c:v>
                </c:pt>
                <c:pt idx="162">
                  <c:v>96.546494876747303</c:v>
                </c:pt>
                <c:pt idx="163">
                  <c:v>97.957244270949687</c:v>
                </c:pt>
                <c:pt idx="164">
                  <c:v>99.228412619004786</c:v>
                </c:pt>
                <c:pt idx="165">
                  <c:v>100.41468986510912</c:v>
                </c:pt>
                <c:pt idx="166">
                  <c:v>101.57264998558867</c:v>
                </c:pt>
                <c:pt idx="167">
                  <c:v>102.66838889448528</c:v>
                </c:pt>
                <c:pt idx="168">
                  <c:v>103.72405407322071</c:v>
                </c:pt>
                <c:pt idx="169">
                  <c:v>104.71890714702103</c:v>
                </c:pt>
                <c:pt idx="170">
                  <c:v>105.60714751129854</c:v>
                </c:pt>
                <c:pt idx="171">
                  <c:v>106.38979726316006</c:v>
                </c:pt>
                <c:pt idx="172">
                  <c:v>107.12280659436129</c:v>
                </c:pt>
                <c:pt idx="173">
                  <c:v>107.91656416620961</c:v>
                </c:pt>
                <c:pt idx="174">
                  <c:v>108.58918105465199</c:v>
                </c:pt>
                <c:pt idx="175">
                  <c:v>109.25062275848191</c:v>
                </c:pt>
                <c:pt idx="176">
                  <c:v>109.89273413059892</c:v>
                </c:pt>
                <c:pt idx="177">
                  <c:v>110.52097829682867</c:v>
                </c:pt>
                <c:pt idx="178">
                  <c:v>111.6524841325255</c:v>
                </c:pt>
                <c:pt idx="179">
                  <c:v>112.70306611095288</c:v>
                </c:pt>
                <c:pt idx="180">
                  <c:v>113.74018777488564</c:v>
                </c:pt>
                <c:pt idx="181">
                  <c:v>114.77169120734911</c:v>
                </c:pt>
                <c:pt idx="182">
                  <c:v>115.64604189506593</c:v>
                </c:pt>
                <c:pt idx="183">
                  <c:v>116.46318363088204</c:v>
                </c:pt>
                <c:pt idx="184">
                  <c:v>117.22769956393873</c:v>
                </c:pt>
                <c:pt idx="185">
                  <c:v>117.99314563313598</c:v>
                </c:pt>
                <c:pt idx="186">
                  <c:v>118.79185332315998</c:v>
                </c:pt>
                <c:pt idx="187">
                  <c:v>119.58240185240544</c:v>
                </c:pt>
                <c:pt idx="188">
                  <c:v>120.29403900900391</c:v>
                </c:pt>
                <c:pt idx="189">
                  <c:v>120.96214153473284</c:v>
                </c:pt>
                <c:pt idx="190">
                  <c:v>121.59341054572013</c:v>
                </c:pt>
                <c:pt idx="191">
                  <c:v>122.1790457169152</c:v>
                </c:pt>
                <c:pt idx="192">
                  <c:v>122.72679883270899</c:v>
                </c:pt>
                <c:pt idx="193">
                  <c:v>123.27586687105347</c:v>
                </c:pt>
                <c:pt idx="194">
                  <c:v>123.76190800678179</c:v>
                </c:pt>
                <c:pt idx="195">
                  <c:v>124.22378096563071</c:v>
                </c:pt>
                <c:pt idx="196">
                  <c:v>124.65841151070975</c:v>
                </c:pt>
                <c:pt idx="197">
                  <c:v>125.06179511015188</c:v>
                </c:pt>
                <c:pt idx="198">
                  <c:v>125.4380503923997</c:v>
                </c:pt>
                <c:pt idx="199">
                  <c:v>125.78034187294833</c:v>
                </c:pt>
                <c:pt idx="200">
                  <c:v>126.09053154147043</c:v>
                </c:pt>
                <c:pt idx="201">
                  <c:v>126.72168471773924</c:v>
                </c:pt>
                <c:pt idx="202">
                  <c:v>127.3956780102184</c:v>
                </c:pt>
                <c:pt idx="203">
                  <c:v>128.03706330168035</c:v>
                </c:pt>
                <c:pt idx="204">
                  <c:v>128.58895154310162</c:v>
                </c:pt>
                <c:pt idx="205">
                  <c:v>129.12312884790339</c:v>
                </c:pt>
                <c:pt idx="206">
                  <c:v>129.59337702796762</c:v>
                </c:pt>
                <c:pt idx="207">
                  <c:v>130.08753110412968</c:v>
                </c:pt>
                <c:pt idx="208">
                  <c:v>130.52964256517092</c:v>
                </c:pt>
                <c:pt idx="209">
                  <c:v>130.95992331843718</c:v>
                </c:pt>
                <c:pt idx="210">
                  <c:v>131.38841334813279</c:v>
                </c:pt>
                <c:pt idx="211">
                  <c:v>131.78757342433809</c:v>
                </c:pt>
                <c:pt idx="212">
                  <c:v>132.15366976543513</c:v>
                </c:pt>
                <c:pt idx="213">
                  <c:v>132.49609001301712</c:v>
                </c:pt>
                <c:pt idx="214">
                  <c:v>132.80858952880479</c:v>
                </c:pt>
                <c:pt idx="215">
                  <c:v>133.07266545756485</c:v>
                </c:pt>
                <c:pt idx="216">
                  <c:v>133.33710305851426</c:v>
                </c:pt>
                <c:pt idx="217">
                  <c:v>133.59421234371644</c:v>
                </c:pt>
                <c:pt idx="218">
                  <c:v>133.81742060684203</c:v>
                </c:pt>
                <c:pt idx="219">
                  <c:v>134.01049125475899</c:v>
                </c:pt>
                <c:pt idx="220">
                  <c:v>134.18084730890078</c:v>
                </c:pt>
                <c:pt idx="221">
                  <c:v>134.33526389058977</c:v>
                </c:pt>
                <c:pt idx="222">
                  <c:v>134.48306879726209</c:v>
                </c:pt>
                <c:pt idx="223">
                  <c:v>134.59809957191462</c:v>
                </c:pt>
                <c:pt idx="224">
                  <c:v>134.71174034999382</c:v>
                </c:pt>
                <c:pt idx="225">
                  <c:v>135.17662546126152</c:v>
                </c:pt>
                <c:pt idx="226">
                  <c:v>135.61300515199036</c:v>
                </c:pt>
                <c:pt idx="227">
                  <c:v>136.04174719374086</c:v>
                </c:pt>
                <c:pt idx="228">
                  <c:v>136.41924869906097</c:v>
                </c:pt>
                <c:pt idx="229">
                  <c:v>136.75681681206333</c:v>
                </c:pt>
                <c:pt idx="230">
                  <c:v>137.09196648304516</c:v>
                </c:pt>
                <c:pt idx="231">
                  <c:v>137.3981690103796</c:v>
                </c:pt>
                <c:pt idx="232">
                  <c:v>137.67819142434968</c:v>
                </c:pt>
                <c:pt idx="233">
                  <c:v>137.94056432327233</c:v>
                </c:pt>
                <c:pt idx="234">
                  <c:v>138.20372015797858</c:v>
                </c:pt>
                <c:pt idx="235">
                  <c:v>138.46960161149065</c:v>
                </c:pt>
                <c:pt idx="236">
                  <c:v>138.73145902377001</c:v>
                </c:pt>
                <c:pt idx="237">
                  <c:v>138.98160241058693</c:v>
                </c:pt>
                <c:pt idx="238">
                  <c:v>139.20464009815947</c:v>
                </c:pt>
                <c:pt idx="239">
                  <c:v>139.42770588078412</c:v>
                </c:pt>
                <c:pt idx="240">
                  <c:v>139.64560750462954</c:v>
                </c:pt>
                <c:pt idx="241">
                  <c:v>139.86900607065098</c:v>
                </c:pt>
                <c:pt idx="242">
                  <c:v>140.07872149634866</c:v>
                </c:pt>
                <c:pt idx="243">
                  <c:v>140.29761534956597</c:v>
                </c:pt>
                <c:pt idx="244">
                  <c:v>140.50293819257305</c:v>
                </c:pt>
                <c:pt idx="245">
                  <c:v>140.71252642134107</c:v>
                </c:pt>
                <c:pt idx="246">
                  <c:v>140.90501074986665</c:v>
                </c:pt>
                <c:pt idx="247">
                  <c:v>141.09526229939812</c:v>
                </c:pt>
                <c:pt idx="248">
                  <c:v>141.29147838461171</c:v>
                </c:pt>
                <c:pt idx="249">
                  <c:v>141.47097359295702</c:v>
                </c:pt>
                <c:pt idx="250">
                  <c:v>141.64353171079429</c:v>
                </c:pt>
                <c:pt idx="251">
                  <c:v>141.82203820334394</c:v>
                </c:pt>
                <c:pt idx="252">
                  <c:v>141.99246072669823</c:v>
                </c:pt>
                <c:pt idx="253">
                  <c:v>142.17499059723963</c:v>
                </c:pt>
                <c:pt idx="254">
                  <c:v>142.35551762961904</c:v>
                </c:pt>
                <c:pt idx="255">
                  <c:v>142.54258310552291</c:v>
                </c:pt>
                <c:pt idx="256">
                  <c:v>142.74080195950739</c:v>
                </c:pt>
                <c:pt idx="257">
                  <c:v>142.93762196233342</c:v>
                </c:pt>
                <c:pt idx="258">
                  <c:v>143.13753570957493</c:v>
                </c:pt>
                <c:pt idx="259">
                  <c:v>143.33095407217448</c:v>
                </c:pt>
                <c:pt idx="260">
                  <c:v>143.52678157678258</c:v>
                </c:pt>
                <c:pt idx="261">
                  <c:v>143.72075494005216</c:v>
                </c:pt>
                <c:pt idx="262">
                  <c:v>143.92859342548962</c:v>
                </c:pt>
                <c:pt idx="263">
                  <c:v>144.13705926209573</c:v>
                </c:pt>
                <c:pt idx="264">
                  <c:v>144.37523505529433</c:v>
                </c:pt>
                <c:pt idx="265">
                  <c:v>144.60419306836803</c:v>
                </c:pt>
                <c:pt idx="266">
                  <c:v>144.8210514455688</c:v>
                </c:pt>
                <c:pt idx="267">
                  <c:v>145.04054852142482</c:v>
                </c:pt>
                <c:pt idx="268">
                  <c:v>145.26403383717917</c:v>
                </c:pt>
                <c:pt idx="269">
                  <c:v>145.49507820899055</c:v>
                </c:pt>
                <c:pt idx="270">
                  <c:v>145.73945165393633</c:v>
                </c:pt>
                <c:pt idx="271">
                  <c:v>145.97066666893926</c:v>
                </c:pt>
                <c:pt idx="272">
                  <c:v>146.20333666236516</c:v>
                </c:pt>
                <c:pt idx="273">
                  <c:v>146.43018809565419</c:v>
                </c:pt>
                <c:pt idx="274">
                  <c:v>146.67452848071457</c:v>
                </c:pt>
                <c:pt idx="275">
                  <c:v>146.90755718921648</c:v>
                </c:pt>
                <c:pt idx="276">
                  <c:v>147.1389571557466</c:v>
                </c:pt>
                <c:pt idx="277">
                  <c:v>147.38130313071045</c:v>
                </c:pt>
                <c:pt idx="278">
                  <c:v>147.63107110720046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117.65210692560905</c:v>
                </c:pt>
                <c:pt idx="1">
                  <c:v>116.93222230854174</c:v>
                </c:pt>
                <c:pt idx="2">
                  <c:v>115.94557322442185</c:v>
                </c:pt>
                <c:pt idx="3">
                  <c:v>114.94928790044906</c:v>
                </c:pt>
                <c:pt idx="4">
                  <c:v>113.92715673562883</c:v>
                </c:pt>
                <c:pt idx="5">
                  <c:v>112.96731503415687</c:v>
                </c:pt>
                <c:pt idx="6">
                  <c:v>112.08424061919548</c:v>
                </c:pt>
                <c:pt idx="7">
                  <c:v>110.29908815816177</c:v>
                </c:pt>
                <c:pt idx="8">
                  <c:v>109.06104120458239</c:v>
                </c:pt>
                <c:pt idx="9">
                  <c:v>108.05967151969361</c:v>
                </c:pt>
                <c:pt idx="10">
                  <c:v>106.77162738984129</c:v>
                </c:pt>
                <c:pt idx="11">
                  <c:v>106.31288011602636</c:v>
                </c:pt>
                <c:pt idx="12">
                  <c:v>105.38888240265617</c:v>
                </c:pt>
                <c:pt idx="13">
                  <c:v>104.87111598339092</c:v>
                </c:pt>
                <c:pt idx="14">
                  <c:v>103.49024159323248</c:v>
                </c:pt>
                <c:pt idx="15">
                  <c:v>101.68253545021709</c:v>
                </c:pt>
                <c:pt idx="16">
                  <c:v>99.315174587542231</c:v>
                </c:pt>
                <c:pt idx="17">
                  <c:v>97.306600230820138</c:v>
                </c:pt>
                <c:pt idx="18">
                  <c:v>96.420979144221846</c:v>
                </c:pt>
                <c:pt idx="19">
                  <c:v>95.933023323380354</c:v>
                </c:pt>
                <c:pt idx="20">
                  <c:v>95.154887065150419</c:v>
                </c:pt>
                <c:pt idx="21">
                  <c:v>94.157995549813833</c:v>
                </c:pt>
                <c:pt idx="22">
                  <c:v>93.254908451411538</c:v>
                </c:pt>
                <c:pt idx="23">
                  <c:v>91.832987381352751</c:v>
                </c:pt>
                <c:pt idx="24">
                  <c:v>91.788081707431189</c:v>
                </c:pt>
                <c:pt idx="25">
                  <c:v>92.165488480306237</c:v>
                </c:pt>
                <c:pt idx="26">
                  <c:v>91.228966812088174</c:v>
                </c:pt>
                <c:pt idx="27">
                  <c:v>89.180099216592467</c:v>
                </c:pt>
                <c:pt idx="28">
                  <c:v>89.502153128519353</c:v>
                </c:pt>
                <c:pt idx="29">
                  <c:v>89.309496430600205</c:v>
                </c:pt>
                <c:pt idx="30">
                  <c:v>86.899834997674915</c:v>
                </c:pt>
                <c:pt idx="31">
                  <c:v>84.500346471261167</c:v>
                </c:pt>
                <c:pt idx="32">
                  <c:v>82.659983087410154</c:v>
                </c:pt>
                <c:pt idx="33">
                  <c:v>82.988763603033235</c:v>
                </c:pt>
                <c:pt idx="34">
                  <c:v>83.639799910261033</c:v>
                </c:pt>
                <c:pt idx="35">
                  <c:v>82.385555244112851</c:v>
                </c:pt>
                <c:pt idx="36">
                  <c:v>80.47578881125952</c:v>
                </c:pt>
                <c:pt idx="37">
                  <c:v>78.776969901149585</c:v>
                </c:pt>
                <c:pt idx="38">
                  <c:v>80.204629411191746</c:v>
                </c:pt>
                <c:pt idx="39">
                  <c:v>80.702650406407884</c:v>
                </c:pt>
                <c:pt idx="40">
                  <c:v>80.748917655332406</c:v>
                </c:pt>
                <c:pt idx="41">
                  <c:v>79.663437104114536</c:v>
                </c:pt>
                <c:pt idx="42">
                  <c:v>78.003243596427453</c:v>
                </c:pt>
                <c:pt idx="43">
                  <c:v>77.899388901103848</c:v>
                </c:pt>
                <c:pt idx="44">
                  <c:v>76.496615316183949</c:v>
                </c:pt>
                <c:pt idx="45">
                  <c:v>74.499048953494508</c:v>
                </c:pt>
                <c:pt idx="46">
                  <c:v>72.14958907339448</c:v>
                </c:pt>
                <c:pt idx="47">
                  <c:v>70.033745986531386</c:v>
                </c:pt>
                <c:pt idx="48">
                  <c:v>67.099538089299998</c:v>
                </c:pt>
                <c:pt idx="49">
                  <c:v>65.407614426920077</c:v>
                </c:pt>
                <c:pt idx="50">
                  <c:v>62.236139752253884</c:v>
                </c:pt>
                <c:pt idx="51">
                  <c:v>59.15697953977071</c:v>
                </c:pt>
                <c:pt idx="52">
                  <c:v>56.562902153238433</c:v>
                </c:pt>
                <c:pt idx="53">
                  <c:v>54.577724433845219</c:v>
                </c:pt>
                <c:pt idx="54">
                  <c:v>51.724481034354127</c:v>
                </c:pt>
                <c:pt idx="55">
                  <c:v>48.073844069619746</c:v>
                </c:pt>
                <c:pt idx="56">
                  <c:v>93.031363643286397</c:v>
                </c:pt>
                <c:pt idx="57">
                  <c:v>90.755059390735113</c:v>
                </c:pt>
                <c:pt idx="58">
                  <c:v>88.41743773674358</c:v>
                </c:pt>
                <c:pt idx="59">
                  <c:v>85.593009919511147</c:v>
                </c:pt>
                <c:pt idx="60">
                  <c:v>82.864255235096195</c:v>
                </c:pt>
                <c:pt idx="61">
                  <c:v>78.889669603752068</c:v>
                </c:pt>
                <c:pt idx="62">
                  <c:v>75.142126489076773</c:v>
                </c:pt>
                <c:pt idx="63">
                  <c:v>72.340056514334037</c:v>
                </c:pt>
                <c:pt idx="64">
                  <c:v>68.506100721612825</c:v>
                </c:pt>
                <c:pt idx="65">
                  <c:v>64.826034762342857</c:v>
                </c:pt>
                <c:pt idx="66">
                  <c:v>61.888495672844734</c:v>
                </c:pt>
                <c:pt idx="67">
                  <c:v>58.894688522623547</c:v>
                </c:pt>
                <c:pt idx="68">
                  <c:v>56.910593713892673</c:v>
                </c:pt>
                <c:pt idx="69">
                  <c:v>53.720443263930164</c:v>
                </c:pt>
                <c:pt idx="70">
                  <c:v>50.363122863035947</c:v>
                </c:pt>
                <c:pt idx="71">
                  <c:v>93.833562669824346</c:v>
                </c:pt>
                <c:pt idx="72">
                  <c:v>89.853697293490939</c:v>
                </c:pt>
                <c:pt idx="73">
                  <c:v>87.589186117434011</c:v>
                </c:pt>
                <c:pt idx="74">
                  <c:v>84.428699561541976</c:v>
                </c:pt>
                <c:pt idx="75">
                  <c:v>80.115937435979276</c:v>
                </c:pt>
                <c:pt idx="76">
                  <c:v>75.543661337071171</c:v>
                </c:pt>
                <c:pt idx="77">
                  <c:v>72.534769017291353</c:v>
                </c:pt>
                <c:pt idx="78">
                  <c:v>69.514820086635382</c:v>
                </c:pt>
                <c:pt idx="79">
                  <c:v>67.827433074735112</c:v>
                </c:pt>
                <c:pt idx="80">
                  <c:v>66.496920893771431</c:v>
                </c:pt>
                <c:pt idx="81">
                  <c:v>63.419152663481526</c:v>
                </c:pt>
                <c:pt idx="82">
                  <c:v>62.082039714620201</c:v>
                </c:pt>
                <c:pt idx="83">
                  <c:v>59.150612256214494</c:v>
                </c:pt>
                <c:pt idx="84">
                  <c:v>55.226030486784659</c:v>
                </c:pt>
                <c:pt idx="85">
                  <c:v>51.428274601226988</c:v>
                </c:pt>
                <c:pt idx="86">
                  <c:v>49.893946947023473</c:v>
                </c:pt>
                <c:pt idx="87">
                  <c:v>95.071455985293923</c:v>
                </c:pt>
                <c:pt idx="88">
                  <c:v>91.264519725529539</c:v>
                </c:pt>
                <c:pt idx="89">
                  <c:v>89.398622385847148</c:v>
                </c:pt>
                <c:pt idx="90">
                  <c:v>86.001516235751581</c:v>
                </c:pt>
                <c:pt idx="91">
                  <c:v>83.25659483027556</c:v>
                </c:pt>
                <c:pt idx="92">
                  <c:v>79.510476362927889</c:v>
                </c:pt>
                <c:pt idx="93">
                  <c:v>75.764431101841836</c:v>
                </c:pt>
                <c:pt idx="94">
                  <c:v>71.838787030509252</c:v>
                </c:pt>
                <c:pt idx="95">
                  <c:v>67.621809495700546</c:v>
                </c:pt>
                <c:pt idx="96">
                  <c:v>64.542653639966048</c:v>
                </c:pt>
                <c:pt idx="97">
                  <c:v>62.209784101911801</c:v>
                </c:pt>
                <c:pt idx="98">
                  <c:v>58.538620579302787</c:v>
                </c:pt>
                <c:pt idx="99">
                  <c:v>56.570081472929743</c:v>
                </c:pt>
                <c:pt idx="100">
                  <c:v>52.240558791347176</c:v>
                </c:pt>
                <c:pt idx="101">
                  <c:v>48.534400159903043</c:v>
                </c:pt>
                <c:pt idx="102">
                  <c:v>91.902131073084036</c:v>
                </c:pt>
                <c:pt idx="103">
                  <c:v>87.873421256460276</c:v>
                </c:pt>
                <c:pt idx="104">
                  <c:v>85.439381368587803</c:v>
                </c:pt>
                <c:pt idx="105">
                  <c:v>81.383637905135259</c:v>
                </c:pt>
                <c:pt idx="106">
                  <c:v>76.972097881822194</c:v>
                </c:pt>
                <c:pt idx="107">
                  <c:v>74.311078315613869</c:v>
                </c:pt>
                <c:pt idx="108">
                  <c:v>71.947107224925219</c:v>
                </c:pt>
                <c:pt idx="109">
                  <c:v>68.849850720706613</c:v>
                </c:pt>
                <c:pt idx="110">
                  <c:v>65.643117119859809</c:v>
                </c:pt>
                <c:pt idx="111">
                  <c:v>64.833637218760344</c:v>
                </c:pt>
                <c:pt idx="112">
                  <c:v>62.134002205764311</c:v>
                </c:pt>
                <c:pt idx="113">
                  <c:v>58.987397958568991</c:v>
                </c:pt>
                <c:pt idx="114">
                  <c:v>55.827187665329305</c:v>
                </c:pt>
                <c:pt idx="115">
                  <c:v>51.050640073010918</c:v>
                </c:pt>
                <c:pt idx="116">
                  <c:v>94.815270407854371</c:v>
                </c:pt>
                <c:pt idx="117">
                  <c:v>90.580735806108336</c:v>
                </c:pt>
                <c:pt idx="118">
                  <c:v>85.980117993482693</c:v>
                </c:pt>
                <c:pt idx="119">
                  <c:v>83.167341238048266</c:v>
                </c:pt>
                <c:pt idx="120">
                  <c:v>79.30161654846404</c:v>
                </c:pt>
                <c:pt idx="121">
                  <c:v>77.061691469484131</c:v>
                </c:pt>
                <c:pt idx="122">
                  <c:v>72.688837168596635</c:v>
                </c:pt>
                <c:pt idx="123">
                  <c:v>67.715864244812693</c:v>
                </c:pt>
                <c:pt idx="124">
                  <c:v>63.819232779833357</c:v>
                </c:pt>
                <c:pt idx="125">
                  <c:v>60.666133202274871</c:v>
                </c:pt>
                <c:pt idx="126">
                  <c:v>57.633576969695596</c:v>
                </c:pt>
                <c:pt idx="127">
                  <c:v>54.044299170747678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48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48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48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48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45169</c:v>
                </c:pt>
                <c:pt idx="1">
                  <c:v>45170</c:v>
                </c:pt>
                <c:pt idx="2">
                  <c:v>45171</c:v>
                </c:pt>
                <c:pt idx="3">
                  <c:v>45172</c:v>
                </c:pt>
                <c:pt idx="4">
                  <c:v>45173</c:v>
                </c:pt>
                <c:pt idx="5">
                  <c:v>45174</c:v>
                </c:pt>
                <c:pt idx="6">
                  <c:v>45175</c:v>
                </c:pt>
                <c:pt idx="7">
                  <c:v>45176</c:v>
                </c:pt>
                <c:pt idx="8">
                  <c:v>45177</c:v>
                </c:pt>
                <c:pt idx="9">
                  <c:v>45178</c:v>
                </c:pt>
                <c:pt idx="10">
                  <c:v>45179</c:v>
                </c:pt>
                <c:pt idx="11">
                  <c:v>45180</c:v>
                </c:pt>
                <c:pt idx="12">
                  <c:v>45181</c:v>
                </c:pt>
                <c:pt idx="13">
                  <c:v>45182</c:v>
                </c:pt>
                <c:pt idx="14">
                  <c:v>45183</c:v>
                </c:pt>
                <c:pt idx="15">
                  <c:v>45184</c:v>
                </c:pt>
                <c:pt idx="16">
                  <c:v>45185</c:v>
                </c:pt>
                <c:pt idx="17">
                  <c:v>45186</c:v>
                </c:pt>
                <c:pt idx="18">
                  <c:v>45187</c:v>
                </c:pt>
                <c:pt idx="19">
                  <c:v>45188</c:v>
                </c:pt>
                <c:pt idx="20">
                  <c:v>45189</c:v>
                </c:pt>
                <c:pt idx="21">
                  <c:v>45190</c:v>
                </c:pt>
                <c:pt idx="22">
                  <c:v>45191</c:v>
                </c:pt>
                <c:pt idx="23">
                  <c:v>45192</c:v>
                </c:pt>
                <c:pt idx="24">
                  <c:v>45193</c:v>
                </c:pt>
                <c:pt idx="25">
                  <c:v>45194</c:v>
                </c:pt>
                <c:pt idx="26">
                  <c:v>45195</c:v>
                </c:pt>
                <c:pt idx="27">
                  <c:v>45196</c:v>
                </c:pt>
                <c:pt idx="28">
                  <c:v>45197</c:v>
                </c:pt>
                <c:pt idx="29">
                  <c:v>45198</c:v>
                </c:pt>
                <c:pt idx="30">
                  <c:v>45199</c:v>
                </c:pt>
                <c:pt idx="31">
                  <c:v>45200</c:v>
                </c:pt>
                <c:pt idx="32">
                  <c:v>45201</c:v>
                </c:pt>
                <c:pt idx="33">
                  <c:v>45202</c:v>
                </c:pt>
                <c:pt idx="34">
                  <c:v>45203</c:v>
                </c:pt>
                <c:pt idx="35">
                  <c:v>45204</c:v>
                </c:pt>
                <c:pt idx="36">
                  <c:v>45205</c:v>
                </c:pt>
                <c:pt idx="37">
                  <c:v>45206</c:v>
                </c:pt>
                <c:pt idx="38">
                  <c:v>45207</c:v>
                </c:pt>
                <c:pt idx="39">
                  <c:v>45208</c:v>
                </c:pt>
                <c:pt idx="40">
                  <c:v>45209</c:v>
                </c:pt>
                <c:pt idx="41">
                  <c:v>45210</c:v>
                </c:pt>
                <c:pt idx="42">
                  <c:v>45211</c:v>
                </c:pt>
                <c:pt idx="43">
                  <c:v>45212</c:v>
                </c:pt>
                <c:pt idx="44">
                  <c:v>45213</c:v>
                </c:pt>
                <c:pt idx="45">
                  <c:v>45214</c:v>
                </c:pt>
                <c:pt idx="46">
                  <c:v>45215</c:v>
                </c:pt>
                <c:pt idx="47">
                  <c:v>45216</c:v>
                </c:pt>
                <c:pt idx="48">
                  <c:v>45217</c:v>
                </c:pt>
                <c:pt idx="49">
                  <c:v>45218</c:v>
                </c:pt>
                <c:pt idx="50">
                  <c:v>45219</c:v>
                </c:pt>
                <c:pt idx="51">
                  <c:v>45220</c:v>
                </c:pt>
                <c:pt idx="52">
                  <c:v>45221</c:v>
                </c:pt>
                <c:pt idx="53">
                  <c:v>45222</c:v>
                </c:pt>
                <c:pt idx="54">
                  <c:v>45223</c:v>
                </c:pt>
                <c:pt idx="55">
                  <c:v>45224</c:v>
                </c:pt>
                <c:pt idx="56">
                  <c:v>45225</c:v>
                </c:pt>
                <c:pt idx="57">
                  <c:v>45226</c:v>
                </c:pt>
                <c:pt idx="58">
                  <c:v>45227</c:v>
                </c:pt>
                <c:pt idx="59">
                  <c:v>45228</c:v>
                </c:pt>
                <c:pt idx="60">
                  <c:v>45229</c:v>
                </c:pt>
                <c:pt idx="61">
                  <c:v>45230</c:v>
                </c:pt>
                <c:pt idx="62">
                  <c:v>45231</c:v>
                </c:pt>
                <c:pt idx="63">
                  <c:v>45232</c:v>
                </c:pt>
                <c:pt idx="64">
                  <c:v>45233</c:v>
                </c:pt>
                <c:pt idx="65">
                  <c:v>45234</c:v>
                </c:pt>
                <c:pt idx="66">
                  <c:v>45235</c:v>
                </c:pt>
                <c:pt idx="67">
                  <c:v>45236</c:v>
                </c:pt>
                <c:pt idx="68">
                  <c:v>45237</c:v>
                </c:pt>
                <c:pt idx="69">
                  <c:v>45238</c:v>
                </c:pt>
                <c:pt idx="70">
                  <c:v>45239</c:v>
                </c:pt>
                <c:pt idx="71">
                  <c:v>45240</c:v>
                </c:pt>
                <c:pt idx="72">
                  <c:v>45241</c:v>
                </c:pt>
                <c:pt idx="73">
                  <c:v>45242</c:v>
                </c:pt>
                <c:pt idx="74">
                  <c:v>45243</c:v>
                </c:pt>
                <c:pt idx="75">
                  <c:v>45244</c:v>
                </c:pt>
                <c:pt idx="76">
                  <c:v>45245</c:v>
                </c:pt>
                <c:pt idx="77">
                  <c:v>45246</c:v>
                </c:pt>
                <c:pt idx="78">
                  <c:v>45247</c:v>
                </c:pt>
                <c:pt idx="79">
                  <c:v>45248</c:v>
                </c:pt>
                <c:pt idx="80">
                  <c:v>45249</c:v>
                </c:pt>
                <c:pt idx="81">
                  <c:v>45250</c:v>
                </c:pt>
                <c:pt idx="82">
                  <c:v>45251</c:v>
                </c:pt>
                <c:pt idx="83">
                  <c:v>45252</c:v>
                </c:pt>
                <c:pt idx="84">
                  <c:v>45253</c:v>
                </c:pt>
                <c:pt idx="85">
                  <c:v>45254</c:v>
                </c:pt>
                <c:pt idx="86">
                  <c:v>45255</c:v>
                </c:pt>
                <c:pt idx="87">
                  <c:v>45256</c:v>
                </c:pt>
                <c:pt idx="88">
                  <c:v>45257</c:v>
                </c:pt>
                <c:pt idx="89">
                  <c:v>45258</c:v>
                </c:pt>
                <c:pt idx="90">
                  <c:v>45259</c:v>
                </c:pt>
                <c:pt idx="91">
                  <c:v>45260</c:v>
                </c:pt>
                <c:pt idx="92">
                  <c:v>45261</c:v>
                </c:pt>
                <c:pt idx="93">
                  <c:v>45262</c:v>
                </c:pt>
                <c:pt idx="94">
                  <c:v>45263</c:v>
                </c:pt>
                <c:pt idx="95">
                  <c:v>45264</c:v>
                </c:pt>
                <c:pt idx="96">
                  <c:v>45265</c:v>
                </c:pt>
                <c:pt idx="97">
                  <c:v>45266</c:v>
                </c:pt>
                <c:pt idx="98">
                  <c:v>45267</c:v>
                </c:pt>
                <c:pt idx="99">
                  <c:v>45268</c:v>
                </c:pt>
                <c:pt idx="100">
                  <c:v>45269</c:v>
                </c:pt>
                <c:pt idx="101">
                  <c:v>45270</c:v>
                </c:pt>
                <c:pt idx="102">
                  <c:v>45271</c:v>
                </c:pt>
                <c:pt idx="103">
                  <c:v>45272</c:v>
                </c:pt>
                <c:pt idx="104">
                  <c:v>45273</c:v>
                </c:pt>
                <c:pt idx="105">
                  <c:v>45274</c:v>
                </c:pt>
                <c:pt idx="106">
                  <c:v>45275</c:v>
                </c:pt>
                <c:pt idx="107">
                  <c:v>45276</c:v>
                </c:pt>
                <c:pt idx="108">
                  <c:v>45277</c:v>
                </c:pt>
                <c:pt idx="109">
                  <c:v>45278</c:v>
                </c:pt>
                <c:pt idx="110">
                  <c:v>45279</c:v>
                </c:pt>
                <c:pt idx="111">
                  <c:v>45280</c:v>
                </c:pt>
                <c:pt idx="112">
                  <c:v>45281</c:v>
                </c:pt>
                <c:pt idx="113">
                  <c:v>45282</c:v>
                </c:pt>
                <c:pt idx="114">
                  <c:v>45283</c:v>
                </c:pt>
                <c:pt idx="115">
                  <c:v>45284</c:v>
                </c:pt>
                <c:pt idx="116">
                  <c:v>45285</c:v>
                </c:pt>
                <c:pt idx="117">
                  <c:v>45286</c:v>
                </c:pt>
                <c:pt idx="118">
                  <c:v>45287</c:v>
                </c:pt>
                <c:pt idx="119">
                  <c:v>45288</c:v>
                </c:pt>
                <c:pt idx="120">
                  <c:v>45289</c:v>
                </c:pt>
                <c:pt idx="121">
                  <c:v>45290</c:v>
                </c:pt>
                <c:pt idx="122">
                  <c:v>45291</c:v>
                </c:pt>
                <c:pt idx="123">
                  <c:v>45292</c:v>
                </c:pt>
                <c:pt idx="124">
                  <c:v>45293</c:v>
                </c:pt>
                <c:pt idx="125">
                  <c:v>45294</c:v>
                </c:pt>
                <c:pt idx="126">
                  <c:v>45295</c:v>
                </c:pt>
                <c:pt idx="127">
                  <c:v>45296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7.4167097856789096E-3</c:v>
                </c:pt>
                <c:pt idx="1">
                  <c:v>8.2919823660703804E-3</c:v>
                </c:pt>
                <c:pt idx="2">
                  <c:v>9.3236831650742105E-3</c:v>
                </c:pt>
                <c:pt idx="3">
                  <c:v>1.044356207379E-2</c:v>
                </c:pt>
                <c:pt idx="4">
                  <c:v>1.1692693288651201E-2</c:v>
                </c:pt>
                <c:pt idx="5">
                  <c:v>1.30483026059066E-2</c:v>
                </c:pt>
                <c:pt idx="6">
                  <c:v>1.46393090297818E-2</c:v>
                </c:pt>
                <c:pt idx="7">
                  <c:v>1.6433316286092702E-2</c:v>
                </c:pt>
                <c:pt idx="8">
                  <c:v>1.83569402050867E-2</c:v>
                </c:pt>
                <c:pt idx="9">
                  <c:v>2.03493629713913E-2</c:v>
                </c:pt>
                <c:pt idx="10">
                  <c:v>2.2838727061709099E-2</c:v>
                </c:pt>
                <c:pt idx="11">
                  <c:v>2.5855555004926301E-2</c:v>
                </c:pt>
                <c:pt idx="12">
                  <c:v>2.92262789864524E-2</c:v>
                </c:pt>
                <c:pt idx="13">
                  <c:v>3.2922203199630802E-2</c:v>
                </c:pt>
                <c:pt idx="14">
                  <c:v>3.72907133596787E-2</c:v>
                </c:pt>
                <c:pt idx="15">
                  <c:v>4.2636820441027498E-2</c:v>
                </c:pt>
                <c:pt idx="16">
                  <c:v>4.86021922912021E-2</c:v>
                </c:pt>
                <c:pt idx="17">
                  <c:v>5.4924883937079803E-2</c:v>
                </c:pt>
                <c:pt idx="18">
                  <c:v>6.1832046687191798E-2</c:v>
                </c:pt>
                <c:pt idx="19">
                  <c:v>6.9775397404415407E-2</c:v>
                </c:pt>
                <c:pt idx="20">
                  <c:v>7.82948924976751E-2</c:v>
                </c:pt>
                <c:pt idx="21">
                  <c:v>8.82533882305397E-2</c:v>
                </c:pt>
                <c:pt idx="22">
                  <c:v>9.8948541014204403E-2</c:v>
                </c:pt>
                <c:pt idx="23">
                  <c:v>0.110520646459601</c:v>
                </c:pt>
                <c:pt idx="24">
                  <c:v>0.12395101648510801</c:v>
                </c:pt>
                <c:pt idx="25">
                  <c:v>0.13801587441138399</c:v>
                </c:pt>
                <c:pt idx="26">
                  <c:v>0.15476286966385899</c:v>
                </c:pt>
                <c:pt idx="27">
                  <c:v>0.173514808155218</c:v>
                </c:pt>
                <c:pt idx="28">
                  <c:v>0.193511994389091</c:v>
                </c:pt>
                <c:pt idx="29">
                  <c:v>0.214935643232046</c:v>
                </c:pt>
                <c:pt idx="30">
                  <c:v>0.24084251581251601</c:v>
                </c:pt>
                <c:pt idx="31">
                  <c:v>0.26890036559918301</c:v>
                </c:pt>
                <c:pt idx="32">
                  <c:v>0.29976803008494501</c:v>
                </c:pt>
                <c:pt idx="33">
                  <c:v>0.33042563311856499</c:v>
                </c:pt>
                <c:pt idx="34">
                  <c:v>0.36176991944501902</c:v>
                </c:pt>
                <c:pt idx="35">
                  <c:v>0.39408527268089699</c:v>
                </c:pt>
                <c:pt idx="36">
                  <c:v>0.42920075747074199</c:v>
                </c:pt>
                <c:pt idx="37">
                  <c:v>0.46532512091903999</c:v>
                </c:pt>
                <c:pt idx="38">
                  <c:v>0.49946047192808302</c:v>
                </c:pt>
                <c:pt idx="39">
                  <c:v>0.532568547527279</c:v>
                </c:pt>
                <c:pt idx="40">
                  <c:v>0.56517770896706199</c:v>
                </c:pt>
                <c:pt idx="41">
                  <c:v>0.59939762022521803</c:v>
                </c:pt>
                <c:pt idx="42">
                  <c:v>0.63651698613433105</c:v>
                </c:pt>
                <c:pt idx="43">
                  <c:v>0.67044084877286103</c:v>
                </c:pt>
                <c:pt idx="44">
                  <c:v>0.701694018789212</c:v>
                </c:pt>
                <c:pt idx="45">
                  <c:v>0.73048667512099597</c:v>
                </c:pt>
                <c:pt idx="46">
                  <c:v>0.75881078846724404</c:v>
                </c:pt>
                <c:pt idx="47">
                  <c:v>0.78677908613529501</c:v>
                </c:pt>
                <c:pt idx="48">
                  <c:v>0.81107464539541996</c:v>
                </c:pt>
                <c:pt idx="49">
                  <c:v>0.83313637036927002</c:v>
                </c:pt>
                <c:pt idx="50">
                  <c:v>0.85319042133340295</c:v>
                </c:pt>
                <c:pt idx="51">
                  <c:v>0.87278395018805499</c:v>
                </c:pt>
                <c:pt idx="52">
                  <c:v>0.88871506071986905</c:v>
                </c:pt>
                <c:pt idx="53">
                  <c:v>0.90280021503994301</c:v>
                </c:pt>
                <c:pt idx="54">
                  <c:v>0.91534658514394696</c:v>
                </c:pt>
                <c:pt idx="55">
                  <c:v>0.92659739306514799</c:v>
                </c:pt>
                <c:pt idx="56">
                  <c:v>0.93727247119559898</c:v>
                </c:pt>
                <c:pt idx="57">
                  <c:v>0.94616398332373597</c:v>
                </c:pt>
                <c:pt idx="58">
                  <c:v>0.95422020650159101</c:v>
                </c:pt>
                <c:pt idx="59">
                  <c:v>0.96121003062070398</c:v>
                </c:pt>
                <c:pt idx="60">
                  <c:v>0.96702664058307097</c:v>
                </c:pt>
                <c:pt idx="61">
                  <c:v>0.97197483873683799</c:v>
                </c:pt>
                <c:pt idx="62">
                  <c:v>0.97639026430057196</c:v>
                </c:pt>
                <c:pt idx="63">
                  <c:v>0.97994993916610096</c:v>
                </c:pt>
                <c:pt idx="64">
                  <c:v>0.98302702636027806</c:v>
                </c:pt>
                <c:pt idx="65">
                  <c:v>0.98564918225989495</c:v>
                </c:pt>
                <c:pt idx="66">
                  <c:v>0.98784410433091996</c:v>
                </c:pt>
                <c:pt idx="67">
                  <c:v>0.98963664310553501</c:v>
                </c:pt>
                <c:pt idx="68">
                  <c:v>0.99119958941435504</c:v>
                </c:pt>
                <c:pt idx="69">
                  <c:v>0.99252321227499196</c:v>
                </c:pt>
                <c:pt idx="70">
                  <c:v>0.99367128337069499</c:v>
                </c:pt>
                <c:pt idx="71">
                  <c:v>0.99474889835022595</c:v>
                </c:pt>
                <c:pt idx="72">
                  <c:v>0.99560536013100398</c:v>
                </c:pt>
                <c:pt idx="73">
                  <c:v>0.99630552300903097</c:v>
                </c:pt>
                <c:pt idx="74">
                  <c:v>0.99685852174423994</c:v>
                </c:pt>
                <c:pt idx="75">
                  <c:v>0.99734887568823005</c:v>
                </c:pt>
                <c:pt idx="76">
                  <c:v>0.99777553845566902</c:v>
                </c:pt>
                <c:pt idx="77">
                  <c:v>0.99814196304061997</c:v>
                </c:pt>
                <c:pt idx="78">
                  <c:v>0.99843018589703303</c:v>
                </c:pt>
                <c:pt idx="79">
                  <c:v>0.99866455388370401</c:v>
                </c:pt>
                <c:pt idx="80">
                  <c:v>0.998860927376097</c:v>
                </c:pt>
                <c:pt idx="81">
                  <c:v>0.99903969330474196</c:v>
                </c:pt>
                <c:pt idx="82">
                  <c:v>0.99918951098009301</c:v>
                </c:pt>
                <c:pt idx="83">
                  <c:v>0.999309735867277</c:v>
                </c:pt>
                <c:pt idx="84">
                  <c:v>0.99942237514005705</c:v>
                </c:pt>
                <c:pt idx="85">
                  <c:v>0.99951846808550004</c:v>
                </c:pt>
                <c:pt idx="86">
                  <c:v>0.99960031041333997</c:v>
                </c:pt>
                <c:pt idx="87">
                  <c:v>0.99966697568521901</c:v>
                </c:pt>
                <c:pt idx="88">
                  <c:v>0.99972138140454803</c:v>
                </c:pt>
                <c:pt idx="89">
                  <c:v>0.99976625629962301</c:v>
                </c:pt>
                <c:pt idx="90">
                  <c:v>0.99980315326573599</c:v>
                </c:pt>
                <c:pt idx="91">
                  <c:v>0.99983512333120195</c:v>
                </c:pt>
                <c:pt idx="92">
                  <c:v>0.99986367225773598</c:v>
                </c:pt>
                <c:pt idx="93">
                  <c:v>0.999887671355979</c:v>
                </c:pt>
                <c:pt idx="94">
                  <c:v>0.99990821962453302</c:v>
                </c:pt>
                <c:pt idx="95">
                  <c:v>0.99992459297911596</c:v>
                </c:pt>
                <c:pt idx="96">
                  <c:v>0.99993796313458505</c:v>
                </c:pt>
                <c:pt idx="97">
                  <c:v>0.99994855915506098</c:v>
                </c:pt>
                <c:pt idx="98">
                  <c:v>0.99995763812274197</c:v>
                </c:pt>
                <c:pt idx="99">
                  <c:v>0.99996513760510697</c:v>
                </c:pt>
                <c:pt idx="100">
                  <c:v>0.99997105959077404</c:v>
                </c:pt>
                <c:pt idx="101">
                  <c:v>0.999976193944351</c:v>
                </c:pt>
                <c:pt idx="102">
                  <c:v>0.99998067950533198</c:v>
                </c:pt>
                <c:pt idx="103">
                  <c:v>0.99998446022493903</c:v>
                </c:pt>
                <c:pt idx="104">
                  <c:v>0.99998733509707705</c:v>
                </c:pt>
                <c:pt idx="105">
                  <c:v>0.99998957954208201</c:v>
                </c:pt>
                <c:pt idx="106">
                  <c:v>0.99999154953898906</c:v>
                </c:pt>
                <c:pt idx="107">
                  <c:v>0.99999310742196101</c:v>
                </c:pt>
                <c:pt idx="108">
                  <c:v>0.99999435496295896</c:v>
                </c:pt>
                <c:pt idx="109">
                  <c:v>0.99999539190735398</c:v>
                </c:pt>
                <c:pt idx="110">
                  <c:v>0.999996239718138</c:v>
                </c:pt>
                <c:pt idx="111">
                  <c:v>0.99999691793805701</c:v>
                </c:pt>
                <c:pt idx="112">
                  <c:v>0.99999746730504202</c:v>
                </c:pt>
                <c:pt idx="113">
                  <c:v>0.999997927693551</c:v>
                </c:pt>
                <c:pt idx="114">
                  <c:v>0.99999829960897202</c:v>
                </c:pt>
                <c:pt idx="115">
                  <c:v>0.99999861654934497</c:v>
                </c:pt>
                <c:pt idx="116">
                  <c:v>0.99999887517359998</c:v>
                </c:pt>
                <c:pt idx="117">
                  <c:v>0.999999077466731</c:v>
                </c:pt>
                <c:pt idx="118">
                  <c:v>0.99999926065509803</c:v>
                </c:pt>
                <c:pt idx="119">
                  <c:v>0.99999940934591003</c:v>
                </c:pt>
                <c:pt idx="120">
                  <c:v>0.99999951972558498</c:v>
                </c:pt>
                <c:pt idx="121">
                  <c:v>0.99999961223247302</c:v>
                </c:pt>
                <c:pt idx="122">
                  <c:v>0.99999968485155699</c:v>
                </c:pt>
                <c:pt idx="123">
                  <c:v>0.99999974503096001</c:v>
                </c:pt>
                <c:pt idx="124">
                  <c:v>0.99999979635182801</c:v>
                </c:pt>
                <c:pt idx="125">
                  <c:v>0.99999983659851599</c:v>
                </c:pt>
                <c:pt idx="126">
                  <c:v>0.99999986709379096</c:v>
                </c:pt>
                <c:pt idx="127">
                  <c:v>0.99999989228437103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16</xdr:row>
      <xdr:rowOff>95249</xdr:rowOff>
    </xdr:from>
    <xdr:to>
      <xdr:col>15</xdr:col>
      <xdr:colOff>142875</xdr:colOff>
      <xdr:row>37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180975</xdr:colOff>
      <xdr:row>41</xdr:row>
      <xdr:rowOff>9525</xdr:rowOff>
    </xdr:from>
    <xdr:to>
      <xdr:col>15</xdr:col>
      <xdr:colOff>247650</xdr:colOff>
      <xdr:row>61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238125</xdr:colOff>
      <xdr:row>16</xdr:row>
      <xdr:rowOff>85725</xdr:rowOff>
    </xdr:from>
    <xdr:to>
      <xdr:col>16</xdr:col>
      <xdr:colOff>6029325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Z395"/>
  <sheetViews>
    <sheetView tabSelected="1" topLeftCell="C1" zoomScale="110" zoomScaleNormal="110" workbookViewId="0">
      <selection activeCell="D20" sqref="D20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29.28515625" style="62" bestFit="1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2" bestFit="1" customWidth="1"/>
    <col min="11" max="15" width="9.140625" style="122"/>
    <col min="16" max="16" width="4.42578125" style="122" customWidth="1"/>
    <col min="17" max="17" width="92.140625" style="62" customWidth="1"/>
    <col min="18" max="18" width="10.7109375" style="62" bestFit="1" customWidth="1"/>
    <col min="19" max="22" width="9.140625" style="62"/>
    <col min="23" max="16384" width="9.140625" style="60"/>
  </cols>
  <sheetData>
    <row r="1" spans="2:26" s="62" customFormat="1" ht="20.25" customHeight="1" x14ac:dyDescent="0.3">
      <c r="B1" s="62">
        <f>VLOOKUP(C1,ListMembers!U8:V10,2,FALSE)</f>
        <v>2</v>
      </c>
      <c r="C1" s="128" t="s">
        <v>195</v>
      </c>
      <c r="D1" s="145" t="s">
        <v>163</v>
      </c>
      <c r="E1" s="146"/>
      <c r="F1" s="146"/>
      <c r="G1" s="146"/>
      <c r="H1" s="147"/>
      <c r="I1" s="122"/>
      <c r="J1" s="122"/>
      <c r="K1" s="122"/>
      <c r="L1" s="122"/>
      <c r="M1" s="122"/>
      <c r="N1" s="122"/>
      <c r="O1" s="122"/>
      <c r="P1" s="122"/>
      <c r="W1" s="60"/>
      <c r="X1" s="60"/>
      <c r="Y1" s="60"/>
      <c r="Z1" s="60"/>
    </row>
    <row r="2" spans="2:26" s="62" customFormat="1" ht="47.25" customHeight="1" x14ac:dyDescent="0.25">
      <c r="C2" s="117"/>
      <c r="D2" s="148" t="s">
        <v>164</v>
      </c>
      <c r="E2" s="149"/>
      <c r="F2" s="149"/>
      <c r="G2" s="149"/>
      <c r="H2" s="150"/>
      <c r="I2" s="122"/>
      <c r="J2" s="122"/>
      <c r="K2" s="122"/>
      <c r="L2" s="122"/>
      <c r="M2" s="122"/>
      <c r="N2" s="122"/>
      <c r="O2" s="122"/>
      <c r="P2" s="122"/>
      <c r="W2" s="60"/>
      <c r="X2" s="60"/>
      <c r="Y2" s="60"/>
      <c r="Z2" s="60"/>
    </row>
    <row r="3" spans="2:26" s="61" customFormat="1" ht="15.75" thickBot="1" x14ac:dyDescent="0.3">
      <c r="B3" s="62"/>
      <c r="C3" s="139" t="s">
        <v>197</v>
      </c>
      <c r="D3" s="139"/>
      <c r="E3" s="139"/>
      <c r="F3" s="139"/>
      <c r="G3" s="151"/>
      <c r="H3" s="151"/>
      <c r="I3" s="122"/>
      <c r="J3" s="122"/>
      <c r="K3" s="122"/>
      <c r="L3" s="122"/>
      <c r="M3" s="122"/>
      <c r="N3" s="122"/>
      <c r="O3" s="122"/>
      <c r="P3" s="122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26" s="62" customFormat="1" ht="15.75" x14ac:dyDescent="0.25">
      <c r="C4" s="119" t="s">
        <v>184</v>
      </c>
      <c r="D4" s="120" t="s">
        <v>103</v>
      </c>
      <c r="E4" s="65"/>
      <c r="F4" s="119" t="s">
        <v>205</v>
      </c>
      <c r="G4" s="96" t="str">
        <f>IF(H4="","Typical",H4)</f>
        <v>Typical</v>
      </c>
      <c r="H4" s="130"/>
      <c r="I4" s="122"/>
      <c r="J4" s="122"/>
      <c r="K4" s="122"/>
      <c r="L4" s="122"/>
      <c r="M4" s="122"/>
      <c r="N4" s="122"/>
      <c r="O4" s="122"/>
      <c r="P4" s="122"/>
      <c r="W4" s="60"/>
      <c r="X4" s="60"/>
      <c r="Y4" s="60"/>
      <c r="Z4" s="60"/>
    </row>
    <row r="5" spans="2:26" s="62" customFormat="1" ht="15.75" x14ac:dyDescent="0.25">
      <c r="C5" s="119" t="s">
        <v>30</v>
      </c>
      <c r="D5" s="121" t="s">
        <v>70</v>
      </c>
      <c r="E5" s="65"/>
      <c r="F5" s="119" t="s">
        <v>206</v>
      </c>
      <c r="G5" s="96" t="str">
        <f>IF(H5="","Typical",H5)</f>
        <v>Typical</v>
      </c>
      <c r="H5" s="130"/>
      <c r="I5" s="122"/>
      <c r="J5" s="122"/>
      <c r="K5" s="122"/>
      <c r="L5" s="122"/>
      <c r="M5" s="122"/>
      <c r="N5" s="122"/>
      <c r="O5" s="122"/>
      <c r="P5" s="122"/>
      <c r="W5" s="60"/>
      <c r="X5" s="60"/>
      <c r="Y5" s="60"/>
      <c r="Z5" s="60"/>
    </row>
    <row r="6" spans="2:26" s="62" customFormat="1" ht="15.75" x14ac:dyDescent="0.25">
      <c r="C6" s="119" t="s">
        <v>100</v>
      </c>
      <c r="D6" s="121" t="s">
        <v>79</v>
      </c>
      <c r="F6" s="119" t="s">
        <v>201</v>
      </c>
      <c r="G6" s="96" t="str">
        <f>IF(H6="","None",H6)</f>
        <v>Some</v>
      </c>
      <c r="H6" s="131" t="s">
        <v>204</v>
      </c>
      <c r="I6" s="122"/>
      <c r="J6" s="122"/>
      <c r="K6" s="122"/>
      <c r="L6" s="122"/>
      <c r="M6" s="122"/>
      <c r="N6" s="122"/>
      <c r="O6" s="122"/>
      <c r="P6" s="122"/>
      <c r="W6" s="60"/>
      <c r="X6" s="60"/>
      <c r="Y6" s="60"/>
      <c r="Z6" s="60"/>
    </row>
    <row r="7" spans="2:26" s="62" customFormat="1" x14ac:dyDescent="0.25">
      <c r="C7" s="64" t="s">
        <v>101</v>
      </c>
      <c r="D7" s="95" t="str">
        <f>IF(E7="","General",E7)</f>
        <v>General</v>
      </c>
      <c r="E7" s="102"/>
      <c r="I7" s="122"/>
      <c r="J7" s="122"/>
      <c r="K7" s="122"/>
      <c r="L7" s="122"/>
      <c r="M7" s="122"/>
      <c r="N7" s="122"/>
      <c r="O7" s="122"/>
      <c r="P7" s="122"/>
      <c r="W7" s="60"/>
      <c r="X7" s="60"/>
      <c r="Y7" s="60"/>
      <c r="Z7" s="60"/>
    </row>
    <row r="8" spans="2:26" s="62" customFormat="1" x14ac:dyDescent="0.25">
      <c r="C8" s="73" t="s">
        <v>159</v>
      </c>
      <c r="D8" s="74" t="str">
        <f>CurrentCropName&amp;" "&amp;CurrentCropType&amp;" "&amp;CurrentCropVariety</f>
        <v>Cabbage Vegetable General</v>
      </c>
      <c r="I8" s="122"/>
      <c r="J8" s="122"/>
      <c r="K8" s="122"/>
      <c r="L8" s="122"/>
      <c r="M8" s="122"/>
      <c r="N8" s="122"/>
      <c r="O8" s="122"/>
      <c r="P8" s="122"/>
      <c r="W8" s="60"/>
      <c r="X8" s="60"/>
      <c r="Y8" s="60"/>
      <c r="Z8" s="60"/>
    </row>
    <row r="9" spans="2:26" s="62" customFormat="1" x14ac:dyDescent="0.25">
      <c r="C9" s="64" t="s">
        <v>4</v>
      </c>
      <c r="D9" s="101">
        <f ca="1">IF(E9="",TODAY(),E9)</f>
        <v>45169</v>
      </c>
      <c r="E9" s="76">
        <v>45169</v>
      </c>
      <c r="F9" s="64" t="s">
        <v>154</v>
      </c>
      <c r="G9" s="95" t="str">
        <f>IF(H9="",VLOOKUP(CurrentCropNameFull,CropCoefficients,13,FALSE),#REF!)</f>
        <v>Seedling</v>
      </c>
      <c r="H9" s="81"/>
      <c r="I9" s="122"/>
      <c r="J9" s="122"/>
      <c r="K9" s="122"/>
      <c r="L9" s="122"/>
      <c r="M9" s="122"/>
      <c r="N9" s="122"/>
      <c r="O9" s="122"/>
      <c r="P9" s="122"/>
      <c r="W9" s="60"/>
      <c r="X9" s="60"/>
      <c r="Y9" s="60"/>
      <c r="Z9" s="60"/>
    </row>
    <row r="10" spans="2:26" s="62" customFormat="1" x14ac:dyDescent="0.25">
      <c r="C10" s="64" t="s">
        <v>5</v>
      </c>
      <c r="D10" s="101">
        <f>IF(E10="",CurrentEstablishDate+125,E10)</f>
        <v>45296</v>
      </c>
      <c r="E10" s="76">
        <v>45296</v>
      </c>
      <c r="F10" s="64" t="s">
        <v>155</v>
      </c>
      <c r="G10" s="95" t="str">
        <f>IF(H10="",VLOOKUP(CurrentCropNameFull,CropCoefficients,15,FALSE),H10)</f>
        <v>Vegetative</v>
      </c>
      <c r="H10" s="81"/>
      <c r="I10" s="122"/>
      <c r="J10" s="122"/>
      <c r="K10" s="122"/>
      <c r="L10" s="122"/>
      <c r="M10" s="122"/>
      <c r="N10" s="122"/>
      <c r="O10" s="122"/>
      <c r="P10" s="122"/>
      <c r="W10" s="60"/>
      <c r="X10" s="60"/>
      <c r="Y10" s="60"/>
      <c r="Z10" s="60"/>
    </row>
    <row r="11" spans="2:26" s="62" customFormat="1" x14ac:dyDescent="0.25">
      <c r="C11" s="64" t="s">
        <v>145</v>
      </c>
      <c r="D11" s="95" t="str">
        <f>IF(CurrentUnits="kg/head",IF(E11="",VLOOKUP(CurrentCropNameFull,CropCoefficients,20,FALSE),E11),"  -")</f>
        <v xml:space="preserve">  -</v>
      </c>
      <c r="E11" s="81"/>
      <c r="F11" s="64" t="s">
        <v>142</v>
      </c>
      <c r="G11" s="95">
        <f>IF(H11="",VLOOKUP(CurrentCropNameFull,CropCoefficients,23,FALSE),H11)</f>
        <v>0</v>
      </c>
      <c r="H11" s="81"/>
      <c r="I11" s="122"/>
      <c r="J11" s="122"/>
      <c r="K11" s="122"/>
      <c r="L11" s="122"/>
      <c r="M11" s="122"/>
      <c r="N11" s="122"/>
      <c r="O11" s="122"/>
      <c r="P11" s="122"/>
      <c r="W11" s="60"/>
      <c r="X11" s="60"/>
      <c r="Y11" s="60"/>
      <c r="Z11" s="60"/>
    </row>
    <row r="12" spans="2:26" s="62" customFormat="1" x14ac:dyDescent="0.25">
      <c r="C12" s="64" t="str">
        <f>"Yield ("&amp;CurrentUnits&amp;")"</f>
        <v>Yield (t/ha)</v>
      </c>
      <c r="D12" s="95">
        <f>IF(E12="",VLOOKUP(CurrentCropNameFull,CropCoefficients,17,FALSE),E12)</f>
        <v>60</v>
      </c>
      <c r="E12" s="78"/>
      <c r="F12" s="64" t="s">
        <v>144</v>
      </c>
      <c r="G12" s="95">
        <f>IF(H12="",VLOOKUP(CurrentCropNameFull,CropCoefficients,22,FALSE),H12)</f>
        <v>0</v>
      </c>
      <c r="H12" s="81"/>
      <c r="I12" s="122"/>
      <c r="J12" s="122"/>
      <c r="K12" s="122"/>
      <c r="L12" s="122"/>
      <c r="M12" s="122"/>
      <c r="N12" s="122"/>
      <c r="O12" s="122"/>
      <c r="P12" s="122"/>
      <c r="W12" s="60"/>
      <c r="X12" s="60"/>
      <c r="Y12" s="60"/>
      <c r="Z12" s="60"/>
    </row>
    <row r="13" spans="2:26" s="62" customFormat="1" x14ac:dyDescent="0.25">
      <c r="C13" s="64" t="s">
        <v>15</v>
      </c>
      <c r="D13" s="96" t="str">
        <f>IF(E13="",VLOOKUP(CurrentCropNameFull,CropCoefficients,18,FALSE),E13)</f>
        <v>t/ha</v>
      </c>
      <c r="E13" s="80"/>
      <c r="F13" s="64" t="s">
        <v>143</v>
      </c>
      <c r="G13" s="109">
        <f>IF(H13="",VLOOKUP(CurrentCropNameFull,CropCoefficients,26,FALSE),H13)</f>
        <v>90</v>
      </c>
      <c r="H13" s="81"/>
      <c r="I13" s="122"/>
      <c r="J13" s="122"/>
      <c r="K13" s="122"/>
      <c r="L13" s="122"/>
      <c r="M13" s="122"/>
      <c r="N13" s="122"/>
      <c r="O13" s="122"/>
      <c r="P13" s="122"/>
      <c r="W13" s="60"/>
      <c r="X13" s="60"/>
      <c r="Y13" s="60"/>
      <c r="Z13" s="60"/>
    </row>
    <row r="14" spans="2:26" s="62" customFormat="1" x14ac:dyDescent="0.25">
      <c r="B14" s="100">
        <f>IF(CurrentUnits="kg/head",CurrentYield*CurrentPopulation/1000,IF(CurrentUnits="kg/ha",CurrentYield/1000,CurrentYield))</f>
        <v>60</v>
      </c>
      <c r="C14" s="73" t="str">
        <f>"Yield "&amp;CurrentYield_tperHa&amp;" (t/ha)"</f>
        <v>Yield 60 (t/ha)</v>
      </c>
      <c r="D14" s="100" t="str">
        <f ca="1">"requires "&amp;ROUND(SUM('Model Interface'!V3:W3),0)&amp;" kg N/ha from all sources"</f>
        <v>requires 158 kg N/ha from all sources</v>
      </c>
      <c r="F14" s="64" t="s">
        <v>170</v>
      </c>
      <c r="G14" s="95" t="str">
        <f>IF(H14="","None removed",H14)</f>
        <v>None removed</v>
      </c>
      <c r="H14" s="81"/>
      <c r="I14" s="122"/>
      <c r="J14" s="122"/>
      <c r="K14" s="122"/>
      <c r="L14" s="122"/>
      <c r="M14" s="122"/>
      <c r="N14" s="122"/>
      <c r="O14" s="122"/>
      <c r="P14" s="122"/>
      <c r="R14" s="93">
        <f ca="1">MAX(PriorHarvestDate,MIN(C38,CurrentEstablishDate))</f>
        <v>45169</v>
      </c>
      <c r="W14" s="60"/>
      <c r="X14" s="60"/>
      <c r="Y14" s="60"/>
      <c r="Z14" s="60"/>
    </row>
    <row r="15" spans="2:26" s="62" customFormat="1" ht="16.5" thickBot="1" x14ac:dyDescent="0.3">
      <c r="C15" s="123" t="s">
        <v>169</v>
      </c>
      <c r="D15" s="124" t="str">
        <f ca="1">'Model Interface'!U2 &amp; " Kg/ha"</f>
        <v>61 Kg/ha</v>
      </c>
      <c r="E15" s="125" t="s">
        <v>200</v>
      </c>
      <c r="F15" s="64" t="s">
        <v>171</v>
      </c>
      <c r="G15" s="95" t="str">
        <f>IF(H15="","Full (Plough)",H15)</f>
        <v>Full (Plough)</v>
      </c>
      <c r="H15" s="81"/>
      <c r="I15" s="122"/>
      <c r="J15" s="122"/>
      <c r="K15" s="122"/>
      <c r="L15" s="122"/>
      <c r="M15" s="122"/>
      <c r="N15" s="122"/>
      <c r="O15" s="122"/>
      <c r="P15" s="122"/>
      <c r="R15" s="144" t="s">
        <v>193</v>
      </c>
      <c r="S15" s="144"/>
      <c r="T15" s="144"/>
      <c r="U15" s="144"/>
      <c r="V15" s="144"/>
      <c r="W15" s="60"/>
      <c r="X15" s="60"/>
      <c r="Y15" s="60"/>
      <c r="Z15" s="60"/>
    </row>
    <row r="16" spans="2:26" s="62" customFormat="1" ht="5.25" customHeight="1" x14ac:dyDescent="0.25">
      <c r="C16" s="68"/>
      <c r="D16" s="116"/>
      <c r="E16" s="68"/>
      <c r="I16" s="122"/>
      <c r="J16" s="122"/>
      <c r="K16" s="122"/>
      <c r="L16" s="122"/>
      <c r="M16" s="122"/>
      <c r="N16" s="122"/>
      <c r="O16" s="122"/>
      <c r="P16" s="122"/>
      <c r="W16" s="60"/>
      <c r="X16" s="60"/>
      <c r="Y16" s="60"/>
      <c r="Z16" s="60"/>
    </row>
    <row r="17" spans="1:26" s="61" customFormat="1" ht="15.75" thickBot="1" x14ac:dyDescent="0.3">
      <c r="A17" s="62"/>
      <c r="B17" s="62"/>
      <c r="C17" s="139" t="s">
        <v>198</v>
      </c>
      <c r="D17" s="139"/>
      <c r="E17" s="139"/>
      <c r="F17" s="139"/>
      <c r="G17" s="139"/>
      <c r="H17" s="139"/>
      <c r="I17" s="122"/>
      <c r="J17" s="122"/>
      <c r="K17" s="122"/>
      <c r="L17" s="122"/>
      <c r="M17" s="122"/>
      <c r="N17" s="122"/>
      <c r="O17" s="122"/>
      <c r="P17" s="122"/>
      <c r="Q17" s="62"/>
      <c r="R17" s="62" t="str">
        <f ca="1">'Model Interface'!P5</f>
        <v>Date</v>
      </c>
      <c r="S17" s="62"/>
      <c r="T17" s="62" t="s">
        <v>168</v>
      </c>
      <c r="U17" s="62" t="s">
        <v>167</v>
      </c>
      <c r="V17" s="62" t="s">
        <v>13</v>
      </c>
      <c r="W17" s="62" t="s">
        <v>218</v>
      </c>
      <c r="X17" s="62" t="s">
        <v>219</v>
      </c>
      <c r="Y17" s="62" t="s">
        <v>201</v>
      </c>
      <c r="Z17" s="62" t="s">
        <v>222</v>
      </c>
    </row>
    <row r="18" spans="1:26" s="62" customFormat="1" ht="5.25" customHeight="1" x14ac:dyDescent="0.25">
      <c r="F18" s="66"/>
      <c r="G18" s="66"/>
      <c r="H18" s="66"/>
      <c r="I18" s="122"/>
      <c r="J18" s="122"/>
      <c r="K18" s="122"/>
      <c r="L18" s="122"/>
      <c r="M18" s="122"/>
      <c r="N18" s="122"/>
      <c r="O18" s="122"/>
      <c r="P18" s="122"/>
      <c r="R18" s="93">
        <f t="array" aca="1" ref="R18:R395" ca="1">_xlfn._xlws.FILTER('Model Interface'!AD6:AD495,('Model Interface'!AD6:AD495&gt;=StartGraphDate)*('Model Interface'!AD6:AD495&lt;=CurrentHarvestDate),"")</f>
        <v>45169</v>
      </c>
      <c r="S18" s="62">
        <f ca="1">IF(R18&gt;1,R18,"")</f>
        <v>45169</v>
      </c>
      <c r="T18" s="62">
        <f t="shared" ref="T18:T81" ca="1" si="0">VLOOKUP(S18,ModelOutputs,2,FALSE)</f>
        <v>60.483764748387273</v>
      </c>
      <c r="U18" s="62">
        <f t="shared" ref="U18:U81" ca="1" si="1">VLOOKUP(S18,ModelOutputs,7,FALSE)</f>
        <v>8.7748006127012594</v>
      </c>
      <c r="V18" s="62">
        <f t="shared" ref="V18:V81" ca="1" si="2">VLOOKUP(S18,ModelOutputs,6,FALSE)</f>
        <v>0</v>
      </c>
      <c r="W18" s="60">
        <f t="shared" ref="W18:W81" ca="1" si="3">VLOOKUP(S18,ModelOutputs,10,FALSE)*AWC</f>
        <v>117.65210692560905</v>
      </c>
      <c r="X18" s="60">
        <f ca="1">VLOOKUP(S18,ModelOutputs,11,FALSE)</f>
        <v>0</v>
      </c>
      <c r="Y18" s="60">
        <f t="shared" ref="Y18:Y81" ca="1" si="4">VLOOKUP(S18,ModelOutputs,12,FALSE)</f>
        <v>0</v>
      </c>
      <c r="Z18" s="60">
        <f t="shared" ref="Z18:Z81" ca="1" si="5">VLOOKUP(S18,ModelOutputs,13,FALSE)</f>
        <v>7.4167097856789096E-3</v>
      </c>
    </row>
    <row r="19" spans="1:26" s="62" customFormat="1" x14ac:dyDescent="0.25">
      <c r="C19" s="64" t="s">
        <v>240</v>
      </c>
      <c r="D19" s="95">
        <f>IF(E19="",60,E19)</f>
        <v>60</v>
      </c>
      <c r="E19" s="18"/>
      <c r="F19" s="110" t="str">
        <f ca="1">ROUND('Model Interface'!T2,0)&amp;" kg N/ha available from SOM mineralisation"</f>
        <v>78 kg N/ha available from SOM mineralisation</v>
      </c>
      <c r="I19" s="122"/>
      <c r="J19" s="122"/>
      <c r="K19" s="122"/>
      <c r="L19" s="122"/>
      <c r="M19" s="122"/>
      <c r="N19" s="122"/>
      <c r="O19" s="122"/>
      <c r="P19" s="122"/>
      <c r="R19" s="93">
        <f ca="1"/>
        <v>45170</v>
      </c>
      <c r="S19" s="62">
        <f t="shared" ref="S19:S82" ca="1" si="6">IF(R19&gt;1,R19,"")</f>
        <v>45170</v>
      </c>
      <c r="T19" s="62">
        <f t="shared" ca="1" si="0"/>
        <v>60.992393057593205</v>
      </c>
      <c r="U19" s="62">
        <f t="shared" ca="1" si="1"/>
        <v>8.9311215161102009</v>
      </c>
      <c r="V19" s="62">
        <f t="shared" ca="1" si="2"/>
        <v>0</v>
      </c>
      <c r="W19" s="60">
        <f t="shared" ca="1" si="3"/>
        <v>116.93222230854174</v>
      </c>
      <c r="X19" s="60">
        <f t="shared" ref="X19:X82" ca="1" si="7">VLOOKUP(S19,ModelOutputs,11,FALSE)+X18</f>
        <v>0</v>
      </c>
      <c r="Y19" s="60">
        <f t="shared" ca="1" si="4"/>
        <v>0</v>
      </c>
      <c r="Z19" s="60">
        <f t="shared" ca="1" si="5"/>
        <v>8.2919823660703804E-3</v>
      </c>
    </row>
    <row r="20" spans="1:26" s="62" customFormat="1" x14ac:dyDescent="0.25">
      <c r="C20" s="64" t="s">
        <v>230</v>
      </c>
      <c r="D20" s="95" t="str">
        <f>IF(E20="","PMN",E20)</f>
        <v>PMN</v>
      </c>
      <c r="E20" s="18"/>
      <c r="F20" s="110"/>
      <c r="I20" s="122"/>
      <c r="J20" s="122"/>
      <c r="K20" s="122"/>
      <c r="L20" s="122"/>
      <c r="M20" s="122"/>
      <c r="N20" s="122"/>
      <c r="O20" s="122"/>
      <c r="P20" s="122"/>
      <c r="R20" s="93">
        <f ca="1"/>
        <v>45171</v>
      </c>
      <c r="S20" s="62">
        <f t="shared" ca="1" si="6"/>
        <v>45171</v>
      </c>
      <c r="T20" s="62">
        <f t="shared" ca="1" si="0"/>
        <v>61.514934012599952</v>
      </c>
      <c r="U20" s="62">
        <f t="shared" ca="1" si="1"/>
        <v>9.0985585456304996</v>
      </c>
      <c r="V20" s="62">
        <f t="shared" ca="1" si="2"/>
        <v>0</v>
      </c>
      <c r="W20" s="60">
        <f t="shared" ca="1" si="3"/>
        <v>115.94557322442185</v>
      </c>
      <c r="X20" s="60">
        <f t="shared" ca="1" si="7"/>
        <v>0</v>
      </c>
      <c r="Y20" s="60">
        <f t="shared" ca="1" si="4"/>
        <v>0</v>
      </c>
      <c r="Z20" s="60">
        <f t="shared" ca="1" si="5"/>
        <v>9.3236831650742105E-3</v>
      </c>
    </row>
    <row r="21" spans="1:26" s="62" customFormat="1" ht="15.75" customHeight="1" x14ac:dyDescent="0.25">
      <c r="B21" s="62">
        <f>VLOOKUP(SampleDepth,depths,2,FALSE)</f>
        <v>3</v>
      </c>
      <c r="C21" s="64" t="s">
        <v>228</v>
      </c>
      <c r="D21" s="95" t="str">
        <f>IF(E21="","0-30cm",E21)</f>
        <v>0-30cm</v>
      </c>
      <c r="E21" s="18"/>
      <c r="F21" s="110"/>
      <c r="I21" s="122"/>
      <c r="J21" s="122"/>
      <c r="K21" s="122"/>
      <c r="L21" s="122"/>
      <c r="M21" s="122"/>
      <c r="N21" s="122"/>
      <c r="O21" s="122"/>
      <c r="P21" s="122"/>
      <c r="R21" s="93">
        <f ca="1"/>
        <v>45172</v>
      </c>
      <c r="S21" s="62">
        <f t="shared" ca="1" si="6"/>
        <v>45172</v>
      </c>
      <c r="T21" s="62">
        <f t="shared" ca="1" si="0"/>
        <v>62.011811771808915</v>
      </c>
      <c r="U21" s="62">
        <f t="shared" ca="1" si="1"/>
        <v>9.2636196419439294</v>
      </c>
      <c r="V21" s="62">
        <f t="shared" ca="1" si="2"/>
        <v>0</v>
      </c>
      <c r="W21" s="60">
        <f t="shared" ca="1" si="3"/>
        <v>114.94928790044906</v>
      </c>
      <c r="X21" s="60">
        <f t="shared" ca="1" si="7"/>
        <v>0</v>
      </c>
      <c r="Y21" s="60">
        <f t="shared" ca="1" si="4"/>
        <v>0</v>
      </c>
      <c r="Z21" s="60">
        <f t="shared" ca="1" si="5"/>
        <v>1.044356207379E-2</v>
      </c>
    </row>
    <row r="22" spans="1:26" s="62" customFormat="1" ht="15" customHeight="1" x14ac:dyDescent="0.25">
      <c r="C22" s="64" t="s">
        <v>229</v>
      </c>
      <c r="D22" s="95" t="str">
        <f>IF(E22="","Brown",E22)</f>
        <v>Brown</v>
      </c>
      <c r="E22" s="18"/>
      <c r="F22" s="110"/>
      <c r="I22" s="122"/>
      <c r="J22" s="122"/>
      <c r="K22" s="122"/>
      <c r="L22" s="122"/>
      <c r="M22" s="122"/>
      <c r="N22" s="122"/>
      <c r="O22" s="122"/>
      <c r="P22" s="122"/>
      <c r="R22" s="93">
        <f ca="1"/>
        <v>45173</v>
      </c>
      <c r="S22" s="62">
        <f t="shared" ca="1" si="6"/>
        <v>45173</v>
      </c>
      <c r="T22" s="62">
        <f t="shared" ca="1" si="0"/>
        <v>62.493006962853947</v>
      </c>
      <c r="U22" s="62">
        <f t="shared" ca="1" si="1"/>
        <v>9.4311455069204992</v>
      </c>
      <c r="V22" s="62">
        <f t="shared" ca="1" si="2"/>
        <v>0</v>
      </c>
      <c r="W22" s="60">
        <f t="shared" ca="1" si="3"/>
        <v>113.92715673562883</v>
      </c>
      <c r="X22" s="60">
        <f t="shared" ca="1" si="7"/>
        <v>0</v>
      </c>
      <c r="Y22" s="60">
        <f t="shared" ca="1" si="4"/>
        <v>0</v>
      </c>
      <c r="Z22" s="60">
        <f t="shared" ca="1" si="5"/>
        <v>1.1692693288651201E-2</v>
      </c>
    </row>
    <row r="23" spans="1:26" s="62" customFormat="1" x14ac:dyDescent="0.25">
      <c r="C23" s="64" t="s">
        <v>226</v>
      </c>
      <c r="D23" s="95">
        <f>IF(E23="",VLOOKUP(SoilOrder,SoilOrders,B21,FALSE),E23)</f>
        <v>1.22</v>
      </c>
      <c r="E23" s="137"/>
      <c r="F23" s="110"/>
      <c r="I23" s="122"/>
      <c r="J23" s="122"/>
      <c r="K23" s="122"/>
      <c r="L23" s="122"/>
      <c r="M23" s="122"/>
      <c r="N23" s="122"/>
      <c r="O23" s="122"/>
      <c r="P23" s="122"/>
      <c r="R23" s="93">
        <f ca="1"/>
        <v>45174</v>
      </c>
      <c r="S23" s="62">
        <f t="shared" ca="1" si="6"/>
        <v>45174</v>
      </c>
      <c r="T23" s="62">
        <f t="shared" ca="1" si="0"/>
        <v>62.949600301505093</v>
      </c>
      <c r="U23" s="62">
        <f t="shared" ca="1" si="1"/>
        <v>9.5968602188961096</v>
      </c>
      <c r="V23" s="62">
        <f t="shared" ca="1" si="2"/>
        <v>0</v>
      </c>
      <c r="W23" s="60">
        <f t="shared" ca="1" si="3"/>
        <v>112.96731503415687</v>
      </c>
      <c r="X23" s="60">
        <f t="shared" ca="1" si="7"/>
        <v>0</v>
      </c>
      <c r="Y23" s="60">
        <f t="shared" ca="1" si="4"/>
        <v>0</v>
      </c>
      <c r="Z23" s="60">
        <f t="shared" ca="1" si="5"/>
        <v>1.30483026059066E-2</v>
      </c>
    </row>
    <row r="24" spans="1:26" s="62" customFormat="1" x14ac:dyDescent="0.25">
      <c r="A24" s="93">
        <f t="array" aca="1" ref="A24:A38" ca="1">_xlfn._xlws.FILTER('Model Interface'!AD6:AD495,'Model Interface'!AE6:AE495&gt;0,"")</f>
        <v>45276</v>
      </c>
      <c r="B24" s="62">
        <f t="shared" ref="B24:B38" ca="1" si="8">IF(AND(NOT(F29=""),F29&gt;=StartSchedullingDate),1,0)</f>
        <v>1</v>
      </c>
      <c r="D24" s="136"/>
      <c r="F24" s="110"/>
      <c r="I24" s="122"/>
      <c r="J24" s="122"/>
      <c r="K24" s="122"/>
      <c r="L24" s="122"/>
      <c r="M24" s="122"/>
      <c r="N24" s="122"/>
      <c r="O24" s="122"/>
      <c r="P24" s="122"/>
      <c r="R24" s="93">
        <f ca="1"/>
        <v>45175</v>
      </c>
      <c r="S24" s="62">
        <f t="shared" ca="1" si="6"/>
        <v>45175</v>
      </c>
      <c r="T24" s="62">
        <f t="shared" ca="1" si="0"/>
        <v>63.413464076596306</v>
      </c>
      <c r="U24" s="62">
        <f t="shared" ca="1" si="1"/>
        <v>9.7740003800218993</v>
      </c>
      <c r="V24" s="62">
        <f t="shared" ca="1" si="2"/>
        <v>0</v>
      </c>
      <c r="W24" s="60">
        <f t="shared" ca="1" si="3"/>
        <v>112.08424061919548</v>
      </c>
      <c r="X24" s="60">
        <f t="shared" ca="1" si="7"/>
        <v>0</v>
      </c>
      <c r="Y24" s="60">
        <f t="shared" ca="1" si="4"/>
        <v>0</v>
      </c>
      <c r="Z24" s="60">
        <f t="shared" ca="1" si="5"/>
        <v>1.46393090297818E-2</v>
      </c>
    </row>
    <row r="25" spans="1:26" s="62" customFormat="1" x14ac:dyDescent="0.25">
      <c r="A25" s="93">
        <f ca="1"/>
        <v>45276</v>
      </c>
      <c r="B25" s="62">
        <f t="shared" ca="1" si="8"/>
        <v>0</v>
      </c>
      <c r="C25" s="69" t="str">
        <f>IF(COUNT(C29:C34)&gt;0,"Side dressings remaining","Side dressings")</f>
        <v>Side dressings</v>
      </c>
      <c r="D25" s="95">
        <f>IF(E25="",1,E25)</f>
        <v>1</v>
      </c>
      <c r="E25" s="114"/>
      <c r="I25" s="122"/>
      <c r="J25" s="122"/>
      <c r="K25" s="122"/>
      <c r="L25" s="122"/>
      <c r="M25" s="122"/>
      <c r="N25" s="122"/>
      <c r="O25" s="122"/>
      <c r="P25" s="122"/>
      <c r="R25" s="93">
        <f ca="1"/>
        <v>45176</v>
      </c>
      <c r="S25" s="62">
        <f t="shared" ca="1" si="6"/>
        <v>45176</v>
      </c>
      <c r="T25" s="62">
        <f t="shared" ca="1" si="0"/>
        <v>63.861523304394851</v>
      </c>
      <c r="U25" s="62">
        <f t="shared" ca="1" si="1"/>
        <v>9.9555220281929593</v>
      </c>
      <c r="V25" s="62">
        <f t="shared" ca="1" si="2"/>
        <v>0</v>
      </c>
      <c r="W25" s="60">
        <f t="shared" ca="1" si="3"/>
        <v>110.29908815816177</v>
      </c>
      <c r="X25" s="60">
        <f t="shared" ca="1" si="7"/>
        <v>0</v>
      </c>
      <c r="Y25" s="60">
        <f t="shared" ca="1" si="4"/>
        <v>0</v>
      </c>
      <c r="Z25" s="60">
        <f t="shared" ca="1" si="5"/>
        <v>1.6433316286092702E-2</v>
      </c>
    </row>
    <row r="26" spans="1:26" s="62" customFormat="1" ht="15.75" thickBot="1" x14ac:dyDescent="0.3">
      <c r="A26" s="93">
        <f ca="1"/>
        <v>45276</v>
      </c>
      <c r="B26" s="62">
        <f t="shared" ca="1" si="8"/>
        <v>0</v>
      </c>
      <c r="C26" s="63"/>
      <c r="D26" s="63"/>
      <c r="E26" s="63"/>
      <c r="F26" s="63"/>
      <c r="I26" s="122"/>
      <c r="J26" s="122"/>
      <c r="K26" s="122"/>
      <c r="L26" s="122"/>
      <c r="M26" s="122"/>
      <c r="N26" s="122"/>
      <c r="O26" s="122"/>
      <c r="P26" s="122"/>
      <c r="R26" s="93">
        <f ca="1"/>
        <v>45177</v>
      </c>
      <c r="S26" s="62">
        <f t="shared" ca="1" si="6"/>
        <v>45177</v>
      </c>
      <c r="T26" s="62">
        <f t="shared" ca="1" si="0"/>
        <v>64.279970979558485</v>
      </c>
      <c r="U26" s="62">
        <f t="shared" ca="1" si="1"/>
        <v>10.132772304842</v>
      </c>
      <c r="V26" s="62">
        <f t="shared" ca="1" si="2"/>
        <v>0</v>
      </c>
      <c r="W26" s="60">
        <f t="shared" ca="1" si="3"/>
        <v>109.06104120458239</v>
      </c>
      <c r="X26" s="60">
        <f t="shared" ca="1" si="7"/>
        <v>0</v>
      </c>
      <c r="Y26" s="60">
        <f t="shared" ca="1" si="4"/>
        <v>0</v>
      </c>
      <c r="Z26" s="60">
        <f t="shared" ca="1" si="5"/>
        <v>1.83569402050867E-2</v>
      </c>
    </row>
    <row r="27" spans="1:26" s="62" customFormat="1" ht="15.75" thickBot="1" x14ac:dyDescent="0.3">
      <c r="A27" s="93">
        <f ca="1"/>
        <v>45276</v>
      </c>
      <c r="B27" s="62">
        <f t="shared" ca="1" si="8"/>
        <v>0</v>
      </c>
      <c r="C27" s="140" t="s">
        <v>146</v>
      </c>
      <c r="D27" s="141"/>
      <c r="E27" s="67"/>
      <c r="F27" s="142" t="s">
        <v>153</v>
      </c>
      <c r="G27" s="143"/>
      <c r="I27" s="122"/>
      <c r="J27" s="122"/>
      <c r="K27" s="122"/>
      <c r="L27" s="122"/>
      <c r="M27" s="122"/>
      <c r="N27" s="122"/>
      <c r="O27" s="122"/>
      <c r="P27" s="122"/>
      <c r="R27" s="93">
        <f ca="1"/>
        <v>45178</v>
      </c>
      <c r="S27" s="62">
        <f t="shared" ca="1" si="6"/>
        <v>45178</v>
      </c>
      <c r="T27" s="62">
        <f t="shared" ca="1" si="0"/>
        <v>64.664255093991414</v>
      </c>
      <c r="U27" s="62">
        <f t="shared" ca="1" si="1"/>
        <v>10.3008756235056</v>
      </c>
      <c r="V27" s="62">
        <f t="shared" ca="1" si="2"/>
        <v>0</v>
      </c>
      <c r="W27" s="60">
        <f t="shared" ca="1" si="3"/>
        <v>108.05967151969361</v>
      </c>
      <c r="X27" s="60">
        <f t="shared" ca="1" si="7"/>
        <v>0</v>
      </c>
      <c r="Y27" s="60">
        <f t="shared" ca="1" si="4"/>
        <v>0</v>
      </c>
      <c r="Z27" s="60">
        <f t="shared" ca="1" si="5"/>
        <v>2.03493629713913E-2</v>
      </c>
    </row>
    <row r="28" spans="1:26" s="62" customFormat="1" ht="15.75" thickBot="1" x14ac:dyDescent="0.3">
      <c r="A28" s="93">
        <f ca="1"/>
        <v>45276</v>
      </c>
      <c r="B28" s="62">
        <f t="shared" ca="1" si="8"/>
        <v>0</v>
      </c>
      <c r="C28" s="126" t="s">
        <v>14</v>
      </c>
      <c r="D28" s="127" t="s">
        <v>117</v>
      </c>
      <c r="E28" s="68"/>
      <c r="F28" s="70" t="s">
        <v>14</v>
      </c>
      <c r="G28" s="71" t="s">
        <v>117</v>
      </c>
      <c r="I28" s="122"/>
      <c r="J28" s="122"/>
      <c r="K28" s="122"/>
      <c r="L28" s="122"/>
      <c r="M28" s="122"/>
      <c r="N28" s="122"/>
      <c r="O28" s="122"/>
      <c r="P28" s="122"/>
      <c r="R28" s="93">
        <f ca="1"/>
        <v>45179</v>
      </c>
      <c r="S28" s="62">
        <f t="shared" ca="1" si="6"/>
        <v>45179</v>
      </c>
      <c r="T28" s="62">
        <f t="shared" ca="1" si="0"/>
        <v>65.074007751360725</v>
      </c>
      <c r="U28" s="62">
        <f t="shared" ca="1" si="1"/>
        <v>10.4928336344753</v>
      </c>
      <c r="V28" s="62">
        <f t="shared" ca="1" si="2"/>
        <v>0</v>
      </c>
      <c r="W28" s="60">
        <f t="shared" ca="1" si="3"/>
        <v>106.77162738984129</v>
      </c>
      <c r="X28" s="60">
        <f t="shared" ca="1" si="7"/>
        <v>0</v>
      </c>
      <c r="Y28" s="60">
        <f t="shared" ca="1" si="4"/>
        <v>0</v>
      </c>
      <c r="Z28" s="60">
        <f t="shared" ca="1" si="5"/>
        <v>2.2838727061709099E-2</v>
      </c>
    </row>
    <row r="29" spans="1:26" s="62" customFormat="1" x14ac:dyDescent="0.25">
      <c r="A29" s="93">
        <f ca="1"/>
        <v>45276</v>
      </c>
      <c r="B29" s="62">
        <f t="shared" ca="1" si="8"/>
        <v>0</v>
      </c>
      <c r="C29" s="87"/>
      <c r="D29" s="90"/>
      <c r="E29" s="68"/>
      <c r="F29" s="83">
        <f ca="1">A24</f>
        <v>45276</v>
      </c>
      <c r="G29" s="85">
        <f ca="1">IFERROR(VLOOKUP(F29,'Model Interface'!$P$6:$U$495,6,FALSE),"")</f>
        <v>61</v>
      </c>
      <c r="H29" s="62" t="str">
        <f ca="1">IF(B24=1,"Suggested","Applied or Planned")</f>
        <v>Suggested</v>
      </c>
      <c r="I29" s="122"/>
      <c r="J29" s="122"/>
      <c r="K29" s="122"/>
      <c r="L29" s="122"/>
      <c r="M29" s="122"/>
      <c r="N29" s="122"/>
      <c r="O29" s="122"/>
      <c r="P29" s="122"/>
      <c r="R29" s="93">
        <f ca="1"/>
        <v>45180</v>
      </c>
      <c r="S29" s="62">
        <f t="shared" ca="1" si="6"/>
        <v>45180</v>
      </c>
      <c r="T29" s="62">
        <f t="shared" ca="1" si="0"/>
        <v>65.503672923801233</v>
      </c>
      <c r="U29" s="62">
        <f t="shared" ca="1" si="1"/>
        <v>10.703693753574001</v>
      </c>
      <c r="V29" s="62">
        <f t="shared" ca="1" si="2"/>
        <v>0</v>
      </c>
      <c r="W29" s="60">
        <f t="shared" ca="1" si="3"/>
        <v>106.31288011602636</v>
      </c>
      <c r="X29" s="60">
        <f t="shared" ca="1" si="7"/>
        <v>0</v>
      </c>
      <c r="Y29" s="60">
        <f t="shared" ca="1" si="4"/>
        <v>0</v>
      </c>
      <c r="Z29" s="60">
        <f t="shared" ca="1" si="5"/>
        <v>2.5855555004926301E-2</v>
      </c>
    </row>
    <row r="30" spans="1:26" s="62" customFormat="1" x14ac:dyDescent="0.25">
      <c r="A30" s="93">
        <f ca="1"/>
        <v>45276</v>
      </c>
      <c r="B30" s="62">
        <f t="shared" ca="1" si="8"/>
        <v>0</v>
      </c>
      <c r="C30" s="88"/>
      <c r="D30" s="91"/>
      <c r="E30" s="68"/>
      <c r="F30" s="83" t="str">
        <f t="shared" ref="F30:F43" ca="1" si="9">IFERROR(IF(A25=A24,"",A25),"")</f>
        <v/>
      </c>
      <c r="G30" s="85" t="str">
        <f ca="1">IFERROR(VLOOKUP(F30,'Model Interface'!$P$6:$U$495,6,FALSE),"")</f>
        <v/>
      </c>
      <c r="H30" s="62" t="str">
        <f t="shared" ref="H30:H43" ca="1" si="10">IF(F30="","",IF(F30&lt;=StartSchedullingDate,"Applied or Planned","Suggested"))</f>
        <v/>
      </c>
      <c r="I30" s="122"/>
      <c r="J30" s="122"/>
      <c r="K30" s="122"/>
      <c r="L30" s="122"/>
      <c r="M30" s="122"/>
      <c r="N30" s="122"/>
      <c r="O30" s="122"/>
      <c r="P30" s="122"/>
      <c r="R30" s="93">
        <f ca="1"/>
        <v>45181</v>
      </c>
      <c r="S30" s="62">
        <f t="shared" ca="1" si="6"/>
        <v>45181</v>
      </c>
      <c r="T30" s="62">
        <f t="shared" ca="1" si="0"/>
        <v>65.917230209797594</v>
      </c>
      <c r="U30" s="62">
        <f t="shared" ca="1" si="1"/>
        <v>10.916727911761001</v>
      </c>
      <c r="V30" s="62">
        <f t="shared" ca="1" si="2"/>
        <v>0</v>
      </c>
      <c r="W30" s="60">
        <f t="shared" ca="1" si="3"/>
        <v>105.38888240265617</v>
      </c>
      <c r="X30" s="60">
        <f t="shared" ca="1" si="7"/>
        <v>0</v>
      </c>
      <c r="Y30" s="60">
        <f t="shared" ca="1" si="4"/>
        <v>0</v>
      </c>
      <c r="Z30" s="60">
        <f t="shared" ca="1" si="5"/>
        <v>2.92262789864524E-2</v>
      </c>
    </row>
    <row r="31" spans="1:26" s="62" customFormat="1" x14ac:dyDescent="0.25">
      <c r="A31" s="93">
        <f ca="1"/>
        <v>45276</v>
      </c>
      <c r="B31" s="62">
        <f t="shared" ca="1" si="8"/>
        <v>0</v>
      </c>
      <c r="C31" s="88"/>
      <c r="D31" s="91"/>
      <c r="E31" s="68"/>
      <c r="F31" s="83" t="str">
        <f t="shared" ca="1" si="9"/>
        <v/>
      </c>
      <c r="G31" s="85" t="str">
        <f ca="1">IFERROR(VLOOKUP(F31,'Model Interface'!$P$6:$U$495,6,FALSE),"")</f>
        <v/>
      </c>
      <c r="H31" s="62" t="str">
        <f t="shared" ca="1" si="10"/>
        <v/>
      </c>
      <c r="I31" s="122"/>
      <c r="J31" s="122"/>
      <c r="K31" s="122"/>
      <c r="L31" s="122"/>
      <c r="M31" s="122"/>
      <c r="N31" s="122"/>
      <c r="O31" s="122"/>
      <c r="P31" s="122"/>
      <c r="R31" s="93">
        <f ca="1"/>
        <v>45182</v>
      </c>
      <c r="S31" s="62">
        <f t="shared" ca="1" si="6"/>
        <v>45182</v>
      </c>
      <c r="T31" s="62">
        <f t="shared" ca="1" si="0"/>
        <v>66.312097148900094</v>
      </c>
      <c r="U31" s="62">
        <f t="shared" ca="1" si="1"/>
        <v>11.1284814687056</v>
      </c>
      <c r="V31" s="62">
        <f t="shared" ca="1" si="2"/>
        <v>0</v>
      </c>
      <c r="W31" s="60">
        <f t="shared" ca="1" si="3"/>
        <v>104.87111598339092</v>
      </c>
      <c r="X31" s="60">
        <f t="shared" ca="1" si="7"/>
        <v>0</v>
      </c>
      <c r="Y31" s="60">
        <f t="shared" ca="1" si="4"/>
        <v>0</v>
      </c>
      <c r="Z31" s="60">
        <f t="shared" ca="1" si="5"/>
        <v>3.2922203199630802E-2</v>
      </c>
    </row>
    <row r="32" spans="1:26" s="62" customFormat="1" x14ac:dyDescent="0.25">
      <c r="A32" s="93">
        <f ca="1"/>
        <v>45276</v>
      </c>
      <c r="B32" s="62">
        <f t="shared" ca="1" si="8"/>
        <v>0</v>
      </c>
      <c r="C32" s="88"/>
      <c r="D32" s="91"/>
      <c r="E32" s="68"/>
      <c r="F32" s="83" t="str">
        <f t="shared" ca="1" si="9"/>
        <v/>
      </c>
      <c r="G32" s="85" t="str">
        <f ca="1">IFERROR(VLOOKUP(F32,'Model Interface'!$P$6:$U$495,6,FALSE),"")</f>
        <v/>
      </c>
      <c r="H32" s="62" t="str">
        <f t="shared" ca="1" si="10"/>
        <v/>
      </c>
      <c r="I32" s="122"/>
      <c r="J32" s="122"/>
      <c r="K32" s="122"/>
      <c r="L32" s="122"/>
      <c r="M32" s="122"/>
      <c r="N32" s="122"/>
      <c r="O32" s="122"/>
      <c r="P32" s="122"/>
      <c r="R32" s="93">
        <f ca="1"/>
        <v>45183</v>
      </c>
      <c r="S32" s="62">
        <f t="shared" ca="1" si="6"/>
        <v>45183</v>
      </c>
      <c r="T32" s="62">
        <f t="shared" ca="1" si="0"/>
        <v>66.710444987493005</v>
      </c>
      <c r="U32" s="62">
        <f t="shared" ca="1" si="1"/>
        <v>11.3552908124894</v>
      </c>
      <c r="V32" s="62">
        <f t="shared" ca="1" si="2"/>
        <v>0</v>
      </c>
      <c r="W32" s="60">
        <f t="shared" ca="1" si="3"/>
        <v>103.49024159323248</v>
      </c>
      <c r="X32" s="60">
        <f t="shared" ca="1" si="7"/>
        <v>0</v>
      </c>
      <c r="Y32" s="60">
        <f t="shared" ca="1" si="4"/>
        <v>0</v>
      </c>
      <c r="Z32" s="60">
        <f t="shared" ca="1" si="5"/>
        <v>3.72907133596787E-2</v>
      </c>
    </row>
    <row r="33" spans="1:26" s="62" customFormat="1" x14ac:dyDescent="0.25">
      <c r="A33" s="93">
        <f ca="1"/>
        <v>45276</v>
      </c>
      <c r="B33" s="62">
        <f t="shared" ca="1" si="8"/>
        <v>0</v>
      </c>
      <c r="C33" s="88"/>
      <c r="D33" s="91"/>
      <c r="E33" s="68"/>
      <c r="F33" s="83" t="str">
        <f t="shared" ca="1" si="9"/>
        <v/>
      </c>
      <c r="G33" s="85" t="str">
        <f ca="1">IFERROR(VLOOKUP(F33,'Model Interface'!$P$6:$U$495,6,FALSE),"")</f>
        <v/>
      </c>
      <c r="H33" s="62" t="str">
        <f t="shared" ca="1" si="10"/>
        <v/>
      </c>
      <c r="I33" s="122"/>
      <c r="J33" s="122"/>
      <c r="K33" s="122"/>
      <c r="L33" s="122"/>
      <c r="M33" s="122"/>
      <c r="N33" s="122"/>
      <c r="O33" s="122"/>
      <c r="P33" s="122"/>
      <c r="R33" s="93">
        <f ca="1"/>
        <v>45184</v>
      </c>
      <c r="S33" s="62">
        <f t="shared" ca="1" si="6"/>
        <v>45184</v>
      </c>
      <c r="T33" s="62">
        <f t="shared" ca="1" si="0"/>
        <v>67.121212325639078</v>
      </c>
      <c r="U33" s="62">
        <f t="shared" ca="1" si="1"/>
        <v>11.605470879395</v>
      </c>
      <c r="V33" s="62">
        <f t="shared" ca="1" si="2"/>
        <v>0</v>
      </c>
      <c r="W33" s="60">
        <f t="shared" ca="1" si="3"/>
        <v>101.68253545021709</v>
      </c>
      <c r="X33" s="60">
        <f t="shared" ca="1" si="7"/>
        <v>0</v>
      </c>
      <c r="Y33" s="60">
        <f t="shared" ca="1" si="4"/>
        <v>0</v>
      </c>
      <c r="Z33" s="60">
        <f t="shared" ca="1" si="5"/>
        <v>4.2636820441027498E-2</v>
      </c>
    </row>
    <row r="34" spans="1:26" s="62" customFormat="1" ht="15.75" thickBot="1" x14ac:dyDescent="0.3">
      <c r="A34" s="93">
        <f ca="1"/>
        <v>45276</v>
      </c>
      <c r="B34" s="62">
        <f t="shared" ca="1" si="8"/>
        <v>0</v>
      </c>
      <c r="C34" s="89"/>
      <c r="D34" s="92"/>
      <c r="E34" s="68"/>
      <c r="F34" s="83" t="str">
        <f t="shared" ca="1" si="9"/>
        <v/>
      </c>
      <c r="G34" s="85" t="str">
        <f ca="1">IFERROR(VLOOKUP(F34,'Model Interface'!$P$6:$U$495,6,FALSE),"")</f>
        <v/>
      </c>
      <c r="H34" s="62" t="str">
        <f t="shared" ca="1" si="10"/>
        <v/>
      </c>
      <c r="I34" s="122"/>
      <c r="J34" s="122"/>
      <c r="K34" s="122"/>
      <c r="L34" s="122"/>
      <c r="M34" s="122"/>
      <c r="N34" s="122"/>
      <c r="O34" s="122"/>
      <c r="P34" s="122"/>
      <c r="R34" s="93">
        <f ca="1"/>
        <v>45185</v>
      </c>
      <c r="S34" s="62">
        <f t="shared" ca="1" si="6"/>
        <v>45185</v>
      </c>
      <c r="T34" s="62">
        <f t="shared" ca="1" si="0"/>
        <v>67.50181669767376</v>
      </c>
      <c r="U34" s="62">
        <f t="shared" ca="1" si="1"/>
        <v>11.856690221997599</v>
      </c>
      <c r="V34" s="62">
        <f t="shared" ca="1" si="2"/>
        <v>0</v>
      </c>
      <c r="W34" s="60">
        <f t="shared" ca="1" si="3"/>
        <v>99.315174587542231</v>
      </c>
      <c r="X34" s="60">
        <f t="shared" ca="1" si="7"/>
        <v>0</v>
      </c>
      <c r="Y34" s="60">
        <f t="shared" ca="1" si="4"/>
        <v>0</v>
      </c>
      <c r="Z34" s="60">
        <f t="shared" ca="1" si="5"/>
        <v>4.86021922912021E-2</v>
      </c>
    </row>
    <row r="35" spans="1:26" s="62" customFormat="1" ht="15.75" thickBot="1" x14ac:dyDescent="0.3">
      <c r="A35" s="93">
        <f ca="1"/>
        <v>45276</v>
      </c>
      <c r="B35" s="62">
        <f t="shared" ca="1" si="8"/>
        <v>0</v>
      </c>
      <c r="F35" s="83" t="str">
        <f t="shared" ca="1" si="9"/>
        <v/>
      </c>
      <c r="G35" s="85" t="str">
        <f ca="1">IFERROR(VLOOKUP(F35,'Model Interface'!$P$6:$U$495,6,FALSE),"")</f>
        <v/>
      </c>
      <c r="H35" s="62" t="str">
        <f t="shared" ca="1" si="10"/>
        <v/>
      </c>
      <c r="I35" s="122"/>
      <c r="J35" s="122"/>
      <c r="K35" s="122"/>
      <c r="L35" s="122"/>
      <c r="M35" s="122"/>
      <c r="N35" s="122"/>
      <c r="O35" s="122"/>
      <c r="P35" s="122"/>
      <c r="R35" s="93">
        <f ca="1"/>
        <v>45186</v>
      </c>
      <c r="S35" s="62">
        <f t="shared" ca="1" si="6"/>
        <v>45186</v>
      </c>
      <c r="T35" s="62">
        <f t="shared" ca="1" si="0"/>
        <v>67.841048432721905</v>
      </c>
      <c r="U35" s="62">
        <f t="shared" ca="1" si="1"/>
        <v>12.0976586830378</v>
      </c>
      <c r="V35" s="62">
        <f t="shared" ca="1" si="2"/>
        <v>0</v>
      </c>
      <c r="W35" s="60">
        <f t="shared" ca="1" si="3"/>
        <v>97.306600230820138</v>
      </c>
      <c r="X35" s="60">
        <f t="shared" ca="1" si="7"/>
        <v>0</v>
      </c>
      <c r="Y35" s="60">
        <f t="shared" ca="1" si="4"/>
        <v>0</v>
      </c>
      <c r="Z35" s="60">
        <f t="shared" ca="1" si="5"/>
        <v>5.4924883937079803E-2</v>
      </c>
    </row>
    <row r="36" spans="1:26" s="62" customFormat="1" ht="15.75" thickBot="1" x14ac:dyDescent="0.3">
      <c r="A36" s="93">
        <f ca="1"/>
        <v>45276</v>
      </c>
      <c r="B36" s="62">
        <f t="shared" ca="1" si="8"/>
        <v>0</v>
      </c>
      <c r="C36" s="140" t="s">
        <v>147</v>
      </c>
      <c r="D36" s="141"/>
      <c r="F36" s="83" t="str">
        <f t="shared" ca="1" si="9"/>
        <v/>
      </c>
      <c r="G36" s="85" t="str">
        <f ca="1">IFERROR(VLOOKUP(F36,'Model Interface'!$P$6:$U$495,6,FALSE),"")</f>
        <v/>
      </c>
      <c r="H36" s="62" t="str">
        <f t="shared" ca="1" si="10"/>
        <v/>
      </c>
      <c r="I36" s="122"/>
      <c r="J36" s="122"/>
      <c r="K36" s="122"/>
      <c r="L36" s="122"/>
      <c r="M36" s="122"/>
      <c r="N36" s="122"/>
      <c r="O36" s="122"/>
      <c r="P36" s="122"/>
      <c r="R36" s="93">
        <f ca="1"/>
        <v>45187</v>
      </c>
      <c r="S36" s="62">
        <f t="shared" ca="1" si="6"/>
        <v>45187</v>
      </c>
      <c r="T36" s="62">
        <f t="shared" ca="1" si="0"/>
        <v>68.161446209503566</v>
      </c>
      <c r="U36" s="62">
        <f t="shared" ca="1" si="1"/>
        <v>12.3372875378865</v>
      </c>
      <c r="V36" s="62">
        <f t="shared" ca="1" si="2"/>
        <v>0</v>
      </c>
      <c r="W36" s="60">
        <f t="shared" ca="1" si="3"/>
        <v>96.420979144221846</v>
      </c>
      <c r="X36" s="60">
        <f t="shared" ca="1" si="7"/>
        <v>0</v>
      </c>
      <c r="Y36" s="60">
        <f t="shared" ca="1" si="4"/>
        <v>0</v>
      </c>
      <c r="Z36" s="60">
        <f t="shared" ca="1" si="5"/>
        <v>6.1832046687191798E-2</v>
      </c>
    </row>
    <row r="37" spans="1:26" s="62" customFormat="1" ht="15.75" thickBot="1" x14ac:dyDescent="0.3">
      <c r="A37" s="93">
        <f ca="1"/>
        <v>45276</v>
      </c>
      <c r="B37" s="62">
        <f t="shared" ca="1" si="8"/>
        <v>0</v>
      </c>
      <c r="C37" s="126" t="s">
        <v>14</v>
      </c>
      <c r="D37" s="127" t="s">
        <v>19</v>
      </c>
      <c r="F37" s="83" t="str">
        <f t="shared" ca="1" si="9"/>
        <v/>
      </c>
      <c r="G37" s="85" t="str">
        <f ca="1">IFERROR(VLOOKUP(F37,'Model Interface'!$P$6:$U$495,6,FALSE),"")</f>
        <v/>
      </c>
      <c r="H37" s="62" t="str">
        <f t="shared" ca="1" si="10"/>
        <v/>
      </c>
      <c r="I37" s="122"/>
      <c r="J37" s="122"/>
      <c r="K37" s="122"/>
      <c r="L37" s="122"/>
      <c r="M37" s="122"/>
      <c r="N37" s="122"/>
      <c r="O37" s="122"/>
      <c r="P37" s="122"/>
      <c r="R37" s="93">
        <f ca="1"/>
        <v>45188</v>
      </c>
      <c r="S37" s="62">
        <f t="shared" ca="1" si="6"/>
        <v>45188</v>
      </c>
      <c r="T37" s="62">
        <f t="shared" ca="1" si="0"/>
        <v>68.481699826528626</v>
      </c>
      <c r="U37" s="62">
        <f t="shared" ca="1" si="1"/>
        <v>12.5885391382314</v>
      </c>
      <c r="V37" s="62">
        <f t="shared" ca="1" si="2"/>
        <v>0</v>
      </c>
      <c r="W37" s="60">
        <f t="shared" ca="1" si="3"/>
        <v>95.933023323380354</v>
      </c>
      <c r="X37" s="60">
        <f t="shared" ca="1" si="7"/>
        <v>0</v>
      </c>
      <c r="Y37" s="60">
        <f t="shared" ca="1" si="4"/>
        <v>0</v>
      </c>
      <c r="Z37" s="60">
        <f t="shared" ca="1" si="5"/>
        <v>6.9775397404415407E-2</v>
      </c>
    </row>
    <row r="38" spans="1:26" s="62" customFormat="1" x14ac:dyDescent="0.25">
      <c r="A38" s="93">
        <f ca="1"/>
        <v>45276</v>
      </c>
      <c r="B38" s="62">
        <f t="shared" ca="1" si="8"/>
        <v>0</v>
      </c>
      <c r="C38" s="87"/>
      <c r="D38" s="90"/>
      <c r="F38" s="83" t="str">
        <f t="shared" ca="1" si="9"/>
        <v/>
      </c>
      <c r="G38" s="85" t="str">
        <f ca="1">IFERROR(VLOOKUP(F38,'Model Interface'!$P$6:$U$495,6,FALSE),"")</f>
        <v/>
      </c>
      <c r="H38" s="62" t="str">
        <f t="shared" ca="1" si="10"/>
        <v/>
      </c>
      <c r="I38" s="122"/>
      <c r="J38" s="122"/>
      <c r="K38" s="122"/>
      <c r="L38" s="122"/>
      <c r="M38" s="122"/>
      <c r="N38" s="122"/>
      <c r="O38" s="122"/>
      <c r="P38" s="122"/>
      <c r="R38" s="93">
        <f ca="1"/>
        <v>45189</v>
      </c>
      <c r="S38" s="62">
        <f t="shared" ca="1" si="6"/>
        <v>45189</v>
      </c>
      <c r="T38" s="62">
        <f t="shared" ca="1" si="0"/>
        <v>68.780369235046919</v>
      </c>
      <c r="U38" s="62">
        <f t="shared" ca="1" si="1"/>
        <v>12.834847927900199</v>
      </c>
      <c r="V38" s="62">
        <f t="shared" ca="1" si="2"/>
        <v>0</v>
      </c>
      <c r="W38" s="60">
        <f t="shared" ca="1" si="3"/>
        <v>95.154887065150419</v>
      </c>
      <c r="X38" s="60">
        <f t="shared" ca="1" si="7"/>
        <v>0</v>
      </c>
      <c r="Y38" s="60">
        <f t="shared" ca="1" si="4"/>
        <v>0</v>
      </c>
      <c r="Z38" s="60">
        <f t="shared" ca="1" si="5"/>
        <v>7.82948924976751E-2</v>
      </c>
    </row>
    <row r="39" spans="1:26" s="62" customFormat="1" x14ac:dyDescent="0.25">
      <c r="B39" s="62">
        <f ca="1">IF(C38="",CurrentEstablishDate,IF(AND(C38&gt;CurrentEstablishDate,(C38-CurrentEstablishDate)&lt;10),C38,CurrentEstablishDate))</f>
        <v>45169</v>
      </c>
      <c r="C39" s="88"/>
      <c r="D39" s="91"/>
      <c r="F39" s="83" t="str">
        <f t="shared" ca="1" si="9"/>
        <v/>
      </c>
      <c r="G39" s="85" t="str">
        <f ca="1">IFERROR(VLOOKUP(F39,'Model Interface'!$P$6:$U$495,6,FALSE),"")</f>
        <v/>
      </c>
      <c r="H39" s="62" t="str">
        <f t="shared" ca="1" si="10"/>
        <v/>
      </c>
      <c r="I39" s="122"/>
      <c r="J39" s="122"/>
      <c r="K39" s="122"/>
      <c r="L39" s="122"/>
      <c r="M39" s="122"/>
      <c r="N39" s="122"/>
      <c r="O39" s="122"/>
      <c r="P39" s="122"/>
      <c r="R39" s="93">
        <f ca="1"/>
        <v>45190</v>
      </c>
      <c r="S39" s="62">
        <f t="shared" ca="1" si="6"/>
        <v>45190</v>
      </c>
      <c r="T39" s="62">
        <f t="shared" ca="1" si="0"/>
        <v>69.081089180740634</v>
      </c>
      <c r="U39" s="62">
        <f t="shared" ca="1" si="1"/>
        <v>13.0984565637152</v>
      </c>
      <c r="V39" s="62">
        <f t="shared" ca="1" si="2"/>
        <v>0</v>
      </c>
      <c r="W39" s="60">
        <f t="shared" ca="1" si="3"/>
        <v>94.157995549813833</v>
      </c>
      <c r="X39" s="60">
        <f t="shared" ca="1" si="7"/>
        <v>0</v>
      </c>
      <c r="Y39" s="60">
        <f t="shared" ca="1" si="4"/>
        <v>0</v>
      </c>
      <c r="Z39" s="60">
        <f t="shared" ca="1" si="5"/>
        <v>8.82533882305397E-2</v>
      </c>
    </row>
    <row r="40" spans="1:26" s="62" customFormat="1" ht="6.75" customHeight="1" x14ac:dyDescent="0.25">
      <c r="C40" s="88"/>
      <c r="D40" s="91"/>
      <c r="F40" s="83" t="str">
        <f t="shared" ca="1" si="9"/>
        <v/>
      </c>
      <c r="G40" s="85" t="str">
        <f ca="1">IFERROR(VLOOKUP(F40,'Model Interface'!$P$6:$U$495,6,FALSE),"")</f>
        <v/>
      </c>
      <c r="H40" s="62" t="str">
        <f t="shared" ca="1" si="10"/>
        <v/>
      </c>
      <c r="I40" s="122"/>
      <c r="J40" s="122"/>
      <c r="K40" s="122"/>
      <c r="L40" s="122"/>
      <c r="M40" s="122"/>
      <c r="N40" s="122"/>
      <c r="O40" s="122"/>
      <c r="P40" s="122"/>
      <c r="R40" s="93">
        <f ca="1"/>
        <v>45191</v>
      </c>
      <c r="S40" s="62">
        <f t="shared" ca="1" si="6"/>
        <v>45191</v>
      </c>
      <c r="T40" s="62">
        <f t="shared" ca="1" si="0"/>
        <v>69.361249994598396</v>
      </c>
      <c r="U40" s="62">
        <f t="shared" ca="1" si="1"/>
        <v>13.358167801487999</v>
      </c>
      <c r="V40" s="62">
        <f t="shared" ca="1" si="2"/>
        <v>0</v>
      </c>
      <c r="W40" s="60">
        <f t="shared" ca="1" si="3"/>
        <v>93.254908451411538</v>
      </c>
      <c r="X40" s="60">
        <f t="shared" ca="1" si="7"/>
        <v>0</v>
      </c>
      <c r="Y40" s="60">
        <f t="shared" ca="1" si="4"/>
        <v>0</v>
      </c>
      <c r="Z40" s="60">
        <f t="shared" ca="1" si="5"/>
        <v>9.8948541014204403E-2</v>
      </c>
    </row>
    <row r="41" spans="1:26" s="62" customFormat="1" x14ac:dyDescent="0.25">
      <c r="C41" s="88"/>
      <c r="D41" s="91"/>
      <c r="F41" s="83" t="str">
        <f t="shared" ca="1" si="9"/>
        <v/>
      </c>
      <c r="G41" s="85" t="str">
        <f ca="1">IFERROR(VLOOKUP(F41,'Model Interface'!$P$6:$U$495,6,FALSE),"")</f>
        <v/>
      </c>
      <c r="H41" s="62" t="str">
        <f t="shared" ca="1" si="10"/>
        <v/>
      </c>
      <c r="I41" s="122"/>
      <c r="J41" s="122"/>
      <c r="K41" s="122"/>
      <c r="L41" s="122"/>
      <c r="M41" s="122"/>
      <c r="N41" s="122"/>
      <c r="O41" s="122"/>
      <c r="P41" s="122"/>
      <c r="R41" s="93">
        <f ca="1"/>
        <v>45192</v>
      </c>
      <c r="S41" s="62">
        <f t="shared" ca="1" si="6"/>
        <v>45192</v>
      </c>
      <c r="T41" s="62">
        <f t="shared" ca="1" si="0"/>
        <v>69.622516677192223</v>
      </c>
      <c r="U41" s="62">
        <f t="shared" ca="1" si="1"/>
        <v>13.617247964511799</v>
      </c>
      <c r="V41" s="62">
        <f t="shared" ca="1" si="2"/>
        <v>0</v>
      </c>
      <c r="W41" s="60">
        <f t="shared" ca="1" si="3"/>
        <v>91.832987381352751</v>
      </c>
      <c r="X41" s="60">
        <f t="shared" ca="1" si="7"/>
        <v>0</v>
      </c>
      <c r="Y41" s="60">
        <f t="shared" ca="1" si="4"/>
        <v>0</v>
      </c>
      <c r="Z41" s="60">
        <f t="shared" ca="1" si="5"/>
        <v>0.110520646459601</v>
      </c>
    </row>
    <row r="42" spans="1:26" s="62" customFormat="1" x14ac:dyDescent="0.25">
      <c r="C42" s="88"/>
      <c r="D42" s="91"/>
      <c r="F42" s="83" t="str">
        <f t="shared" ca="1" si="9"/>
        <v/>
      </c>
      <c r="G42" s="85" t="str">
        <f ca="1">IFERROR(VLOOKUP(F42,'Model Interface'!$P$6:$U$495,6,FALSE),"")</f>
        <v/>
      </c>
      <c r="H42" s="62" t="str">
        <f t="shared" ca="1" si="10"/>
        <v/>
      </c>
      <c r="I42" s="122"/>
      <c r="J42" s="122"/>
      <c r="K42" s="122"/>
      <c r="L42" s="122"/>
      <c r="M42" s="122"/>
      <c r="N42" s="122"/>
      <c r="O42" s="122"/>
      <c r="P42" s="122"/>
      <c r="R42" s="93">
        <f ca="1"/>
        <v>45193</v>
      </c>
      <c r="S42" s="62">
        <f t="shared" ca="1" si="6"/>
        <v>45193</v>
      </c>
      <c r="T42" s="62">
        <f t="shared" ca="1" si="0"/>
        <v>69.890225155408118</v>
      </c>
      <c r="U42" s="62">
        <f t="shared" ca="1" si="1"/>
        <v>13.894948455724901</v>
      </c>
      <c r="V42" s="62">
        <f t="shared" ca="1" si="2"/>
        <v>0</v>
      </c>
      <c r="W42" s="60">
        <f t="shared" ca="1" si="3"/>
        <v>91.788081707431189</v>
      </c>
      <c r="X42" s="60">
        <f t="shared" ca="1" si="7"/>
        <v>0</v>
      </c>
      <c r="Y42" s="60">
        <f t="shared" ca="1" si="4"/>
        <v>0</v>
      </c>
      <c r="Z42" s="60">
        <f t="shared" ca="1" si="5"/>
        <v>0.12395101648510801</v>
      </c>
    </row>
    <row r="43" spans="1:26" s="62" customFormat="1" ht="15.75" thickBot="1" x14ac:dyDescent="0.3">
      <c r="C43" s="89"/>
      <c r="D43" s="92"/>
      <c r="F43" s="84" t="str">
        <f t="shared" ca="1" si="9"/>
        <v/>
      </c>
      <c r="G43" s="86" t="str">
        <f ca="1">IFERROR(VLOOKUP(F43,'Model Interface'!$P$6:$U$495,6,FALSE),"")</f>
        <v/>
      </c>
      <c r="H43" s="62" t="str">
        <f t="shared" ca="1" si="10"/>
        <v/>
      </c>
      <c r="I43" s="122"/>
      <c r="J43" s="122"/>
      <c r="K43" s="122"/>
      <c r="L43" s="122"/>
      <c r="M43" s="122"/>
      <c r="N43" s="122"/>
      <c r="O43" s="122"/>
      <c r="P43" s="122"/>
      <c r="R43" s="93">
        <f ca="1"/>
        <v>45194</v>
      </c>
      <c r="S43" s="62">
        <f t="shared" ca="1" si="6"/>
        <v>45194</v>
      </c>
      <c r="T43" s="62">
        <f t="shared" ca="1" si="0"/>
        <v>70.142655984023662</v>
      </c>
      <c r="U43" s="62">
        <f t="shared" ca="1" si="1"/>
        <v>14.164428931418</v>
      </c>
      <c r="V43" s="62">
        <f t="shared" ca="1" si="2"/>
        <v>0</v>
      </c>
      <c r="W43" s="60">
        <f t="shared" ca="1" si="3"/>
        <v>92.165488480306237</v>
      </c>
      <c r="X43" s="60">
        <f t="shared" ca="1" si="7"/>
        <v>0</v>
      </c>
      <c r="Y43" s="60">
        <f t="shared" ca="1" si="4"/>
        <v>0</v>
      </c>
      <c r="Z43" s="60">
        <f t="shared" ca="1" si="5"/>
        <v>0.13801587441138399</v>
      </c>
    </row>
    <row r="44" spans="1:26" s="61" customFormat="1" x14ac:dyDescent="0.25">
      <c r="B44" s="62"/>
      <c r="C44" s="110" t="s">
        <v>158</v>
      </c>
      <c r="D44" s="112">
        <f ca="1">MAX(CurrentEstablishDate,C38:C43,MAX(C29:C34)+1)</f>
        <v>45169</v>
      </c>
      <c r="E44" s="62"/>
      <c r="F44" s="62"/>
      <c r="G44" s="62"/>
      <c r="H44" s="62"/>
      <c r="I44" s="122"/>
      <c r="J44" s="122"/>
      <c r="K44" s="122"/>
      <c r="L44" s="122"/>
      <c r="M44" s="122"/>
      <c r="N44" s="122"/>
      <c r="O44" s="122"/>
      <c r="P44" s="122"/>
      <c r="Q44" s="62"/>
      <c r="R44" s="93">
        <f ca="1"/>
        <v>45195</v>
      </c>
      <c r="S44" s="62">
        <f t="shared" ca="1" si="6"/>
        <v>45195</v>
      </c>
      <c r="T44" s="62">
        <f t="shared" ca="1" si="0"/>
        <v>70.403333973558347</v>
      </c>
      <c r="U44" s="62">
        <f t="shared" ca="1" si="1"/>
        <v>14.462469934664799</v>
      </c>
      <c r="V44" s="62">
        <f t="shared" ca="1" si="2"/>
        <v>0</v>
      </c>
      <c r="W44" s="60">
        <f t="shared" ca="1" si="3"/>
        <v>91.228966812088174</v>
      </c>
      <c r="X44" s="60">
        <f t="shared" ca="1" si="7"/>
        <v>0</v>
      </c>
      <c r="Y44" s="60">
        <f t="shared" ca="1" si="4"/>
        <v>0</v>
      </c>
      <c r="Z44" s="60">
        <f t="shared" ca="1" si="5"/>
        <v>0.15476286966385899</v>
      </c>
    </row>
    <row r="45" spans="1:26" s="62" customFormat="1" x14ac:dyDescent="0.25">
      <c r="I45" s="122"/>
      <c r="J45" s="122"/>
      <c r="K45" s="122"/>
      <c r="L45" s="122"/>
      <c r="M45" s="122"/>
      <c r="N45" s="122"/>
      <c r="O45" s="122"/>
      <c r="P45" s="122"/>
      <c r="R45" s="93">
        <f ca="1"/>
        <v>45196</v>
      </c>
      <c r="S45" s="62">
        <f t="shared" ca="1" si="6"/>
        <v>45196</v>
      </c>
      <c r="T45" s="62">
        <f t="shared" ca="1" si="0"/>
        <v>70.649912029456843</v>
      </c>
      <c r="U45" s="62">
        <f t="shared" ca="1" si="1"/>
        <v>14.7726738228328</v>
      </c>
      <c r="V45" s="62">
        <f t="shared" ca="1" si="2"/>
        <v>0</v>
      </c>
      <c r="W45" s="60">
        <f t="shared" ca="1" si="3"/>
        <v>89.180099216592467</v>
      </c>
      <c r="X45" s="60">
        <f t="shared" ca="1" si="7"/>
        <v>0</v>
      </c>
      <c r="Y45" s="60">
        <f t="shared" ca="1" si="4"/>
        <v>0</v>
      </c>
      <c r="Z45" s="60">
        <f t="shared" ca="1" si="5"/>
        <v>0.173514808155218</v>
      </c>
    </row>
    <row r="46" spans="1:26" s="62" customFormat="1" ht="15.75" thickBot="1" x14ac:dyDescent="0.3">
      <c r="C46" s="139" t="s">
        <v>165</v>
      </c>
      <c r="D46" s="139"/>
      <c r="E46" s="139"/>
      <c r="F46" s="139"/>
      <c r="G46" s="139"/>
      <c r="H46" s="139"/>
      <c r="I46" s="122"/>
      <c r="J46" s="122"/>
      <c r="K46" s="122"/>
      <c r="L46" s="122"/>
      <c r="M46" s="122"/>
      <c r="N46" s="122"/>
      <c r="O46" s="122"/>
      <c r="P46" s="122"/>
      <c r="R46" s="93">
        <f ca="1"/>
        <v>45197</v>
      </c>
      <c r="S46" s="62">
        <f t="shared" ca="1" si="6"/>
        <v>45197</v>
      </c>
      <c r="T46" s="62">
        <f t="shared" ca="1" si="0"/>
        <v>70.885982985829344</v>
      </c>
      <c r="U46" s="62">
        <f t="shared" ca="1" si="1"/>
        <v>15.081753733306501</v>
      </c>
      <c r="V46" s="62">
        <f t="shared" ca="1" si="2"/>
        <v>0</v>
      </c>
      <c r="W46" s="60">
        <f t="shared" ca="1" si="3"/>
        <v>89.502153128519353</v>
      </c>
      <c r="X46" s="60">
        <f t="shared" ca="1" si="7"/>
        <v>0</v>
      </c>
      <c r="Y46" s="60">
        <f t="shared" ca="1" si="4"/>
        <v>0</v>
      </c>
      <c r="Z46" s="60">
        <f t="shared" ca="1" si="5"/>
        <v>0.193511994389091</v>
      </c>
    </row>
    <row r="47" spans="1:26" s="62" customFormat="1" x14ac:dyDescent="0.25">
      <c r="C47" s="69" t="s">
        <v>30</v>
      </c>
      <c r="D47" s="98" t="str">
        <f>IF(E47="","Fodder",E47)</f>
        <v>Fodder</v>
      </c>
      <c r="E47" s="97"/>
      <c r="F47" s="69" t="s">
        <v>142</v>
      </c>
      <c r="G47" s="98">
        <f>IF(H47="",VLOOKUP(PriorCropNameFull,CropCoefficients,23,FALSE),H47)</f>
        <v>0</v>
      </c>
      <c r="H47" s="99"/>
      <c r="I47" s="122"/>
      <c r="J47" s="122"/>
      <c r="K47" s="122"/>
      <c r="L47" s="122"/>
      <c r="M47" s="122"/>
      <c r="N47" s="122"/>
      <c r="O47" s="122"/>
      <c r="P47" s="122"/>
      <c r="R47" s="93">
        <f ca="1"/>
        <v>45198</v>
      </c>
      <c r="S47" s="62">
        <f t="shared" ca="1" si="6"/>
        <v>45198</v>
      </c>
      <c r="T47" s="62">
        <f t="shared" ca="1" si="0"/>
        <v>71.111614762648202</v>
      </c>
      <c r="U47" s="62">
        <f t="shared" ca="1" si="1"/>
        <v>15.3931594036085</v>
      </c>
      <c r="V47" s="62">
        <f t="shared" ca="1" si="2"/>
        <v>0</v>
      </c>
      <c r="W47" s="60">
        <f t="shared" ca="1" si="3"/>
        <v>89.309496430600205</v>
      </c>
      <c r="X47" s="60">
        <f t="shared" ca="1" si="7"/>
        <v>0</v>
      </c>
      <c r="Y47" s="60">
        <f t="shared" ca="1" si="4"/>
        <v>0</v>
      </c>
      <c r="Z47" s="60">
        <f t="shared" ca="1" si="5"/>
        <v>0.214935643232046</v>
      </c>
    </row>
    <row r="48" spans="1:26" s="62" customFormat="1" x14ac:dyDescent="0.25">
      <c r="C48" s="69" t="s">
        <v>100</v>
      </c>
      <c r="D48" s="94" t="str">
        <f>IF(E48="","Barley",E48)</f>
        <v>Barley</v>
      </c>
      <c r="E48" s="75"/>
      <c r="F48" s="69" t="s">
        <v>144</v>
      </c>
      <c r="G48" s="94">
        <f>IF(H48="",VLOOKUP(PriorCropNameFull,CropCoefficients,22,FALSE),H48)</f>
        <v>0</v>
      </c>
      <c r="H48" s="81"/>
      <c r="I48" s="122"/>
      <c r="J48" s="122"/>
      <c r="K48" s="122"/>
      <c r="L48" s="122"/>
      <c r="M48" s="122"/>
      <c r="N48" s="122"/>
      <c r="O48" s="122"/>
      <c r="P48" s="122"/>
      <c r="R48" s="93">
        <f ca="1"/>
        <v>45199</v>
      </c>
      <c r="S48" s="62">
        <f t="shared" ca="1" si="6"/>
        <v>45199</v>
      </c>
      <c r="T48" s="62">
        <f t="shared" ca="1" si="0"/>
        <v>71.341783600385241</v>
      </c>
      <c r="U48" s="62">
        <f t="shared" ca="1" si="1"/>
        <v>15.7483591183606</v>
      </c>
      <c r="V48" s="62">
        <f t="shared" ca="1" si="2"/>
        <v>0</v>
      </c>
      <c r="W48" s="60">
        <f t="shared" ca="1" si="3"/>
        <v>86.899834997674915</v>
      </c>
      <c r="X48" s="60">
        <f t="shared" ca="1" si="7"/>
        <v>0</v>
      </c>
      <c r="Y48" s="60">
        <f t="shared" ca="1" si="4"/>
        <v>0</v>
      </c>
      <c r="Z48" s="60">
        <f t="shared" ca="1" si="5"/>
        <v>0.24084251581251601</v>
      </c>
    </row>
    <row r="49" spans="2:26" s="62" customFormat="1" x14ac:dyDescent="0.25">
      <c r="C49" s="69" t="s">
        <v>101</v>
      </c>
      <c r="D49" s="94" t="str">
        <f>IF(E49="","General",E49)</f>
        <v>General</v>
      </c>
      <c r="E49" s="75"/>
      <c r="F49" s="69" t="s">
        <v>143</v>
      </c>
      <c r="G49" s="94">
        <f>IF(H49="",VLOOKUP(PriorCropNameFull,CropCoefficients,26,FALSE),H49)</f>
        <v>80</v>
      </c>
      <c r="H49" s="81"/>
      <c r="I49" s="122"/>
      <c r="J49" s="122"/>
      <c r="K49" s="122"/>
      <c r="L49" s="122"/>
      <c r="M49" s="122"/>
      <c r="N49" s="122"/>
      <c r="O49" s="122"/>
      <c r="P49" s="122"/>
      <c r="R49" s="93">
        <f ca="1"/>
        <v>45200</v>
      </c>
      <c r="S49" s="62">
        <f t="shared" ca="1" si="6"/>
        <v>45200</v>
      </c>
      <c r="T49" s="62">
        <f t="shared" ca="1" si="0"/>
        <v>71.549242880081422</v>
      </c>
      <c r="U49" s="62">
        <f t="shared" ca="1" si="1"/>
        <v>16.1127068775513</v>
      </c>
      <c r="V49" s="62">
        <f t="shared" ca="1" si="2"/>
        <v>0</v>
      </c>
      <c r="W49" s="60">
        <f t="shared" ca="1" si="3"/>
        <v>84.500346471261167</v>
      </c>
      <c r="X49" s="60">
        <f t="shared" ca="1" si="7"/>
        <v>0</v>
      </c>
      <c r="Y49" s="60">
        <f t="shared" ca="1" si="4"/>
        <v>0</v>
      </c>
      <c r="Z49" s="60">
        <f t="shared" ca="1" si="5"/>
        <v>0.26890036559918301</v>
      </c>
    </row>
    <row r="50" spans="2:26" s="62" customFormat="1" x14ac:dyDescent="0.25">
      <c r="B50" s="100">
        <f>IF(PriorUnits="kg/head",PriorYield*PriorPopulation,IF(PriorUnits="kg/ha",PriorYield/1000,PriorYield))</f>
        <v>8</v>
      </c>
      <c r="C50" s="73" t="s">
        <v>159</v>
      </c>
      <c r="D50" s="74" t="str">
        <f>PriorCropName&amp;" "&amp;PriorCropType&amp;" "&amp;PriorCropVariety</f>
        <v>Barley Fodder General</v>
      </c>
      <c r="F50" s="63"/>
      <c r="I50" s="122"/>
      <c r="J50" s="122"/>
      <c r="K50" s="122"/>
      <c r="L50" s="122"/>
      <c r="M50" s="122"/>
      <c r="N50" s="122"/>
      <c r="O50" s="122"/>
      <c r="P50" s="122"/>
      <c r="R50" s="93">
        <f ca="1"/>
        <v>45201</v>
      </c>
      <c r="S50" s="62">
        <f t="shared" ca="1" si="6"/>
        <v>45201</v>
      </c>
      <c r="T50" s="62">
        <f t="shared" ca="1" si="0"/>
        <v>71.742733050677501</v>
      </c>
      <c r="U50" s="62">
        <f t="shared" ca="1" si="1"/>
        <v>16.495245805652502</v>
      </c>
      <c r="V50" s="62">
        <f t="shared" ca="1" si="2"/>
        <v>0</v>
      </c>
      <c r="W50" s="60">
        <f t="shared" ca="1" si="3"/>
        <v>82.659983087410154</v>
      </c>
      <c r="X50" s="60">
        <f t="shared" ca="1" si="7"/>
        <v>0</v>
      </c>
      <c r="Y50" s="60">
        <f t="shared" ca="1" si="4"/>
        <v>0</v>
      </c>
      <c r="Z50" s="60">
        <f t="shared" ca="1" si="5"/>
        <v>0.29976803008494501</v>
      </c>
    </row>
    <row r="51" spans="2:26" s="62" customFormat="1" x14ac:dyDescent="0.25">
      <c r="C51" s="69" t="s">
        <v>4</v>
      </c>
      <c r="D51" s="77">
        <f ca="1">IF(E51="",CurrentEstablishDate-60,E51)</f>
        <v>45109</v>
      </c>
      <c r="E51" s="76"/>
      <c r="F51" s="69" t="s">
        <v>154</v>
      </c>
      <c r="G51" s="94" t="str">
        <f>IF(H51="",VLOOKUP(PriorCropNameFull,CropCoefficients,13,FALSE),H51)</f>
        <v>Seed</v>
      </c>
      <c r="H51" s="81"/>
      <c r="I51" s="122"/>
      <c r="J51" s="122"/>
      <c r="K51" s="122"/>
      <c r="L51" s="122"/>
      <c r="M51" s="122"/>
      <c r="N51" s="122"/>
      <c r="O51" s="122"/>
      <c r="P51" s="122"/>
      <c r="R51" s="93">
        <f ca="1"/>
        <v>45202</v>
      </c>
      <c r="S51" s="62">
        <f t="shared" ca="1" si="6"/>
        <v>45202</v>
      </c>
      <c r="T51" s="62">
        <f t="shared" ca="1" si="0"/>
        <v>71.915728216621773</v>
      </c>
      <c r="U51" s="62">
        <f t="shared" ca="1" si="1"/>
        <v>16.861362203738899</v>
      </c>
      <c r="V51" s="62">
        <f t="shared" ca="1" si="2"/>
        <v>0</v>
      </c>
      <c r="W51" s="60">
        <f t="shared" ca="1" si="3"/>
        <v>82.988763603033235</v>
      </c>
      <c r="X51" s="60">
        <f t="shared" ca="1" si="7"/>
        <v>0</v>
      </c>
      <c r="Y51" s="60">
        <f t="shared" ca="1" si="4"/>
        <v>0</v>
      </c>
      <c r="Z51" s="60">
        <f t="shared" ca="1" si="5"/>
        <v>0.33042563311856499</v>
      </c>
    </row>
    <row r="52" spans="2:26" s="62" customFormat="1" x14ac:dyDescent="0.25">
      <c r="C52" s="69" t="s">
        <v>5</v>
      </c>
      <c r="D52" s="77">
        <f ca="1">IF(E52="",CurrentEstablishDate-15,E52)</f>
        <v>45154</v>
      </c>
      <c r="E52" s="76"/>
      <c r="F52" s="69" t="s">
        <v>155</v>
      </c>
      <c r="G52" s="94" t="str">
        <f>IF(H52="",VLOOKUP(PriorCropNameFull,CropCoefficients,15,FALSE),H52)</f>
        <v>EarlyReproductive</v>
      </c>
      <c r="H52" s="81"/>
      <c r="I52" s="122"/>
      <c r="J52" s="122"/>
      <c r="K52" s="122"/>
      <c r="L52" s="122"/>
      <c r="M52" s="122"/>
      <c r="N52" s="122"/>
      <c r="O52" s="122"/>
      <c r="P52" s="122"/>
      <c r="R52" s="93">
        <f ca="1"/>
        <v>45203</v>
      </c>
      <c r="S52" s="62">
        <f t="shared" ca="1" si="6"/>
        <v>45203</v>
      </c>
      <c r="T52" s="62">
        <f t="shared" ca="1" si="0"/>
        <v>72.080100739790964</v>
      </c>
      <c r="U52" s="62">
        <f t="shared" ca="1" si="1"/>
        <v>17.225808624527399</v>
      </c>
      <c r="V52" s="62">
        <f t="shared" ca="1" si="2"/>
        <v>0</v>
      </c>
      <c r="W52" s="60">
        <f t="shared" ca="1" si="3"/>
        <v>83.639799910261033</v>
      </c>
      <c r="X52" s="60">
        <f t="shared" ca="1" si="7"/>
        <v>0</v>
      </c>
      <c r="Y52" s="60">
        <f t="shared" ca="1" si="4"/>
        <v>0</v>
      </c>
      <c r="Z52" s="60">
        <f t="shared" ca="1" si="5"/>
        <v>0.36176991944501902</v>
      </c>
    </row>
    <row r="53" spans="2:26" s="62" customFormat="1" x14ac:dyDescent="0.25">
      <c r="C53" s="69" t="s">
        <v>145</v>
      </c>
      <c r="D53" s="82" t="str">
        <f>IF(PriorUnits="kg/head",IF(E11="",VLOOKUP(PriorCropNameFull,CropCoefficients,20,FALSE),E11),"")</f>
        <v/>
      </c>
      <c r="E53" s="81"/>
      <c r="F53" s="69"/>
      <c r="G53" s="69"/>
      <c r="H53" s="69"/>
      <c r="I53" s="122"/>
      <c r="J53" s="122"/>
      <c r="K53" s="122"/>
      <c r="L53" s="122"/>
      <c r="M53" s="122"/>
      <c r="N53" s="122"/>
      <c r="O53" s="122"/>
      <c r="P53" s="122"/>
      <c r="R53" s="93">
        <f ca="1"/>
        <v>45204</v>
      </c>
      <c r="S53" s="62">
        <f t="shared" ca="1" si="6"/>
        <v>45204</v>
      </c>
      <c r="T53" s="62">
        <f t="shared" ca="1" si="0"/>
        <v>72.228270744357715</v>
      </c>
      <c r="U53" s="62">
        <f t="shared" ca="1" si="1"/>
        <v>17.594980473029601</v>
      </c>
      <c r="V53" s="62">
        <f t="shared" ca="1" si="2"/>
        <v>0</v>
      </c>
      <c r="W53" s="60">
        <f t="shared" ca="1" si="3"/>
        <v>82.385555244112851</v>
      </c>
      <c r="X53" s="60">
        <f t="shared" ca="1" si="7"/>
        <v>0</v>
      </c>
      <c r="Y53" s="60">
        <f t="shared" ca="1" si="4"/>
        <v>0</v>
      </c>
      <c r="Z53" s="60">
        <f t="shared" ca="1" si="5"/>
        <v>0.39408527268089699</v>
      </c>
    </row>
    <row r="54" spans="2:26" s="61" customFormat="1" x14ac:dyDescent="0.25">
      <c r="B54" s="62"/>
      <c r="C54" s="69" t="s">
        <v>106</v>
      </c>
      <c r="D54" s="79">
        <f>IF(E54="",VLOOKUP(PriorCropNameFull,CropCoefficients,17,FALSE),E54)</f>
        <v>8</v>
      </c>
      <c r="E54" s="78"/>
      <c r="F54" s="69" t="s">
        <v>157</v>
      </c>
      <c r="G54" s="95" t="str">
        <f>IF(H54="","None removed",H54)</f>
        <v>None removed</v>
      </c>
      <c r="H54" s="81"/>
      <c r="I54" s="122"/>
      <c r="J54" s="122"/>
      <c r="K54" s="122"/>
      <c r="L54" s="122"/>
      <c r="M54" s="122"/>
      <c r="N54" s="122"/>
      <c r="O54" s="122"/>
      <c r="P54" s="122"/>
      <c r="Q54" s="62"/>
      <c r="R54" s="93">
        <f ca="1"/>
        <v>45205</v>
      </c>
      <c r="S54" s="62">
        <f t="shared" ca="1" si="6"/>
        <v>45205</v>
      </c>
      <c r="T54" s="62">
        <f t="shared" ca="1" si="0"/>
        <v>72.365628586954131</v>
      </c>
      <c r="U54" s="62">
        <f t="shared" ca="1" si="1"/>
        <v>17.992639844589299</v>
      </c>
      <c r="V54" s="62">
        <f t="shared" ca="1" si="2"/>
        <v>0</v>
      </c>
      <c r="W54" s="60">
        <f t="shared" ca="1" si="3"/>
        <v>80.47578881125952</v>
      </c>
      <c r="X54" s="60">
        <f t="shared" ca="1" si="7"/>
        <v>0</v>
      </c>
      <c r="Y54" s="60">
        <f t="shared" ca="1" si="4"/>
        <v>0</v>
      </c>
      <c r="Z54" s="60">
        <f t="shared" ca="1" si="5"/>
        <v>0.42920075747074199</v>
      </c>
    </row>
    <row r="55" spans="2:26" s="62" customFormat="1" x14ac:dyDescent="0.25">
      <c r="C55" s="69" t="s">
        <v>15</v>
      </c>
      <c r="D55" s="94" t="str">
        <f>IF(E55="",VLOOKUP(PriorCropNameFull,CropCoefficients,18,FALSE),E55)</f>
        <v>t/ha</v>
      </c>
      <c r="E55" s="80"/>
      <c r="F55" s="65" t="s">
        <v>171</v>
      </c>
      <c r="G55" s="95" t="str">
        <f>IF(H55="","Full (Plough)",H55)</f>
        <v>Full (Plough)</v>
      </c>
      <c r="H55" s="81"/>
      <c r="I55" s="122"/>
      <c r="J55" s="122"/>
      <c r="K55" s="122"/>
      <c r="L55" s="122"/>
      <c r="M55" s="122"/>
      <c r="N55" s="122"/>
      <c r="O55" s="122"/>
      <c r="P55" s="122"/>
      <c r="R55" s="93">
        <f ca="1"/>
        <v>45206</v>
      </c>
      <c r="S55" s="62">
        <f t="shared" ca="1" si="6"/>
        <v>45206</v>
      </c>
      <c r="T55" s="62">
        <f t="shared" ca="1" si="0"/>
        <v>72.485322700192953</v>
      </c>
      <c r="U55" s="62">
        <f t="shared" ca="1" si="1"/>
        <v>18.402131413216999</v>
      </c>
      <c r="V55" s="62">
        <f t="shared" ca="1" si="2"/>
        <v>0</v>
      </c>
      <c r="W55" s="60">
        <f t="shared" ca="1" si="3"/>
        <v>78.776969901149585</v>
      </c>
      <c r="X55" s="60">
        <f t="shared" ca="1" si="7"/>
        <v>0</v>
      </c>
      <c r="Y55" s="60">
        <f t="shared" ca="1" si="4"/>
        <v>0</v>
      </c>
      <c r="Z55" s="60">
        <f t="shared" ca="1" si="5"/>
        <v>0.46532512091903999</v>
      </c>
    </row>
    <row r="56" spans="2:26" s="62" customFormat="1" x14ac:dyDescent="0.25">
      <c r="C56" s="73" t="str">
        <f>"Yield "&amp;ROUND(PriorYield_tperHa,0)&amp;" (t/ha)"</f>
        <v>Yield 8 (t/ha)</v>
      </c>
      <c r="D56" s="100" t="str">
        <f ca="1">"Previous crop residues are providing "&amp;ROUND('Model Interface'!S4,0)&amp;" kg N/ha to the current crop"</f>
        <v>Previous crop residues are providing 3 kg N/ha to the current crop</v>
      </c>
      <c r="I56" s="122"/>
      <c r="J56" s="122"/>
      <c r="K56" s="122"/>
      <c r="L56" s="122"/>
      <c r="M56" s="122"/>
      <c r="N56" s="122"/>
      <c r="O56" s="122"/>
      <c r="P56" s="122"/>
      <c r="R56" s="93">
        <f ca="1"/>
        <v>45207</v>
      </c>
      <c r="S56" s="62">
        <f t="shared" ca="1" si="6"/>
        <v>45207</v>
      </c>
      <c r="T56" s="62">
        <f t="shared" ca="1" si="0"/>
        <v>72.595935734935594</v>
      </c>
      <c r="U56" s="62">
        <f t="shared" ca="1" si="1"/>
        <v>18.793310729253299</v>
      </c>
      <c r="V56" s="62">
        <f t="shared" ca="1" si="2"/>
        <v>0</v>
      </c>
      <c r="W56" s="60">
        <f t="shared" ca="1" si="3"/>
        <v>80.204629411191746</v>
      </c>
      <c r="X56" s="60">
        <f t="shared" ca="1" si="7"/>
        <v>0</v>
      </c>
      <c r="Y56" s="60">
        <f t="shared" ca="1" si="4"/>
        <v>0</v>
      </c>
      <c r="Z56" s="60">
        <f t="shared" ca="1" si="5"/>
        <v>0.49946047192808302</v>
      </c>
    </row>
    <row r="57" spans="2:26" s="62" customFormat="1" ht="15.75" thickBot="1" x14ac:dyDescent="0.3">
      <c r="C57" s="139" t="s">
        <v>166</v>
      </c>
      <c r="D57" s="139"/>
      <c r="E57" s="139"/>
      <c r="F57" s="139"/>
      <c r="G57" s="139"/>
      <c r="H57" s="139"/>
      <c r="I57" s="122"/>
      <c r="J57" s="122"/>
      <c r="K57" s="122"/>
      <c r="L57" s="122"/>
      <c r="M57" s="122"/>
      <c r="N57" s="122"/>
      <c r="O57" s="122"/>
      <c r="P57" s="122"/>
      <c r="R57" s="93">
        <f ca="1"/>
        <v>45208</v>
      </c>
      <c r="S57" s="62">
        <f t="shared" ca="1" si="6"/>
        <v>45208</v>
      </c>
      <c r="T57" s="62">
        <f t="shared" ca="1" si="0"/>
        <v>72.69816950891834</v>
      </c>
      <c r="U57" s="62">
        <f t="shared" ca="1" si="1"/>
        <v>19.180236920528799</v>
      </c>
      <c r="V57" s="62">
        <f t="shared" ca="1" si="2"/>
        <v>0</v>
      </c>
      <c r="W57" s="60">
        <f t="shared" ca="1" si="3"/>
        <v>80.702650406407884</v>
      </c>
      <c r="X57" s="60">
        <f t="shared" ca="1" si="7"/>
        <v>0</v>
      </c>
      <c r="Y57" s="60">
        <f t="shared" ca="1" si="4"/>
        <v>0</v>
      </c>
      <c r="Z57" s="60">
        <f t="shared" ca="1" si="5"/>
        <v>0.532568547527279</v>
      </c>
    </row>
    <row r="58" spans="2:26" s="62" customFormat="1" x14ac:dyDescent="0.25">
      <c r="C58" s="69" t="s">
        <v>30</v>
      </c>
      <c r="D58" s="98" t="str">
        <f>IF(E58="","Fodder",E58)</f>
        <v>Fodder</v>
      </c>
      <c r="E58" s="97"/>
      <c r="F58" s="69" t="s">
        <v>142</v>
      </c>
      <c r="G58" s="98">
        <f>IF(H58="",VLOOKUP(FollowingCropFullName,CropCoefficients,23,FALSE),H58)</f>
        <v>0</v>
      </c>
      <c r="H58" s="99"/>
      <c r="I58" s="122"/>
      <c r="J58" s="122"/>
      <c r="K58" s="122"/>
      <c r="L58" s="122"/>
      <c r="M58" s="122"/>
      <c r="N58" s="122"/>
      <c r="O58" s="122"/>
      <c r="P58" s="122"/>
      <c r="R58" s="93">
        <f ca="1"/>
        <v>45209</v>
      </c>
      <c r="S58" s="62">
        <f t="shared" ca="1" si="6"/>
        <v>45209</v>
      </c>
      <c r="T58" s="62">
        <f t="shared" ca="1" si="0"/>
        <v>72.792374655444817</v>
      </c>
      <c r="U58" s="62">
        <f t="shared" ca="1" si="1"/>
        <v>19.5721683013881</v>
      </c>
      <c r="V58" s="62">
        <f t="shared" ca="1" si="2"/>
        <v>0</v>
      </c>
      <c r="W58" s="60">
        <f t="shared" ca="1" si="3"/>
        <v>80.748917655332406</v>
      </c>
      <c r="X58" s="60">
        <f t="shared" ca="1" si="7"/>
        <v>0</v>
      </c>
      <c r="Y58" s="60">
        <f t="shared" ca="1" si="4"/>
        <v>0</v>
      </c>
      <c r="Z58" s="60">
        <f t="shared" ca="1" si="5"/>
        <v>0.56517770896706199</v>
      </c>
    </row>
    <row r="59" spans="2:26" s="62" customFormat="1" x14ac:dyDescent="0.25">
      <c r="C59" s="69" t="s">
        <v>100</v>
      </c>
      <c r="D59" s="94" t="str">
        <f>IF(E59="","Oat",E59)</f>
        <v>Oat</v>
      </c>
      <c r="E59" s="75"/>
      <c r="F59" s="69" t="s">
        <v>144</v>
      </c>
      <c r="G59" s="94">
        <f>IF(H59="",VLOOKUP(FollowingCropFullName,CropCoefficients,22,FALSE),H59)</f>
        <v>0</v>
      </c>
      <c r="H59" s="81"/>
      <c r="I59" s="122"/>
      <c r="J59" s="122"/>
      <c r="K59" s="122"/>
      <c r="L59" s="122"/>
      <c r="M59" s="122"/>
      <c r="N59" s="122"/>
      <c r="O59" s="122"/>
      <c r="P59" s="122"/>
      <c r="R59" s="93">
        <f ca="1"/>
        <v>45210</v>
      </c>
      <c r="S59" s="62">
        <f t="shared" ca="1" si="6"/>
        <v>45210</v>
      </c>
      <c r="T59" s="62">
        <f t="shared" ca="1" si="0"/>
        <v>72.878518970740046</v>
      </c>
      <c r="U59" s="62">
        <f t="shared" ca="1" si="1"/>
        <v>19.999370332133498</v>
      </c>
      <c r="V59" s="62">
        <f t="shared" ca="1" si="2"/>
        <v>0</v>
      </c>
      <c r="W59" s="60">
        <f t="shared" ca="1" si="3"/>
        <v>79.663437104114536</v>
      </c>
      <c r="X59" s="60">
        <f t="shared" ca="1" si="7"/>
        <v>0</v>
      </c>
      <c r="Y59" s="60">
        <f t="shared" ca="1" si="4"/>
        <v>0</v>
      </c>
      <c r="Z59" s="60">
        <f t="shared" ca="1" si="5"/>
        <v>0.59939762022521803</v>
      </c>
    </row>
    <row r="60" spans="2:26" s="62" customFormat="1" x14ac:dyDescent="0.25">
      <c r="C60" s="69" t="s">
        <v>101</v>
      </c>
      <c r="D60" s="94" t="str">
        <f>IF(E60="","General",E60)</f>
        <v>General</v>
      </c>
      <c r="E60" s="75"/>
      <c r="F60" s="69" t="s">
        <v>143</v>
      </c>
      <c r="G60" s="94">
        <f>IF(H60="",VLOOKUP(FollowingCropFullName,CropCoefficients,26,FALSE),H60)</f>
        <v>80</v>
      </c>
      <c r="H60" s="81"/>
      <c r="I60" s="122"/>
      <c r="J60" s="122"/>
      <c r="K60" s="122"/>
      <c r="L60" s="122"/>
      <c r="M60" s="122"/>
      <c r="N60" s="122"/>
      <c r="O60" s="122"/>
      <c r="P60" s="122"/>
      <c r="R60" s="93">
        <f ca="1"/>
        <v>45211</v>
      </c>
      <c r="S60" s="62">
        <f t="shared" ca="1" si="6"/>
        <v>45211</v>
      </c>
      <c r="T60" s="62">
        <f t="shared" ca="1" si="0"/>
        <v>72.957744115673165</v>
      </c>
      <c r="U60" s="62">
        <f t="shared" ca="1" si="1"/>
        <v>20.487416976305902</v>
      </c>
      <c r="V60" s="62">
        <f t="shared" ca="1" si="2"/>
        <v>0</v>
      </c>
      <c r="W60" s="60">
        <f t="shared" ca="1" si="3"/>
        <v>78.003243596427453</v>
      </c>
      <c r="X60" s="60">
        <f t="shared" ca="1" si="7"/>
        <v>0</v>
      </c>
      <c r="Y60" s="60">
        <f t="shared" ca="1" si="4"/>
        <v>0</v>
      </c>
      <c r="Z60" s="60">
        <f t="shared" ca="1" si="5"/>
        <v>0.63651698613433105</v>
      </c>
    </row>
    <row r="61" spans="2:26" s="62" customFormat="1" x14ac:dyDescent="0.25">
      <c r="B61" s="100">
        <f>IF(FollowingUnits="kg/head",FollowingYIeld*FollowingPopulation,IF(FollowingUnits="kg/ha",FollowingYIeld/1000,FollowingYIeld))</f>
        <v>10</v>
      </c>
      <c r="C61" s="73" t="s">
        <v>159</v>
      </c>
      <c r="D61" s="74" t="str">
        <f>FollowingCropName&amp;" "&amp;FollowingCropType&amp;" "&amp;FollowingCropVariety</f>
        <v>Oat Fodder General</v>
      </c>
      <c r="F61" s="63"/>
      <c r="I61" s="122"/>
      <c r="J61" s="122"/>
      <c r="K61" s="122"/>
      <c r="L61" s="122"/>
      <c r="M61" s="122"/>
      <c r="N61" s="122"/>
      <c r="O61" s="122"/>
      <c r="P61" s="122"/>
      <c r="R61" s="93">
        <f ca="1"/>
        <v>45212</v>
      </c>
      <c r="S61" s="62">
        <f t="shared" ca="1" si="6"/>
        <v>45212</v>
      </c>
      <c r="T61" s="62">
        <f t="shared" ca="1" si="0"/>
        <v>73.01974254912318</v>
      </c>
      <c r="U61" s="62">
        <f t="shared" ca="1" si="1"/>
        <v>20.9630115789634</v>
      </c>
      <c r="V61" s="62">
        <f t="shared" ca="1" si="2"/>
        <v>0</v>
      </c>
      <c r="W61" s="60">
        <f t="shared" ca="1" si="3"/>
        <v>77.899388901103848</v>
      </c>
      <c r="X61" s="60">
        <f t="shared" ca="1" si="7"/>
        <v>0</v>
      </c>
      <c r="Y61" s="60">
        <f t="shared" ca="1" si="4"/>
        <v>0</v>
      </c>
      <c r="Z61" s="60">
        <f t="shared" ca="1" si="5"/>
        <v>0.67044084877286103</v>
      </c>
    </row>
    <row r="62" spans="2:26" s="62" customFormat="1" x14ac:dyDescent="0.25">
      <c r="C62" s="69" t="s">
        <v>4</v>
      </c>
      <c r="D62" s="77">
        <f>IF(E62="",CurrentHarvestDate+15,E62)</f>
        <v>45311</v>
      </c>
      <c r="E62" s="76"/>
      <c r="F62" s="69" t="s">
        <v>154</v>
      </c>
      <c r="G62" s="94" t="str">
        <f>IF(H62="",VLOOKUP(FollowingCropFullName,CropCoefficients,13,FALSE),H62)</f>
        <v>Seed</v>
      </c>
      <c r="H62" s="81"/>
      <c r="I62" s="122"/>
      <c r="J62" s="122"/>
      <c r="K62" s="122"/>
      <c r="L62" s="122"/>
      <c r="M62" s="122"/>
      <c r="N62" s="122"/>
      <c r="O62" s="122"/>
      <c r="P62" s="122"/>
      <c r="R62" s="93">
        <f ca="1"/>
        <v>45213</v>
      </c>
      <c r="S62" s="62">
        <f t="shared" ca="1" si="6"/>
        <v>45213</v>
      </c>
      <c r="T62" s="62">
        <f t="shared" ca="1" si="0"/>
        <v>73.060671248621617</v>
      </c>
      <c r="U62" s="62">
        <f t="shared" ca="1" si="1"/>
        <v>21.433717708811699</v>
      </c>
      <c r="V62" s="62">
        <f t="shared" ca="1" si="2"/>
        <v>0</v>
      </c>
      <c r="W62" s="60">
        <f t="shared" ca="1" si="3"/>
        <v>76.496615316183949</v>
      </c>
      <c r="X62" s="60">
        <f t="shared" ca="1" si="7"/>
        <v>0</v>
      </c>
      <c r="Y62" s="60">
        <f t="shared" ca="1" si="4"/>
        <v>0</v>
      </c>
      <c r="Z62" s="60">
        <f t="shared" ca="1" si="5"/>
        <v>0.701694018789212</v>
      </c>
    </row>
    <row r="63" spans="2:26" s="62" customFormat="1" x14ac:dyDescent="0.25">
      <c r="C63" s="69" t="s">
        <v>5</v>
      </c>
      <c r="D63" s="77">
        <f>IF(E63="",FollowingEstablishDate+120,E63)</f>
        <v>45431</v>
      </c>
      <c r="E63" s="76"/>
      <c r="F63" s="69" t="s">
        <v>155</v>
      </c>
      <c r="G63" s="94" t="str">
        <f>IF(H63="",VLOOKUP(FollowingCropFullName,CropCoefficients,15,FALSE),H63)</f>
        <v>EarlyReproductive</v>
      </c>
      <c r="H63" s="81"/>
      <c r="I63" s="122"/>
      <c r="J63" s="122"/>
      <c r="K63" s="122"/>
      <c r="L63" s="122"/>
      <c r="M63" s="122"/>
      <c r="N63" s="122"/>
      <c r="O63" s="122"/>
      <c r="P63" s="122"/>
      <c r="R63" s="93">
        <f ca="1"/>
        <v>45214</v>
      </c>
      <c r="S63" s="62">
        <f t="shared" ca="1" si="6"/>
        <v>45214</v>
      </c>
      <c r="T63" s="62">
        <f t="shared" ca="1" si="0"/>
        <v>73.079398342199738</v>
      </c>
      <c r="U63" s="62">
        <f t="shared" ca="1" si="1"/>
        <v>21.902837865357299</v>
      </c>
      <c r="V63" s="62">
        <f t="shared" ca="1" si="2"/>
        <v>0</v>
      </c>
      <c r="W63" s="60">
        <f t="shared" ca="1" si="3"/>
        <v>74.499048953494508</v>
      </c>
      <c r="X63" s="60">
        <f t="shared" ca="1" si="7"/>
        <v>0</v>
      </c>
      <c r="Y63" s="60">
        <f t="shared" ca="1" si="4"/>
        <v>0</v>
      </c>
      <c r="Z63" s="60">
        <f t="shared" ca="1" si="5"/>
        <v>0.73048667512099597</v>
      </c>
    </row>
    <row r="64" spans="2:26" s="61" customFormat="1" x14ac:dyDescent="0.25">
      <c r="B64" s="62"/>
      <c r="C64" s="69" t="s">
        <v>145</v>
      </c>
      <c r="D64" s="82" t="str" cm="1">
        <f t="array" ref="D64">IF(FollowingUnits="kg/head",IF(G25="",VLOOKUP(FollowingCropNameFull,CropCoefficients,20,FALSE),G25),"")</f>
        <v/>
      </c>
      <c r="E64" s="81"/>
      <c r="F64" s="62"/>
      <c r="G64" s="62"/>
      <c r="H64" s="62"/>
      <c r="I64" s="122"/>
      <c r="J64" s="122"/>
      <c r="K64" s="122"/>
      <c r="L64" s="122"/>
      <c r="M64" s="122"/>
      <c r="N64" s="122"/>
      <c r="O64" s="122"/>
      <c r="P64" s="122"/>
      <c r="Q64" s="62"/>
      <c r="R64" s="93">
        <f ca="1"/>
        <v>45215</v>
      </c>
      <c r="S64" s="62">
        <f t="shared" ca="1" si="6"/>
        <v>45215</v>
      </c>
      <c r="T64" s="62">
        <f t="shared" ca="1" si="0"/>
        <v>73.07652379913678</v>
      </c>
      <c r="U64" s="62">
        <f t="shared" ca="1" si="1"/>
        <v>22.406872858243599</v>
      </c>
      <c r="V64" s="62">
        <f t="shared" ca="1" si="2"/>
        <v>0</v>
      </c>
      <c r="W64" s="60">
        <f t="shared" ca="1" si="3"/>
        <v>72.14958907339448</v>
      </c>
      <c r="X64" s="60">
        <f t="shared" ca="1" si="7"/>
        <v>0</v>
      </c>
      <c r="Y64" s="60">
        <f t="shared" ca="1" si="4"/>
        <v>0</v>
      </c>
      <c r="Z64" s="60">
        <f t="shared" ca="1" si="5"/>
        <v>0.75881078846724404</v>
      </c>
    </row>
    <row r="65" spans="2:26" s="62" customFormat="1" x14ac:dyDescent="0.25">
      <c r="C65" s="69" t="s">
        <v>106</v>
      </c>
      <c r="D65" s="79">
        <f>IF(E65="",VLOOKUP(FollowingCropFullName,CropCoefficients,17,FALSE),E65)</f>
        <v>10</v>
      </c>
      <c r="E65" s="78"/>
      <c r="F65" s="69" t="s">
        <v>157</v>
      </c>
      <c r="G65" s="95" t="str">
        <f>IF(H65="","None removed",H65)</f>
        <v>None removed</v>
      </c>
      <c r="H65" s="81"/>
      <c r="I65" s="122"/>
      <c r="J65" s="122"/>
      <c r="K65" s="122"/>
      <c r="L65" s="122"/>
      <c r="M65" s="122"/>
      <c r="N65" s="122"/>
      <c r="O65" s="122"/>
      <c r="P65" s="122"/>
      <c r="R65" s="93">
        <f ca="1"/>
        <v>45216</v>
      </c>
      <c r="S65" s="62">
        <f t="shared" ca="1" si="6"/>
        <v>45216</v>
      </c>
      <c r="T65" s="62">
        <f t="shared" ca="1" si="0"/>
        <v>73.051827623788768</v>
      </c>
      <c r="U65" s="62">
        <f t="shared" ca="1" si="1"/>
        <v>22.958171084836799</v>
      </c>
      <c r="V65" s="62">
        <f t="shared" ca="1" si="2"/>
        <v>0</v>
      </c>
      <c r="W65" s="60">
        <f t="shared" ca="1" si="3"/>
        <v>70.033745986531386</v>
      </c>
      <c r="X65" s="60">
        <f t="shared" ca="1" si="7"/>
        <v>0</v>
      </c>
      <c r="Y65" s="60">
        <f t="shared" ca="1" si="4"/>
        <v>0</v>
      </c>
      <c r="Z65" s="60">
        <f t="shared" ca="1" si="5"/>
        <v>0.78677908613529501</v>
      </c>
    </row>
    <row r="66" spans="2:26" s="62" customFormat="1" x14ac:dyDescent="0.25">
      <c r="C66" s="69" t="s">
        <v>15</v>
      </c>
      <c r="D66" s="94" t="str">
        <f>IF(E66="",VLOOKUP(FollowingCropFullName,CropCoefficients,18,FALSE),E66)</f>
        <v>t/ha</v>
      </c>
      <c r="E66" s="80"/>
      <c r="F66" s="64" t="s">
        <v>171</v>
      </c>
      <c r="G66" s="95" t="str">
        <f>IF(H66="","Full (Plough)",H66)</f>
        <v>Full (Plough)</v>
      </c>
      <c r="H66" s="81"/>
      <c r="I66" s="122"/>
      <c r="J66" s="122"/>
      <c r="K66" s="122"/>
      <c r="L66" s="122"/>
      <c r="M66" s="122"/>
      <c r="N66" s="122"/>
      <c r="O66" s="122"/>
      <c r="P66" s="122"/>
      <c r="R66" s="93">
        <f ca="1"/>
        <v>45217</v>
      </c>
      <c r="S66" s="62">
        <f t="shared" ca="1" si="6"/>
        <v>45217</v>
      </c>
      <c r="T66" s="62">
        <f t="shared" ca="1" si="0"/>
        <v>72.998096754402255</v>
      </c>
      <c r="U66" s="62">
        <f t="shared" ca="1" si="1"/>
        <v>23.493510011552701</v>
      </c>
      <c r="V66" s="62">
        <f t="shared" ca="1" si="2"/>
        <v>0</v>
      </c>
      <c r="W66" s="60">
        <f t="shared" ca="1" si="3"/>
        <v>67.099538089299998</v>
      </c>
      <c r="X66" s="60">
        <f t="shared" ca="1" si="7"/>
        <v>0</v>
      </c>
      <c r="Y66" s="60">
        <f t="shared" ca="1" si="4"/>
        <v>0</v>
      </c>
      <c r="Z66" s="60">
        <f t="shared" ca="1" si="5"/>
        <v>0.81107464539541996</v>
      </c>
    </row>
    <row r="67" spans="2:26" x14ac:dyDescent="0.25">
      <c r="B67" s="62"/>
      <c r="C67" s="73" t="str">
        <f>"Yield "&amp;ROUND(FollowingYield_tperHa,0)&amp;" (t/ha)"</f>
        <v>Yield 10 (t/ha)</v>
      </c>
      <c r="D67" s="118" t="str">
        <f ca="1">"Following crop will take up "&amp;ROUND('Model Interface'!R4,0)&amp;" kg N/ha"</f>
        <v>Following crop will take up 33 kg N/ha</v>
      </c>
      <c r="R67" s="93">
        <f ca="1"/>
        <v>45218</v>
      </c>
      <c r="S67" s="62">
        <f t="shared" ca="1" si="6"/>
        <v>45218</v>
      </c>
      <c r="T67" s="62">
        <f t="shared" ca="1" si="0"/>
        <v>72.923675446725085</v>
      </c>
      <c r="U67" s="62">
        <f t="shared" ca="1" si="1"/>
        <v>24.039297769170801</v>
      </c>
      <c r="V67" s="62">
        <f t="shared" ca="1" si="2"/>
        <v>0</v>
      </c>
      <c r="W67" s="60">
        <f t="shared" ca="1" si="3"/>
        <v>65.407614426920077</v>
      </c>
      <c r="X67" s="60">
        <f t="shared" ca="1" si="7"/>
        <v>0</v>
      </c>
      <c r="Y67" s="60">
        <f t="shared" ca="1" si="4"/>
        <v>0</v>
      </c>
      <c r="Z67" s="60">
        <f t="shared" ca="1" si="5"/>
        <v>0.83313637036927002</v>
      </c>
    </row>
    <row r="68" spans="2:26" ht="15.75" thickBot="1" x14ac:dyDescent="0.3">
      <c r="C68" s="138" t="s">
        <v>199</v>
      </c>
      <c r="D68" s="138"/>
      <c r="E68" s="138"/>
      <c r="F68" s="138"/>
      <c r="G68" s="138"/>
      <c r="H68" s="138"/>
      <c r="R68" s="93">
        <f ca="1"/>
        <v>45219</v>
      </c>
      <c r="S68" s="62">
        <f t="shared" ca="1" si="6"/>
        <v>45219</v>
      </c>
      <c r="T68" s="62">
        <f t="shared" ca="1" si="0"/>
        <v>72.82060923418797</v>
      </c>
      <c r="U68" s="62">
        <f t="shared" ca="1" si="1"/>
        <v>24.600119825018599</v>
      </c>
      <c r="V68" s="62">
        <f t="shared" ca="1" si="2"/>
        <v>0</v>
      </c>
      <c r="W68" s="60">
        <f t="shared" ca="1" si="3"/>
        <v>62.236139752253884</v>
      </c>
      <c r="X68" s="60">
        <f t="shared" ca="1" si="7"/>
        <v>0</v>
      </c>
      <c r="Y68" s="60">
        <f t="shared" ca="1" si="4"/>
        <v>0</v>
      </c>
      <c r="Z68" s="60">
        <f t="shared" ca="1" si="5"/>
        <v>0.85319042133340295</v>
      </c>
    </row>
    <row r="69" spans="2:26" x14ac:dyDescent="0.25">
      <c r="C69" s="69" t="s">
        <v>160</v>
      </c>
      <c r="D69" s="98">
        <v>50</v>
      </c>
      <c r="E69" s="115"/>
      <c r="R69" s="93">
        <f ca="1"/>
        <v>45220</v>
      </c>
      <c r="S69" s="62">
        <f t="shared" ca="1" si="6"/>
        <v>45220</v>
      </c>
      <c r="T69" s="62">
        <f t="shared" ca="1" si="0"/>
        <v>72.681738641689009</v>
      </c>
      <c r="U69" s="62">
        <f t="shared" ca="1" si="1"/>
        <v>25.227280596404199</v>
      </c>
      <c r="V69" s="62">
        <f t="shared" ca="1" si="2"/>
        <v>0</v>
      </c>
      <c r="W69" s="60">
        <f t="shared" ca="1" si="3"/>
        <v>59.15697953977071</v>
      </c>
      <c r="X69" s="60">
        <f t="shared" ca="1" si="7"/>
        <v>0</v>
      </c>
      <c r="Y69" s="60">
        <f t="shared" ca="1" si="4"/>
        <v>0</v>
      </c>
      <c r="Z69" s="60">
        <f t="shared" ca="1" si="5"/>
        <v>0.87278395018805499</v>
      </c>
    </row>
    <row r="70" spans="2:26" x14ac:dyDescent="0.25">
      <c r="C70" s="69" t="s">
        <v>161</v>
      </c>
      <c r="D70" s="94">
        <f>IF(E70="",30,E70)</f>
        <v>30</v>
      </c>
      <c r="E70" s="78"/>
      <c r="R70" s="93">
        <f ca="1"/>
        <v>45221</v>
      </c>
      <c r="S70" s="62">
        <f t="shared" ca="1" si="6"/>
        <v>45221</v>
      </c>
      <c r="T70" s="62">
        <f t="shared" ca="1" si="0"/>
        <v>72.524871561500376</v>
      </c>
      <c r="U70" s="62">
        <f t="shared" ca="1" si="1"/>
        <v>25.8144656302198</v>
      </c>
      <c r="V70" s="62">
        <f t="shared" ca="1" si="2"/>
        <v>0</v>
      </c>
      <c r="W70" s="60">
        <f t="shared" ca="1" si="3"/>
        <v>56.562902153238433</v>
      </c>
      <c r="X70" s="60">
        <f t="shared" ca="1" si="7"/>
        <v>0</v>
      </c>
      <c r="Y70" s="60">
        <f t="shared" ca="1" si="4"/>
        <v>0</v>
      </c>
      <c r="Z70" s="60">
        <f t="shared" ca="1" si="5"/>
        <v>0.88871506071986905</v>
      </c>
    </row>
    <row r="71" spans="2:26" x14ac:dyDescent="0.25">
      <c r="C71" s="69" t="s">
        <v>162</v>
      </c>
      <c r="D71" s="94">
        <f>IF(E71="",80,E71)</f>
        <v>80</v>
      </c>
      <c r="E71" s="78"/>
      <c r="R71" s="93">
        <f ca="1"/>
        <v>45222</v>
      </c>
      <c r="S71" s="62">
        <f t="shared" ca="1" si="6"/>
        <v>45222</v>
      </c>
      <c r="T71" s="62">
        <f t="shared" ca="1" si="0"/>
        <v>72.346797746234643</v>
      </c>
      <c r="U71" s="62">
        <f t="shared" ca="1" si="1"/>
        <v>26.411203583520599</v>
      </c>
      <c r="V71" s="62">
        <f t="shared" ca="1" si="2"/>
        <v>0</v>
      </c>
      <c r="W71" s="60">
        <f t="shared" ca="1" si="3"/>
        <v>54.577724433845219</v>
      </c>
      <c r="X71" s="60">
        <f t="shared" ca="1" si="7"/>
        <v>0</v>
      </c>
      <c r="Y71" s="60">
        <f t="shared" ca="1" si="4"/>
        <v>0</v>
      </c>
      <c r="Z71" s="60">
        <f t="shared" ca="1" si="5"/>
        <v>0.90280021503994301</v>
      </c>
    </row>
    <row r="72" spans="2:26" x14ac:dyDescent="0.25">
      <c r="C72" s="64" t="s">
        <v>216</v>
      </c>
      <c r="D72" s="94">
        <f>IF(E72="",120,E72)</f>
        <v>120</v>
      </c>
      <c r="E72" s="78"/>
      <c r="R72" s="93">
        <f ca="1"/>
        <v>45223</v>
      </c>
      <c r="S72" s="62">
        <f t="shared" ca="1" si="6"/>
        <v>45223</v>
      </c>
      <c r="T72" s="62">
        <f t="shared" ca="1" si="0"/>
        <v>72.141965140846636</v>
      </c>
      <c r="U72" s="62">
        <f t="shared" ca="1" si="1"/>
        <v>27.024809873379098</v>
      </c>
      <c r="V72" s="62">
        <f t="shared" ca="1" si="2"/>
        <v>0</v>
      </c>
      <c r="W72" s="60">
        <f t="shared" ca="1" si="3"/>
        <v>51.724481034354127</v>
      </c>
      <c r="X72" s="60">
        <f t="shared" ca="1" si="7"/>
        <v>0</v>
      </c>
      <c r="Y72" s="60">
        <f t="shared" ca="1" si="4"/>
        <v>0</v>
      </c>
      <c r="Z72" s="60">
        <f t="shared" ca="1" si="5"/>
        <v>0.91534658514394696</v>
      </c>
    </row>
    <row r="73" spans="2:26" x14ac:dyDescent="0.25">
      <c r="R73" s="93">
        <f ca="1"/>
        <v>45224</v>
      </c>
      <c r="S73" s="62">
        <f t="shared" ca="1" si="6"/>
        <v>45224</v>
      </c>
      <c r="T73" s="62">
        <f t="shared" ca="1" si="0"/>
        <v>71.904381668463898</v>
      </c>
      <c r="U73" s="62">
        <f t="shared" ca="1" si="1"/>
        <v>27.663553972880301</v>
      </c>
      <c r="V73" s="62">
        <f t="shared" ca="1" si="2"/>
        <v>0</v>
      </c>
      <c r="W73" s="60">
        <f t="shared" ca="1" si="3"/>
        <v>48.073844069619746</v>
      </c>
      <c r="X73" s="60">
        <f t="shared" ca="1" si="7"/>
        <v>0</v>
      </c>
      <c r="Y73" s="60">
        <f t="shared" ca="1" si="4"/>
        <v>0</v>
      </c>
      <c r="Z73" s="60">
        <f t="shared" ca="1" si="5"/>
        <v>0.92659739306514799</v>
      </c>
    </row>
    <row r="74" spans="2:26" x14ac:dyDescent="0.25">
      <c r="R74" s="93">
        <f ca="1"/>
        <v>45225</v>
      </c>
      <c r="S74" s="62">
        <f t="shared" ca="1" si="6"/>
        <v>45225</v>
      </c>
      <c r="T74" s="62">
        <f t="shared" ca="1" si="0"/>
        <v>71.915584882586899</v>
      </c>
      <c r="U74" s="62">
        <f t="shared" ca="1" si="1"/>
        <v>28.375306850106799</v>
      </c>
      <c r="V74" s="62">
        <f t="shared" ca="1" si="2"/>
        <v>0</v>
      </c>
      <c r="W74" s="60">
        <f t="shared" ca="1" si="3"/>
        <v>93.031363643286397</v>
      </c>
      <c r="X74" s="60">
        <f t="shared" ca="1" si="7"/>
        <v>0</v>
      </c>
      <c r="Y74" s="60">
        <f t="shared" ca="1" si="4"/>
        <v>48</v>
      </c>
      <c r="Z74" s="60">
        <f t="shared" ca="1" si="5"/>
        <v>0.93727247119559898</v>
      </c>
    </row>
    <row r="75" spans="2:26" x14ac:dyDescent="0.25">
      <c r="R75" s="93">
        <f ca="1"/>
        <v>45226</v>
      </c>
      <c r="S75" s="62">
        <f t="shared" ca="1" si="6"/>
        <v>45226</v>
      </c>
      <c r="T75" s="62">
        <f t="shared" ca="1" si="0"/>
        <v>71.889591197348679</v>
      </c>
      <c r="U75" s="62">
        <f t="shared" ca="1" si="1"/>
        <v>29.0765853937075</v>
      </c>
      <c r="V75" s="62">
        <f t="shared" ca="1" si="2"/>
        <v>0</v>
      </c>
      <c r="W75" s="60">
        <f t="shared" ca="1" si="3"/>
        <v>90.755059390735113</v>
      </c>
      <c r="X75" s="60">
        <f t="shared" ca="1" si="7"/>
        <v>0</v>
      </c>
      <c r="Y75" s="60">
        <f t="shared" ca="1" si="4"/>
        <v>0</v>
      </c>
      <c r="Z75" s="60">
        <f t="shared" ca="1" si="5"/>
        <v>0.94616398332373597</v>
      </c>
    </row>
    <row r="76" spans="2:26" x14ac:dyDescent="0.25">
      <c r="R76" s="93">
        <f ca="1"/>
        <v>45227</v>
      </c>
      <c r="S76" s="62">
        <f t="shared" ca="1" si="6"/>
        <v>45227</v>
      </c>
      <c r="T76" s="62">
        <f t="shared" ca="1" si="0"/>
        <v>71.831511154923589</v>
      </c>
      <c r="U76" s="62">
        <f t="shared" ca="1" si="1"/>
        <v>29.8310898911922</v>
      </c>
      <c r="V76" s="62">
        <f t="shared" ca="1" si="2"/>
        <v>0</v>
      </c>
      <c r="W76" s="60">
        <f t="shared" ca="1" si="3"/>
        <v>88.41743773674358</v>
      </c>
      <c r="X76" s="60">
        <f t="shared" ca="1" si="7"/>
        <v>0</v>
      </c>
      <c r="Y76" s="60">
        <f t="shared" ca="1" si="4"/>
        <v>0</v>
      </c>
      <c r="Z76" s="60">
        <f t="shared" ca="1" si="5"/>
        <v>0.95422020650159101</v>
      </c>
    </row>
    <row r="77" spans="2:26" x14ac:dyDescent="0.25">
      <c r="R77" s="93">
        <f ca="1"/>
        <v>45228</v>
      </c>
      <c r="S77" s="62">
        <f t="shared" ca="1" si="6"/>
        <v>45228</v>
      </c>
      <c r="T77" s="62">
        <f t="shared" ca="1" si="0"/>
        <v>71.733801695489419</v>
      </c>
      <c r="U77" s="62">
        <f t="shared" ca="1" si="1"/>
        <v>30.6148537074898</v>
      </c>
      <c r="V77" s="62">
        <f t="shared" ca="1" si="2"/>
        <v>0</v>
      </c>
      <c r="W77" s="60">
        <f t="shared" ca="1" si="3"/>
        <v>85.593009919511147</v>
      </c>
      <c r="X77" s="60">
        <f t="shared" ca="1" si="7"/>
        <v>0</v>
      </c>
      <c r="Y77" s="60">
        <f t="shared" ca="1" si="4"/>
        <v>0</v>
      </c>
      <c r="Z77" s="60">
        <f t="shared" ca="1" si="5"/>
        <v>0.96121003062070398</v>
      </c>
    </row>
    <row r="78" spans="2:26" x14ac:dyDescent="0.25">
      <c r="R78" s="93">
        <f ca="1"/>
        <v>45229</v>
      </c>
      <c r="S78" s="62">
        <f t="shared" ca="1" si="6"/>
        <v>45229</v>
      </c>
      <c r="T78" s="62">
        <f t="shared" ca="1" si="0"/>
        <v>71.597717396167013</v>
      </c>
      <c r="U78" s="62">
        <f t="shared" ca="1" si="1"/>
        <v>31.396710633640598</v>
      </c>
      <c r="V78" s="62">
        <f t="shared" ca="1" si="2"/>
        <v>0</v>
      </c>
      <c r="W78" s="60">
        <f t="shared" ca="1" si="3"/>
        <v>82.864255235096195</v>
      </c>
      <c r="X78" s="60">
        <f t="shared" ca="1" si="7"/>
        <v>0</v>
      </c>
      <c r="Y78" s="60">
        <f t="shared" ca="1" si="4"/>
        <v>0</v>
      </c>
      <c r="Z78" s="60">
        <f t="shared" ca="1" si="5"/>
        <v>0.96702664058307097</v>
      </c>
    </row>
    <row r="79" spans="2:26" x14ac:dyDescent="0.25">
      <c r="R79" s="93">
        <f ca="1"/>
        <v>45230</v>
      </c>
      <c r="S79" s="62">
        <f t="shared" ca="1" si="6"/>
        <v>45230</v>
      </c>
      <c r="T79" s="62">
        <f t="shared" ca="1" si="0"/>
        <v>71.415714362493205</v>
      </c>
      <c r="U79" s="62">
        <f t="shared" ca="1" si="1"/>
        <v>32.193289815420599</v>
      </c>
      <c r="V79" s="62">
        <f t="shared" ca="1" si="2"/>
        <v>0</v>
      </c>
      <c r="W79" s="60">
        <f t="shared" ca="1" si="3"/>
        <v>78.889669603752068</v>
      </c>
      <c r="X79" s="60">
        <f t="shared" ca="1" si="7"/>
        <v>0</v>
      </c>
      <c r="Y79" s="60">
        <f t="shared" ca="1" si="4"/>
        <v>0</v>
      </c>
      <c r="Z79" s="60">
        <f t="shared" ca="1" si="5"/>
        <v>0.97197483873683799</v>
      </c>
    </row>
    <row r="80" spans="2:26" x14ac:dyDescent="0.25">
      <c r="R80" s="93">
        <f ca="1"/>
        <v>45231</v>
      </c>
      <c r="S80" s="62">
        <f t="shared" ca="1" si="6"/>
        <v>45231</v>
      </c>
      <c r="T80" s="62">
        <f t="shared" ca="1" si="0"/>
        <v>71.182968158951056</v>
      </c>
      <c r="U80" s="62">
        <f t="shared" ca="1" si="1"/>
        <v>33.0493130910573</v>
      </c>
      <c r="V80" s="62">
        <f t="shared" ca="1" si="2"/>
        <v>0</v>
      </c>
      <c r="W80" s="60">
        <f t="shared" ca="1" si="3"/>
        <v>75.142126489076773</v>
      </c>
      <c r="X80" s="60">
        <f t="shared" ca="1" si="7"/>
        <v>0</v>
      </c>
      <c r="Y80" s="60">
        <f t="shared" ca="1" si="4"/>
        <v>0</v>
      </c>
      <c r="Z80" s="60">
        <f t="shared" ca="1" si="5"/>
        <v>0.97639026430057196</v>
      </c>
    </row>
    <row r="81" spans="18:26" x14ac:dyDescent="0.25">
      <c r="R81" s="93">
        <f ca="1"/>
        <v>45232</v>
      </c>
      <c r="S81" s="62">
        <f t="shared" ca="1" si="6"/>
        <v>45232</v>
      </c>
      <c r="T81" s="62">
        <f t="shared" ca="1" si="0"/>
        <v>70.919746677939557</v>
      </c>
      <c r="U81" s="62">
        <f t="shared" ca="1" si="1"/>
        <v>33.881454562835202</v>
      </c>
      <c r="V81" s="62">
        <f t="shared" ca="1" si="2"/>
        <v>0</v>
      </c>
      <c r="W81" s="60">
        <f t="shared" ca="1" si="3"/>
        <v>72.340056514334037</v>
      </c>
      <c r="X81" s="60">
        <f t="shared" ca="1" si="7"/>
        <v>0</v>
      </c>
      <c r="Y81" s="60">
        <f t="shared" ca="1" si="4"/>
        <v>0</v>
      </c>
      <c r="Z81" s="60">
        <f t="shared" ca="1" si="5"/>
        <v>0.97994993916610096</v>
      </c>
    </row>
    <row r="82" spans="18:26" x14ac:dyDescent="0.25">
      <c r="R82" s="93">
        <f ca="1"/>
        <v>45233</v>
      </c>
      <c r="S82" s="62">
        <f t="shared" ca="1" si="6"/>
        <v>45233</v>
      </c>
      <c r="T82" s="62">
        <f t="shared" ref="T82:T145" ca="1" si="11">VLOOKUP(S82,ModelOutputs,2,FALSE)</f>
        <v>70.609669147632985</v>
      </c>
      <c r="U82" s="62">
        <f t="shared" ref="U82:U145" ca="1" si="12">VLOOKUP(S82,ModelOutputs,7,FALSE)</f>
        <v>34.7467329245031</v>
      </c>
      <c r="V82" s="62">
        <f t="shared" ref="V82:V145" ca="1" si="13">VLOOKUP(S82,ModelOutputs,6,FALSE)</f>
        <v>0</v>
      </c>
      <c r="W82" s="60">
        <f t="shared" ref="W82:W145" ca="1" si="14">VLOOKUP(S82,ModelOutputs,10,FALSE)*AWC</f>
        <v>68.506100721612825</v>
      </c>
      <c r="X82" s="60">
        <f t="shared" ca="1" si="7"/>
        <v>0</v>
      </c>
      <c r="Y82" s="60">
        <f t="shared" ref="Y82:Y145" ca="1" si="15">VLOOKUP(S82,ModelOutputs,12,FALSE)</f>
        <v>0</v>
      </c>
      <c r="Z82" s="60">
        <f t="shared" ref="Z82:Z145" ca="1" si="16">VLOOKUP(S82,ModelOutputs,13,FALSE)</f>
        <v>0.98302702636027806</v>
      </c>
    </row>
    <row r="83" spans="18:26" x14ac:dyDescent="0.25">
      <c r="R83" s="93">
        <f ca="1"/>
        <v>45234</v>
      </c>
      <c r="S83" s="62">
        <f t="shared" ref="S83:S146" ca="1" si="17">IF(R83&gt;1,R83,"")</f>
        <v>45234</v>
      </c>
      <c r="T83" s="62">
        <f t="shared" ca="1" si="11"/>
        <v>70.255848988708976</v>
      </c>
      <c r="U83" s="62">
        <f t="shared" ca="1" si="12"/>
        <v>35.636219523208602</v>
      </c>
      <c r="V83" s="62">
        <f t="shared" ca="1" si="13"/>
        <v>0</v>
      </c>
      <c r="W83" s="60">
        <f t="shared" ca="1" si="14"/>
        <v>64.826034762342857</v>
      </c>
      <c r="X83" s="60">
        <f t="shared" ref="X83:X146" ca="1" si="18">VLOOKUP(S83,ModelOutputs,11,FALSE)+X82</f>
        <v>0</v>
      </c>
      <c r="Y83" s="60">
        <f t="shared" ca="1" si="15"/>
        <v>0</v>
      </c>
      <c r="Z83" s="60">
        <f t="shared" ca="1" si="16"/>
        <v>0.98564918225989495</v>
      </c>
    </row>
    <row r="84" spans="18:26" x14ac:dyDescent="0.25">
      <c r="R84" s="93">
        <f ca="1"/>
        <v>45235</v>
      </c>
      <c r="S84" s="62">
        <f t="shared" ca="1" si="17"/>
        <v>45235</v>
      </c>
      <c r="T84" s="62">
        <f t="shared" ca="1" si="11"/>
        <v>69.86836835944213</v>
      </c>
      <c r="U84" s="62">
        <f t="shared" ca="1" si="12"/>
        <v>36.5343881195897</v>
      </c>
      <c r="V84" s="62">
        <f t="shared" ca="1" si="13"/>
        <v>0</v>
      </c>
      <c r="W84" s="60">
        <f t="shared" ca="1" si="14"/>
        <v>61.888495672844734</v>
      </c>
      <c r="X84" s="60">
        <f t="shared" ca="1" si="18"/>
        <v>0</v>
      </c>
      <c r="Y84" s="60">
        <f t="shared" ca="1" si="15"/>
        <v>0</v>
      </c>
      <c r="Z84" s="60">
        <f t="shared" ca="1" si="16"/>
        <v>0.98784410433091996</v>
      </c>
    </row>
    <row r="85" spans="18:26" x14ac:dyDescent="0.25">
      <c r="R85" s="93">
        <f ca="1"/>
        <v>45236</v>
      </c>
      <c r="S85" s="62">
        <f t="shared" ca="1" si="17"/>
        <v>45236</v>
      </c>
      <c r="T85" s="62">
        <f t="shared" ca="1" si="11"/>
        <v>69.458832980241553</v>
      </c>
      <c r="U85" s="62">
        <f t="shared" ca="1" si="12"/>
        <v>37.415369316314198</v>
      </c>
      <c r="V85" s="62">
        <f t="shared" ca="1" si="13"/>
        <v>0</v>
      </c>
      <c r="W85" s="60">
        <f t="shared" ca="1" si="14"/>
        <v>58.894688522623547</v>
      </c>
      <c r="X85" s="60">
        <f t="shared" ca="1" si="18"/>
        <v>0</v>
      </c>
      <c r="Y85" s="60">
        <f t="shared" ca="1" si="15"/>
        <v>0</v>
      </c>
      <c r="Z85" s="60">
        <f t="shared" ca="1" si="16"/>
        <v>0.98963664310553501</v>
      </c>
    </row>
    <row r="86" spans="18:26" x14ac:dyDescent="0.25">
      <c r="R86" s="93">
        <f ca="1"/>
        <v>45237</v>
      </c>
      <c r="S86" s="62">
        <f t="shared" ca="1" si="17"/>
        <v>45237</v>
      </c>
      <c r="T86" s="62">
        <f t="shared" ca="1" si="11"/>
        <v>69.010815510820606</v>
      </c>
      <c r="U86" s="62">
        <f t="shared" ca="1" si="12"/>
        <v>38.336663711842597</v>
      </c>
      <c r="V86" s="62">
        <f t="shared" ca="1" si="13"/>
        <v>0</v>
      </c>
      <c r="W86" s="60">
        <f t="shared" ca="1" si="14"/>
        <v>56.910593713892673</v>
      </c>
      <c r="X86" s="60">
        <f t="shared" ca="1" si="18"/>
        <v>0</v>
      </c>
      <c r="Y86" s="60">
        <f t="shared" ca="1" si="15"/>
        <v>0</v>
      </c>
      <c r="Z86" s="60">
        <f t="shared" ca="1" si="16"/>
        <v>0.99119958941435504</v>
      </c>
    </row>
    <row r="87" spans="18:26" x14ac:dyDescent="0.25">
      <c r="R87" s="93">
        <f ca="1"/>
        <v>45238</v>
      </c>
      <c r="S87" s="62">
        <f t="shared" ca="1" si="17"/>
        <v>45238</v>
      </c>
      <c r="T87" s="62">
        <f t="shared" ca="1" si="11"/>
        <v>68.527981609310785</v>
      </c>
      <c r="U87" s="62">
        <f t="shared" ca="1" si="12"/>
        <v>39.274439531171602</v>
      </c>
      <c r="V87" s="62">
        <f t="shared" ca="1" si="13"/>
        <v>0</v>
      </c>
      <c r="W87" s="60">
        <f t="shared" ca="1" si="14"/>
        <v>53.720443263930164</v>
      </c>
      <c r="X87" s="60">
        <f t="shared" ca="1" si="18"/>
        <v>0</v>
      </c>
      <c r="Y87" s="60">
        <f t="shared" ca="1" si="15"/>
        <v>0</v>
      </c>
      <c r="Z87" s="60">
        <f t="shared" ca="1" si="16"/>
        <v>0.99252321227499196</v>
      </c>
    </row>
    <row r="88" spans="18:26" x14ac:dyDescent="0.25">
      <c r="R88" s="93">
        <f ca="1"/>
        <v>45239</v>
      </c>
      <c r="S88" s="62">
        <f t="shared" ca="1" si="17"/>
        <v>45239</v>
      </c>
      <c r="T88" s="62">
        <f t="shared" ca="1" si="11"/>
        <v>67.998144704395372</v>
      </c>
      <c r="U88" s="62">
        <f t="shared" ca="1" si="12"/>
        <v>40.2539021417548</v>
      </c>
      <c r="V88" s="62">
        <f t="shared" ca="1" si="13"/>
        <v>0</v>
      </c>
      <c r="W88" s="60">
        <f t="shared" ca="1" si="14"/>
        <v>50.363122863035947</v>
      </c>
      <c r="X88" s="60">
        <f t="shared" ca="1" si="18"/>
        <v>0</v>
      </c>
      <c r="Y88" s="60">
        <f t="shared" ca="1" si="15"/>
        <v>0</v>
      </c>
      <c r="Z88" s="60">
        <f t="shared" ca="1" si="16"/>
        <v>0.99367128337069499</v>
      </c>
    </row>
    <row r="89" spans="18:26" x14ac:dyDescent="0.25">
      <c r="R89" s="93">
        <f ca="1"/>
        <v>45240</v>
      </c>
      <c r="S89" s="62">
        <f t="shared" ca="1" si="17"/>
        <v>45240</v>
      </c>
      <c r="T89" s="62">
        <f t="shared" ca="1" si="11"/>
        <v>67.703970982842449</v>
      </c>
      <c r="U89" s="62">
        <f t="shared" ca="1" si="12"/>
        <v>41.375619765091301</v>
      </c>
      <c r="V89" s="62">
        <f t="shared" ca="1" si="13"/>
        <v>0</v>
      </c>
      <c r="W89" s="60">
        <f t="shared" ca="1" si="14"/>
        <v>93.833562669824346</v>
      </c>
      <c r="X89" s="60">
        <f t="shared" ca="1" si="18"/>
        <v>0</v>
      </c>
      <c r="Y89" s="60">
        <f t="shared" ca="1" si="15"/>
        <v>48</v>
      </c>
      <c r="Z89" s="60">
        <f t="shared" ca="1" si="16"/>
        <v>0.99474889835022595</v>
      </c>
    </row>
    <row r="90" spans="18:26" x14ac:dyDescent="0.25">
      <c r="R90" s="93">
        <f ca="1"/>
        <v>45241</v>
      </c>
      <c r="S90" s="62">
        <f t="shared" ca="1" si="17"/>
        <v>45241</v>
      </c>
      <c r="T90" s="62">
        <f t="shared" ca="1" si="11"/>
        <v>67.356550886413999</v>
      </c>
      <c r="U90" s="62">
        <f t="shared" ca="1" si="12"/>
        <v>42.470843523754397</v>
      </c>
      <c r="V90" s="62">
        <f t="shared" ca="1" si="13"/>
        <v>0</v>
      </c>
      <c r="W90" s="60">
        <f t="shared" ca="1" si="14"/>
        <v>89.853697293490939</v>
      </c>
      <c r="X90" s="60">
        <f t="shared" ca="1" si="18"/>
        <v>0</v>
      </c>
      <c r="Y90" s="60">
        <f t="shared" ca="1" si="15"/>
        <v>0</v>
      </c>
      <c r="Z90" s="60">
        <f t="shared" ca="1" si="16"/>
        <v>0.99560536013100398</v>
      </c>
    </row>
    <row r="91" spans="18:26" x14ac:dyDescent="0.25">
      <c r="R91" s="93">
        <f ca="1"/>
        <v>45242</v>
      </c>
      <c r="S91" s="62">
        <f t="shared" ca="1" si="17"/>
        <v>45242</v>
      </c>
      <c r="T91" s="62">
        <f t="shared" ca="1" si="11"/>
        <v>66.971898119676155</v>
      </c>
      <c r="U91" s="62">
        <f t="shared" ca="1" si="12"/>
        <v>43.562614307060798</v>
      </c>
      <c r="V91" s="62">
        <f t="shared" ca="1" si="13"/>
        <v>0</v>
      </c>
      <c r="W91" s="60">
        <f t="shared" ca="1" si="14"/>
        <v>87.589186117434011</v>
      </c>
      <c r="X91" s="60">
        <f t="shared" ca="1" si="18"/>
        <v>0</v>
      </c>
      <c r="Y91" s="60">
        <f t="shared" ca="1" si="15"/>
        <v>0</v>
      </c>
      <c r="Z91" s="60">
        <f t="shared" ca="1" si="16"/>
        <v>0.99630552300903097</v>
      </c>
    </row>
    <row r="92" spans="18:26" x14ac:dyDescent="0.25">
      <c r="R92" s="93">
        <f ca="1"/>
        <v>45243</v>
      </c>
      <c r="S92" s="62">
        <f t="shared" ca="1" si="17"/>
        <v>45243</v>
      </c>
      <c r="T92" s="62">
        <f t="shared" ca="1" si="11"/>
        <v>66.561081620987338</v>
      </c>
      <c r="U92" s="62">
        <f t="shared" ca="1" si="12"/>
        <v>44.604763966194703</v>
      </c>
      <c r="V92" s="62">
        <f t="shared" ca="1" si="13"/>
        <v>0</v>
      </c>
      <c r="W92" s="60">
        <f t="shared" ca="1" si="14"/>
        <v>84.428699561541976</v>
      </c>
      <c r="X92" s="60">
        <f t="shared" ca="1" si="18"/>
        <v>0</v>
      </c>
      <c r="Y92" s="60">
        <f t="shared" ca="1" si="15"/>
        <v>0</v>
      </c>
      <c r="Z92" s="60">
        <f t="shared" ca="1" si="16"/>
        <v>0.99685852174423994</v>
      </c>
    </row>
    <row r="93" spans="18:26" x14ac:dyDescent="0.25">
      <c r="R93" s="93">
        <f ca="1"/>
        <v>45244</v>
      </c>
      <c r="S93" s="62">
        <f t="shared" ca="1" si="17"/>
        <v>45244</v>
      </c>
      <c r="T93" s="62">
        <f t="shared" ca="1" si="11"/>
        <v>66.080507324851041</v>
      </c>
      <c r="U93" s="62">
        <f t="shared" ca="1" si="12"/>
        <v>45.718855808090403</v>
      </c>
      <c r="V93" s="62">
        <f t="shared" ca="1" si="13"/>
        <v>0</v>
      </c>
      <c r="W93" s="60">
        <f t="shared" ca="1" si="14"/>
        <v>80.115937435979276</v>
      </c>
      <c r="X93" s="60">
        <f t="shared" ca="1" si="18"/>
        <v>0</v>
      </c>
      <c r="Y93" s="60">
        <f t="shared" ca="1" si="15"/>
        <v>0</v>
      </c>
      <c r="Z93" s="60">
        <f t="shared" ca="1" si="16"/>
        <v>0.99734887568823005</v>
      </c>
    </row>
    <row r="94" spans="18:26" x14ac:dyDescent="0.25">
      <c r="R94" s="93">
        <f ca="1"/>
        <v>45245</v>
      </c>
      <c r="S94" s="62">
        <f t="shared" ca="1" si="17"/>
        <v>45245</v>
      </c>
      <c r="T94" s="62">
        <f t="shared" ca="1" si="11"/>
        <v>65.528648535892657</v>
      </c>
      <c r="U94" s="62">
        <f t="shared" ca="1" si="12"/>
        <v>46.896323827386297</v>
      </c>
      <c r="V94" s="62">
        <f t="shared" ca="1" si="13"/>
        <v>0</v>
      </c>
      <c r="W94" s="60">
        <f t="shared" ca="1" si="14"/>
        <v>75.543661337071171</v>
      </c>
      <c r="X94" s="60">
        <f t="shared" ca="1" si="18"/>
        <v>0</v>
      </c>
      <c r="Y94" s="60">
        <f t="shared" ca="1" si="15"/>
        <v>0</v>
      </c>
      <c r="Z94" s="60">
        <f t="shared" ca="1" si="16"/>
        <v>0.99777553845566902</v>
      </c>
    </row>
    <row r="95" spans="18:26" x14ac:dyDescent="0.25">
      <c r="R95" s="93">
        <f ca="1"/>
        <v>45246</v>
      </c>
      <c r="S95" s="62">
        <f t="shared" ca="1" si="17"/>
        <v>45246</v>
      </c>
      <c r="T95" s="62">
        <f t="shared" ca="1" si="11"/>
        <v>64.916478608239146</v>
      </c>
      <c r="U95" s="62">
        <f t="shared" ca="1" si="12"/>
        <v>48.131685882409698</v>
      </c>
      <c r="V95" s="62">
        <f t="shared" ca="1" si="13"/>
        <v>0</v>
      </c>
      <c r="W95" s="60">
        <f t="shared" ca="1" si="14"/>
        <v>72.534769017291353</v>
      </c>
      <c r="X95" s="60">
        <f t="shared" ca="1" si="18"/>
        <v>0</v>
      </c>
      <c r="Y95" s="60">
        <f t="shared" ca="1" si="15"/>
        <v>0</v>
      </c>
      <c r="Z95" s="60">
        <f t="shared" ca="1" si="16"/>
        <v>0.99814196304061997</v>
      </c>
    </row>
    <row r="96" spans="18:26" x14ac:dyDescent="0.25">
      <c r="R96" s="93">
        <f ca="1"/>
        <v>45247</v>
      </c>
      <c r="S96" s="62">
        <f t="shared" ca="1" si="17"/>
        <v>45247</v>
      </c>
      <c r="T96" s="62">
        <f t="shared" ca="1" si="11"/>
        <v>64.291801405901211</v>
      </c>
      <c r="U96" s="62">
        <f t="shared" ca="1" si="12"/>
        <v>49.314336012298398</v>
      </c>
      <c r="V96" s="62">
        <f t="shared" ca="1" si="13"/>
        <v>0</v>
      </c>
      <c r="W96" s="60">
        <f t="shared" ca="1" si="14"/>
        <v>69.514820086635382</v>
      </c>
      <c r="X96" s="60">
        <f t="shared" ca="1" si="18"/>
        <v>0</v>
      </c>
      <c r="Y96" s="60">
        <f t="shared" ca="1" si="15"/>
        <v>0</v>
      </c>
      <c r="Z96" s="60">
        <f t="shared" ca="1" si="16"/>
        <v>0.99843018589703303</v>
      </c>
    </row>
    <row r="97" spans="18:26" x14ac:dyDescent="0.25">
      <c r="R97" s="93">
        <f ca="1"/>
        <v>45248</v>
      </c>
      <c r="S97" s="62">
        <f t="shared" ca="1" si="17"/>
        <v>45248</v>
      </c>
      <c r="T97" s="62">
        <f t="shared" ca="1" si="11"/>
        <v>63.655808326815318</v>
      </c>
      <c r="U97" s="62">
        <f t="shared" ca="1" si="12"/>
        <v>50.472576753156503</v>
      </c>
      <c r="V97" s="62">
        <f t="shared" ca="1" si="13"/>
        <v>0</v>
      </c>
      <c r="W97" s="60">
        <f t="shared" ca="1" si="14"/>
        <v>67.827433074735112</v>
      </c>
      <c r="X97" s="60">
        <f t="shared" ca="1" si="18"/>
        <v>0</v>
      </c>
      <c r="Y97" s="60">
        <f t="shared" ca="1" si="15"/>
        <v>0</v>
      </c>
      <c r="Z97" s="60">
        <f t="shared" ca="1" si="16"/>
        <v>0.99866455388370401</v>
      </c>
    </row>
    <row r="98" spans="18:26" x14ac:dyDescent="0.25">
      <c r="R98" s="93">
        <f ca="1"/>
        <v>45249</v>
      </c>
      <c r="S98" s="62">
        <f t="shared" ca="1" si="17"/>
        <v>45249</v>
      </c>
      <c r="T98" s="62">
        <f t="shared" ca="1" si="11"/>
        <v>62.998508577964522</v>
      </c>
      <c r="U98" s="62">
        <f t="shared" ca="1" si="12"/>
        <v>51.635003545391797</v>
      </c>
      <c r="V98" s="62">
        <f t="shared" ca="1" si="13"/>
        <v>0</v>
      </c>
      <c r="W98" s="60">
        <f t="shared" ca="1" si="14"/>
        <v>66.496920893771431</v>
      </c>
      <c r="X98" s="60">
        <f t="shared" ca="1" si="18"/>
        <v>0</v>
      </c>
      <c r="Y98" s="60">
        <f t="shared" ca="1" si="15"/>
        <v>0</v>
      </c>
      <c r="Z98" s="60">
        <f t="shared" ca="1" si="16"/>
        <v>0.998860927376097</v>
      </c>
    </row>
    <row r="99" spans="18:26" x14ac:dyDescent="0.25">
      <c r="R99" s="93">
        <f ca="1"/>
        <v>45250</v>
      </c>
      <c r="S99" s="62">
        <f t="shared" ca="1" si="17"/>
        <v>45250</v>
      </c>
      <c r="T99" s="62">
        <f t="shared" ca="1" si="11"/>
        <v>62.253741939718203</v>
      </c>
      <c r="U99" s="62">
        <f t="shared" ca="1" si="12"/>
        <v>52.908584862935797</v>
      </c>
      <c r="V99" s="62">
        <f t="shared" ca="1" si="13"/>
        <v>0</v>
      </c>
      <c r="W99" s="60">
        <f t="shared" ca="1" si="14"/>
        <v>63.419152663481526</v>
      </c>
      <c r="X99" s="60">
        <f t="shared" ca="1" si="18"/>
        <v>0</v>
      </c>
      <c r="Y99" s="60">
        <f t="shared" ca="1" si="15"/>
        <v>0</v>
      </c>
      <c r="Z99" s="60">
        <f t="shared" ca="1" si="16"/>
        <v>0.99903969330474196</v>
      </c>
    </row>
    <row r="100" spans="18:26" x14ac:dyDescent="0.25">
      <c r="R100" s="93">
        <f ca="1"/>
        <v>45251</v>
      </c>
      <c r="S100" s="62">
        <f t="shared" ca="1" si="17"/>
        <v>45251</v>
      </c>
      <c r="T100" s="62">
        <f t="shared" ca="1" si="11"/>
        <v>61.478533633234392</v>
      </c>
      <c r="U100" s="62">
        <f t="shared" ca="1" si="12"/>
        <v>54.200901767539001</v>
      </c>
      <c r="V100" s="62">
        <f t="shared" ca="1" si="13"/>
        <v>0</v>
      </c>
      <c r="W100" s="60">
        <f t="shared" ca="1" si="14"/>
        <v>62.082039714620201</v>
      </c>
      <c r="X100" s="60">
        <f t="shared" ca="1" si="18"/>
        <v>0</v>
      </c>
      <c r="Y100" s="60">
        <f t="shared" ca="1" si="15"/>
        <v>0</v>
      </c>
      <c r="Z100" s="60">
        <f t="shared" ca="1" si="16"/>
        <v>0.99918951098009301</v>
      </c>
    </row>
    <row r="101" spans="18:26" x14ac:dyDescent="0.25">
      <c r="R101" s="93">
        <f ca="1"/>
        <v>45252</v>
      </c>
      <c r="S101" s="62">
        <f t="shared" ca="1" si="17"/>
        <v>45252</v>
      </c>
      <c r="T101" s="62">
        <f t="shared" ca="1" si="11"/>
        <v>60.700581001104652</v>
      </c>
      <c r="U101" s="62">
        <f t="shared" ca="1" si="12"/>
        <v>55.449381429172703</v>
      </c>
      <c r="V101" s="62">
        <f t="shared" ca="1" si="13"/>
        <v>0</v>
      </c>
      <c r="W101" s="60">
        <f t="shared" ca="1" si="14"/>
        <v>59.150612256214494</v>
      </c>
      <c r="X101" s="60">
        <f t="shared" ca="1" si="18"/>
        <v>0</v>
      </c>
      <c r="Y101" s="60">
        <f t="shared" ca="1" si="15"/>
        <v>0</v>
      </c>
      <c r="Z101" s="60">
        <f t="shared" ca="1" si="16"/>
        <v>0.999309735867277</v>
      </c>
    </row>
    <row r="102" spans="18:26" x14ac:dyDescent="0.25">
      <c r="R102" s="93">
        <f ca="1"/>
        <v>45253</v>
      </c>
      <c r="S102" s="62">
        <f t="shared" ca="1" si="17"/>
        <v>45253</v>
      </c>
      <c r="T102" s="62">
        <f t="shared" ca="1" si="11"/>
        <v>59.79424724402736</v>
      </c>
      <c r="U102" s="62">
        <f t="shared" ca="1" si="12"/>
        <v>56.863623579623798</v>
      </c>
      <c r="V102" s="62">
        <f t="shared" ca="1" si="13"/>
        <v>0</v>
      </c>
      <c r="W102" s="60">
        <f t="shared" ca="1" si="14"/>
        <v>55.226030486784659</v>
      </c>
      <c r="X102" s="60">
        <f t="shared" ca="1" si="18"/>
        <v>0</v>
      </c>
      <c r="Y102" s="60">
        <f t="shared" ca="1" si="15"/>
        <v>0</v>
      </c>
      <c r="Z102" s="60">
        <f t="shared" ca="1" si="16"/>
        <v>0.99942237514005705</v>
      </c>
    </row>
    <row r="103" spans="18:26" x14ac:dyDescent="0.25">
      <c r="R103" s="93">
        <f ca="1"/>
        <v>45254</v>
      </c>
      <c r="S103" s="62">
        <f t="shared" ca="1" si="17"/>
        <v>45254</v>
      </c>
      <c r="T103" s="62">
        <f t="shared" ca="1" si="11"/>
        <v>58.817777491642175</v>
      </c>
      <c r="U103" s="62">
        <f t="shared" ca="1" si="12"/>
        <v>58.340018531312403</v>
      </c>
      <c r="V103" s="62">
        <f t="shared" ca="1" si="13"/>
        <v>0</v>
      </c>
      <c r="W103" s="60">
        <f t="shared" ca="1" si="14"/>
        <v>51.428274601226988</v>
      </c>
      <c r="X103" s="60">
        <f t="shared" ca="1" si="18"/>
        <v>0</v>
      </c>
      <c r="Y103" s="60">
        <f t="shared" ca="1" si="15"/>
        <v>0</v>
      </c>
      <c r="Z103" s="60">
        <f t="shared" ca="1" si="16"/>
        <v>0.99951846808550004</v>
      </c>
    </row>
    <row r="104" spans="18:26" x14ac:dyDescent="0.25">
      <c r="R104" s="93">
        <f ca="1"/>
        <v>45255</v>
      </c>
      <c r="S104" s="62">
        <f t="shared" ca="1" si="17"/>
        <v>45255</v>
      </c>
      <c r="T104" s="62">
        <f t="shared" ca="1" si="11"/>
        <v>57.778163211129161</v>
      </c>
      <c r="U104" s="62">
        <f t="shared" ca="1" si="12"/>
        <v>59.885526187603602</v>
      </c>
      <c r="V104" s="62">
        <f t="shared" ca="1" si="13"/>
        <v>0</v>
      </c>
      <c r="W104" s="60">
        <f t="shared" ca="1" si="14"/>
        <v>49.893946947023473</v>
      </c>
      <c r="X104" s="60">
        <f t="shared" ca="1" si="18"/>
        <v>0</v>
      </c>
      <c r="Y104" s="60">
        <f t="shared" ca="1" si="15"/>
        <v>0</v>
      </c>
      <c r="Z104" s="60">
        <f t="shared" ca="1" si="16"/>
        <v>0.99960031041333997</v>
      </c>
    </row>
    <row r="105" spans="18:26" x14ac:dyDescent="0.25">
      <c r="R105" s="93">
        <f ca="1"/>
        <v>45256</v>
      </c>
      <c r="S105" s="62">
        <f t="shared" ca="1" si="17"/>
        <v>45256</v>
      </c>
      <c r="T105" s="62">
        <f t="shared" ca="1" si="11"/>
        <v>57.041243528887151</v>
      </c>
      <c r="U105" s="62">
        <f t="shared" ca="1" si="12"/>
        <v>61.433200268118803</v>
      </c>
      <c r="V105" s="62">
        <f t="shared" ca="1" si="13"/>
        <v>0</v>
      </c>
      <c r="W105" s="60">
        <f t="shared" ca="1" si="14"/>
        <v>95.071455985293923</v>
      </c>
      <c r="X105" s="60">
        <f t="shared" ca="1" si="18"/>
        <v>0</v>
      </c>
      <c r="Y105" s="60">
        <f t="shared" ca="1" si="15"/>
        <v>48</v>
      </c>
      <c r="Z105" s="60">
        <f t="shared" ca="1" si="16"/>
        <v>0.99966697568521901</v>
      </c>
    </row>
    <row r="106" spans="18:26" x14ac:dyDescent="0.25">
      <c r="R106" s="93">
        <f ca="1"/>
        <v>45257</v>
      </c>
      <c r="S106" s="62">
        <f t="shared" ca="1" si="17"/>
        <v>45257</v>
      </c>
      <c r="T106" s="62">
        <f t="shared" ca="1" si="11"/>
        <v>56.252541938550969</v>
      </c>
      <c r="U106" s="62">
        <f t="shared" ca="1" si="12"/>
        <v>62.978854347427699</v>
      </c>
      <c r="V106" s="62">
        <f t="shared" ca="1" si="13"/>
        <v>0</v>
      </c>
      <c r="W106" s="60">
        <f t="shared" ca="1" si="14"/>
        <v>91.264519725529539</v>
      </c>
      <c r="X106" s="60">
        <f t="shared" ca="1" si="18"/>
        <v>0</v>
      </c>
      <c r="Y106" s="60">
        <f t="shared" ca="1" si="15"/>
        <v>0</v>
      </c>
      <c r="Z106" s="60">
        <f t="shared" ca="1" si="16"/>
        <v>0.99972138140454803</v>
      </c>
    </row>
    <row r="107" spans="18:26" x14ac:dyDescent="0.25">
      <c r="R107" s="93">
        <f ca="1"/>
        <v>45258</v>
      </c>
      <c r="S107" s="62">
        <f t="shared" ca="1" si="17"/>
        <v>45258</v>
      </c>
      <c r="T107" s="62">
        <f t="shared" ca="1" si="11"/>
        <v>55.4268137940957</v>
      </c>
      <c r="U107" s="62">
        <f t="shared" ca="1" si="12"/>
        <v>64.532705019506096</v>
      </c>
      <c r="V107" s="62">
        <f t="shared" ca="1" si="13"/>
        <v>0</v>
      </c>
      <c r="W107" s="60">
        <f t="shared" ca="1" si="14"/>
        <v>89.398622385847148</v>
      </c>
      <c r="X107" s="60">
        <f t="shared" ca="1" si="18"/>
        <v>0</v>
      </c>
      <c r="Y107" s="60">
        <f t="shared" ca="1" si="15"/>
        <v>0</v>
      </c>
      <c r="Z107" s="60">
        <f t="shared" ca="1" si="16"/>
        <v>0.99976625629962301</v>
      </c>
    </row>
    <row r="108" spans="18:26" x14ac:dyDescent="0.25">
      <c r="R108" s="93">
        <f ca="1"/>
        <v>45259</v>
      </c>
      <c r="S108" s="62">
        <f t="shared" ca="1" si="17"/>
        <v>45259</v>
      </c>
      <c r="T108" s="62">
        <f t="shared" ca="1" si="11"/>
        <v>54.559230492357976</v>
      </c>
      <c r="U108" s="62">
        <f t="shared" ca="1" si="12"/>
        <v>66.083915487178899</v>
      </c>
      <c r="V108" s="62">
        <f t="shared" ca="1" si="13"/>
        <v>0</v>
      </c>
      <c r="W108" s="60">
        <f t="shared" ca="1" si="14"/>
        <v>86.001516235751581</v>
      </c>
      <c r="X108" s="60">
        <f t="shared" ca="1" si="18"/>
        <v>0</v>
      </c>
      <c r="Y108" s="60">
        <f t="shared" ca="1" si="15"/>
        <v>0</v>
      </c>
      <c r="Z108" s="60">
        <f t="shared" ca="1" si="16"/>
        <v>0.99980315326573599</v>
      </c>
    </row>
    <row r="109" spans="18:26" x14ac:dyDescent="0.25">
      <c r="R109" s="93">
        <f ca="1"/>
        <v>45260</v>
      </c>
      <c r="S109" s="62">
        <f t="shared" ca="1" si="17"/>
        <v>45260</v>
      </c>
      <c r="T109" s="62">
        <f t="shared" ca="1" si="11"/>
        <v>53.614051360566165</v>
      </c>
      <c r="U109" s="62">
        <f t="shared" ca="1" si="12"/>
        <v>67.716791782725906</v>
      </c>
      <c r="V109" s="62">
        <f t="shared" ca="1" si="13"/>
        <v>0</v>
      </c>
      <c r="W109" s="60">
        <f t="shared" ca="1" si="14"/>
        <v>83.25659483027556</v>
      </c>
      <c r="X109" s="60">
        <f t="shared" ca="1" si="18"/>
        <v>0</v>
      </c>
      <c r="Y109" s="60">
        <f t="shared" ca="1" si="15"/>
        <v>0</v>
      </c>
      <c r="Z109" s="60">
        <f t="shared" ca="1" si="16"/>
        <v>0.99983512333120195</v>
      </c>
    </row>
    <row r="110" spans="18:26" x14ac:dyDescent="0.25">
      <c r="R110" s="93">
        <f ca="1"/>
        <v>45261</v>
      </c>
      <c r="S110" s="62">
        <f t="shared" ca="1" si="17"/>
        <v>45261</v>
      </c>
      <c r="T110" s="62">
        <f t="shared" ca="1" si="11"/>
        <v>52.542716026480669</v>
      </c>
      <c r="U110" s="62">
        <f t="shared" ca="1" si="12"/>
        <v>69.505893661696504</v>
      </c>
      <c r="V110" s="62">
        <f t="shared" ca="1" si="13"/>
        <v>0</v>
      </c>
      <c r="W110" s="60">
        <f t="shared" ca="1" si="14"/>
        <v>79.510476362927889</v>
      </c>
      <c r="X110" s="60">
        <f t="shared" ca="1" si="18"/>
        <v>0</v>
      </c>
      <c r="Y110" s="60">
        <f t="shared" ca="1" si="15"/>
        <v>0</v>
      </c>
      <c r="Z110" s="60">
        <f t="shared" ca="1" si="16"/>
        <v>0.99986367225773598</v>
      </c>
    </row>
    <row r="111" spans="18:26" x14ac:dyDescent="0.25">
      <c r="R111" s="93">
        <f ca="1"/>
        <v>45262</v>
      </c>
      <c r="S111" s="62">
        <f t="shared" ca="1" si="17"/>
        <v>45262</v>
      </c>
      <c r="T111" s="62">
        <f t="shared" ca="1" si="11"/>
        <v>51.384646018173797</v>
      </c>
      <c r="U111" s="62">
        <f t="shared" ca="1" si="12"/>
        <v>71.368030268868594</v>
      </c>
      <c r="V111" s="62">
        <f t="shared" ca="1" si="13"/>
        <v>0</v>
      </c>
      <c r="W111" s="60">
        <f t="shared" ca="1" si="14"/>
        <v>75.764431101841836</v>
      </c>
      <c r="X111" s="60">
        <f t="shared" ca="1" si="18"/>
        <v>0</v>
      </c>
      <c r="Y111" s="60">
        <f t="shared" ca="1" si="15"/>
        <v>0</v>
      </c>
      <c r="Z111" s="60">
        <f t="shared" ca="1" si="16"/>
        <v>0.999887671355979</v>
      </c>
    </row>
    <row r="112" spans="18:26" x14ac:dyDescent="0.25">
      <c r="R112" s="93">
        <f ca="1"/>
        <v>45263</v>
      </c>
      <c r="S112" s="62">
        <f t="shared" ca="1" si="17"/>
        <v>45263</v>
      </c>
      <c r="T112" s="62">
        <f t="shared" ca="1" si="11"/>
        <v>50.108731851835891</v>
      </c>
      <c r="U112" s="62">
        <f t="shared" ca="1" si="12"/>
        <v>73.354573944256899</v>
      </c>
      <c r="V112" s="62">
        <f t="shared" ca="1" si="13"/>
        <v>0</v>
      </c>
      <c r="W112" s="60">
        <f t="shared" ca="1" si="14"/>
        <v>71.838787030509252</v>
      </c>
      <c r="X112" s="60">
        <f t="shared" ca="1" si="18"/>
        <v>0</v>
      </c>
      <c r="Y112" s="60">
        <f t="shared" ca="1" si="15"/>
        <v>0</v>
      </c>
      <c r="Z112" s="60">
        <f t="shared" ca="1" si="16"/>
        <v>0.99990821962453302</v>
      </c>
    </row>
    <row r="113" spans="18:26" x14ac:dyDescent="0.25">
      <c r="R113" s="93">
        <f ca="1"/>
        <v>45264</v>
      </c>
      <c r="S113" s="62">
        <f t="shared" ca="1" si="17"/>
        <v>45264</v>
      </c>
      <c r="T113" s="62">
        <f t="shared" ca="1" si="11"/>
        <v>48.788304150541158</v>
      </c>
      <c r="U113" s="62">
        <f t="shared" ca="1" si="12"/>
        <v>75.329937779524698</v>
      </c>
      <c r="V113" s="62">
        <f t="shared" ca="1" si="13"/>
        <v>0</v>
      </c>
      <c r="W113" s="60">
        <f t="shared" ca="1" si="14"/>
        <v>67.621809495700546</v>
      </c>
      <c r="X113" s="60">
        <f t="shared" ca="1" si="18"/>
        <v>0</v>
      </c>
      <c r="Y113" s="60">
        <f t="shared" ca="1" si="15"/>
        <v>0</v>
      </c>
      <c r="Z113" s="60">
        <f t="shared" ca="1" si="16"/>
        <v>0.99992459297911596</v>
      </c>
    </row>
    <row r="114" spans="18:26" x14ac:dyDescent="0.25">
      <c r="R114" s="93">
        <f ca="1"/>
        <v>45265</v>
      </c>
      <c r="S114" s="62">
        <f t="shared" ca="1" si="17"/>
        <v>45265</v>
      </c>
      <c r="T114" s="62">
        <f t="shared" ca="1" si="11"/>
        <v>47.411341988760171</v>
      </c>
      <c r="U114" s="62">
        <f t="shared" ca="1" si="12"/>
        <v>77.334576329214897</v>
      </c>
      <c r="V114" s="62">
        <f t="shared" ca="1" si="13"/>
        <v>0</v>
      </c>
      <c r="W114" s="60">
        <f t="shared" ca="1" si="14"/>
        <v>64.542653639966048</v>
      </c>
      <c r="X114" s="60">
        <f t="shared" ca="1" si="18"/>
        <v>0</v>
      </c>
      <c r="Y114" s="60">
        <f t="shared" ca="1" si="15"/>
        <v>0</v>
      </c>
      <c r="Z114" s="60">
        <f t="shared" ca="1" si="16"/>
        <v>0.99993796313458505</v>
      </c>
    </row>
    <row r="115" spans="18:26" x14ac:dyDescent="0.25">
      <c r="R115" s="93">
        <f ca="1"/>
        <v>45266</v>
      </c>
      <c r="S115" s="62">
        <f t="shared" ca="1" si="17"/>
        <v>45266</v>
      </c>
      <c r="T115" s="62">
        <f t="shared" ca="1" si="11"/>
        <v>46.028902220743056</v>
      </c>
      <c r="U115" s="62">
        <f t="shared" ca="1" si="12"/>
        <v>79.298619539005799</v>
      </c>
      <c r="V115" s="62">
        <f t="shared" ca="1" si="13"/>
        <v>0</v>
      </c>
      <c r="W115" s="60">
        <f t="shared" ca="1" si="14"/>
        <v>62.209784101911801</v>
      </c>
      <c r="X115" s="60">
        <f t="shared" ca="1" si="18"/>
        <v>0</v>
      </c>
      <c r="Y115" s="60">
        <f t="shared" ca="1" si="15"/>
        <v>0</v>
      </c>
      <c r="Z115" s="60">
        <f t="shared" ca="1" si="16"/>
        <v>0.99994855915506098</v>
      </c>
    </row>
    <row r="116" spans="18:26" x14ac:dyDescent="0.25">
      <c r="R116" s="93">
        <f ca="1"/>
        <v>45267</v>
      </c>
      <c r="S116" s="62">
        <f t="shared" ca="1" si="17"/>
        <v>45267</v>
      </c>
      <c r="T116" s="62">
        <f t="shared" ca="1" si="11"/>
        <v>44.534519206021969</v>
      </c>
      <c r="U116" s="62">
        <f t="shared" ca="1" si="12"/>
        <v>81.376900498111397</v>
      </c>
      <c r="V116" s="62">
        <f t="shared" ca="1" si="13"/>
        <v>0</v>
      </c>
      <c r="W116" s="60">
        <f t="shared" ca="1" si="14"/>
        <v>58.538620579302787</v>
      </c>
      <c r="X116" s="60">
        <f t="shared" ca="1" si="18"/>
        <v>0</v>
      </c>
      <c r="Y116" s="60">
        <f t="shared" ca="1" si="15"/>
        <v>0</v>
      </c>
      <c r="Z116" s="60">
        <f t="shared" ca="1" si="16"/>
        <v>0.99995763812274197</v>
      </c>
    </row>
    <row r="117" spans="18:26" x14ac:dyDescent="0.25">
      <c r="R117" s="93">
        <f ca="1"/>
        <v>45268</v>
      </c>
      <c r="S117" s="62">
        <f t="shared" ca="1" si="17"/>
        <v>45268</v>
      </c>
      <c r="T117" s="62">
        <f t="shared" ca="1" si="11"/>
        <v>42.979788818364497</v>
      </c>
      <c r="U117" s="62">
        <f t="shared" ca="1" si="12"/>
        <v>83.505526539801807</v>
      </c>
      <c r="V117" s="62">
        <f t="shared" ca="1" si="13"/>
        <v>0</v>
      </c>
      <c r="W117" s="60">
        <f t="shared" ca="1" si="14"/>
        <v>56.570081472929743</v>
      </c>
      <c r="X117" s="60">
        <f t="shared" ca="1" si="18"/>
        <v>0</v>
      </c>
      <c r="Y117" s="60">
        <f t="shared" ca="1" si="15"/>
        <v>0</v>
      </c>
      <c r="Z117" s="60">
        <f t="shared" ca="1" si="16"/>
        <v>0.99996513760510697</v>
      </c>
    </row>
    <row r="118" spans="18:26" x14ac:dyDescent="0.25">
      <c r="R118" s="93">
        <f ca="1"/>
        <v>45269</v>
      </c>
      <c r="S118" s="62">
        <f t="shared" ca="1" si="17"/>
        <v>45269</v>
      </c>
      <c r="T118" s="62">
        <f t="shared" ca="1" si="11"/>
        <v>41.423107053126898</v>
      </c>
      <c r="U118" s="62">
        <f t="shared" ca="1" si="12"/>
        <v>85.580250435620897</v>
      </c>
      <c r="V118" s="62">
        <f t="shared" ca="1" si="13"/>
        <v>0</v>
      </c>
      <c r="W118" s="60">
        <f t="shared" ca="1" si="14"/>
        <v>52.240558791347176</v>
      </c>
      <c r="X118" s="60">
        <f t="shared" ca="1" si="18"/>
        <v>0</v>
      </c>
      <c r="Y118" s="60">
        <f t="shared" ca="1" si="15"/>
        <v>0</v>
      </c>
      <c r="Z118" s="60">
        <f t="shared" ca="1" si="16"/>
        <v>0.99997105959077404</v>
      </c>
    </row>
    <row r="119" spans="18:26" x14ac:dyDescent="0.25">
      <c r="R119" s="93">
        <f ca="1"/>
        <v>45270</v>
      </c>
      <c r="S119" s="62">
        <f t="shared" ca="1" si="17"/>
        <v>45270</v>
      </c>
      <c r="T119" s="62">
        <f t="shared" ca="1" si="11"/>
        <v>39.731621429077414</v>
      </c>
      <c r="U119" s="62">
        <f t="shared" ca="1" si="12"/>
        <v>87.799849016427402</v>
      </c>
      <c r="V119" s="62">
        <f t="shared" ca="1" si="13"/>
        <v>0</v>
      </c>
      <c r="W119" s="60">
        <f t="shared" ca="1" si="14"/>
        <v>48.534400159903043</v>
      </c>
      <c r="X119" s="60">
        <f t="shared" ca="1" si="18"/>
        <v>0</v>
      </c>
      <c r="Y119" s="60">
        <f t="shared" ca="1" si="15"/>
        <v>0</v>
      </c>
      <c r="Z119" s="60">
        <f t="shared" ca="1" si="16"/>
        <v>0.999976193944351</v>
      </c>
    </row>
    <row r="120" spans="18:26" x14ac:dyDescent="0.25">
      <c r="R120" s="93">
        <f ca="1"/>
        <v>45271</v>
      </c>
      <c r="S120" s="62">
        <f t="shared" ca="1" si="17"/>
        <v>45271</v>
      </c>
      <c r="T120" s="62">
        <f t="shared" ca="1" si="11"/>
        <v>38.234730369578358</v>
      </c>
      <c r="U120" s="62">
        <f t="shared" ca="1" si="12"/>
        <v>90.221708066393504</v>
      </c>
      <c r="V120" s="62">
        <f t="shared" ca="1" si="13"/>
        <v>0</v>
      </c>
      <c r="W120" s="60">
        <f t="shared" ca="1" si="14"/>
        <v>91.902131073084036</v>
      </c>
      <c r="X120" s="60">
        <f t="shared" ca="1" si="18"/>
        <v>0</v>
      </c>
      <c r="Y120" s="60">
        <f t="shared" ca="1" si="15"/>
        <v>48</v>
      </c>
      <c r="Z120" s="60">
        <f t="shared" ca="1" si="16"/>
        <v>0.99998067950533198</v>
      </c>
    </row>
    <row r="121" spans="18:26" x14ac:dyDescent="0.25">
      <c r="R121" s="93">
        <f ca="1"/>
        <v>45272</v>
      </c>
      <c r="S121" s="62">
        <f t="shared" ca="1" si="17"/>
        <v>45272</v>
      </c>
      <c r="T121" s="62">
        <f t="shared" ca="1" si="11"/>
        <v>36.588815108112463</v>
      </c>
      <c r="U121" s="62">
        <f t="shared" ca="1" si="12"/>
        <v>92.802205304380806</v>
      </c>
      <c r="V121" s="62">
        <f t="shared" ca="1" si="13"/>
        <v>0</v>
      </c>
      <c r="W121" s="60">
        <f t="shared" ca="1" si="14"/>
        <v>87.873421256460276</v>
      </c>
      <c r="X121" s="60">
        <f t="shared" ca="1" si="18"/>
        <v>0</v>
      </c>
      <c r="Y121" s="60">
        <f t="shared" ca="1" si="15"/>
        <v>0</v>
      </c>
      <c r="Z121" s="60">
        <f t="shared" ca="1" si="16"/>
        <v>0.99998446022493903</v>
      </c>
    </row>
    <row r="122" spans="18:26" x14ac:dyDescent="0.25">
      <c r="R122" s="93">
        <f ca="1"/>
        <v>45273</v>
      </c>
      <c r="S122" s="62">
        <f t="shared" ca="1" si="17"/>
        <v>45273</v>
      </c>
      <c r="T122" s="62">
        <f t="shared" ca="1" si="11"/>
        <v>34.953375922489343</v>
      </c>
      <c r="U122" s="62">
        <f t="shared" ca="1" si="12"/>
        <v>95.277097772938404</v>
      </c>
      <c r="V122" s="62">
        <f t="shared" ca="1" si="13"/>
        <v>0</v>
      </c>
      <c r="W122" s="60">
        <f t="shared" ca="1" si="14"/>
        <v>85.439381368587803</v>
      </c>
      <c r="X122" s="60">
        <f t="shared" ca="1" si="18"/>
        <v>0</v>
      </c>
      <c r="Y122" s="60">
        <f t="shared" ca="1" si="15"/>
        <v>0</v>
      </c>
      <c r="Z122" s="60">
        <f t="shared" ca="1" si="16"/>
        <v>0.99998733509707705</v>
      </c>
    </row>
    <row r="123" spans="18:26" x14ac:dyDescent="0.25">
      <c r="R123" s="93">
        <f ca="1"/>
        <v>45274</v>
      </c>
      <c r="S123" s="62">
        <f t="shared" ca="1" si="17"/>
        <v>45274</v>
      </c>
      <c r="T123" s="62">
        <f t="shared" ca="1" si="11"/>
        <v>33.303675055537305</v>
      </c>
      <c r="U123" s="62">
        <f t="shared" ca="1" si="12"/>
        <v>97.682940130895702</v>
      </c>
      <c r="V123" s="62">
        <f t="shared" ca="1" si="13"/>
        <v>0</v>
      </c>
      <c r="W123" s="60">
        <f t="shared" ca="1" si="14"/>
        <v>81.383637905135259</v>
      </c>
      <c r="X123" s="60">
        <f t="shared" ca="1" si="18"/>
        <v>0</v>
      </c>
      <c r="Y123" s="60">
        <f t="shared" ca="1" si="15"/>
        <v>0</v>
      </c>
      <c r="Z123" s="60">
        <f t="shared" ca="1" si="16"/>
        <v>0.99998957954208201</v>
      </c>
    </row>
    <row r="124" spans="18:26" x14ac:dyDescent="0.25">
      <c r="R124" s="93">
        <f ca="1"/>
        <v>45275</v>
      </c>
      <c r="S124" s="62">
        <f t="shared" ca="1" si="17"/>
        <v>45275</v>
      </c>
      <c r="T124" s="62">
        <f t="shared" ca="1" si="11"/>
        <v>31.457170283315406</v>
      </c>
      <c r="U124" s="62">
        <f t="shared" ca="1" si="12"/>
        <v>100.317515748175</v>
      </c>
      <c r="V124" s="62">
        <f t="shared" ca="1" si="13"/>
        <v>0</v>
      </c>
      <c r="W124" s="60">
        <f t="shared" ca="1" si="14"/>
        <v>76.972097881822194</v>
      </c>
      <c r="X124" s="60">
        <f t="shared" ca="1" si="18"/>
        <v>0</v>
      </c>
      <c r="Y124" s="60">
        <f t="shared" ca="1" si="15"/>
        <v>0</v>
      </c>
      <c r="Z124" s="60">
        <f t="shared" ca="1" si="16"/>
        <v>0.99999154953898906</v>
      </c>
    </row>
    <row r="125" spans="18:26" x14ac:dyDescent="0.25">
      <c r="R125" s="93">
        <f ca="1"/>
        <v>45276</v>
      </c>
      <c r="S125" s="62">
        <f t="shared" ca="1" si="17"/>
        <v>45276</v>
      </c>
      <c r="T125" s="62">
        <f t="shared" ca="1" si="11"/>
        <v>78.383731518547961</v>
      </c>
      <c r="U125" s="62">
        <f t="shared" ca="1" si="12"/>
        <v>102.92927694812801</v>
      </c>
      <c r="V125" s="62">
        <f t="shared" ca="1" si="13"/>
        <v>61</v>
      </c>
      <c r="W125" s="60">
        <f t="shared" ca="1" si="14"/>
        <v>74.311078315613869</v>
      </c>
      <c r="X125" s="60">
        <f t="shared" ca="1" si="18"/>
        <v>0</v>
      </c>
      <c r="Y125" s="60">
        <f t="shared" ca="1" si="15"/>
        <v>0</v>
      </c>
      <c r="Z125" s="60">
        <f t="shared" ca="1" si="16"/>
        <v>0.99999310742196101</v>
      </c>
    </row>
    <row r="126" spans="18:26" x14ac:dyDescent="0.25">
      <c r="R126" s="93">
        <f ca="1"/>
        <v>45277</v>
      </c>
      <c r="S126" s="62">
        <f t="shared" ca="1" si="17"/>
        <v>45277</v>
      </c>
      <c r="T126" s="62">
        <f t="shared" ca="1" si="11"/>
        <v>76.47796008560023</v>
      </c>
      <c r="U126" s="62">
        <f t="shared" ca="1" si="12"/>
        <v>105.536003935705</v>
      </c>
      <c r="V126" s="62">
        <f t="shared" ca="1" si="13"/>
        <v>0</v>
      </c>
      <c r="W126" s="60">
        <f t="shared" ca="1" si="14"/>
        <v>71.947107224925219</v>
      </c>
      <c r="X126" s="60">
        <f t="shared" ca="1" si="18"/>
        <v>0</v>
      </c>
      <c r="Y126" s="60">
        <f t="shared" ca="1" si="15"/>
        <v>0</v>
      </c>
      <c r="Z126" s="60">
        <f t="shared" ca="1" si="16"/>
        <v>0.99999435496295896</v>
      </c>
    </row>
    <row r="127" spans="18:26" x14ac:dyDescent="0.25">
      <c r="R127" s="93">
        <f ca="1"/>
        <v>45278</v>
      </c>
      <c r="S127" s="62">
        <f t="shared" ca="1" si="17"/>
        <v>45278</v>
      </c>
      <c r="T127" s="62">
        <f t="shared" ca="1" si="11"/>
        <v>74.471320101845748</v>
      </c>
      <c r="U127" s="62">
        <f t="shared" ca="1" si="12"/>
        <v>108.23398168669399</v>
      </c>
      <c r="V127" s="62">
        <f t="shared" ca="1" si="13"/>
        <v>0</v>
      </c>
      <c r="W127" s="60">
        <f t="shared" ca="1" si="14"/>
        <v>68.849850720706613</v>
      </c>
      <c r="X127" s="60">
        <f t="shared" ca="1" si="18"/>
        <v>0</v>
      </c>
      <c r="Y127" s="60">
        <f t="shared" ca="1" si="15"/>
        <v>0</v>
      </c>
      <c r="Z127" s="60">
        <f t="shared" ca="1" si="16"/>
        <v>0.99999539190735398</v>
      </c>
    </row>
    <row r="128" spans="18:26" x14ac:dyDescent="0.25">
      <c r="R128" s="93">
        <f ca="1"/>
        <v>45279</v>
      </c>
      <c r="S128" s="62">
        <f t="shared" ca="1" si="17"/>
        <v>45279</v>
      </c>
      <c r="T128" s="62">
        <f t="shared" ca="1" si="11"/>
        <v>72.388617179557613</v>
      </c>
      <c r="U128" s="62">
        <f t="shared" ca="1" si="12"/>
        <v>110.985366662818</v>
      </c>
      <c r="V128" s="62">
        <f t="shared" ca="1" si="13"/>
        <v>0</v>
      </c>
      <c r="W128" s="60">
        <f t="shared" ca="1" si="14"/>
        <v>65.643117119859809</v>
      </c>
      <c r="X128" s="60">
        <f t="shared" ca="1" si="18"/>
        <v>0</v>
      </c>
      <c r="Y128" s="60">
        <f t="shared" ca="1" si="15"/>
        <v>0</v>
      </c>
      <c r="Z128" s="60">
        <f t="shared" ca="1" si="16"/>
        <v>0.999996239718138</v>
      </c>
    </row>
    <row r="129" spans="18:26" x14ac:dyDescent="0.25">
      <c r="R129" s="93">
        <f ca="1"/>
        <v>45280</v>
      </c>
      <c r="S129" s="62">
        <f t="shared" ca="1" si="17"/>
        <v>45280</v>
      </c>
      <c r="T129" s="62">
        <f t="shared" ca="1" si="11"/>
        <v>70.294783118782163</v>
      </c>
      <c r="U129" s="62">
        <f t="shared" ca="1" si="12"/>
        <v>113.723832498709</v>
      </c>
      <c r="V129" s="62">
        <f t="shared" ca="1" si="13"/>
        <v>0</v>
      </c>
      <c r="W129" s="60">
        <f t="shared" ca="1" si="14"/>
        <v>64.833637218760344</v>
      </c>
      <c r="X129" s="60">
        <f t="shared" ca="1" si="18"/>
        <v>0</v>
      </c>
      <c r="Y129" s="60">
        <f t="shared" ca="1" si="15"/>
        <v>0</v>
      </c>
      <c r="Z129" s="60">
        <f t="shared" ca="1" si="16"/>
        <v>0.99999691793805701</v>
      </c>
    </row>
    <row r="130" spans="18:26" x14ac:dyDescent="0.25">
      <c r="R130" s="93">
        <f ca="1"/>
        <v>45281</v>
      </c>
      <c r="S130" s="62">
        <f t="shared" ca="1" si="17"/>
        <v>45281</v>
      </c>
      <c r="T130" s="62">
        <f t="shared" ca="1" si="11"/>
        <v>68.162116409588265</v>
      </c>
      <c r="U130" s="62">
        <f t="shared" ca="1" si="12"/>
        <v>116.47211258563399</v>
      </c>
      <c r="V130" s="62">
        <f t="shared" ca="1" si="13"/>
        <v>0</v>
      </c>
      <c r="W130" s="60">
        <f t="shared" ca="1" si="14"/>
        <v>62.134002205764311</v>
      </c>
      <c r="X130" s="60">
        <f t="shared" ca="1" si="18"/>
        <v>0</v>
      </c>
      <c r="Y130" s="60">
        <f t="shared" ca="1" si="15"/>
        <v>0</v>
      </c>
      <c r="Z130" s="60">
        <f t="shared" ca="1" si="16"/>
        <v>0.99999746730504202</v>
      </c>
    </row>
    <row r="131" spans="18:26" x14ac:dyDescent="0.25">
      <c r="R131" s="93">
        <f ca="1"/>
        <v>45282</v>
      </c>
      <c r="S131" s="62">
        <f t="shared" ca="1" si="17"/>
        <v>45282</v>
      </c>
      <c r="T131" s="62">
        <f t="shared" ca="1" si="11"/>
        <v>65.918341882326899</v>
      </c>
      <c r="U131" s="62">
        <f t="shared" ca="1" si="12"/>
        <v>119.32695611071</v>
      </c>
      <c r="V131" s="62">
        <f t="shared" ca="1" si="13"/>
        <v>0</v>
      </c>
      <c r="W131" s="60">
        <f t="shared" ca="1" si="14"/>
        <v>58.987397958568991</v>
      </c>
      <c r="X131" s="60">
        <f t="shared" ca="1" si="18"/>
        <v>0</v>
      </c>
      <c r="Y131" s="60">
        <f t="shared" ca="1" si="15"/>
        <v>0</v>
      </c>
      <c r="Z131" s="60">
        <f t="shared" ca="1" si="16"/>
        <v>0.999997927693551</v>
      </c>
    </row>
    <row r="132" spans="18:26" x14ac:dyDescent="0.25">
      <c r="R132" s="93">
        <f ca="1"/>
        <v>45283</v>
      </c>
      <c r="S132" s="62">
        <f t="shared" ca="1" si="17"/>
        <v>45283</v>
      </c>
      <c r="T132" s="62">
        <f t="shared" ca="1" si="11"/>
        <v>63.638160868935678</v>
      </c>
      <c r="U132" s="62">
        <f t="shared" ca="1" si="12"/>
        <v>122.187177078956</v>
      </c>
      <c r="V132" s="62">
        <f t="shared" ca="1" si="13"/>
        <v>0</v>
      </c>
      <c r="W132" s="60">
        <f t="shared" ca="1" si="14"/>
        <v>55.827187665329305</v>
      </c>
      <c r="X132" s="60">
        <f t="shared" ca="1" si="18"/>
        <v>0</v>
      </c>
      <c r="Y132" s="60">
        <f t="shared" ca="1" si="15"/>
        <v>0</v>
      </c>
      <c r="Z132" s="60">
        <f t="shared" ca="1" si="16"/>
        <v>0.99999829960897202</v>
      </c>
    </row>
    <row r="133" spans="18:26" x14ac:dyDescent="0.25">
      <c r="R133" s="93">
        <f ca="1"/>
        <v>45284</v>
      </c>
      <c r="S133" s="62">
        <f t="shared" ca="1" si="17"/>
        <v>45284</v>
      </c>
      <c r="T133" s="62">
        <f t="shared" ca="1" si="11"/>
        <v>61.18865721282306</v>
      </c>
      <c r="U133" s="62">
        <f t="shared" ca="1" si="12"/>
        <v>125.21761400996201</v>
      </c>
      <c r="V133" s="62">
        <f t="shared" ca="1" si="13"/>
        <v>0</v>
      </c>
      <c r="W133" s="60">
        <f t="shared" ca="1" si="14"/>
        <v>51.050640073010918</v>
      </c>
      <c r="X133" s="60">
        <f t="shared" ca="1" si="18"/>
        <v>0</v>
      </c>
      <c r="Y133" s="60">
        <f t="shared" ca="1" si="15"/>
        <v>0</v>
      </c>
      <c r="Z133" s="60">
        <f t="shared" ca="1" si="16"/>
        <v>0.99999861654934497</v>
      </c>
    </row>
    <row r="134" spans="18:26" x14ac:dyDescent="0.25">
      <c r="R134" s="93">
        <f ca="1"/>
        <v>45285</v>
      </c>
      <c r="S134" s="62">
        <f t="shared" ca="1" si="17"/>
        <v>45285</v>
      </c>
      <c r="T134" s="62">
        <f t="shared" ca="1" si="11"/>
        <v>59.044045208017302</v>
      </c>
      <c r="U134" s="62">
        <f t="shared" ca="1" si="12"/>
        <v>128.30640975324101</v>
      </c>
      <c r="V134" s="62">
        <f t="shared" ca="1" si="13"/>
        <v>0</v>
      </c>
      <c r="W134" s="60">
        <f t="shared" ca="1" si="14"/>
        <v>94.815270407854371</v>
      </c>
      <c r="X134" s="60">
        <f t="shared" ca="1" si="18"/>
        <v>0</v>
      </c>
      <c r="Y134" s="60">
        <f t="shared" ca="1" si="15"/>
        <v>48</v>
      </c>
      <c r="Z134" s="60">
        <f t="shared" ca="1" si="16"/>
        <v>0.99999887517359998</v>
      </c>
    </row>
    <row r="135" spans="18:26" x14ac:dyDescent="0.25">
      <c r="R135" s="93">
        <f ca="1"/>
        <v>45286</v>
      </c>
      <c r="S135" s="62">
        <f t="shared" ca="1" si="17"/>
        <v>45286</v>
      </c>
      <c r="T135" s="62">
        <f t="shared" ca="1" si="11"/>
        <v>56.89394802050704</v>
      </c>
      <c r="U135" s="62">
        <f t="shared" ca="1" si="12"/>
        <v>131.31047422325699</v>
      </c>
      <c r="V135" s="62">
        <f t="shared" ca="1" si="13"/>
        <v>0</v>
      </c>
      <c r="W135" s="60">
        <f t="shared" ca="1" si="14"/>
        <v>90.580735806108336</v>
      </c>
      <c r="X135" s="60">
        <f t="shared" ca="1" si="18"/>
        <v>0</v>
      </c>
      <c r="Y135" s="60">
        <f t="shared" ca="1" si="15"/>
        <v>0</v>
      </c>
      <c r="Z135" s="60">
        <f t="shared" ca="1" si="16"/>
        <v>0.999999077466731</v>
      </c>
    </row>
    <row r="136" spans="18:26" x14ac:dyDescent="0.25">
      <c r="R136" s="93">
        <f ca="1"/>
        <v>45287</v>
      </c>
      <c r="S136" s="62">
        <f t="shared" ca="1" si="17"/>
        <v>45287</v>
      </c>
      <c r="T136" s="62">
        <f t="shared" ca="1" si="11"/>
        <v>54.423706382716105</v>
      </c>
      <c r="U136" s="62">
        <f t="shared" ca="1" si="12"/>
        <v>134.71585456894101</v>
      </c>
      <c r="V136" s="62">
        <f t="shared" ca="1" si="13"/>
        <v>0</v>
      </c>
      <c r="W136" s="60">
        <f t="shared" ca="1" si="14"/>
        <v>85.980117993482693</v>
      </c>
      <c r="X136" s="60">
        <f t="shared" ca="1" si="18"/>
        <v>0</v>
      </c>
      <c r="Y136" s="60">
        <f t="shared" ca="1" si="15"/>
        <v>0</v>
      </c>
      <c r="Z136" s="60">
        <f t="shared" ca="1" si="16"/>
        <v>0.99999926065509803</v>
      </c>
    </row>
    <row r="137" spans="18:26" x14ac:dyDescent="0.25">
      <c r="R137" s="93">
        <f ca="1"/>
        <v>45288</v>
      </c>
      <c r="S137" s="62">
        <f t="shared" ca="1" si="17"/>
        <v>45288</v>
      </c>
      <c r="T137" s="62">
        <f t="shared" ca="1" si="11"/>
        <v>51.838751932450663</v>
      </c>
      <c r="U137" s="62">
        <f t="shared" ca="1" si="12"/>
        <v>138.22454578104399</v>
      </c>
      <c r="V137" s="62">
        <f t="shared" ca="1" si="13"/>
        <v>0</v>
      </c>
      <c r="W137" s="60">
        <f t="shared" ca="1" si="14"/>
        <v>83.167341238048266</v>
      </c>
      <c r="X137" s="60">
        <f t="shared" ca="1" si="18"/>
        <v>0</v>
      </c>
      <c r="Y137" s="60">
        <f t="shared" ca="1" si="15"/>
        <v>0</v>
      </c>
      <c r="Z137" s="60">
        <f t="shared" ca="1" si="16"/>
        <v>0.99999940934591003</v>
      </c>
    </row>
    <row r="138" spans="18:26" x14ac:dyDescent="0.25">
      <c r="R138" s="93">
        <f ca="1"/>
        <v>45289</v>
      </c>
      <c r="S138" s="62">
        <f t="shared" ca="1" si="17"/>
        <v>45289</v>
      </c>
      <c r="T138" s="62">
        <f t="shared" ca="1" si="11"/>
        <v>49.353871561226534</v>
      </c>
      <c r="U138" s="62">
        <f t="shared" ca="1" si="12"/>
        <v>141.504950506987</v>
      </c>
      <c r="V138" s="62">
        <f t="shared" ca="1" si="13"/>
        <v>0</v>
      </c>
      <c r="W138" s="60">
        <f t="shared" ca="1" si="14"/>
        <v>79.30161654846404</v>
      </c>
      <c r="X138" s="60">
        <f t="shared" ca="1" si="18"/>
        <v>0</v>
      </c>
      <c r="Y138" s="60">
        <f t="shared" ca="1" si="15"/>
        <v>0</v>
      </c>
      <c r="Z138" s="60">
        <f t="shared" ca="1" si="16"/>
        <v>0.99999951972558498</v>
      </c>
    </row>
    <row r="139" spans="18:26" x14ac:dyDescent="0.25">
      <c r="R139" s="93">
        <f ca="1"/>
        <v>45290</v>
      </c>
      <c r="S139" s="62">
        <f t="shared" ca="1" si="17"/>
        <v>45290</v>
      </c>
      <c r="T139" s="62">
        <f t="shared" ca="1" si="11"/>
        <v>46.724323705267068</v>
      </c>
      <c r="U139" s="62">
        <f t="shared" ca="1" si="12"/>
        <v>144.94478232606599</v>
      </c>
      <c r="V139" s="62">
        <f t="shared" ca="1" si="13"/>
        <v>0</v>
      </c>
      <c r="W139" s="60">
        <f t="shared" ca="1" si="14"/>
        <v>77.061691469484131</v>
      </c>
      <c r="X139" s="60">
        <f t="shared" ca="1" si="18"/>
        <v>0</v>
      </c>
      <c r="Y139" s="60">
        <f t="shared" ca="1" si="15"/>
        <v>0</v>
      </c>
      <c r="Z139" s="60">
        <f t="shared" ca="1" si="16"/>
        <v>0.99999961223247302</v>
      </c>
    </row>
    <row r="140" spans="18:26" x14ac:dyDescent="0.25">
      <c r="R140" s="93">
        <f ca="1"/>
        <v>45291</v>
      </c>
      <c r="S140" s="62">
        <f t="shared" ca="1" si="17"/>
        <v>45291</v>
      </c>
      <c r="T140" s="62">
        <f t="shared" ca="1" si="11"/>
        <v>44.087000056211906</v>
      </c>
      <c r="U140" s="62">
        <f t="shared" ca="1" si="12"/>
        <v>148.32348732592399</v>
      </c>
      <c r="V140" s="62">
        <f t="shared" ca="1" si="13"/>
        <v>0</v>
      </c>
      <c r="W140" s="60">
        <f t="shared" ca="1" si="14"/>
        <v>72.688837168596635</v>
      </c>
      <c r="X140" s="60">
        <f t="shared" ca="1" si="18"/>
        <v>0</v>
      </c>
      <c r="Y140" s="60">
        <f t="shared" ca="1" si="15"/>
        <v>0</v>
      </c>
      <c r="Z140" s="60">
        <f t="shared" ca="1" si="16"/>
        <v>0.99999968485155699</v>
      </c>
    </row>
    <row r="141" spans="18:26" x14ac:dyDescent="0.25">
      <c r="R141" s="93">
        <f ca="1"/>
        <v>45292</v>
      </c>
      <c r="S141" s="62">
        <f t="shared" ca="1" si="17"/>
        <v>45292</v>
      </c>
      <c r="T141" s="62">
        <f t="shared" ca="1" si="11"/>
        <v>41.311142232110413</v>
      </c>
      <c r="U141" s="62">
        <f t="shared" ca="1" si="12"/>
        <v>151.82066250669001</v>
      </c>
      <c r="V141" s="62">
        <f t="shared" ca="1" si="13"/>
        <v>0</v>
      </c>
      <c r="W141" s="60">
        <f t="shared" ca="1" si="14"/>
        <v>67.715864244812693</v>
      </c>
      <c r="X141" s="60">
        <f t="shared" ca="1" si="18"/>
        <v>0</v>
      </c>
      <c r="Y141" s="60">
        <f t="shared" ca="1" si="15"/>
        <v>0</v>
      </c>
      <c r="Z141" s="60">
        <f t="shared" ca="1" si="16"/>
        <v>0.99999974503096001</v>
      </c>
    </row>
    <row r="142" spans="18:26" x14ac:dyDescent="0.25">
      <c r="R142" s="93">
        <f ca="1"/>
        <v>45293</v>
      </c>
      <c r="S142" s="62">
        <f t="shared" ca="1" si="17"/>
        <v>45293</v>
      </c>
      <c r="T142" s="62">
        <f t="shared" ca="1" si="11"/>
        <v>38.300265439112835</v>
      </c>
      <c r="U142" s="62">
        <f t="shared" ca="1" si="12"/>
        <v>155.57772747358101</v>
      </c>
      <c r="V142" s="62">
        <f t="shared" ca="1" si="13"/>
        <v>0</v>
      </c>
      <c r="W142" s="60">
        <f t="shared" ca="1" si="14"/>
        <v>63.819232779833357</v>
      </c>
      <c r="X142" s="60">
        <f t="shared" ca="1" si="18"/>
        <v>0</v>
      </c>
      <c r="Y142" s="60">
        <f t="shared" ca="1" si="15"/>
        <v>0</v>
      </c>
      <c r="Z142" s="60">
        <f t="shared" ca="1" si="16"/>
        <v>0.99999979635182801</v>
      </c>
    </row>
    <row r="143" spans="18:26" x14ac:dyDescent="0.25">
      <c r="R143" s="93">
        <f ca="1"/>
        <v>45294</v>
      </c>
      <c r="S143" s="62">
        <f t="shared" ca="1" si="17"/>
        <v>45294</v>
      </c>
      <c r="T143" s="62">
        <f t="shared" ca="1" si="11"/>
        <v>35.27459327251151</v>
      </c>
      <c r="U143" s="62">
        <f t="shared" ca="1" si="12"/>
        <v>159.304869914439</v>
      </c>
      <c r="V143" s="62">
        <f t="shared" ca="1" si="13"/>
        <v>0</v>
      </c>
      <c r="W143" s="60">
        <f t="shared" ca="1" si="14"/>
        <v>60.666133202274871</v>
      </c>
      <c r="X143" s="60">
        <f t="shared" ca="1" si="18"/>
        <v>0</v>
      </c>
      <c r="Y143" s="60">
        <f t="shared" ca="1" si="15"/>
        <v>0</v>
      </c>
      <c r="Z143" s="60">
        <f t="shared" ca="1" si="16"/>
        <v>0.99999983659851599</v>
      </c>
    </row>
    <row r="144" spans="18:26" x14ac:dyDescent="0.25">
      <c r="R144" s="93">
        <f ca="1"/>
        <v>45295</v>
      </c>
      <c r="S144" s="62">
        <f t="shared" ca="1" si="17"/>
        <v>45295</v>
      </c>
      <c r="T144" s="62">
        <f t="shared" ca="1" si="11"/>
        <v>32.362319925996871</v>
      </c>
      <c r="U144" s="62">
        <f t="shared" ca="1" si="12"/>
        <v>162.841912865007</v>
      </c>
      <c r="V144" s="62">
        <f t="shared" ca="1" si="13"/>
        <v>0</v>
      </c>
      <c r="W144" s="60">
        <f t="shared" ca="1" si="14"/>
        <v>57.633576969695596</v>
      </c>
      <c r="X144" s="60">
        <f t="shared" ca="1" si="18"/>
        <v>0</v>
      </c>
      <c r="Y144" s="60">
        <f t="shared" ca="1" si="15"/>
        <v>0</v>
      </c>
      <c r="Z144" s="60">
        <f t="shared" ca="1" si="16"/>
        <v>0.99999986709379096</v>
      </c>
    </row>
    <row r="145" spans="18:26" x14ac:dyDescent="0.25">
      <c r="R145" s="93">
        <f ca="1"/>
        <v>45296</v>
      </c>
      <c r="S145" s="62">
        <f t="shared" ca="1" si="17"/>
        <v>45296</v>
      </c>
      <c r="T145" s="62">
        <f t="shared" ca="1" si="11"/>
        <v>29.33948129721832</v>
      </c>
      <c r="U145" s="62">
        <f t="shared" ca="1" si="12"/>
        <v>166.47905819042401</v>
      </c>
      <c r="V145" s="62">
        <f t="shared" ca="1" si="13"/>
        <v>0</v>
      </c>
      <c r="W145" s="60">
        <f t="shared" ca="1" si="14"/>
        <v>54.044299170747678</v>
      </c>
      <c r="X145" s="60">
        <f t="shared" ca="1" si="18"/>
        <v>0</v>
      </c>
      <c r="Y145" s="60">
        <f t="shared" ca="1" si="15"/>
        <v>0</v>
      </c>
      <c r="Z145" s="60">
        <f t="shared" ca="1" si="16"/>
        <v>0.99999989228437103</v>
      </c>
    </row>
    <row r="146" spans="18:26" x14ac:dyDescent="0.25">
      <c r="R146" s="93" t="e">
        <f ca="1"/>
        <v>#N/A</v>
      </c>
      <c r="S146" s="62" t="e">
        <f t="shared" ca="1" si="17"/>
        <v>#N/A</v>
      </c>
      <c r="T146" s="62" t="e">
        <f t="shared" ref="T146:T209" ca="1" si="19">VLOOKUP(S146,ModelOutputs,2,FALSE)</f>
        <v>#N/A</v>
      </c>
      <c r="U146" s="62" t="e">
        <f t="shared" ref="U146:U209" ca="1" si="20">VLOOKUP(S146,ModelOutputs,7,FALSE)</f>
        <v>#N/A</v>
      </c>
      <c r="V146" s="62" t="e">
        <f t="shared" ref="V146:V209" ca="1" si="21">VLOOKUP(S146,ModelOutputs,6,FALSE)</f>
        <v>#N/A</v>
      </c>
      <c r="W146" s="60" t="e">
        <f t="shared" ref="W146:W209" ca="1" si="22">VLOOKUP(S146,ModelOutputs,10,FALSE)*AWC</f>
        <v>#N/A</v>
      </c>
      <c r="X146" s="60" t="e">
        <f t="shared" ca="1" si="18"/>
        <v>#N/A</v>
      </c>
      <c r="Y146" s="60" t="e">
        <f t="shared" ref="Y146:Y209" ca="1" si="23">VLOOKUP(S146,ModelOutputs,12,FALSE)</f>
        <v>#N/A</v>
      </c>
      <c r="Z146" s="60" t="e">
        <f t="shared" ref="Z146:Z209" ca="1" si="24">VLOOKUP(S146,ModelOutputs,13,FALSE)</f>
        <v>#N/A</v>
      </c>
    </row>
    <row r="147" spans="18:26" x14ac:dyDescent="0.25">
      <c r="R147" s="93" t="e">
        <f ca="1"/>
        <v>#N/A</v>
      </c>
      <c r="S147" s="62" t="e">
        <f t="shared" ref="S147:S210" ca="1" si="25">IF(R147&gt;1,R147,"")</f>
        <v>#N/A</v>
      </c>
      <c r="T147" s="62" t="e">
        <f t="shared" ca="1" si="19"/>
        <v>#N/A</v>
      </c>
      <c r="U147" s="62" t="e">
        <f t="shared" ca="1" si="20"/>
        <v>#N/A</v>
      </c>
      <c r="V147" s="62" t="e">
        <f t="shared" ca="1" si="21"/>
        <v>#N/A</v>
      </c>
      <c r="W147" s="60" t="e">
        <f t="shared" ca="1" si="22"/>
        <v>#N/A</v>
      </c>
      <c r="X147" s="60" t="e">
        <f t="shared" ref="X147:X210" ca="1" si="26">VLOOKUP(S147,ModelOutputs,11,FALSE)+X146</f>
        <v>#N/A</v>
      </c>
      <c r="Y147" s="60" t="e">
        <f t="shared" ca="1" si="23"/>
        <v>#N/A</v>
      </c>
      <c r="Z147" s="60" t="e">
        <f t="shared" ca="1" si="24"/>
        <v>#N/A</v>
      </c>
    </row>
    <row r="148" spans="18:26" x14ac:dyDescent="0.25">
      <c r="R148" s="93" t="e">
        <f ca="1"/>
        <v>#N/A</v>
      </c>
      <c r="S148" s="62" t="e">
        <f t="shared" ca="1" si="25"/>
        <v>#N/A</v>
      </c>
      <c r="T148" s="62" t="e">
        <f t="shared" ca="1" si="19"/>
        <v>#N/A</v>
      </c>
      <c r="U148" s="62" t="e">
        <f t="shared" ca="1" si="20"/>
        <v>#N/A</v>
      </c>
      <c r="V148" s="62" t="e">
        <f t="shared" ca="1" si="21"/>
        <v>#N/A</v>
      </c>
      <c r="W148" s="60" t="e">
        <f t="shared" ca="1" si="22"/>
        <v>#N/A</v>
      </c>
      <c r="X148" s="60" t="e">
        <f t="shared" ca="1" si="26"/>
        <v>#N/A</v>
      </c>
      <c r="Y148" s="60" t="e">
        <f t="shared" ca="1" si="23"/>
        <v>#N/A</v>
      </c>
      <c r="Z148" s="60" t="e">
        <f t="shared" ca="1" si="24"/>
        <v>#N/A</v>
      </c>
    </row>
    <row r="149" spans="18:26" x14ac:dyDescent="0.25">
      <c r="R149" s="93" t="e">
        <f ca="1"/>
        <v>#N/A</v>
      </c>
      <c r="S149" s="62" t="e">
        <f t="shared" ca="1" si="25"/>
        <v>#N/A</v>
      </c>
      <c r="T149" s="62" t="e">
        <f t="shared" ca="1" si="19"/>
        <v>#N/A</v>
      </c>
      <c r="U149" s="62" t="e">
        <f t="shared" ca="1" si="20"/>
        <v>#N/A</v>
      </c>
      <c r="V149" s="62" t="e">
        <f t="shared" ca="1" si="21"/>
        <v>#N/A</v>
      </c>
      <c r="W149" s="60" t="e">
        <f t="shared" ca="1" si="22"/>
        <v>#N/A</v>
      </c>
      <c r="X149" s="60" t="e">
        <f t="shared" ca="1" si="26"/>
        <v>#N/A</v>
      </c>
      <c r="Y149" s="60" t="e">
        <f t="shared" ca="1" si="23"/>
        <v>#N/A</v>
      </c>
      <c r="Z149" s="60" t="e">
        <f t="shared" ca="1" si="24"/>
        <v>#N/A</v>
      </c>
    </row>
    <row r="150" spans="18:26" x14ac:dyDescent="0.25">
      <c r="R150" s="93" t="e">
        <f ca="1"/>
        <v>#N/A</v>
      </c>
      <c r="S150" s="62" t="e">
        <f t="shared" ca="1" si="25"/>
        <v>#N/A</v>
      </c>
      <c r="T150" s="62" t="e">
        <f t="shared" ca="1" si="19"/>
        <v>#N/A</v>
      </c>
      <c r="U150" s="62" t="e">
        <f t="shared" ca="1" si="20"/>
        <v>#N/A</v>
      </c>
      <c r="V150" s="62" t="e">
        <f t="shared" ca="1" si="21"/>
        <v>#N/A</v>
      </c>
      <c r="W150" s="60" t="e">
        <f t="shared" ca="1" si="22"/>
        <v>#N/A</v>
      </c>
      <c r="X150" s="60" t="e">
        <f t="shared" ca="1" si="26"/>
        <v>#N/A</v>
      </c>
      <c r="Y150" s="60" t="e">
        <f t="shared" ca="1" si="23"/>
        <v>#N/A</v>
      </c>
      <c r="Z150" s="60" t="e">
        <f t="shared" ca="1" si="24"/>
        <v>#N/A</v>
      </c>
    </row>
    <row r="151" spans="18:26" x14ac:dyDescent="0.25">
      <c r="R151" s="93" t="e">
        <f ca="1"/>
        <v>#N/A</v>
      </c>
      <c r="S151" s="62" t="e">
        <f t="shared" ca="1" si="25"/>
        <v>#N/A</v>
      </c>
      <c r="T151" s="62" t="e">
        <f t="shared" ca="1" si="19"/>
        <v>#N/A</v>
      </c>
      <c r="U151" s="62" t="e">
        <f t="shared" ca="1" si="20"/>
        <v>#N/A</v>
      </c>
      <c r="V151" s="62" t="e">
        <f t="shared" ca="1" si="21"/>
        <v>#N/A</v>
      </c>
      <c r="W151" s="60" t="e">
        <f t="shared" ca="1" si="22"/>
        <v>#N/A</v>
      </c>
      <c r="X151" s="60" t="e">
        <f t="shared" ca="1" si="26"/>
        <v>#N/A</v>
      </c>
      <c r="Y151" s="60" t="e">
        <f t="shared" ca="1" si="23"/>
        <v>#N/A</v>
      </c>
      <c r="Z151" s="60" t="e">
        <f t="shared" ca="1" si="24"/>
        <v>#N/A</v>
      </c>
    </row>
    <row r="152" spans="18:26" x14ac:dyDescent="0.25">
      <c r="R152" s="93" t="e">
        <f ca="1"/>
        <v>#N/A</v>
      </c>
      <c r="S152" s="62" t="e">
        <f t="shared" ca="1" si="25"/>
        <v>#N/A</v>
      </c>
      <c r="T152" s="62" t="e">
        <f t="shared" ca="1" si="19"/>
        <v>#N/A</v>
      </c>
      <c r="U152" s="62" t="e">
        <f t="shared" ca="1" si="20"/>
        <v>#N/A</v>
      </c>
      <c r="V152" s="62" t="e">
        <f t="shared" ca="1" si="21"/>
        <v>#N/A</v>
      </c>
      <c r="W152" s="60" t="e">
        <f t="shared" ca="1" si="22"/>
        <v>#N/A</v>
      </c>
      <c r="X152" s="60" t="e">
        <f t="shared" ca="1" si="26"/>
        <v>#N/A</v>
      </c>
      <c r="Y152" s="60" t="e">
        <f t="shared" ca="1" si="23"/>
        <v>#N/A</v>
      </c>
      <c r="Z152" s="60" t="e">
        <f t="shared" ca="1" si="24"/>
        <v>#N/A</v>
      </c>
    </row>
    <row r="153" spans="18:26" x14ac:dyDescent="0.25">
      <c r="R153" s="93" t="e">
        <f ca="1"/>
        <v>#N/A</v>
      </c>
      <c r="S153" s="62" t="e">
        <f t="shared" ca="1" si="25"/>
        <v>#N/A</v>
      </c>
      <c r="T153" s="62" t="e">
        <f t="shared" ca="1" si="19"/>
        <v>#N/A</v>
      </c>
      <c r="U153" s="62" t="e">
        <f t="shared" ca="1" si="20"/>
        <v>#N/A</v>
      </c>
      <c r="V153" s="62" t="e">
        <f t="shared" ca="1" si="21"/>
        <v>#N/A</v>
      </c>
      <c r="W153" s="60" t="e">
        <f t="shared" ca="1" si="22"/>
        <v>#N/A</v>
      </c>
      <c r="X153" s="60" t="e">
        <f t="shared" ca="1" si="26"/>
        <v>#N/A</v>
      </c>
      <c r="Y153" s="60" t="e">
        <f t="shared" ca="1" si="23"/>
        <v>#N/A</v>
      </c>
      <c r="Z153" s="60" t="e">
        <f t="shared" ca="1" si="24"/>
        <v>#N/A</v>
      </c>
    </row>
    <row r="154" spans="18:26" x14ac:dyDescent="0.25">
      <c r="R154" s="93" t="e">
        <f ca="1"/>
        <v>#N/A</v>
      </c>
      <c r="S154" s="62" t="e">
        <f t="shared" ca="1" si="25"/>
        <v>#N/A</v>
      </c>
      <c r="T154" s="62" t="e">
        <f t="shared" ca="1" si="19"/>
        <v>#N/A</v>
      </c>
      <c r="U154" s="62" t="e">
        <f t="shared" ca="1" si="20"/>
        <v>#N/A</v>
      </c>
      <c r="V154" s="62" t="e">
        <f t="shared" ca="1" si="21"/>
        <v>#N/A</v>
      </c>
      <c r="W154" s="60" t="e">
        <f t="shared" ca="1" si="22"/>
        <v>#N/A</v>
      </c>
      <c r="X154" s="60" t="e">
        <f t="shared" ca="1" si="26"/>
        <v>#N/A</v>
      </c>
      <c r="Y154" s="60" t="e">
        <f t="shared" ca="1" si="23"/>
        <v>#N/A</v>
      </c>
      <c r="Z154" s="60" t="e">
        <f t="shared" ca="1" si="24"/>
        <v>#N/A</v>
      </c>
    </row>
    <row r="155" spans="18:26" x14ac:dyDescent="0.25">
      <c r="R155" s="93" t="e">
        <f ca="1"/>
        <v>#N/A</v>
      </c>
      <c r="S155" s="62" t="e">
        <f t="shared" ca="1" si="25"/>
        <v>#N/A</v>
      </c>
      <c r="T155" s="62" t="e">
        <f t="shared" ca="1" si="19"/>
        <v>#N/A</v>
      </c>
      <c r="U155" s="62" t="e">
        <f t="shared" ca="1" si="20"/>
        <v>#N/A</v>
      </c>
      <c r="V155" s="62" t="e">
        <f t="shared" ca="1" si="21"/>
        <v>#N/A</v>
      </c>
      <c r="W155" s="60" t="e">
        <f t="shared" ca="1" si="22"/>
        <v>#N/A</v>
      </c>
      <c r="X155" s="60" t="e">
        <f t="shared" ca="1" si="26"/>
        <v>#N/A</v>
      </c>
      <c r="Y155" s="60" t="e">
        <f t="shared" ca="1" si="23"/>
        <v>#N/A</v>
      </c>
      <c r="Z155" s="60" t="e">
        <f t="shared" ca="1" si="24"/>
        <v>#N/A</v>
      </c>
    </row>
    <row r="156" spans="18:26" x14ac:dyDescent="0.25">
      <c r="R156" s="93" t="e">
        <f ca="1"/>
        <v>#N/A</v>
      </c>
      <c r="S156" s="62" t="e">
        <f t="shared" ca="1" si="25"/>
        <v>#N/A</v>
      </c>
      <c r="T156" s="62" t="e">
        <f t="shared" ca="1" si="19"/>
        <v>#N/A</v>
      </c>
      <c r="U156" s="62" t="e">
        <f t="shared" ca="1" si="20"/>
        <v>#N/A</v>
      </c>
      <c r="V156" s="62" t="e">
        <f t="shared" ca="1" si="21"/>
        <v>#N/A</v>
      </c>
      <c r="W156" s="60" t="e">
        <f t="shared" ca="1" si="22"/>
        <v>#N/A</v>
      </c>
      <c r="X156" s="60" t="e">
        <f t="shared" ca="1" si="26"/>
        <v>#N/A</v>
      </c>
      <c r="Y156" s="60" t="e">
        <f t="shared" ca="1" si="23"/>
        <v>#N/A</v>
      </c>
      <c r="Z156" s="60" t="e">
        <f t="shared" ca="1" si="24"/>
        <v>#N/A</v>
      </c>
    </row>
    <row r="157" spans="18:26" x14ac:dyDescent="0.25">
      <c r="R157" s="93" t="e">
        <f ca="1"/>
        <v>#N/A</v>
      </c>
      <c r="S157" s="62" t="e">
        <f t="shared" ca="1" si="25"/>
        <v>#N/A</v>
      </c>
      <c r="T157" s="62" t="e">
        <f t="shared" ca="1" si="19"/>
        <v>#N/A</v>
      </c>
      <c r="U157" s="62" t="e">
        <f t="shared" ca="1" si="20"/>
        <v>#N/A</v>
      </c>
      <c r="V157" s="62" t="e">
        <f t="shared" ca="1" si="21"/>
        <v>#N/A</v>
      </c>
      <c r="W157" s="60" t="e">
        <f t="shared" ca="1" si="22"/>
        <v>#N/A</v>
      </c>
      <c r="X157" s="60" t="e">
        <f t="shared" ca="1" si="26"/>
        <v>#N/A</v>
      </c>
      <c r="Y157" s="60" t="e">
        <f t="shared" ca="1" si="23"/>
        <v>#N/A</v>
      </c>
      <c r="Z157" s="60" t="e">
        <f t="shared" ca="1" si="24"/>
        <v>#N/A</v>
      </c>
    </row>
    <row r="158" spans="18:26" x14ac:dyDescent="0.25">
      <c r="R158" s="93" t="e">
        <f ca="1"/>
        <v>#N/A</v>
      </c>
      <c r="S158" s="62" t="e">
        <f t="shared" ca="1" si="25"/>
        <v>#N/A</v>
      </c>
      <c r="T158" s="62" t="e">
        <f t="shared" ca="1" si="19"/>
        <v>#N/A</v>
      </c>
      <c r="U158" s="62" t="e">
        <f t="shared" ca="1" si="20"/>
        <v>#N/A</v>
      </c>
      <c r="V158" s="62" t="e">
        <f t="shared" ca="1" si="21"/>
        <v>#N/A</v>
      </c>
      <c r="W158" s="60" t="e">
        <f t="shared" ca="1" si="22"/>
        <v>#N/A</v>
      </c>
      <c r="X158" s="60" t="e">
        <f t="shared" ca="1" si="26"/>
        <v>#N/A</v>
      </c>
      <c r="Y158" s="60" t="e">
        <f t="shared" ca="1" si="23"/>
        <v>#N/A</v>
      </c>
      <c r="Z158" s="60" t="e">
        <f t="shared" ca="1" si="24"/>
        <v>#N/A</v>
      </c>
    </row>
    <row r="159" spans="18:26" x14ac:dyDescent="0.25">
      <c r="R159" s="93" t="e">
        <f ca="1"/>
        <v>#N/A</v>
      </c>
      <c r="S159" s="62" t="e">
        <f t="shared" ca="1" si="25"/>
        <v>#N/A</v>
      </c>
      <c r="T159" s="62" t="e">
        <f t="shared" ca="1" si="19"/>
        <v>#N/A</v>
      </c>
      <c r="U159" s="62" t="e">
        <f t="shared" ca="1" si="20"/>
        <v>#N/A</v>
      </c>
      <c r="V159" s="62" t="e">
        <f t="shared" ca="1" si="21"/>
        <v>#N/A</v>
      </c>
      <c r="W159" s="60" t="e">
        <f t="shared" ca="1" si="22"/>
        <v>#N/A</v>
      </c>
      <c r="X159" s="60" t="e">
        <f t="shared" ca="1" si="26"/>
        <v>#N/A</v>
      </c>
      <c r="Y159" s="60" t="e">
        <f t="shared" ca="1" si="23"/>
        <v>#N/A</v>
      </c>
      <c r="Z159" s="60" t="e">
        <f t="shared" ca="1" si="24"/>
        <v>#N/A</v>
      </c>
    </row>
    <row r="160" spans="18:26" x14ac:dyDescent="0.25">
      <c r="R160" s="93" t="e">
        <f ca="1"/>
        <v>#N/A</v>
      </c>
      <c r="S160" s="62" t="e">
        <f t="shared" ca="1" si="25"/>
        <v>#N/A</v>
      </c>
      <c r="T160" s="62" t="e">
        <f t="shared" ca="1" si="19"/>
        <v>#N/A</v>
      </c>
      <c r="U160" s="62" t="e">
        <f t="shared" ca="1" si="20"/>
        <v>#N/A</v>
      </c>
      <c r="V160" s="62" t="e">
        <f t="shared" ca="1" si="21"/>
        <v>#N/A</v>
      </c>
      <c r="W160" s="60" t="e">
        <f t="shared" ca="1" si="22"/>
        <v>#N/A</v>
      </c>
      <c r="X160" s="60" t="e">
        <f t="shared" ca="1" si="26"/>
        <v>#N/A</v>
      </c>
      <c r="Y160" s="60" t="e">
        <f t="shared" ca="1" si="23"/>
        <v>#N/A</v>
      </c>
      <c r="Z160" s="60" t="e">
        <f t="shared" ca="1" si="24"/>
        <v>#N/A</v>
      </c>
    </row>
    <row r="161" spans="18:26" x14ac:dyDescent="0.25">
      <c r="R161" s="93" t="e">
        <f ca="1"/>
        <v>#N/A</v>
      </c>
      <c r="S161" s="62" t="e">
        <f t="shared" ca="1" si="25"/>
        <v>#N/A</v>
      </c>
      <c r="T161" s="62" t="e">
        <f t="shared" ca="1" si="19"/>
        <v>#N/A</v>
      </c>
      <c r="U161" s="62" t="e">
        <f t="shared" ca="1" si="20"/>
        <v>#N/A</v>
      </c>
      <c r="V161" s="62" t="e">
        <f t="shared" ca="1" si="21"/>
        <v>#N/A</v>
      </c>
      <c r="W161" s="60" t="e">
        <f t="shared" ca="1" si="22"/>
        <v>#N/A</v>
      </c>
      <c r="X161" s="60" t="e">
        <f t="shared" ca="1" si="26"/>
        <v>#N/A</v>
      </c>
      <c r="Y161" s="60" t="e">
        <f t="shared" ca="1" si="23"/>
        <v>#N/A</v>
      </c>
      <c r="Z161" s="60" t="e">
        <f t="shared" ca="1" si="24"/>
        <v>#N/A</v>
      </c>
    </row>
    <row r="162" spans="18:26" x14ac:dyDescent="0.25">
      <c r="R162" s="93" t="e">
        <f ca="1"/>
        <v>#N/A</v>
      </c>
      <c r="S162" s="62" t="e">
        <f t="shared" ca="1" si="25"/>
        <v>#N/A</v>
      </c>
      <c r="T162" s="62" t="e">
        <f t="shared" ca="1" si="19"/>
        <v>#N/A</v>
      </c>
      <c r="U162" s="62" t="e">
        <f t="shared" ca="1" si="20"/>
        <v>#N/A</v>
      </c>
      <c r="V162" s="62" t="e">
        <f t="shared" ca="1" si="21"/>
        <v>#N/A</v>
      </c>
      <c r="W162" s="60" t="e">
        <f t="shared" ca="1" si="22"/>
        <v>#N/A</v>
      </c>
      <c r="X162" s="60" t="e">
        <f t="shared" ca="1" si="26"/>
        <v>#N/A</v>
      </c>
      <c r="Y162" s="60" t="e">
        <f t="shared" ca="1" si="23"/>
        <v>#N/A</v>
      </c>
      <c r="Z162" s="60" t="e">
        <f t="shared" ca="1" si="24"/>
        <v>#N/A</v>
      </c>
    </row>
    <row r="163" spans="18:26" x14ac:dyDescent="0.25">
      <c r="R163" s="93" t="e">
        <f ca="1"/>
        <v>#N/A</v>
      </c>
      <c r="S163" s="62" t="e">
        <f t="shared" ca="1" si="25"/>
        <v>#N/A</v>
      </c>
      <c r="T163" s="62" t="e">
        <f t="shared" ca="1" si="19"/>
        <v>#N/A</v>
      </c>
      <c r="U163" s="62" t="e">
        <f t="shared" ca="1" si="20"/>
        <v>#N/A</v>
      </c>
      <c r="V163" s="62" t="e">
        <f t="shared" ca="1" si="21"/>
        <v>#N/A</v>
      </c>
      <c r="W163" s="60" t="e">
        <f t="shared" ca="1" si="22"/>
        <v>#N/A</v>
      </c>
      <c r="X163" s="60" t="e">
        <f t="shared" ca="1" si="26"/>
        <v>#N/A</v>
      </c>
      <c r="Y163" s="60" t="e">
        <f t="shared" ca="1" si="23"/>
        <v>#N/A</v>
      </c>
      <c r="Z163" s="60" t="e">
        <f t="shared" ca="1" si="24"/>
        <v>#N/A</v>
      </c>
    </row>
    <row r="164" spans="18:26" x14ac:dyDescent="0.25">
      <c r="R164" s="93" t="e">
        <f ca="1"/>
        <v>#N/A</v>
      </c>
      <c r="S164" s="62" t="e">
        <f t="shared" ca="1" si="25"/>
        <v>#N/A</v>
      </c>
      <c r="T164" s="62" t="e">
        <f t="shared" ca="1" si="19"/>
        <v>#N/A</v>
      </c>
      <c r="U164" s="62" t="e">
        <f t="shared" ca="1" si="20"/>
        <v>#N/A</v>
      </c>
      <c r="V164" s="62" t="e">
        <f t="shared" ca="1" si="21"/>
        <v>#N/A</v>
      </c>
      <c r="W164" s="60" t="e">
        <f t="shared" ca="1" si="22"/>
        <v>#N/A</v>
      </c>
      <c r="X164" s="60" t="e">
        <f t="shared" ca="1" si="26"/>
        <v>#N/A</v>
      </c>
      <c r="Y164" s="60" t="e">
        <f t="shared" ca="1" si="23"/>
        <v>#N/A</v>
      </c>
      <c r="Z164" s="60" t="e">
        <f t="shared" ca="1" si="24"/>
        <v>#N/A</v>
      </c>
    </row>
    <row r="165" spans="18:26" x14ac:dyDescent="0.25">
      <c r="R165" s="93" t="e">
        <f ca="1"/>
        <v>#N/A</v>
      </c>
      <c r="S165" s="62" t="e">
        <f t="shared" ca="1" si="25"/>
        <v>#N/A</v>
      </c>
      <c r="T165" s="62" t="e">
        <f t="shared" ca="1" si="19"/>
        <v>#N/A</v>
      </c>
      <c r="U165" s="62" t="e">
        <f t="shared" ca="1" si="20"/>
        <v>#N/A</v>
      </c>
      <c r="V165" s="62" t="e">
        <f t="shared" ca="1" si="21"/>
        <v>#N/A</v>
      </c>
      <c r="W165" s="60" t="e">
        <f t="shared" ca="1" si="22"/>
        <v>#N/A</v>
      </c>
      <c r="X165" s="60" t="e">
        <f t="shared" ca="1" si="26"/>
        <v>#N/A</v>
      </c>
      <c r="Y165" s="60" t="e">
        <f t="shared" ca="1" si="23"/>
        <v>#N/A</v>
      </c>
      <c r="Z165" s="60" t="e">
        <f t="shared" ca="1" si="24"/>
        <v>#N/A</v>
      </c>
    </row>
    <row r="166" spans="18:26" x14ac:dyDescent="0.25">
      <c r="R166" s="93" t="e">
        <f ca="1"/>
        <v>#N/A</v>
      </c>
      <c r="S166" s="62" t="e">
        <f t="shared" ca="1" si="25"/>
        <v>#N/A</v>
      </c>
      <c r="T166" s="62" t="e">
        <f t="shared" ca="1" si="19"/>
        <v>#N/A</v>
      </c>
      <c r="U166" s="62" t="e">
        <f t="shared" ca="1" si="20"/>
        <v>#N/A</v>
      </c>
      <c r="V166" s="62" t="e">
        <f t="shared" ca="1" si="21"/>
        <v>#N/A</v>
      </c>
      <c r="W166" s="60" t="e">
        <f t="shared" ca="1" si="22"/>
        <v>#N/A</v>
      </c>
      <c r="X166" s="60" t="e">
        <f t="shared" ca="1" si="26"/>
        <v>#N/A</v>
      </c>
      <c r="Y166" s="60" t="e">
        <f t="shared" ca="1" si="23"/>
        <v>#N/A</v>
      </c>
      <c r="Z166" s="60" t="e">
        <f t="shared" ca="1" si="24"/>
        <v>#N/A</v>
      </c>
    </row>
    <row r="167" spans="18:26" x14ac:dyDescent="0.25">
      <c r="R167" s="93" t="e">
        <f ca="1"/>
        <v>#N/A</v>
      </c>
      <c r="S167" s="62" t="e">
        <f t="shared" ca="1" si="25"/>
        <v>#N/A</v>
      </c>
      <c r="T167" s="62" t="e">
        <f t="shared" ca="1" si="19"/>
        <v>#N/A</v>
      </c>
      <c r="U167" s="62" t="e">
        <f t="shared" ca="1" si="20"/>
        <v>#N/A</v>
      </c>
      <c r="V167" s="62" t="e">
        <f t="shared" ca="1" si="21"/>
        <v>#N/A</v>
      </c>
      <c r="W167" s="60" t="e">
        <f t="shared" ca="1" si="22"/>
        <v>#N/A</v>
      </c>
      <c r="X167" s="60" t="e">
        <f t="shared" ca="1" si="26"/>
        <v>#N/A</v>
      </c>
      <c r="Y167" s="60" t="e">
        <f t="shared" ca="1" si="23"/>
        <v>#N/A</v>
      </c>
      <c r="Z167" s="60" t="e">
        <f t="shared" ca="1" si="24"/>
        <v>#N/A</v>
      </c>
    </row>
    <row r="168" spans="18:26" x14ac:dyDescent="0.25">
      <c r="R168" s="93" t="e">
        <f ca="1"/>
        <v>#N/A</v>
      </c>
      <c r="S168" s="62" t="e">
        <f t="shared" ca="1" si="25"/>
        <v>#N/A</v>
      </c>
      <c r="T168" s="62" t="e">
        <f t="shared" ca="1" si="19"/>
        <v>#N/A</v>
      </c>
      <c r="U168" s="62" t="e">
        <f t="shared" ca="1" si="20"/>
        <v>#N/A</v>
      </c>
      <c r="V168" s="62" t="e">
        <f t="shared" ca="1" si="21"/>
        <v>#N/A</v>
      </c>
      <c r="W168" s="60" t="e">
        <f t="shared" ca="1" si="22"/>
        <v>#N/A</v>
      </c>
      <c r="X168" s="60" t="e">
        <f t="shared" ca="1" si="26"/>
        <v>#N/A</v>
      </c>
      <c r="Y168" s="60" t="e">
        <f t="shared" ca="1" si="23"/>
        <v>#N/A</v>
      </c>
      <c r="Z168" s="60" t="e">
        <f t="shared" ca="1" si="24"/>
        <v>#N/A</v>
      </c>
    </row>
    <row r="169" spans="18:26" x14ac:dyDescent="0.25">
      <c r="R169" s="93" t="e">
        <f ca="1"/>
        <v>#N/A</v>
      </c>
      <c r="S169" s="62" t="e">
        <f t="shared" ca="1" si="25"/>
        <v>#N/A</v>
      </c>
      <c r="T169" s="62" t="e">
        <f t="shared" ca="1" si="19"/>
        <v>#N/A</v>
      </c>
      <c r="U169" s="62" t="e">
        <f t="shared" ca="1" si="20"/>
        <v>#N/A</v>
      </c>
      <c r="V169" s="62" t="e">
        <f t="shared" ca="1" si="21"/>
        <v>#N/A</v>
      </c>
      <c r="W169" s="60" t="e">
        <f t="shared" ca="1" si="22"/>
        <v>#N/A</v>
      </c>
      <c r="X169" s="60" t="e">
        <f t="shared" ca="1" si="26"/>
        <v>#N/A</v>
      </c>
      <c r="Y169" s="60" t="e">
        <f t="shared" ca="1" si="23"/>
        <v>#N/A</v>
      </c>
      <c r="Z169" s="60" t="e">
        <f t="shared" ca="1" si="24"/>
        <v>#N/A</v>
      </c>
    </row>
    <row r="170" spans="18:26" x14ac:dyDescent="0.25">
      <c r="R170" s="93" t="e">
        <f ca="1"/>
        <v>#N/A</v>
      </c>
      <c r="S170" s="62" t="e">
        <f t="shared" ca="1" si="25"/>
        <v>#N/A</v>
      </c>
      <c r="T170" s="62" t="e">
        <f t="shared" ca="1" si="19"/>
        <v>#N/A</v>
      </c>
      <c r="U170" s="62" t="e">
        <f t="shared" ca="1" si="20"/>
        <v>#N/A</v>
      </c>
      <c r="V170" s="62" t="e">
        <f t="shared" ca="1" si="21"/>
        <v>#N/A</v>
      </c>
      <c r="W170" s="60" t="e">
        <f t="shared" ca="1" si="22"/>
        <v>#N/A</v>
      </c>
      <c r="X170" s="60" t="e">
        <f t="shared" ca="1" si="26"/>
        <v>#N/A</v>
      </c>
      <c r="Y170" s="60" t="e">
        <f t="shared" ca="1" si="23"/>
        <v>#N/A</v>
      </c>
      <c r="Z170" s="60" t="e">
        <f t="shared" ca="1" si="24"/>
        <v>#N/A</v>
      </c>
    </row>
    <row r="171" spans="18:26" x14ac:dyDescent="0.25">
      <c r="R171" s="93" t="e">
        <f ca="1"/>
        <v>#N/A</v>
      </c>
      <c r="S171" s="62" t="e">
        <f t="shared" ca="1" si="25"/>
        <v>#N/A</v>
      </c>
      <c r="T171" s="62" t="e">
        <f t="shared" ca="1" si="19"/>
        <v>#N/A</v>
      </c>
      <c r="U171" s="62" t="e">
        <f t="shared" ca="1" si="20"/>
        <v>#N/A</v>
      </c>
      <c r="V171" s="62" t="e">
        <f t="shared" ca="1" si="21"/>
        <v>#N/A</v>
      </c>
      <c r="W171" s="60" t="e">
        <f t="shared" ca="1" si="22"/>
        <v>#N/A</v>
      </c>
      <c r="X171" s="60" t="e">
        <f t="shared" ca="1" si="26"/>
        <v>#N/A</v>
      </c>
      <c r="Y171" s="60" t="e">
        <f t="shared" ca="1" si="23"/>
        <v>#N/A</v>
      </c>
      <c r="Z171" s="60" t="e">
        <f t="shared" ca="1" si="24"/>
        <v>#N/A</v>
      </c>
    </row>
    <row r="172" spans="18:26" x14ac:dyDescent="0.25">
      <c r="R172" s="93" t="e">
        <f ca="1"/>
        <v>#N/A</v>
      </c>
      <c r="S172" s="62" t="e">
        <f t="shared" ca="1" si="25"/>
        <v>#N/A</v>
      </c>
      <c r="T172" s="62" t="e">
        <f t="shared" ca="1" si="19"/>
        <v>#N/A</v>
      </c>
      <c r="U172" s="62" t="e">
        <f t="shared" ca="1" si="20"/>
        <v>#N/A</v>
      </c>
      <c r="V172" s="62" t="e">
        <f t="shared" ca="1" si="21"/>
        <v>#N/A</v>
      </c>
      <c r="W172" s="60" t="e">
        <f t="shared" ca="1" si="22"/>
        <v>#N/A</v>
      </c>
      <c r="X172" s="60" t="e">
        <f t="shared" ca="1" si="26"/>
        <v>#N/A</v>
      </c>
      <c r="Y172" s="60" t="e">
        <f t="shared" ca="1" si="23"/>
        <v>#N/A</v>
      </c>
      <c r="Z172" s="60" t="e">
        <f t="shared" ca="1" si="24"/>
        <v>#N/A</v>
      </c>
    </row>
    <row r="173" spans="18:26" x14ac:dyDescent="0.25">
      <c r="R173" s="93" t="e">
        <f ca="1"/>
        <v>#N/A</v>
      </c>
      <c r="S173" s="62" t="e">
        <f t="shared" ca="1" si="25"/>
        <v>#N/A</v>
      </c>
      <c r="T173" s="62" t="e">
        <f t="shared" ca="1" si="19"/>
        <v>#N/A</v>
      </c>
      <c r="U173" s="62" t="e">
        <f t="shared" ca="1" si="20"/>
        <v>#N/A</v>
      </c>
      <c r="V173" s="62" t="e">
        <f t="shared" ca="1" si="21"/>
        <v>#N/A</v>
      </c>
      <c r="W173" s="60" t="e">
        <f t="shared" ca="1" si="22"/>
        <v>#N/A</v>
      </c>
      <c r="X173" s="60" t="e">
        <f t="shared" ca="1" si="26"/>
        <v>#N/A</v>
      </c>
      <c r="Y173" s="60" t="e">
        <f t="shared" ca="1" si="23"/>
        <v>#N/A</v>
      </c>
      <c r="Z173" s="60" t="e">
        <f t="shared" ca="1" si="24"/>
        <v>#N/A</v>
      </c>
    </row>
    <row r="174" spans="18:26" x14ac:dyDescent="0.25">
      <c r="R174" s="93" t="e">
        <f ca="1"/>
        <v>#N/A</v>
      </c>
      <c r="S174" s="62" t="e">
        <f t="shared" ca="1" si="25"/>
        <v>#N/A</v>
      </c>
      <c r="T174" s="62" t="e">
        <f t="shared" ca="1" si="19"/>
        <v>#N/A</v>
      </c>
      <c r="U174" s="62" t="e">
        <f t="shared" ca="1" si="20"/>
        <v>#N/A</v>
      </c>
      <c r="V174" s="62" t="e">
        <f t="shared" ca="1" si="21"/>
        <v>#N/A</v>
      </c>
      <c r="W174" s="60" t="e">
        <f t="shared" ca="1" si="22"/>
        <v>#N/A</v>
      </c>
      <c r="X174" s="60" t="e">
        <f t="shared" ca="1" si="26"/>
        <v>#N/A</v>
      </c>
      <c r="Y174" s="60" t="e">
        <f t="shared" ca="1" si="23"/>
        <v>#N/A</v>
      </c>
      <c r="Z174" s="60" t="e">
        <f t="shared" ca="1" si="24"/>
        <v>#N/A</v>
      </c>
    </row>
    <row r="175" spans="18:26" x14ac:dyDescent="0.25">
      <c r="R175" s="93" t="e">
        <f ca="1"/>
        <v>#N/A</v>
      </c>
      <c r="S175" s="62" t="e">
        <f t="shared" ca="1" si="25"/>
        <v>#N/A</v>
      </c>
      <c r="T175" s="62" t="e">
        <f t="shared" ca="1" si="19"/>
        <v>#N/A</v>
      </c>
      <c r="U175" s="62" t="e">
        <f t="shared" ca="1" si="20"/>
        <v>#N/A</v>
      </c>
      <c r="V175" s="62" t="e">
        <f t="shared" ca="1" si="21"/>
        <v>#N/A</v>
      </c>
      <c r="W175" s="60" t="e">
        <f t="shared" ca="1" si="22"/>
        <v>#N/A</v>
      </c>
      <c r="X175" s="60" t="e">
        <f t="shared" ca="1" si="26"/>
        <v>#N/A</v>
      </c>
      <c r="Y175" s="60" t="e">
        <f t="shared" ca="1" si="23"/>
        <v>#N/A</v>
      </c>
      <c r="Z175" s="60" t="e">
        <f t="shared" ca="1" si="24"/>
        <v>#N/A</v>
      </c>
    </row>
    <row r="176" spans="18:26" x14ac:dyDescent="0.25">
      <c r="R176" s="93" t="e">
        <f ca="1"/>
        <v>#N/A</v>
      </c>
      <c r="S176" s="62" t="e">
        <f t="shared" ca="1" si="25"/>
        <v>#N/A</v>
      </c>
      <c r="T176" s="62" t="e">
        <f t="shared" ca="1" si="19"/>
        <v>#N/A</v>
      </c>
      <c r="U176" s="62" t="e">
        <f t="shared" ca="1" si="20"/>
        <v>#N/A</v>
      </c>
      <c r="V176" s="62" t="e">
        <f t="shared" ca="1" si="21"/>
        <v>#N/A</v>
      </c>
      <c r="W176" s="60" t="e">
        <f t="shared" ca="1" si="22"/>
        <v>#N/A</v>
      </c>
      <c r="X176" s="60" t="e">
        <f t="shared" ca="1" si="26"/>
        <v>#N/A</v>
      </c>
      <c r="Y176" s="60" t="e">
        <f t="shared" ca="1" si="23"/>
        <v>#N/A</v>
      </c>
      <c r="Z176" s="60" t="e">
        <f t="shared" ca="1" si="24"/>
        <v>#N/A</v>
      </c>
    </row>
    <row r="177" spans="18:26" x14ac:dyDescent="0.25">
      <c r="R177" s="93" t="e">
        <f ca="1"/>
        <v>#N/A</v>
      </c>
      <c r="S177" s="62" t="e">
        <f t="shared" ca="1" si="25"/>
        <v>#N/A</v>
      </c>
      <c r="T177" s="62" t="e">
        <f t="shared" ca="1" si="19"/>
        <v>#N/A</v>
      </c>
      <c r="U177" s="62" t="e">
        <f t="shared" ca="1" si="20"/>
        <v>#N/A</v>
      </c>
      <c r="V177" s="62" t="e">
        <f t="shared" ca="1" si="21"/>
        <v>#N/A</v>
      </c>
      <c r="W177" s="60" t="e">
        <f t="shared" ca="1" si="22"/>
        <v>#N/A</v>
      </c>
      <c r="X177" s="60" t="e">
        <f t="shared" ca="1" si="26"/>
        <v>#N/A</v>
      </c>
      <c r="Y177" s="60" t="e">
        <f t="shared" ca="1" si="23"/>
        <v>#N/A</v>
      </c>
      <c r="Z177" s="60" t="e">
        <f t="shared" ca="1" si="24"/>
        <v>#N/A</v>
      </c>
    </row>
    <row r="178" spans="18:26" x14ac:dyDescent="0.25">
      <c r="R178" s="93" t="e">
        <f ca="1"/>
        <v>#N/A</v>
      </c>
      <c r="S178" s="62" t="e">
        <f t="shared" ca="1" si="25"/>
        <v>#N/A</v>
      </c>
      <c r="T178" s="62" t="e">
        <f t="shared" ca="1" si="19"/>
        <v>#N/A</v>
      </c>
      <c r="U178" s="62" t="e">
        <f t="shared" ca="1" si="20"/>
        <v>#N/A</v>
      </c>
      <c r="V178" s="62" t="e">
        <f t="shared" ca="1" si="21"/>
        <v>#N/A</v>
      </c>
      <c r="W178" s="60" t="e">
        <f t="shared" ca="1" si="22"/>
        <v>#N/A</v>
      </c>
      <c r="X178" s="60" t="e">
        <f t="shared" ca="1" si="26"/>
        <v>#N/A</v>
      </c>
      <c r="Y178" s="60" t="e">
        <f t="shared" ca="1" si="23"/>
        <v>#N/A</v>
      </c>
      <c r="Z178" s="60" t="e">
        <f t="shared" ca="1" si="24"/>
        <v>#N/A</v>
      </c>
    </row>
    <row r="179" spans="18:26" x14ac:dyDescent="0.25">
      <c r="R179" s="93" t="e">
        <f ca="1"/>
        <v>#N/A</v>
      </c>
      <c r="S179" s="62" t="e">
        <f t="shared" ca="1" si="25"/>
        <v>#N/A</v>
      </c>
      <c r="T179" s="62" t="e">
        <f t="shared" ca="1" si="19"/>
        <v>#N/A</v>
      </c>
      <c r="U179" s="62" t="e">
        <f t="shared" ca="1" si="20"/>
        <v>#N/A</v>
      </c>
      <c r="V179" s="62" t="e">
        <f t="shared" ca="1" si="21"/>
        <v>#N/A</v>
      </c>
      <c r="W179" s="60" t="e">
        <f t="shared" ca="1" si="22"/>
        <v>#N/A</v>
      </c>
      <c r="X179" s="60" t="e">
        <f t="shared" ca="1" si="26"/>
        <v>#N/A</v>
      </c>
      <c r="Y179" s="60" t="e">
        <f t="shared" ca="1" si="23"/>
        <v>#N/A</v>
      </c>
      <c r="Z179" s="60" t="e">
        <f t="shared" ca="1" si="24"/>
        <v>#N/A</v>
      </c>
    </row>
    <row r="180" spans="18:26" x14ac:dyDescent="0.25">
      <c r="R180" s="93" t="e">
        <f ca="1"/>
        <v>#N/A</v>
      </c>
      <c r="S180" s="62" t="e">
        <f t="shared" ca="1" si="25"/>
        <v>#N/A</v>
      </c>
      <c r="T180" s="62" t="e">
        <f t="shared" ca="1" si="19"/>
        <v>#N/A</v>
      </c>
      <c r="U180" s="62" t="e">
        <f t="shared" ca="1" si="20"/>
        <v>#N/A</v>
      </c>
      <c r="V180" s="62" t="e">
        <f t="shared" ca="1" si="21"/>
        <v>#N/A</v>
      </c>
      <c r="W180" s="60" t="e">
        <f t="shared" ca="1" si="22"/>
        <v>#N/A</v>
      </c>
      <c r="X180" s="60" t="e">
        <f t="shared" ca="1" si="26"/>
        <v>#N/A</v>
      </c>
      <c r="Y180" s="60" t="e">
        <f t="shared" ca="1" si="23"/>
        <v>#N/A</v>
      </c>
      <c r="Z180" s="60" t="e">
        <f t="shared" ca="1" si="24"/>
        <v>#N/A</v>
      </c>
    </row>
    <row r="181" spans="18:26" x14ac:dyDescent="0.25">
      <c r="R181" s="93" t="e">
        <f ca="1"/>
        <v>#N/A</v>
      </c>
      <c r="S181" s="62" t="e">
        <f t="shared" ca="1" si="25"/>
        <v>#N/A</v>
      </c>
      <c r="T181" s="62" t="e">
        <f t="shared" ca="1" si="19"/>
        <v>#N/A</v>
      </c>
      <c r="U181" s="62" t="e">
        <f t="shared" ca="1" si="20"/>
        <v>#N/A</v>
      </c>
      <c r="V181" s="62" t="e">
        <f t="shared" ca="1" si="21"/>
        <v>#N/A</v>
      </c>
      <c r="W181" s="60" t="e">
        <f t="shared" ca="1" si="22"/>
        <v>#N/A</v>
      </c>
      <c r="X181" s="60" t="e">
        <f t="shared" ca="1" si="26"/>
        <v>#N/A</v>
      </c>
      <c r="Y181" s="60" t="e">
        <f t="shared" ca="1" si="23"/>
        <v>#N/A</v>
      </c>
      <c r="Z181" s="60" t="e">
        <f t="shared" ca="1" si="24"/>
        <v>#N/A</v>
      </c>
    </row>
    <row r="182" spans="18:26" x14ac:dyDescent="0.25">
      <c r="R182" s="93" t="e">
        <f ca="1"/>
        <v>#N/A</v>
      </c>
      <c r="S182" s="62" t="e">
        <f t="shared" ca="1" si="25"/>
        <v>#N/A</v>
      </c>
      <c r="T182" s="62" t="e">
        <f t="shared" ca="1" si="19"/>
        <v>#N/A</v>
      </c>
      <c r="U182" s="62" t="e">
        <f t="shared" ca="1" si="20"/>
        <v>#N/A</v>
      </c>
      <c r="V182" s="62" t="e">
        <f t="shared" ca="1" si="21"/>
        <v>#N/A</v>
      </c>
      <c r="W182" s="60" t="e">
        <f t="shared" ca="1" si="22"/>
        <v>#N/A</v>
      </c>
      <c r="X182" s="60" t="e">
        <f t="shared" ca="1" si="26"/>
        <v>#N/A</v>
      </c>
      <c r="Y182" s="60" t="e">
        <f t="shared" ca="1" si="23"/>
        <v>#N/A</v>
      </c>
      <c r="Z182" s="60" t="e">
        <f t="shared" ca="1" si="24"/>
        <v>#N/A</v>
      </c>
    </row>
    <row r="183" spans="18:26" x14ac:dyDescent="0.25">
      <c r="R183" s="93" t="e">
        <f ca="1"/>
        <v>#N/A</v>
      </c>
      <c r="S183" s="62" t="e">
        <f t="shared" ca="1" si="25"/>
        <v>#N/A</v>
      </c>
      <c r="T183" s="62" t="e">
        <f t="shared" ca="1" si="19"/>
        <v>#N/A</v>
      </c>
      <c r="U183" s="62" t="e">
        <f t="shared" ca="1" si="20"/>
        <v>#N/A</v>
      </c>
      <c r="V183" s="62" t="e">
        <f t="shared" ca="1" si="21"/>
        <v>#N/A</v>
      </c>
      <c r="W183" s="60" t="e">
        <f t="shared" ca="1" si="22"/>
        <v>#N/A</v>
      </c>
      <c r="X183" s="60" t="e">
        <f t="shared" ca="1" si="26"/>
        <v>#N/A</v>
      </c>
      <c r="Y183" s="60" t="e">
        <f t="shared" ca="1" si="23"/>
        <v>#N/A</v>
      </c>
      <c r="Z183" s="60" t="e">
        <f t="shared" ca="1" si="24"/>
        <v>#N/A</v>
      </c>
    </row>
    <row r="184" spans="18:26" x14ac:dyDescent="0.25">
      <c r="R184" s="93" t="e">
        <f ca="1"/>
        <v>#N/A</v>
      </c>
      <c r="S184" s="62" t="e">
        <f t="shared" ca="1" si="25"/>
        <v>#N/A</v>
      </c>
      <c r="T184" s="62" t="e">
        <f t="shared" ca="1" si="19"/>
        <v>#N/A</v>
      </c>
      <c r="U184" s="62" t="e">
        <f t="shared" ca="1" si="20"/>
        <v>#N/A</v>
      </c>
      <c r="V184" s="62" t="e">
        <f t="shared" ca="1" si="21"/>
        <v>#N/A</v>
      </c>
      <c r="W184" s="60" t="e">
        <f t="shared" ca="1" si="22"/>
        <v>#N/A</v>
      </c>
      <c r="X184" s="60" t="e">
        <f t="shared" ca="1" si="26"/>
        <v>#N/A</v>
      </c>
      <c r="Y184" s="60" t="e">
        <f t="shared" ca="1" si="23"/>
        <v>#N/A</v>
      </c>
      <c r="Z184" s="60" t="e">
        <f t="shared" ca="1" si="24"/>
        <v>#N/A</v>
      </c>
    </row>
    <row r="185" spans="18:26" x14ac:dyDescent="0.25">
      <c r="R185" s="93" t="e">
        <f ca="1"/>
        <v>#N/A</v>
      </c>
      <c r="S185" s="62" t="e">
        <f t="shared" ca="1" si="25"/>
        <v>#N/A</v>
      </c>
      <c r="T185" s="62" t="e">
        <f t="shared" ca="1" si="19"/>
        <v>#N/A</v>
      </c>
      <c r="U185" s="62" t="e">
        <f t="shared" ca="1" si="20"/>
        <v>#N/A</v>
      </c>
      <c r="V185" s="62" t="e">
        <f t="shared" ca="1" si="21"/>
        <v>#N/A</v>
      </c>
      <c r="W185" s="60" t="e">
        <f t="shared" ca="1" si="22"/>
        <v>#N/A</v>
      </c>
      <c r="X185" s="60" t="e">
        <f t="shared" ca="1" si="26"/>
        <v>#N/A</v>
      </c>
      <c r="Y185" s="60" t="e">
        <f t="shared" ca="1" si="23"/>
        <v>#N/A</v>
      </c>
      <c r="Z185" s="60" t="e">
        <f t="shared" ca="1" si="24"/>
        <v>#N/A</v>
      </c>
    </row>
    <row r="186" spans="18:26" x14ac:dyDescent="0.25">
      <c r="R186" s="93" t="e">
        <f ca="1"/>
        <v>#N/A</v>
      </c>
      <c r="S186" s="62" t="e">
        <f t="shared" ca="1" si="25"/>
        <v>#N/A</v>
      </c>
      <c r="T186" s="62" t="e">
        <f t="shared" ca="1" si="19"/>
        <v>#N/A</v>
      </c>
      <c r="U186" s="62" t="e">
        <f t="shared" ca="1" si="20"/>
        <v>#N/A</v>
      </c>
      <c r="V186" s="62" t="e">
        <f t="shared" ca="1" si="21"/>
        <v>#N/A</v>
      </c>
      <c r="W186" s="60" t="e">
        <f t="shared" ca="1" si="22"/>
        <v>#N/A</v>
      </c>
      <c r="X186" s="60" t="e">
        <f t="shared" ca="1" si="26"/>
        <v>#N/A</v>
      </c>
      <c r="Y186" s="60" t="e">
        <f t="shared" ca="1" si="23"/>
        <v>#N/A</v>
      </c>
      <c r="Z186" s="60" t="e">
        <f t="shared" ca="1" si="24"/>
        <v>#N/A</v>
      </c>
    </row>
    <row r="187" spans="18:26" x14ac:dyDescent="0.25">
      <c r="R187" s="93" t="e">
        <f ca="1"/>
        <v>#N/A</v>
      </c>
      <c r="S187" s="62" t="e">
        <f t="shared" ca="1" si="25"/>
        <v>#N/A</v>
      </c>
      <c r="T187" s="62" t="e">
        <f t="shared" ca="1" si="19"/>
        <v>#N/A</v>
      </c>
      <c r="U187" s="62" t="e">
        <f t="shared" ca="1" si="20"/>
        <v>#N/A</v>
      </c>
      <c r="V187" s="62" t="e">
        <f t="shared" ca="1" si="21"/>
        <v>#N/A</v>
      </c>
      <c r="W187" s="60" t="e">
        <f t="shared" ca="1" si="22"/>
        <v>#N/A</v>
      </c>
      <c r="X187" s="60" t="e">
        <f t="shared" ca="1" si="26"/>
        <v>#N/A</v>
      </c>
      <c r="Y187" s="60" t="e">
        <f t="shared" ca="1" si="23"/>
        <v>#N/A</v>
      </c>
      <c r="Z187" s="60" t="e">
        <f t="shared" ca="1" si="24"/>
        <v>#N/A</v>
      </c>
    </row>
    <row r="188" spans="18:26" x14ac:dyDescent="0.25">
      <c r="R188" s="93" t="e">
        <f ca="1"/>
        <v>#N/A</v>
      </c>
      <c r="S188" s="62" t="e">
        <f t="shared" ca="1" si="25"/>
        <v>#N/A</v>
      </c>
      <c r="T188" s="62" t="e">
        <f t="shared" ca="1" si="19"/>
        <v>#N/A</v>
      </c>
      <c r="U188" s="62" t="e">
        <f t="shared" ca="1" si="20"/>
        <v>#N/A</v>
      </c>
      <c r="V188" s="62" t="e">
        <f t="shared" ca="1" si="21"/>
        <v>#N/A</v>
      </c>
      <c r="W188" s="60" t="e">
        <f t="shared" ca="1" si="22"/>
        <v>#N/A</v>
      </c>
      <c r="X188" s="60" t="e">
        <f t="shared" ca="1" si="26"/>
        <v>#N/A</v>
      </c>
      <c r="Y188" s="60" t="e">
        <f t="shared" ca="1" si="23"/>
        <v>#N/A</v>
      </c>
      <c r="Z188" s="60" t="e">
        <f t="shared" ca="1" si="24"/>
        <v>#N/A</v>
      </c>
    </row>
    <row r="189" spans="18:26" x14ac:dyDescent="0.25">
      <c r="R189" s="93" t="e">
        <f ca="1"/>
        <v>#N/A</v>
      </c>
      <c r="S189" s="62" t="e">
        <f t="shared" ca="1" si="25"/>
        <v>#N/A</v>
      </c>
      <c r="T189" s="62" t="e">
        <f t="shared" ca="1" si="19"/>
        <v>#N/A</v>
      </c>
      <c r="U189" s="62" t="e">
        <f t="shared" ca="1" si="20"/>
        <v>#N/A</v>
      </c>
      <c r="V189" s="62" t="e">
        <f t="shared" ca="1" si="21"/>
        <v>#N/A</v>
      </c>
      <c r="W189" s="60" t="e">
        <f t="shared" ca="1" si="22"/>
        <v>#N/A</v>
      </c>
      <c r="X189" s="60" t="e">
        <f t="shared" ca="1" si="26"/>
        <v>#N/A</v>
      </c>
      <c r="Y189" s="60" t="e">
        <f t="shared" ca="1" si="23"/>
        <v>#N/A</v>
      </c>
      <c r="Z189" s="60" t="e">
        <f t="shared" ca="1" si="24"/>
        <v>#N/A</v>
      </c>
    </row>
    <row r="190" spans="18:26" x14ac:dyDescent="0.25">
      <c r="R190" s="93" t="e">
        <f ca="1"/>
        <v>#N/A</v>
      </c>
      <c r="S190" s="62" t="e">
        <f t="shared" ca="1" si="25"/>
        <v>#N/A</v>
      </c>
      <c r="T190" s="62" t="e">
        <f t="shared" ca="1" si="19"/>
        <v>#N/A</v>
      </c>
      <c r="U190" s="62" t="e">
        <f t="shared" ca="1" si="20"/>
        <v>#N/A</v>
      </c>
      <c r="V190" s="62" t="e">
        <f t="shared" ca="1" si="21"/>
        <v>#N/A</v>
      </c>
      <c r="W190" s="60" t="e">
        <f t="shared" ca="1" si="22"/>
        <v>#N/A</v>
      </c>
      <c r="X190" s="60" t="e">
        <f t="shared" ca="1" si="26"/>
        <v>#N/A</v>
      </c>
      <c r="Y190" s="60" t="e">
        <f t="shared" ca="1" si="23"/>
        <v>#N/A</v>
      </c>
      <c r="Z190" s="60" t="e">
        <f t="shared" ca="1" si="24"/>
        <v>#N/A</v>
      </c>
    </row>
    <row r="191" spans="18:26" x14ac:dyDescent="0.25">
      <c r="R191" s="93" t="e">
        <f ca="1"/>
        <v>#N/A</v>
      </c>
      <c r="S191" s="62" t="e">
        <f t="shared" ca="1" si="25"/>
        <v>#N/A</v>
      </c>
      <c r="T191" s="62" t="e">
        <f t="shared" ca="1" si="19"/>
        <v>#N/A</v>
      </c>
      <c r="U191" s="62" t="e">
        <f t="shared" ca="1" si="20"/>
        <v>#N/A</v>
      </c>
      <c r="V191" s="62" t="e">
        <f t="shared" ca="1" si="21"/>
        <v>#N/A</v>
      </c>
      <c r="W191" s="60" t="e">
        <f t="shared" ca="1" si="22"/>
        <v>#N/A</v>
      </c>
      <c r="X191" s="60" t="e">
        <f t="shared" ca="1" si="26"/>
        <v>#N/A</v>
      </c>
      <c r="Y191" s="60" t="e">
        <f t="shared" ca="1" si="23"/>
        <v>#N/A</v>
      </c>
      <c r="Z191" s="60" t="e">
        <f t="shared" ca="1" si="24"/>
        <v>#N/A</v>
      </c>
    </row>
    <row r="192" spans="18:26" x14ac:dyDescent="0.25">
      <c r="R192" s="93" t="e">
        <f ca="1"/>
        <v>#N/A</v>
      </c>
      <c r="S192" s="62" t="e">
        <f t="shared" ca="1" si="25"/>
        <v>#N/A</v>
      </c>
      <c r="T192" s="62" t="e">
        <f t="shared" ca="1" si="19"/>
        <v>#N/A</v>
      </c>
      <c r="U192" s="62" t="e">
        <f t="shared" ca="1" si="20"/>
        <v>#N/A</v>
      </c>
      <c r="V192" s="62" t="e">
        <f t="shared" ca="1" si="21"/>
        <v>#N/A</v>
      </c>
      <c r="W192" s="60" t="e">
        <f t="shared" ca="1" si="22"/>
        <v>#N/A</v>
      </c>
      <c r="X192" s="60" t="e">
        <f t="shared" ca="1" si="26"/>
        <v>#N/A</v>
      </c>
      <c r="Y192" s="60" t="e">
        <f t="shared" ca="1" si="23"/>
        <v>#N/A</v>
      </c>
      <c r="Z192" s="60" t="e">
        <f t="shared" ca="1" si="24"/>
        <v>#N/A</v>
      </c>
    </row>
    <row r="193" spans="18:26" x14ac:dyDescent="0.25">
      <c r="R193" s="93" t="e">
        <f ca="1"/>
        <v>#N/A</v>
      </c>
      <c r="S193" s="62" t="e">
        <f t="shared" ca="1" si="25"/>
        <v>#N/A</v>
      </c>
      <c r="T193" s="62" t="e">
        <f t="shared" ca="1" si="19"/>
        <v>#N/A</v>
      </c>
      <c r="U193" s="62" t="e">
        <f t="shared" ca="1" si="20"/>
        <v>#N/A</v>
      </c>
      <c r="V193" s="62" t="e">
        <f t="shared" ca="1" si="21"/>
        <v>#N/A</v>
      </c>
      <c r="W193" s="60" t="e">
        <f t="shared" ca="1" si="22"/>
        <v>#N/A</v>
      </c>
      <c r="X193" s="60" t="e">
        <f t="shared" ca="1" si="26"/>
        <v>#N/A</v>
      </c>
      <c r="Y193" s="60" t="e">
        <f t="shared" ca="1" si="23"/>
        <v>#N/A</v>
      </c>
      <c r="Z193" s="60" t="e">
        <f t="shared" ca="1" si="24"/>
        <v>#N/A</v>
      </c>
    </row>
    <row r="194" spans="18:26" x14ac:dyDescent="0.25">
      <c r="R194" s="93" t="e">
        <f ca="1"/>
        <v>#N/A</v>
      </c>
      <c r="S194" s="62" t="e">
        <f t="shared" ca="1" si="25"/>
        <v>#N/A</v>
      </c>
      <c r="T194" s="62" t="e">
        <f t="shared" ca="1" si="19"/>
        <v>#N/A</v>
      </c>
      <c r="U194" s="62" t="e">
        <f t="shared" ca="1" si="20"/>
        <v>#N/A</v>
      </c>
      <c r="V194" s="62" t="e">
        <f t="shared" ca="1" si="21"/>
        <v>#N/A</v>
      </c>
      <c r="W194" s="60" t="e">
        <f t="shared" ca="1" si="22"/>
        <v>#N/A</v>
      </c>
      <c r="X194" s="60" t="e">
        <f t="shared" ca="1" si="26"/>
        <v>#N/A</v>
      </c>
      <c r="Y194" s="60" t="e">
        <f t="shared" ca="1" si="23"/>
        <v>#N/A</v>
      </c>
      <c r="Z194" s="60" t="e">
        <f t="shared" ca="1" si="24"/>
        <v>#N/A</v>
      </c>
    </row>
    <row r="195" spans="18:26" x14ac:dyDescent="0.25">
      <c r="R195" s="93" t="e">
        <f ca="1"/>
        <v>#N/A</v>
      </c>
      <c r="S195" s="62" t="e">
        <f t="shared" ca="1" si="25"/>
        <v>#N/A</v>
      </c>
      <c r="T195" s="62" t="e">
        <f t="shared" ca="1" si="19"/>
        <v>#N/A</v>
      </c>
      <c r="U195" s="62" t="e">
        <f t="shared" ca="1" si="20"/>
        <v>#N/A</v>
      </c>
      <c r="V195" s="62" t="e">
        <f t="shared" ca="1" si="21"/>
        <v>#N/A</v>
      </c>
      <c r="W195" s="60" t="e">
        <f t="shared" ca="1" si="22"/>
        <v>#N/A</v>
      </c>
      <c r="X195" s="60" t="e">
        <f t="shared" ca="1" si="26"/>
        <v>#N/A</v>
      </c>
      <c r="Y195" s="60" t="e">
        <f t="shared" ca="1" si="23"/>
        <v>#N/A</v>
      </c>
      <c r="Z195" s="60" t="e">
        <f t="shared" ca="1" si="24"/>
        <v>#N/A</v>
      </c>
    </row>
    <row r="196" spans="18:26" x14ac:dyDescent="0.25">
      <c r="R196" s="93" t="e">
        <f ca="1"/>
        <v>#N/A</v>
      </c>
      <c r="S196" s="62" t="e">
        <f t="shared" ca="1" si="25"/>
        <v>#N/A</v>
      </c>
      <c r="T196" s="62" t="e">
        <f t="shared" ca="1" si="19"/>
        <v>#N/A</v>
      </c>
      <c r="U196" s="62" t="e">
        <f t="shared" ca="1" si="20"/>
        <v>#N/A</v>
      </c>
      <c r="V196" s="62" t="e">
        <f t="shared" ca="1" si="21"/>
        <v>#N/A</v>
      </c>
      <c r="W196" s="60" t="e">
        <f t="shared" ca="1" si="22"/>
        <v>#N/A</v>
      </c>
      <c r="X196" s="60" t="e">
        <f t="shared" ca="1" si="26"/>
        <v>#N/A</v>
      </c>
      <c r="Y196" s="60" t="e">
        <f t="shared" ca="1" si="23"/>
        <v>#N/A</v>
      </c>
      <c r="Z196" s="60" t="e">
        <f t="shared" ca="1" si="24"/>
        <v>#N/A</v>
      </c>
    </row>
    <row r="197" spans="18:26" x14ac:dyDescent="0.25">
      <c r="R197" s="93" t="e">
        <f ca="1"/>
        <v>#N/A</v>
      </c>
      <c r="S197" s="62" t="e">
        <f t="shared" ca="1" si="25"/>
        <v>#N/A</v>
      </c>
      <c r="T197" s="62" t="e">
        <f t="shared" ca="1" si="19"/>
        <v>#N/A</v>
      </c>
      <c r="U197" s="62" t="e">
        <f t="shared" ca="1" si="20"/>
        <v>#N/A</v>
      </c>
      <c r="V197" s="62" t="e">
        <f t="shared" ca="1" si="21"/>
        <v>#N/A</v>
      </c>
      <c r="W197" s="60" t="e">
        <f t="shared" ca="1" si="22"/>
        <v>#N/A</v>
      </c>
      <c r="X197" s="60" t="e">
        <f t="shared" ca="1" si="26"/>
        <v>#N/A</v>
      </c>
      <c r="Y197" s="60" t="e">
        <f t="shared" ca="1" si="23"/>
        <v>#N/A</v>
      </c>
      <c r="Z197" s="60" t="e">
        <f t="shared" ca="1" si="24"/>
        <v>#N/A</v>
      </c>
    </row>
    <row r="198" spans="18:26" x14ac:dyDescent="0.25">
      <c r="R198" s="93" t="e">
        <f ca="1"/>
        <v>#N/A</v>
      </c>
      <c r="S198" s="62" t="e">
        <f t="shared" ca="1" si="25"/>
        <v>#N/A</v>
      </c>
      <c r="T198" s="62" t="e">
        <f t="shared" ca="1" si="19"/>
        <v>#N/A</v>
      </c>
      <c r="U198" s="62" t="e">
        <f t="shared" ca="1" si="20"/>
        <v>#N/A</v>
      </c>
      <c r="V198" s="62" t="e">
        <f t="shared" ca="1" si="21"/>
        <v>#N/A</v>
      </c>
      <c r="W198" s="60" t="e">
        <f t="shared" ca="1" si="22"/>
        <v>#N/A</v>
      </c>
      <c r="X198" s="60" t="e">
        <f t="shared" ca="1" si="26"/>
        <v>#N/A</v>
      </c>
      <c r="Y198" s="60" t="e">
        <f t="shared" ca="1" si="23"/>
        <v>#N/A</v>
      </c>
      <c r="Z198" s="60" t="e">
        <f t="shared" ca="1" si="24"/>
        <v>#N/A</v>
      </c>
    </row>
    <row r="199" spans="18:26" x14ac:dyDescent="0.25">
      <c r="R199" s="93" t="e">
        <f ca="1"/>
        <v>#N/A</v>
      </c>
      <c r="S199" s="62" t="e">
        <f t="shared" ca="1" si="25"/>
        <v>#N/A</v>
      </c>
      <c r="T199" s="62" t="e">
        <f t="shared" ca="1" si="19"/>
        <v>#N/A</v>
      </c>
      <c r="U199" s="62" t="e">
        <f t="shared" ca="1" si="20"/>
        <v>#N/A</v>
      </c>
      <c r="V199" s="62" t="e">
        <f t="shared" ca="1" si="21"/>
        <v>#N/A</v>
      </c>
      <c r="W199" s="60" t="e">
        <f t="shared" ca="1" si="22"/>
        <v>#N/A</v>
      </c>
      <c r="X199" s="60" t="e">
        <f t="shared" ca="1" si="26"/>
        <v>#N/A</v>
      </c>
      <c r="Y199" s="60" t="e">
        <f t="shared" ca="1" si="23"/>
        <v>#N/A</v>
      </c>
      <c r="Z199" s="60" t="e">
        <f t="shared" ca="1" si="24"/>
        <v>#N/A</v>
      </c>
    </row>
    <row r="200" spans="18:26" x14ac:dyDescent="0.25">
      <c r="R200" s="93" t="e">
        <f ca="1"/>
        <v>#N/A</v>
      </c>
      <c r="S200" s="62" t="e">
        <f t="shared" ca="1" si="25"/>
        <v>#N/A</v>
      </c>
      <c r="T200" s="62" t="e">
        <f t="shared" ca="1" si="19"/>
        <v>#N/A</v>
      </c>
      <c r="U200" s="62" t="e">
        <f t="shared" ca="1" si="20"/>
        <v>#N/A</v>
      </c>
      <c r="V200" s="62" t="e">
        <f t="shared" ca="1" si="21"/>
        <v>#N/A</v>
      </c>
      <c r="W200" s="60" t="e">
        <f t="shared" ca="1" si="22"/>
        <v>#N/A</v>
      </c>
      <c r="X200" s="60" t="e">
        <f t="shared" ca="1" si="26"/>
        <v>#N/A</v>
      </c>
      <c r="Y200" s="60" t="e">
        <f t="shared" ca="1" si="23"/>
        <v>#N/A</v>
      </c>
      <c r="Z200" s="60" t="e">
        <f t="shared" ca="1" si="24"/>
        <v>#N/A</v>
      </c>
    </row>
    <row r="201" spans="18:26" x14ac:dyDescent="0.25">
      <c r="R201" s="93" t="e">
        <f ca="1"/>
        <v>#N/A</v>
      </c>
      <c r="S201" s="62" t="e">
        <f t="shared" ca="1" si="25"/>
        <v>#N/A</v>
      </c>
      <c r="T201" s="62" t="e">
        <f t="shared" ca="1" si="19"/>
        <v>#N/A</v>
      </c>
      <c r="U201" s="62" t="e">
        <f t="shared" ca="1" si="20"/>
        <v>#N/A</v>
      </c>
      <c r="V201" s="62" t="e">
        <f t="shared" ca="1" si="21"/>
        <v>#N/A</v>
      </c>
      <c r="W201" s="60" t="e">
        <f t="shared" ca="1" si="22"/>
        <v>#N/A</v>
      </c>
      <c r="X201" s="60" t="e">
        <f t="shared" ca="1" si="26"/>
        <v>#N/A</v>
      </c>
      <c r="Y201" s="60" t="e">
        <f t="shared" ca="1" si="23"/>
        <v>#N/A</v>
      </c>
      <c r="Z201" s="60" t="e">
        <f t="shared" ca="1" si="24"/>
        <v>#N/A</v>
      </c>
    </row>
    <row r="202" spans="18:26" x14ac:dyDescent="0.25">
      <c r="R202" s="93" t="e">
        <f ca="1"/>
        <v>#N/A</v>
      </c>
      <c r="S202" s="62" t="e">
        <f t="shared" ca="1" si="25"/>
        <v>#N/A</v>
      </c>
      <c r="T202" s="62" t="e">
        <f t="shared" ca="1" si="19"/>
        <v>#N/A</v>
      </c>
      <c r="U202" s="62" t="e">
        <f t="shared" ca="1" si="20"/>
        <v>#N/A</v>
      </c>
      <c r="V202" s="62" t="e">
        <f t="shared" ca="1" si="21"/>
        <v>#N/A</v>
      </c>
      <c r="W202" s="60" t="e">
        <f t="shared" ca="1" si="22"/>
        <v>#N/A</v>
      </c>
      <c r="X202" s="60" t="e">
        <f t="shared" ca="1" si="26"/>
        <v>#N/A</v>
      </c>
      <c r="Y202" s="60" t="e">
        <f t="shared" ca="1" si="23"/>
        <v>#N/A</v>
      </c>
      <c r="Z202" s="60" t="e">
        <f t="shared" ca="1" si="24"/>
        <v>#N/A</v>
      </c>
    </row>
    <row r="203" spans="18:26" x14ac:dyDescent="0.25">
      <c r="R203" s="93" t="e">
        <f ca="1"/>
        <v>#N/A</v>
      </c>
      <c r="S203" s="62" t="e">
        <f t="shared" ca="1" si="25"/>
        <v>#N/A</v>
      </c>
      <c r="T203" s="62" t="e">
        <f t="shared" ca="1" si="19"/>
        <v>#N/A</v>
      </c>
      <c r="U203" s="62" t="e">
        <f t="shared" ca="1" si="20"/>
        <v>#N/A</v>
      </c>
      <c r="V203" s="62" t="e">
        <f t="shared" ca="1" si="21"/>
        <v>#N/A</v>
      </c>
      <c r="W203" s="60" t="e">
        <f t="shared" ca="1" si="22"/>
        <v>#N/A</v>
      </c>
      <c r="X203" s="60" t="e">
        <f t="shared" ca="1" si="26"/>
        <v>#N/A</v>
      </c>
      <c r="Y203" s="60" t="e">
        <f t="shared" ca="1" si="23"/>
        <v>#N/A</v>
      </c>
      <c r="Z203" s="60" t="e">
        <f t="shared" ca="1" si="24"/>
        <v>#N/A</v>
      </c>
    </row>
    <row r="204" spans="18:26" x14ac:dyDescent="0.25">
      <c r="R204" s="93" t="e">
        <f ca="1"/>
        <v>#N/A</v>
      </c>
      <c r="S204" s="62" t="e">
        <f t="shared" ca="1" si="25"/>
        <v>#N/A</v>
      </c>
      <c r="T204" s="62" t="e">
        <f t="shared" ca="1" si="19"/>
        <v>#N/A</v>
      </c>
      <c r="U204" s="62" t="e">
        <f t="shared" ca="1" si="20"/>
        <v>#N/A</v>
      </c>
      <c r="V204" s="62" t="e">
        <f t="shared" ca="1" si="21"/>
        <v>#N/A</v>
      </c>
      <c r="W204" s="60" t="e">
        <f t="shared" ca="1" si="22"/>
        <v>#N/A</v>
      </c>
      <c r="X204" s="60" t="e">
        <f t="shared" ca="1" si="26"/>
        <v>#N/A</v>
      </c>
      <c r="Y204" s="60" t="e">
        <f t="shared" ca="1" si="23"/>
        <v>#N/A</v>
      </c>
      <c r="Z204" s="60" t="e">
        <f t="shared" ca="1" si="24"/>
        <v>#N/A</v>
      </c>
    </row>
    <row r="205" spans="18:26" x14ac:dyDescent="0.25">
      <c r="R205" s="93" t="e">
        <f ca="1"/>
        <v>#N/A</v>
      </c>
      <c r="S205" s="62" t="e">
        <f t="shared" ca="1" si="25"/>
        <v>#N/A</v>
      </c>
      <c r="T205" s="62" t="e">
        <f t="shared" ca="1" si="19"/>
        <v>#N/A</v>
      </c>
      <c r="U205" s="62" t="e">
        <f t="shared" ca="1" si="20"/>
        <v>#N/A</v>
      </c>
      <c r="V205" s="62" t="e">
        <f t="shared" ca="1" si="21"/>
        <v>#N/A</v>
      </c>
      <c r="W205" s="60" t="e">
        <f t="shared" ca="1" si="22"/>
        <v>#N/A</v>
      </c>
      <c r="X205" s="60" t="e">
        <f t="shared" ca="1" si="26"/>
        <v>#N/A</v>
      </c>
      <c r="Y205" s="60" t="e">
        <f t="shared" ca="1" si="23"/>
        <v>#N/A</v>
      </c>
      <c r="Z205" s="60" t="e">
        <f t="shared" ca="1" si="24"/>
        <v>#N/A</v>
      </c>
    </row>
    <row r="206" spans="18:26" x14ac:dyDescent="0.25">
      <c r="R206" s="93" t="e">
        <f ca="1"/>
        <v>#N/A</v>
      </c>
      <c r="S206" s="62" t="e">
        <f t="shared" ca="1" si="25"/>
        <v>#N/A</v>
      </c>
      <c r="T206" s="62" t="e">
        <f t="shared" ca="1" si="19"/>
        <v>#N/A</v>
      </c>
      <c r="U206" s="62" t="e">
        <f t="shared" ca="1" si="20"/>
        <v>#N/A</v>
      </c>
      <c r="V206" s="62" t="e">
        <f t="shared" ca="1" si="21"/>
        <v>#N/A</v>
      </c>
      <c r="W206" s="60" t="e">
        <f t="shared" ca="1" si="22"/>
        <v>#N/A</v>
      </c>
      <c r="X206" s="60" t="e">
        <f t="shared" ca="1" si="26"/>
        <v>#N/A</v>
      </c>
      <c r="Y206" s="60" t="e">
        <f t="shared" ca="1" si="23"/>
        <v>#N/A</v>
      </c>
      <c r="Z206" s="60" t="e">
        <f t="shared" ca="1" si="24"/>
        <v>#N/A</v>
      </c>
    </row>
    <row r="207" spans="18:26" x14ac:dyDescent="0.25">
      <c r="R207" s="93" t="e">
        <f ca="1"/>
        <v>#N/A</v>
      </c>
      <c r="S207" s="62" t="e">
        <f t="shared" ca="1" si="25"/>
        <v>#N/A</v>
      </c>
      <c r="T207" s="62" t="e">
        <f t="shared" ca="1" si="19"/>
        <v>#N/A</v>
      </c>
      <c r="U207" s="62" t="e">
        <f t="shared" ca="1" si="20"/>
        <v>#N/A</v>
      </c>
      <c r="V207" s="62" t="e">
        <f t="shared" ca="1" si="21"/>
        <v>#N/A</v>
      </c>
      <c r="W207" s="60" t="e">
        <f t="shared" ca="1" si="22"/>
        <v>#N/A</v>
      </c>
      <c r="X207" s="60" t="e">
        <f t="shared" ca="1" si="26"/>
        <v>#N/A</v>
      </c>
      <c r="Y207" s="60" t="e">
        <f t="shared" ca="1" si="23"/>
        <v>#N/A</v>
      </c>
      <c r="Z207" s="60" t="e">
        <f t="shared" ca="1" si="24"/>
        <v>#N/A</v>
      </c>
    </row>
    <row r="208" spans="18:26" x14ac:dyDescent="0.25">
      <c r="R208" s="93" t="e">
        <f ca="1"/>
        <v>#N/A</v>
      </c>
      <c r="S208" s="62" t="e">
        <f t="shared" ca="1" si="25"/>
        <v>#N/A</v>
      </c>
      <c r="T208" s="62" t="e">
        <f t="shared" ca="1" si="19"/>
        <v>#N/A</v>
      </c>
      <c r="U208" s="62" t="e">
        <f t="shared" ca="1" si="20"/>
        <v>#N/A</v>
      </c>
      <c r="V208" s="62" t="e">
        <f t="shared" ca="1" si="21"/>
        <v>#N/A</v>
      </c>
      <c r="W208" s="60" t="e">
        <f t="shared" ca="1" si="22"/>
        <v>#N/A</v>
      </c>
      <c r="X208" s="60" t="e">
        <f t="shared" ca="1" si="26"/>
        <v>#N/A</v>
      </c>
      <c r="Y208" s="60" t="e">
        <f t="shared" ca="1" si="23"/>
        <v>#N/A</v>
      </c>
      <c r="Z208" s="60" t="e">
        <f t="shared" ca="1" si="24"/>
        <v>#N/A</v>
      </c>
    </row>
    <row r="209" spans="18:26" x14ac:dyDescent="0.25">
      <c r="R209" s="93" t="e">
        <f ca="1"/>
        <v>#N/A</v>
      </c>
      <c r="S209" s="62" t="e">
        <f t="shared" ca="1" si="25"/>
        <v>#N/A</v>
      </c>
      <c r="T209" s="62" t="e">
        <f t="shared" ca="1" si="19"/>
        <v>#N/A</v>
      </c>
      <c r="U209" s="62" t="e">
        <f t="shared" ca="1" si="20"/>
        <v>#N/A</v>
      </c>
      <c r="V209" s="62" t="e">
        <f t="shared" ca="1" si="21"/>
        <v>#N/A</v>
      </c>
      <c r="W209" s="60" t="e">
        <f t="shared" ca="1" si="22"/>
        <v>#N/A</v>
      </c>
      <c r="X209" s="60" t="e">
        <f t="shared" ca="1" si="26"/>
        <v>#N/A</v>
      </c>
      <c r="Y209" s="60" t="e">
        <f t="shared" ca="1" si="23"/>
        <v>#N/A</v>
      </c>
      <c r="Z209" s="60" t="e">
        <f t="shared" ca="1" si="24"/>
        <v>#N/A</v>
      </c>
    </row>
    <row r="210" spans="18:26" x14ac:dyDescent="0.25">
      <c r="R210" s="93" t="e">
        <f ca="1"/>
        <v>#N/A</v>
      </c>
      <c r="S210" s="62" t="e">
        <f t="shared" ca="1" si="25"/>
        <v>#N/A</v>
      </c>
      <c r="T210" s="62" t="e">
        <f t="shared" ref="T210:T273" ca="1" si="27">VLOOKUP(S210,ModelOutputs,2,FALSE)</f>
        <v>#N/A</v>
      </c>
      <c r="U210" s="62" t="e">
        <f t="shared" ref="U210:U273" ca="1" si="28">VLOOKUP(S210,ModelOutputs,7,FALSE)</f>
        <v>#N/A</v>
      </c>
      <c r="V210" s="62" t="e">
        <f t="shared" ref="V210:V273" ca="1" si="29">VLOOKUP(S210,ModelOutputs,6,FALSE)</f>
        <v>#N/A</v>
      </c>
      <c r="W210" s="60" t="e">
        <f t="shared" ref="W210:W273" ca="1" si="30">VLOOKUP(S210,ModelOutputs,10,FALSE)*AWC</f>
        <v>#N/A</v>
      </c>
      <c r="X210" s="60" t="e">
        <f t="shared" ca="1" si="26"/>
        <v>#N/A</v>
      </c>
      <c r="Y210" s="60" t="e">
        <f t="shared" ref="Y210:Y273" ca="1" si="31">VLOOKUP(S210,ModelOutputs,12,FALSE)</f>
        <v>#N/A</v>
      </c>
      <c r="Z210" s="60" t="e">
        <f t="shared" ref="Z210:Z273" ca="1" si="32">VLOOKUP(S210,ModelOutputs,13,FALSE)</f>
        <v>#N/A</v>
      </c>
    </row>
    <row r="211" spans="18:26" x14ac:dyDescent="0.25">
      <c r="R211" s="93" t="e">
        <f ca="1"/>
        <v>#N/A</v>
      </c>
      <c r="S211" s="62" t="e">
        <f t="shared" ref="S211:S274" ca="1" si="33">IF(R211&gt;1,R211,"")</f>
        <v>#N/A</v>
      </c>
      <c r="T211" s="62" t="e">
        <f t="shared" ca="1" si="27"/>
        <v>#N/A</v>
      </c>
      <c r="U211" s="62" t="e">
        <f t="shared" ca="1" si="28"/>
        <v>#N/A</v>
      </c>
      <c r="V211" s="62" t="e">
        <f t="shared" ca="1" si="29"/>
        <v>#N/A</v>
      </c>
      <c r="W211" s="60" t="e">
        <f t="shared" ca="1" si="30"/>
        <v>#N/A</v>
      </c>
      <c r="X211" s="60" t="e">
        <f t="shared" ref="X211:X274" ca="1" si="34">VLOOKUP(S211,ModelOutputs,11,FALSE)+X210</f>
        <v>#N/A</v>
      </c>
      <c r="Y211" s="60" t="e">
        <f t="shared" ca="1" si="31"/>
        <v>#N/A</v>
      </c>
      <c r="Z211" s="60" t="e">
        <f t="shared" ca="1" si="32"/>
        <v>#N/A</v>
      </c>
    </row>
    <row r="212" spans="18:26" x14ac:dyDescent="0.25">
      <c r="R212" s="93" t="e">
        <f ca="1"/>
        <v>#N/A</v>
      </c>
      <c r="S212" s="62" t="e">
        <f t="shared" ca="1" si="33"/>
        <v>#N/A</v>
      </c>
      <c r="T212" s="62" t="e">
        <f t="shared" ca="1" si="27"/>
        <v>#N/A</v>
      </c>
      <c r="U212" s="62" t="e">
        <f t="shared" ca="1" si="28"/>
        <v>#N/A</v>
      </c>
      <c r="V212" s="62" t="e">
        <f t="shared" ca="1" si="29"/>
        <v>#N/A</v>
      </c>
      <c r="W212" s="60" t="e">
        <f t="shared" ca="1" si="30"/>
        <v>#N/A</v>
      </c>
      <c r="X212" s="60" t="e">
        <f t="shared" ca="1" si="34"/>
        <v>#N/A</v>
      </c>
      <c r="Y212" s="60" t="e">
        <f t="shared" ca="1" si="31"/>
        <v>#N/A</v>
      </c>
      <c r="Z212" s="60" t="e">
        <f t="shared" ca="1" si="32"/>
        <v>#N/A</v>
      </c>
    </row>
    <row r="213" spans="18:26" x14ac:dyDescent="0.25">
      <c r="R213" s="93" t="e">
        <f ca="1"/>
        <v>#N/A</v>
      </c>
      <c r="S213" s="62" t="e">
        <f t="shared" ca="1" si="33"/>
        <v>#N/A</v>
      </c>
      <c r="T213" s="62" t="e">
        <f t="shared" ca="1" si="27"/>
        <v>#N/A</v>
      </c>
      <c r="U213" s="62" t="e">
        <f t="shared" ca="1" si="28"/>
        <v>#N/A</v>
      </c>
      <c r="V213" s="62" t="e">
        <f t="shared" ca="1" si="29"/>
        <v>#N/A</v>
      </c>
      <c r="W213" s="60" t="e">
        <f t="shared" ca="1" si="30"/>
        <v>#N/A</v>
      </c>
      <c r="X213" s="60" t="e">
        <f t="shared" ca="1" si="34"/>
        <v>#N/A</v>
      </c>
      <c r="Y213" s="60" t="e">
        <f t="shared" ca="1" si="31"/>
        <v>#N/A</v>
      </c>
      <c r="Z213" s="60" t="e">
        <f t="shared" ca="1" si="32"/>
        <v>#N/A</v>
      </c>
    </row>
    <row r="214" spans="18:26" x14ac:dyDescent="0.25">
      <c r="R214" s="93" t="e">
        <f ca="1"/>
        <v>#N/A</v>
      </c>
      <c r="S214" s="62" t="e">
        <f t="shared" ca="1" si="33"/>
        <v>#N/A</v>
      </c>
      <c r="T214" s="62" t="e">
        <f t="shared" ca="1" si="27"/>
        <v>#N/A</v>
      </c>
      <c r="U214" s="62" t="e">
        <f t="shared" ca="1" si="28"/>
        <v>#N/A</v>
      </c>
      <c r="V214" s="62" t="e">
        <f t="shared" ca="1" si="29"/>
        <v>#N/A</v>
      </c>
      <c r="W214" s="60" t="e">
        <f t="shared" ca="1" si="30"/>
        <v>#N/A</v>
      </c>
      <c r="X214" s="60" t="e">
        <f t="shared" ca="1" si="34"/>
        <v>#N/A</v>
      </c>
      <c r="Y214" s="60" t="e">
        <f t="shared" ca="1" si="31"/>
        <v>#N/A</v>
      </c>
      <c r="Z214" s="60" t="e">
        <f t="shared" ca="1" si="32"/>
        <v>#N/A</v>
      </c>
    </row>
    <row r="215" spans="18:26" x14ac:dyDescent="0.25">
      <c r="R215" s="93" t="e">
        <f ca="1"/>
        <v>#N/A</v>
      </c>
      <c r="S215" s="62" t="e">
        <f t="shared" ca="1" si="33"/>
        <v>#N/A</v>
      </c>
      <c r="T215" s="62" t="e">
        <f t="shared" ca="1" si="27"/>
        <v>#N/A</v>
      </c>
      <c r="U215" s="62" t="e">
        <f t="shared" ca="1" si="28"/>
        <v>#N/A</v>
      </c>
      <c r="V215" s="62" t="e">
        <f t="shared" ca="1" si="29"/>
        <v>#N/A</v>
      </c>
      <c r="W215" s="60" t="e">
        <f t="shared" ca="1" si="30"/>
        <v>#N/A</v>
      </c>
      <c r="X215" s="60" t="e">
        <f t="shared" ca="1" si="34"/>
        <v>#N/A</v>
      </c>
      <c r="Y215" s="60" t="e">
        <f t="shared" ca="1" si="31"/>
        <v>#N/A</v>
      </c>
      <c r="Z215" s="60" t="e">
        <f t="shared" ca="1" si="32"/>
        <v>#N/A</v>
      </c>
    </row>
    <row r="216" spans="18:26" x14ac:dyDescent="0.25">
      <c r="R216" s="93" t="e">
        <f ca="1"/>
        <v>#N/A</v>
      </c>
      <c r="S216" s="62" t="e">
        <f t="shared" ca="1" si="33"/>
        <v>#N/A</v>
      </c>
      <c r="T216" s="62" t="e">
        <f t="shared" ca="1" si="27"/>
        <v>#N/A</v>
      </c>
      <c r="U216" s="62" t="e">
        <f t="shared" ca="1" si="28"/>
        <v>#N/A</v>
      </c>
      <c r="V216" s="62" t="e">
        <f t="shared" ca="1" si="29"/>
        <v>#N/A</v>
      </c>
      <c r="W216" s="60" t="e">
        <f t="shared" ca="1" si="30"/>
        <v>#N/A</v>
      </c>
      <c r="X216" s="60" t="e">
        <f t="shared" ca="1" si="34"/>
        <v>#N/A</v>
      </c>
      <c r="Y216" s="60" t="e">
        <f t="shared" ca="1" si="31"/>
        <v>#N/A</v>
      </c>
      <c r="Z216" s="60" t="e">
        <f t="shared" ca="1" si="32"/>
        <v>#N/A</v>
      </c>
    </row>
    <row r="217" spans="18:26" x14ac:dyDescent="0.25">
      <c r="R217" s="93" t="e">
        <f ca="1"/>
        <v>#N/A</v>
      </c>
      <c r="S217" s="62" t="e">
        <f t="shared" ca="1" si="33"/>
        <v>#N/A</v>
      </c>
      <c r="T217" s="62" t="e">
        <f t="shared" ca="1" si="27"/>
        <v>#N/A</v>
      </c>
      <c r="U217" s="62" t="e">
        <f t="shared" ca="1" si="28"/>
        <v>#N/A</v>
      </c>
      <c r="V217" s="62" t="e">
        <f t="shared" ca="1" si="29"/>
        <v>#N/A</v>
      </c>
      <c r="W217" s="60" t="e">
        <f t="shared" ca="1" si="30"/>
        <v>#N/A</v>
      </c>
      <c r="X217" s="60" t="e">
        <f t="shared" ca="1" si="34"/>
        <v>#N/A</v>
      </c>
      <c r="Y217" s="60" t="e">
        <f t="shared" ca="1" si="31"/>
        <v>#N/A</v>
      </c>
      <c r="Z217" s="60" t="e">
        <f t="shared" ca="1" si="32"/>
        <v>#N/A</v>
      </c>
    </row>
    <row r="218" spans="18:26" x14ac:dyDescent="0.25">
      <c r="R218" s="93" t="e">
        <f ca="1"/>
        <v>#N/A</v>
      </c>
      <c r="S218" s="62" t="e">
        <f t="shared" ca="1" si="33"/>
        <v>#N/A</v>
      </c>
      <c r="T218" s="62" t="e">
        <f t="shared" ca="1" si="27"/>
        <v>#N/A</v>
      </c>
      <c r="U218" s="62" t="e">
        <f t="shared" ca="1" si="28"/>
        <v>#N/A</v>
      </c>
      <c r="V218" s="62" t="e">
        <f t="shared" ca="1" si="29"/>
        <v>#N/A</v>
      </c>
      <c r="W218" s="60" t="e">
        <f t="shared" ca="1" si="30"/>
        <v>#N/A</v>
      </c>
      <c r="X218" s="60" t="e">
        <f t="shared" ca="1" si="34"/>
        <v>#N/A</v>
      </c>
      <c r="Y218" s="60" t="e">
        <f t="shared" ca="1" si="31"/>
        <v>#N/A</v>
      </c>
      <c r="Z218" s="60" t="e">
        <f t="shared" ca="1" si="32"/>
        <v>#N/A</v>
      </c>
    </row>
    <row r="219" spans="18:26" x14ac:dyDescent="0.25">
      <c r="R219" s="93" t="e">
        <f ca="1"/>
        <v>#N/A</v>
      </c>
      <c r="S219" s="62" t="e">
        <f t="shared" ca="1" si="33"/>
        <v>#N/A</v>
      </c>
      <c r="T219" s="62" t="e">
        <f t="shared" ca="1" si="27"/>
        <v>#N/A</v>
      </c>
      <c r="U219" s="62" t="e">
        <f t="shared" ca="1" si="28"/>
        <v>#N/A</v>
      </c>
      <c r="V219" s="62" t="e">
        <f t="shared" ca="1" si="29"/>
        <v>#N/A</v>
      </c>
      <c r="W219" s="60" t="e">
        <f t="shared" ca="1" si="30"/>
        <v>#N/A</v>
      </c>
      <c r="X219" s="60" t="e">
        <f t="shared" ca="1" si="34"/>
        <v>#N/A</v>
      </c>
      <c r="Y219" s="60" t="e">
        <f t="shared" ca="1" si="31"/>
        <v>#N/A</v>
      </c>
      <c r="Z219" s="60" t="e">
        <f t="shared" ca="1" si="32"/>
        <v>#N/A</v>
      </c>
    </row>
    <row r="220" spans="18:26" x14ac:dyDescent="0.25">
      <c r="R220" s="93" t="e">
        <f ca="1"/>
        <v>#N/A</v>
      </c>
      <c r="S220" s="62" t="e">
        <f t="shared" ca="1" si="33"/>
        <v>#N/A</v>
      </c>
      <c r="T220" s="62" t="e">
        <f t="shared" ca="1" si="27"/>
        <v>#N/A</v>
      </c>
      <c r="U220" s="62" t="e">
        <f t="shared" ca="1" si="28"/>
        <v>#N/A</v>
      </c>
      <c r="V220" s="62" t="e">
        <f t="shared" ca="1" si="29"/>
        <v>#N/A</v>
      </c>
      <c r="W220" s="60" t="e">
        <f t="shared" ca="1" si="30"/>
        <v>#N/A</v>
      </c>
      <c r="X220" s="60" t="e">
        <f t="shared" ca="1" si="34"/>
        <v>#N/A</v>
      </c>
      <c r="Y220" s="60" t="e">
        <f t="shared" ca="1" si="31"/>
        <v>#N/A</v>
      </c>
      <c r="Z220" s="60" t="e">
        <f t="shared" ca="1" si="32"/>
        <v>#N/A</v>
      </c>
    </row>
    <row r="221" spans="18:26" x14ac:dyDescent="0.25">
      <c r="R221" s="93" t="e">
        <f ca="1"/>
        <v>#N/A</v>
      </c>
      <c r="S221" s="62" t="e">
        <f t="shared" ca="1" si="33"/>
        <v>#N/A</v>
      </c>
      <c r="T221" s="62" t="e">
        <f t="shared" ca="1" si="27"/>
        <v>#N/A</v>
      </c>
      <c r="U221" s="62" t="e">
        <f t="shared" ca="1" si="28"/>
        <v>#N/A</v>
      </c>
      <c r="V221" s="62" t="e">
        <f t="shared" ca="1" si="29"/>
        <v>#N/A</v>
      </c>
      <c r="W221" s="60" t="e">
        <f t="shared" ca="1" si="30"/>
        <v>#N/A</v>
      </c>
      <c r="X221" s="60" t="e">
        <f t="shared" ca="1" si="34"/>
        <v>#N/A</v>
      </c>
      <c r="Y221" s="60" t="e">
        <f t="shared" ca="1" si="31"/>
        <v>#N/A</v>
      </c>
      <c r="Z221" s="60" t="e">
        <f t="shared" ca="1" si="32"/>
        <v>#N/A</v>
      </c>
    </row>
    <row r="222" spans="18:26" x14ac:dyDescent="0.25">
      <c r="R222" s="93" t="e">
        <f ca="1"/>
        <v>#N/A</v>
      </c>
      <c r="S222" s="62" t="e">
        <f t="shared" ca="1" si="33"/>
        <v>#N/A</v>
      </c>
      <c r="T222" s="62" t="e">
        <f t="shared" ca="1" si="27"/>
        <v>#N/A</v>
      </c>
      <c r="U222" s="62" t="e">
        <f t="shared" ca="1" si="28"/>
        <v>#N/A</v>
      </c>
      <c r="V222" s="62" t="e">
        <f t="shared" ca="1" si="29"/>
        <v>#N/A</v>
      </c>
      <c r="W222" s="60" t="e">
        <f t="shared" ca="1" si="30"/>
        <v>#N/A</v>
      </c>
      <c r="X222" s="60" t="e">
        <f t="shared" ca="1" si="34"/>
        <v>#N/A</v>
      </c>
      <c r="Y222" s="60" t="e">
        <f t="shared" ca="1" si="31"/>
        <v>#N/A</v>
      </c>
      <c r="Z222" s="60" t="e">
        <f t="shared" ca="1" si="32"/>
        <v>#N/A</v>
      </c>
    </row>
    <row r="223" spans="18:26" x14ac:dyDescent="0.25">
      <c r="R223" s="93" t="e">
        <f ca="1"/>
        <v>#N/A</v>
      </c>
      <c r="S223" s="62" t="e">
        <f t="shared" ca="1" si="33"/>
        <v>#N/A</v>
      </c>
      <c r="T223" s="62" t="e">
        <f t="shared" ca="1" si="27"/>
        <v>#N/A</v>
      </c>
      <c r="U223" s="62" t="e">
        <f t="shared" ca="1" si="28"/>
        <v>#N/A</v>
      </c>
      <c r="V223" s="62" t="e">
        <f t="shared" ca="1" si="29"/>
        <v>#N/A</v>
      </c>
      <c r="W223" s="60" t="e">
        <f t="shared" ca="1" si="30"/>
        <v>#N/A</v>
      </c>
      <c r="X223" s="60" t="e">
        <f t="shared" ca="1" si="34"/>
        <v>#N/A</v>
      </c>
      <c r="Y223" s="60" t="e">
        <f t="shared" ca="1" si="31"/>
        <v>#N/A</v>
      </c>
      <c r="Z223" s="60" t="e">
        <f t="shared" ca="1" si="32"/>
        <v>#N/A</v>
      </c>
    </row>
    <row r="224" spans="18:26" x14ac:dyDescent="0.25">
      <c r="R224" s="93" t="e">
        <f ca="1"/>
        <v>#N/A</v>
      </c>
      <c r="S224" s="62" t="e">
        <f t="shared" ca="1" si="33"/>
        <v>#N/A</v>
      </c>
      <c r="T224" s="62" t="e">
        <f t="shared" ca="1" si="27"/>
        <v>#N/A</v>
      </c>
      <c r="U224" s="62" t="e">
        <f t="shared" ca="1" si="28"/>
        <v>#N/A</v>
      </c>
      <c r="V224" s="62" t="e">
        <f t="shared" ca="1" si="29"/>
        <v>#N/A</v>
      </c>
      <c r="W224" s="60" t="e">
        <f t="shared" ca="1" si="30"/>
        <v>#N/A</v>
      </c>
      <c r="X224" s="60" t="e">
        <f t="shared" ca="1" si="34"/>
        <v>#N/A</v>
      </c>
      <c r="Y224" s="60" t="e">
        <f t="shared" ca="1" si="31"/>
        <v>#N/A</v>
      </c>
      <c r="Z224" s="60" t="e">
        <f t="shared" ca="1" si="32"/>
        <v>#N/A</v>
      </c>
    </row>
    <row r="225" spans="18:26" x14ac:dyDescent="0.25">
      <c r="R225" s="93" t="e">
        <f ca="1"/>
        <v>#N/A</v>
      </c>
      <c r="S225" s="62" t="e">
        <f t="shared" ca="1" si="33"/>
        <v>#N/A</v>
      </c>
      <c r="T225" s="62" t="e">
        <f t="shared" ca="1" si="27"/>
        <v>#N/A</v>
      </c>
      <c r="U225" s="62" t="e">
        <f t="shared" ca="1" si="28"/>
        <v>#N/A</v>
      </c>
      <c r="V225" s="62" t="e">
        <f t="shared" ca="1" si="29"/>
        <v>#N/A</v>
      </c>
      <c r="W225" s="60" t="e">
        <f t="shared" ca="1" si="30"/>
        <v>#N/A</v>
      </c>
      <c r="X225" s="60" t="e">
        <f t="shared" ca="1" si="34"/>
        <v>#N/A</v>
      </c>
      <c r="Y225" s="60" t="e">
        <f t="shared" ca="1" si="31"/>
        <v>#N/A</v>
      </c>
      <c r="Z225" s="60" t="e">
        <f t="shared" ca="1" si="32"/>
        <v>#N/A</v>
      </c>
    </row>
    <row r="226" spans="18:26" x14ac:dyDescent="0.25">
      <c r="R226" s="93" t="e">
        <f ca="1"/>
        <v>#N/A</v>
      </c>
      <c r="S226" s="62" t="e">
        <f t="shared" ca="1" si="33"/>
        <v>#N/A</v>
      </c>
      <c r="T226" s="62" t="e">
        <f t="shared" ca="1" si="27"/>
        <v>#N/A</v>
      </c>
      <c r="U226" s="62" t="e">
        <f t="shared" ca="1" si="28"/>
        <v>#N/A</v>
      </c>
      <c r="V226" s="62" t="e">
        <f t="shared" ca="1" si="29"/>
        <v>#N/A</v>
      </c>
      <c r="W226" s="60" t="e">
        <f t="shared" ca="1" si="30"/>
        <v>#N/A</v>
      </c>
      <c r="X226" s="60" t="e">
        <f t="shared" ca="1" si="34"/>
        <v>#N/A</v>
      </c>
      <c r="Y226" s="60" t="e">
        <f t="shared" ca="1" si="31"/>
        <v>#N/A</v>
      </c>
      <c r="Z226" s="60" t="e">
        <f t="shared" ca="1" si="32"/>
        <v>#N/A</v>
      </c>
    </row>
    <row r="227" spans="18:26" x14ac:dyDescent="0.25">
      <c r="R227" s="93" t="e">
        <f ca="1"/>
        <v>#N/A</v>
      </c>
      <c r="S227" s="62" t="e">
        <f t="shared" ca="1" si="33"/>
        <v>#N/A</v>
      </c>
      <c r="T227" s="62" t="e">
        <f t="shared" ca="1" si="27"/>
        <v>#N/A</v>
      </c>
      <c r="U227" s="62" t="e">
        <f t="shared" ca="1" si="28"/>
        <v>#N/A</v>
      </c>
      <c r="V227" s="62" t="e">
        <f t="shared" ca="1" si="29"/>
        <v>#N/A</v>
      </c>
      <c r="W227" s="60" t="e">
        <f t="shared" ca="1" si="30"/>
        <v>#N/A</v>
      </c>
      <c r="X227" s="60" t="e">
        <f t="shared" ca="1" si="34"/>
        <v>#N/A</v>
      </c>
      <c r="Y227" s="60" t="e">
        <f t="shared" ca="1" si="31"/>
        <v>#N/A</v>
      </c>
      <c r="Z227" s="60" t="e">
        <f t="shared" ca="1" si="32"/>
        <v>#N/A</v>
      </c>
    </row>
    <row r="228" spans="18:26" x14ac:dyDescent="0.25">
      <c r="R228" s="93" t="e">
        <f ca="1"/>
        <v>#N/A</v>
      </c>
      <c r="S228" s="62" t="e">
        <f t="shared" ca="1" si="33"/>
        <v>#N/A</v>
      </c>
      <c r="T228" s="62" t="e">
        <f t="shared" ca="1" si="27"/>
        <v>#N/A</v>
      </c>
      <c r="U228" s="62" t="e">
        <f t="shared" ca="1" si="28"/>
        <v>#N/A</v>
      </c>
      <c r="V228" s="62" t="e">
        <f t="shared" ca="1" si="29"/>
        <v>#N/A</v>
      </c>
      <c r="W228" s="60" t="e">
        <f t="shared" ca="1" si="30"/>
        <v>#N/A</v>
      </c>
      <c r="X228" s="60" t="e">
        <f t="shared" ca="1" si="34"/>
        <v>#N/A</v>
      </c>
      <c r="Y228" s="60" t="e">
        <f t="shared" ca="1" si="31"/>
        <v>#N/A</v>
      </c>
      <c r="Z228" s="60" t="e">
        <f t="shared" ca="1" si="32"/>
        <v>#N/A</v>
      </c>
    </row>
    <row r="229" spans="18:26" x14ac:dyDescent="0.25">
      <c r="R229" s="93" t="e">
        <f ca="1"/>
        <v>#N/A</v>
      </c>
      <c r="S229" s="62" t="e">
        <f t="shared" ca="1" si="33"/>
        <v>#N/A</v>
      </c>
      <c r="T229" s="62" t="e">
        <f t="shared" ca="1" si="27"/>
        <v>#N/A</v>
      </c>
      <c r="U229" s="62" t="e">
        <f t="shared" ca="1" si="28"/>
        <v>#N/A</v>
      </c>
      <c r="V229" s="62" t="e">
        <f t="shared" ca="1" si="29"/>
        <v>#N/A</v>
      </c>
      <c r="W229" s="60" t="e">
        <f t="shared" ca="1" si="30"/>
        <v>#N/A</v>
      </c>
      <c r="X229" s="60" t="e">
        <f t="shared" ca="1" si="34"/>
        <v>#N/A</v>
      </c>
      <c r="Y229" s="60" t="e">
        <f t="shared" ca="1" si="31"/>
        <v>#N/A</v>
      </c>
      <c r="Z229" s="60" t="e">
        <f t="shared" ca="1" si="32"/>
        <v>#N/A</v>
      </c>
    </row>
    <row r="230" spans="18:26" x14ac:dyDescent="0.25">
      <c r="R230" s="93" t="e">
        <f ca="1"/>
        <v>#N/A</v>
      </c>
      <c r="S230" s="62" t="e">
        <f t="shared" ca="1" si="33"/>
        <v>#N/A</v>
      </c>
      <c r="T230" s="62" t="e">
        <f t="shared" ca="1" si="27"/>
        <v>#N/A</v>
      </c>
      <c r="U230" s="62" t="e">
        <f t="shared" ca="1" si="28"/>
        <v>#N/A</v>
      </c>
      <c r="V230" s="62" t="e">
        <f t="shared" ca="1" si="29"/>
        <v>#N/A</v>
      </c>
      <c r="W230" s="60" t="e">
        <f t="shared" ca="1" si="30"/>
        <v>#N/A</v>
      </c>
      <c r="X230" s="60" t="e">
        <f t="shared" ca="1" si="34"/>
        <v>#N/A</v>
      </c>
      <c r="Y230" s="60" t="e">
        <f t="shared" ca="1" si="31"/>
        <v>#N/A</v>
      </c>
      <c r="Z230" s="60" t="e">
        <f t="shared" ca="1" si="32"/>
        <v>#N/A</v>
      </c>
    </row>
    <row r="231" spans="18:26" x14ac:dyDescent="0.25">
      <c r="R231" s="93" t="e">
        <f ca="1"/>
        <v>#N/A</v>
      </c>
      <c r="S231" s="62" t="e">
        <f t="shared" ca="1" si="33"/>
        <v>#N/A</v>
      </c>
      <c r="T231" s="62" t="e">
        <f t="shared" ca="1" si="27"/>
        <v>#N/A</v>
      </c>
      <c r="U231" s="62" t="e">
        <f t="shared" ca="1" si="28"/>
        <v>#N/A</v>
      </c>
      <c r="V231" s="62" t="e">
        <f t="shared" ca="1" si="29"/>
        <v>#N/A</v>
      </c>
      <c r="W231" s="60" t="e">
        <f t="shared" ca="1" si="30"/>
        <v>#N/A</v>
      </c>
      <c r="X231" s="60" t="e">
        <f t="shared" ca="1" si="34"/>
        <v>#N/A</v>
      </c>
      <c r="Y231" s="60" t="e">
        <f t="shared" ca="1" si="31"/>
        <v>#N/A</v>
      </c>
      <c r="Z231" s="60" t="e">
        <f t="shared" ca="1" si="32"/>
        <v>#N/A</v>
      </c>
    </row>
    <row r="232" spans="18:26" x14ac:dyDescent="0.25">
      <c r="R232" s="93" t="e">
        <f ca="1"/>
        <v>#N/A</v>
      </c>
      <c r="S232" s="62" t="e">
        <f t="shared" ca="1" si="33"/>
        <v>#N/A</v>
      </c>
      <c r="T232" s="62" t="e">
        <f t="shared" ca="1" si="27"/>
        <v>#N/A</v>
      </c>
      <c r="U232" s="62" t="e">
        <f t="shared" ca="1" si="28"/>
        <v>#N/A</v>
      </c>
      <c r="V232" s="62" t="e">
        <f t="shared" ca="1" si="29"/>
        <v>#N/A</v>
      </c>
      <c r="W232" s="60" t="e">
        <f t="shared" ca="1" si="30"/>
        <v>#N/A</v>
      </c>
      <c r="X232" s="60" t="e">
        <f t="shared" ca="1" si="34"/>
        <v>#N/A</v>
      </c>
      <c r="Y232" s="60" t="e">
        <f t="shared" ca="1" si="31"/>
        <v>#N/A</v>
      </c>
      <c r="Z232" s="60" t="e">
        <f t="shared" ca="1" si="32"/>
        <v>#N/A</v>
      </c>
    </row>
    <row r="233" spans="18:26" x14ac:dyDescent="0.25">
      <c r="R233" s="93" t="e">
        <f ca="1"/>
        <v>#N/A</v>
      </c>
      <c r="S233" s="62" t="e">
        <f t="shared" ca="1" si="33"/>
        <v>#N/A</v>
      </c>
      <c r="T233" s="62" t="e">
        <f t="shared" ca="1" si="27"/>
        <v>#N/A</v>
      </c>
      <c r="U233" s="62" t="e">
        <f t="shared" ca="1" si="28"/>
        <v>#N/A</v>
      </c>
      <c r="V233" s="62" t="e">
        <f t="shared" ca="1" si="29"/>
        <v>#N/A</v>
      </c>
      <c r="W233" s="60" t="e">
        <f t="shared" ca="1" si="30"/>
        <v>#N/A</v>
      </c>
      <c r="X233" s="60" t="e">
        <f t="shared" ca="1" si="34"/>
        <v>#N/A</v>
      </c>
      <c r="Y233" s="60" t="e">
        <f t="shared" ca="1" si="31"/>
        <v>#N/A</v>
      </c>
      <c r="Z233" s="60" t="e">
        <f t="shared" ca="1" si="32"/>
        <v>#N/A</v>
      </c>
    </row>
    <row r="234" spans="18:26" x14ac:dyDescent="0.25">
      <c r="R234" s="93" t="e">
        <f ca="1"/>
        <v>#N/A</v>
      </c>
      <c r="S234" s="62" t="e">
        <f t="shared" ca="1" si="33"/>
        <v>#N/A</v>
      </c>
      <c r="T234" s="62" t="e">
        <f t="shared" ca="1" si="27"/>
        <v>#N/A</v>
      </c>
      <c r="U234" s="62" t="e">
        <f t="shared" ca="1" si="28"/>
        <v>#N/A</v>
      </c>
      <c r="V234" s="62" t="e">
        <f t="shared" ca="1" si="29"/>
        <v>#N/A</v>
      </c>
      <c r="W234" s="60" t="e">
        <f t="shared" ca="1" si="30"/>
        <v>#N/A</v>
      </c>
      <c r="X234" s="60" t="e">
        <f t="shared" ca="1" si="34"/>
        <v>#N/A</v>
      </c>
      <c r="Y234" s="60" t="e">
        <f t="shared" ca="1" si="31"/>
        <v>#N/A</v>
      </c>
      <c r="Z234" s="60" t="e">
        <f t="shared" ca="1" si="32"/>
        <v>#N/A</v>
      </c>
    </row>
    <row r="235" spans="18:26" x14ac:dyDescent="0.25">
      <c r="R235" s="93" t="e">
        <f ca="1"/>
        <v>#N/A</v>
      </c>
      <c r="S235" s="62" t="e">
        <f t="shared" ca="1" si="33"/>
        <v>#N/A</v>
      </c>
      <c r="T235" s="62" t="e">
        <f t="shared" ca="1" si="27"/>
        <v>#N/A</v>
      </c>
      <c r="U235" s="62" t="e">
        <f t="shared" ca="1" si="28"/>
        <v>#N/A</v>
      </c>
      <c r="V235" s="62" t="e">
        <f t="shared" ca="1" si="29"/>
        <v>#N/A</v>
      </c>
      <c r="W235" s="60" t="e">
        <f t="shared" ca="1" si="30"/>
        <v>#N/A</v>
      </c>
      <c r="X235" s="60" t="e">
        <f t="shared" ca="1" si="34"/>
        <v>#N/A</v>
      </c>
      <c r="Y235" s="60" t="e">
        <f t="shared" ca="1" si="31"/>
        <v>#N/A</v>
      </c>
      <c r="Z235" s="60" t="e">
        <f t="shared" ca="1" si="32"/>
        <v>#N/A</v>
      </c>
    </row>
    <row r="236" spans="18:26" x14ac:dyDescent="0.25">
      <c r="R236" s="93" t="e">
        <f ca="1"/>
        <v>#N/A</v>
      </c>
      <c r="S236" s="62" t="e">
        <f t="shared" ca="1" si="33"/>
        <v>#N/A</v>
      </c>
      <c r="T236" s="62" t="e">
        <f t="shared" ca="1" si="27"/>
        <v>#N/A</v>
      </c>
      <c r="U236" s="62" t="e">
        <f t="shared" ca="1" si="28"/>
        <v>#N/A</v>
      </c>
      <c r="V236" s="62" t="e">
        <f t="shared" ca="1" si="29"/>
        <v>#N/A</v>
      </c>
      <c r="W236" s="60" t="e">
        <f t="shared" ca="1" si="30"/>
        <v>#N/A</v>
      </c>
      <c r="X236" s="60" t="e">
        <f t="shared" ca="1" si="34"/>
        <v>#N/A</v>
      </c>
      <c r="Y236" s="60" t="e">
        <f t="shared" ca="1" si="31"/>
        <v>#N/A</v>
      </c>
      <c r="Z236" s="60" t="e">
        <f t="shared" ca="1" si="32"/>
        <v>#N/A</v>
      </c>
    </row>
    <row r="237" spans="18:26" x14ac:dyDescent="0.25">
      <c r="R237" s="93" t="e">
        <f ca="1"/>
        <v>#N/A</v>
      </c>
      <c r="S237" s="62" t="e">
        <f t="shared" ca="1" si="33"/>
        <v>#N/A</v>
      </c>
      <c r="T237" s="62" t="e">
        <f t="shared" ca="1" si="27"/>
        <v>#N/A</v>
      </c>
      <c r="U237" s="62" t="e">
        <f t="shared" ca="1" si="28"/>
        <v>#N/A</v>
      </c>
      <c r="V237" s="62" t="e">
        <f t="shared" ca="1" si="29"/>
        <v>#N/A</v>
      </c>
      <c r="W237" s="60" t="e">
        <f t="shared" ca="1" si="30"/>
        <v>#N/A</v>
      </c>
      <c r="X237" s="60" t="e">
        <f t="shared" ca="1" si="34"/>
        <v>#N/A</v>
      </c>
      <c r="Y237" s="60" t="e">
        <f t="shared" ca="1" si="31"/>
        <v>#N/A</v>
      </c>
      <c r="Z237" s="60" t="e">
        <f t="shared" ca="1" si="32"/>
        <v>#N/A</v>
      </c>
    </row>
    <row r="238" spans="18:26" x14ac:dyDescent="0.25">
      <c r="R238" s="93" t="e">
        <f ca="1"/>
        <v>#N/A</v>
      </c>
      <c r="S238" s="62" t="e">
        <f t="shared" ca="1" si="33"/>
        <v>#N/A</v>
      </c>
      <c r="T238" s="62" t="e">
        <f t="shared" ca="1" si="27"/>
        <v>#N/A</v>
      </c>
      <c r="U238" s="62" t="e">
        <f t="shared" ca="1" si="28"/>
        <v>#N/A</v>
      </c>
      <c r="V238" s="62" t="e">
        <f t="shared" ca="1" si="29"/>
        <v>#N/A</v>
      </c>
      <c r="W238" s="60" t="e">
        <f t="shared" ca="1" si="30"/>
        <v>#N/A</v>
      </c>
      <c r="X238" s="60" t="e">
        <f t="shared" ca="1" si="34"/>
        <v>#N/A</v>
      </c>
      <c r="Y238" s="60" t="e">
        <f t="shared" ca="1" si="31"/>
        <v>#N/A</v>
      </c>
      <c r="Z238" s="60" t="e">
        <f t="shared" ca="1" si="32"/>
        <v>#N/A</v>
      </c>
    </row>
    <row r="239" spans="18:26" x14ac:dyDescent="0.25">
      <c r="R239" s="93" t="e">
        <f ca="1"/>
        <v>#N/A</v>
      </c>
      <c r="S239" s="62" t="e">
        <f t="shared" ca="1" si="33"/>
        <v>#N/A</v>
      </c>
      <c r="T239" s="62" t="e">
        <f t="shared" ca="1" si="27"/>
        <v>#N/A</v>
      </c>
      <c r="U239" s="62" t="e">
        <f t="shared" ca="1" si="28"/>
        <v>#N/A</v>
      </c>
      <c r="V239" s="62" t="e">
        <f t="shared" ca="1" si="29"/>
        <v>#N/A</v>
      </c>
      <c r="W239" s="60" t="e">
        <f t="shared" ca="1" si="30"/>
        <v>#N/A</v>
      </c>
      <c r="X239" s="60" t="e">
        <f t="shared" ca="1" si="34"/>
        <v>#N/A</v>
      </c>
      <c r="Y239" s="60" t="e">
        <f t="shared" ca="1" si="31"/>
        <v>#N/A</v>
      </c>
      <c r="Z239" s="60" t="e">
        <f t="shared" ca="1" si="32"/>
        <v>#N/A</v>
      </c>
    </row>
    <row r="240" spans="18:26" x14ac:dyDescent="0.25">
      <c r="R240" s="93" t="e">
        <f ca="1"/>
        <v>#N/A</v>
      </c>
      <c r="S240" s="62" t="e">
        <f t="shared" ca="1" si="33"/>
        <v>#N/A</v>
      </c>
      <c r="T240" s="62" t="e">
        <f t="shared" ca="1" si="27"/>
        <v>#N/A</v>
      </c>
      <c r="U240" s="62" t="e">
        <f t="shared" ca="1" si="28"/>
        <v>#N/A</v>
      </c>
      <c r="V240" s="62" t="e">
        <f t="shared" ca="1" si="29"/>
        <v>#N/A</v>
      </c>
      <c r="W240" s="60" t="e">
        <f t="shared" ca="1" si="30"/>
        <v>#N/A</v>
      </c>
      <c r="X240" s="60" t="e">
        <f t="shared" ca="1" si="34"/>
        <v>#N/A</v>
      </c>
      <c r="Y240" s="60" t="e">
        <f t="shared" ca="1" si="31"/>
        <v>#N/A</v>
      </c>
      <c r="Z240" s="60" t="e">
        <f t="shared" ca="1" si="32"/>
        <v>#N/A</v>
      </c>
    </row>
    <row r="241" spans="18:26" x14ac:dyDescent="0.25">
      <c r="R241" s="93" t="e">
        <f ca="1"/>
        <v>#N/A</v>
      </c>
      <c r="S241" s="62" t="e">
        <f t="shared" ca="1" si="33"/>
        <v>#N/A</v>
      </c>
      <c r="T241" s="62" t="e">
        <f t="shared" ca="1" si="27"/>
        <v>#N/A</v>
      </c>
      <c r="U241" s="62" t="e">
        <f t="shared" ca="1" si="28"/>
        <v>#N/A</v>
      </c>
      <c r="V241" s="62" t="e">
        <f t="shared" ca="1" si="29"/>
        <v>#N/A</v>
      </c>
      <c r="W241" s="60" t="e">
        <f t="shared" ca="1" si="30"/>
        <v>#N/A</v>
      </c>
      <c r="X241" s="60" t="e">
        <f t="shared" ca="1" si="34"/>
        <v>#N/A</v>
      </c>
      <c r="Y241" s="60" t="e">
        <f t="shared" ca="1" si="31"/>
        <v>#N/A</v>
      </c>
      <c r="Z241" s="60" t="e">
        <f t="shared" ca="1" si="32"/>
        <v>#N/A</v>
      </c>
    </row>
    <row r="242" spans="18:26" x14ac:dyDescent="0.25">
      <c r="R242" s="93" t="e">
        <f ca="1"/>
        <v>#N/A</v>
      </c>
      <c r="S242" s="62" t="e">
        <f t="shared" ca="1" si="33"/>
        <v>#N/A</v>
      </c>
      <c r="T242" s="62" t="e">
        <f t="shared" ca="1" si="27"/>
        <v>#N/A</v>
      </c>
      <c r="U242" s="62" t="e">
        <f t="shared" ca="1" si="28"/>
        <v>#N/A</v>
      </c>
      <c r="V242" s="62" t="e">
        <f t="shared" ca="1" si="29"/>
        <v>#N/A</v>
      </c>
      <c r="W242" s="60" t="e">
        <f t="shared" ca="1" si="30"/>
        <v>#N/A</v>
      </c>
      <c r="X242" s="60" t="e">
        <f t="shared" ca="1" si="34"/>
        <v>#N/A</v>
      </c>
      <c r="Y242" s="60" t="e">
        <f t="shared" ca="1" si="31"/>
        <v>#N/A</v>
      </c>
      <c r="Z242" s="60" t="e">
        <f t="shared" ca="1" si="32"/>
        <v>#N/A</v>
      </c>
    </row>
    <row r="243" spans="18:26" x14ac:dyDescent="0.25">
      <c r="R243" s="93" t="e">
        <f ca="1"/>
        <v>#N/A</v>
      </c>
      <c r="S243" s="62" t="e">
        <f t="shared" ca="1" si="33"/>
        <v>#N/A</v>
      </c>
      <c r="T243" s="62" t="e">
        <f t="shared" ca="1" si="27"/>
        <v>#N/A</v>
      </c>
      <c r="U243" s="62" t="e">
        <f t="shared" ca="1" si="28"/>
        <v>#N/A</v>
      </c>
      <c r="V243" s="62" t="e">
        <f t="shared" ca="1" si="29"/>
        <v>#N/A</v>
      </c>
      <c r="W243" s="60" t="e">
        <f t="shared" ca="1" si="30"/>
        <v>#N/A</v>
      </c>
      <c r="X243" s="60" t="e">
        <f t="shared" ca="1" si="34"/>
        <v>#N/A</v>
      </c>
      <c r="Y243" s="60" t="e">
        <f t="shared" ca="1" si="31"/>
        <v>#N/A</v>
      </c>
      <c r="Z243" s="60" t="e">
        <f t="shared" ca="1" si="32"/>
        <v>#N/A</v>
      </c>
    </row>
    <row r="244" spans="18:26" x14ac:dyDescent="0.25">
      <c r="R244" s="93" t="e">
        <f ca="1"/>
        <v>#N/A</v>
      </c>
      <c r="S244" s="62" t="e">
        <f t="shared" ca="1" si="33"/>
        <v>#N/A</v>
      </c>
      <c r="T244" s="62" t="e">
        <f t="shared" ca="1" si="27"/>
        <v>#N/A</v>
      </c>
      <c r="U244" s="62" t="e">
        <f t="shared" ca="1" si="28"/>
        <v>#N/A</v>
      </c>
      <c r="V244" s="62" t="e">
        <f t="shared" ca="1" si="29"/>
        <v>#N/A</v>
      </c>
      <c r="W244" s="60" t="e">
        <f t="shared" ca="1" si="30"/>
        <v>#N/A</v>
      </c>
      <c r="X244" s="60" t="e">
        <f t="shared" ca="1" si="34"/>
        <v>#N/A</v>
      </c>
      <c r="Y244" s="60" t="e">
        <f t="shared" ca="1" si="31"/>
        <v>#N/A</v>
      </c>
      <c r="Z244" s="60" t="e">
        <f t="shared" ca="1" si="32"/>
        <v>#N/A</v>
      </c>
    </row>
    <row r="245" spans="18:26" x14ac:dyDescent="0.25">
      <c r="R245" s="93" t="e">
        <f ca="1"/>
        <v>#N/A</v>
      </c>
      <c r="S245" s="62" t="e">
        <f t="shared" ca="1" si="33"/>
        <v>#N/A</v>
      </c>
      <c r="T245" s="62" t="e">
        <f t="shared" ca="1" si="27"/>
        <v>#N/A</v>
      </c>
      <c r="U245" s="62" t="e">
        <f t="shared" ca="1" si="28"/>
        <v>#N/A</v>
      </c>
      <c r="V245" s="62" t="e">
        <f t="shared" ca="1" si="29"/>
        <v>#N/A</v>
      </c>
      <c r="W245" s="60" t="e">
        <f t="shared" ca="1" si="30"/>
        <v>#N/A</v>
      </c>
      <c r="X245" s="60" t="e">
        <f t="shared" ca="1" si="34"/>
        <v>#N/A</v>
      </c>
      <c r="Y245" s="60" t="e">
        <f t="shared" ca="1" si="31"/>
        <v>#N/A</v>
      </c>
      <c r="Z245" s="60" t="e">
        <f t="shared" ca="1" si="32"/>
        <v>#N/A</v>
      </c>
    </row>
    <row r="246" spans="18:26" x14ac:dyDescent="0.25">
      <c r="R246" s="93" t="e">
        <f ca="1"/>
        <v>#N/A</v>
      </c>
      <c r="S246" s="62" t="e">
        <f t="shared" ca="1" si="33"/>
        <v>#N/A</v>
      </c>
      <c r="T246" s="62" t="e">
        <f t="shared" ca="1" si="27"/>
        <v>#N/A</v>
      </c>
      <c r="U246" s="62" t="e">
        <f t="shared" ca="1" si="28"/>
        <v>#N/A</v>
      </c>
      <c r="V246" s="62" t="e">
        <f t="shared" ca="1" si="29"/>
        <v>#N/A</v>
      </c>
      <c r="W246" s="60" t="e">
        <f t="shared" ca="1" si="30"/>
        <v>#N/A</v>
      </c>
      <c r="X246" s="60" t="e">
        <f t="shared" ca="1" si="34"/>
        <v>#N/A</v>
      </c>
      <c r="Y246" s="60" t="e">
        <f t="shared" ca="1" si="31"/>
        <v>#N/A</v>
      </c>
      <c r="Z246" s="60" t="e">
        <f t="shared" ca="1" si="32"/>
        <v>#N/A</v>
      </c>
    </row>
    <row r="247" spans="18:26" x14ac:dyDescent="0.25">
      <c r="R247" s="93" t="e">
        <f ca="1"/>
        <v>#N/A</v>
      </c>
      <c r="S247" s="62" t="e">
        <f t="shared" ca="1" si="33"/>
        <v>#N/A</v>
      </c>
      <c r="T247" s="62" t="e">
        <f t="shared" ca="1" si="27"/>
        <v>#N/A</v>
      </c>
      <c r="U247" s="62" t="e">
        <f t="shared" ca="1" si="28"/>
        <v>#N/A</v>
      </c>
      <c r="V247" s="62" t="e">
        <f t="shared" ca="1" si="29"/>
        <v>#N/A</v>
      </c>
      <c r="W247" s="60" t="e">
        <f t="shared" ca="1" si="30"/>
        <v>#N/A</v>
      </c>
      <c r="X247" s="60" t="e">
        <f t="shared" ca="1" si="34"/>
        <v>#N/A</v>
      </c>
      <c r="Y247" s="60" t="e">
        <f t="shared" ca="1" si="31"/>
        <v>#N/A</v>
      </c>
      <c r="Z247" s="60" t="e">
        <f t="shared" ca="1" si="32"/>
        <v>#N/A</v>
      </c>
    </row>
    <row r="248" spans="18:26" x14ac:dyDescent="0.25">
      <c r="R248" s="93" t="e">
        <f ca="1"/>
        <v>#N/A</v>
      </c>
      <c r="S248" s="62" t="e">
        <f t="shared" ca="1" si="33"/>
        <v>#N/A</v>
      </c>
      <c r="T248" s="62" t="e">
        <f t="shared" ca="1" si="27"/>
        <v>#N/A</v>
      </c>
      <c r="U248" s="62" t="e">
        <f t="shared" ca="1" si="28"/>
        <v>#N/A</v>
      </c>
      <c r="V248" s="62" t="e">
        <f t="shared" ca="1" si="29"/>
        <v>#N/A</v>
      </c>
      <c r="W248" s="60" t="e">
        <f t="shared" ca="1" si="30"/>
        <v>#N/A</v>
      </c>
      <c r="X248" s="60" t="e">
        <f t="shared" ca="1" si="34"/>
        <v>#N/A</v>
      </c>
      <c r="Y248" s="60" t="e">
        <f t="shared" ca="1" si="31"/>
        <v>#N/A</v>
      </c>
      <c r="Z248" s="60" t="e">
        <f t="shared" ca="1" si="32"/>
        <v>#N/A</v>
      </c>
    </row>
    <row r="249" spans="18:26" x14ac:dyDescent="0.25">
      <c r="R249" s="93" t="e">
        <f ca="1"/>
        <v>#N/A</v>
      </c>
      <c r="S249" s="62" t="e">
        <f t="shared" ca="1" si="33"/>
        <v>#N/A</v>
      </c>
      <c r="T249" s="62" t="e">
        <f t="shared" ca="1" si="27"/>
        <v>#N/A</v>
      </c>
      <c r="U249" s="62" t="e">
        <f t="shared" ca="1" si="28"/>
        <v>#N/A</v>
      </c>
      <c r="V249" s="62" t="e">
        <f t="shared" ca="1" si="29"/>
        <v>#N/A</v>
      </c>
      <c r="W249" s="60" t="e">
        <f t="shared" ca="1" si="30"/>
        <v>#N/A</v>
      </c>
      <c r="X249" s="60" t="e">
        <f t="shared" ca="1" si="34"/>
        <v>#N/A</v>
      </c>
      <c r="Y249" s="60" t="e">
        <f t="shared" ca="1" si="31"/>
        <v>#N/A</v>
      </c>
      <c r="Z249" s="60" t="e">
        <f t="shared" ca="1" si="32"/>
        <v>#N/A</v>
      </c>
    </row>
    <row r="250" spans="18:26" x14ac:dyDescent="0.25">
      <c r="R250" s="93" t="e">
        <f ca="1"/>
        <v>#N/A</v>
      </c>
      <c r="S250" s="62" t="e">
        <f t="shared" ca="1" si="33"/>
        <v>#N/A</v>
      </c>
      <c r="T250" s="62" t="e">
        <f t="shared" ca="1" si="27"/>
        <v>#N/A</v>
      </c>
      <c r="U250" s="62" t="e">
        <f t="shared" ca="1" si="28"/>
        <v>#N/A</v>
      </c>
      <c r="V250" s="62" t="e">
        <f t="shared" ca="1" si="29"/>
        <v>#N/A</v>
      </c>
      <c r="W250" s="60" t="e">
        <f t="shared" ca="1" si="30"/>
        <v>#N/A</v>
      </c>
      <c r="X250" s="60" t="e">
        <f t="shared" ca="1" si="34"/>
        <v>#N/A</v>
      </c>
      <c r="Y250" s="60" t="e">
        <f t="shared" ca="1" si="31"/>
        <v>#N/A</v>
      </c>
      <c r="Z250" s="60" t="e">
        <f t="shared" ca="1" si="32"/>
        <v>#N/A</v>
      </c>
    </row>
    <row r="251" spans="18:26" x14ac:dyDescent="0.25">
      <c r="R251" s="93" t="e">
        <f ca="1"/>
        <v>#N/A</v>
      </c>
      <c r="S251" s="62" t="e">
        <f t="shared" ca="1" si="33"/>
        <v>#N/A</v>
      </c>
      <c r="T251" s="62" t="e">
        <f t="shared" ca="1" si="27"/>
        <v>#N/A</v>
      </c>
      <c r="U251" s="62" t="e">
        <f t="shared" ca="1" si="28"/>
        <v>#N/A</v>
      </c>
      <c r="V251" s="62" t="e">
        <f t="shared" ca="1" si="29"/>
        <v>#N/A</v>
      </c>
      <c r="W251" s="60" t="e">
        <f t="shared" ca="1" si="30"/>
        <v>#N/A</v>
      </c>
      <c r="X251" s="60" t="e">
        <f t="shared" ca="1" si="34"/>
        <v>#N/A</v>
      </c>
      <c r="Y251" s="60" t="e">
        <f t="shared" ca="1" si="31"/>
        <v>#N/A</v>
      </c>
      <c r="Z251" s="60" t="e">
        <f t="shared" ca="1" si="32"/>
        <v>#N/A</v>
      </c>
    </row>
    <row r="252" spans="18:26" x14ac:dyDescent="0.25">
      <c r="R252" s="93" t="e">
        <f ca="1"/>
        <v>#N/A</v>
      </c>
      <c r="S252" s="62" t="e">
        <f t="shared" ca="1" si="33"/>
        <v>#N/A</v>
      </c>
      <c r="T252" s="62" t="e">
        <f t="shared" ca="1" si="27"/>
        <v>#N/A</v>
      </c>
      <c r="U252" s="62" t="e">
        <f t="shared" ca="1" si="28"/>
        <v>#N/A</v>
      </c>
      <c r="V252" s="62" t="e">
        <f t="shared" ca="1" si="29"/>
        <v>#N/A</v>
      </c>
      <c r="W252" s="60" t="e">
        <f t="shared" ca="1" si="30"/>
        <v>#N/A</v>
      </c>
      <c r="X252" s="60" t="e">
        <f t="shared" ca="1" si="34"/>
        <v>#N/A</v>
      </c>
      <c r="Y252" s="60" t="e">
        <f t="shared" ca="1" si="31"/>
        <v>#N/A</v>
      </c>
      <c r="Z252" s="60" t="e">
        <f t="shared" ca="1" si="32"/>
        <v>#N/A</v>
      </c>
    </row>
    <row r="253" spans="18:26" x14ac:dyDescent="0.25">
      <c r="R253" s="93" t="e">
        <f ca="1"/>
        <v>#N/A</v>
      </c>
      <c r="S253" s="62" t="e">
        <f t="shared" ca="1" si="33"/>
        <v>#N/A</v>
      </c>
      <c r="T253" s="62" t="e">
        <f t="shared" ca="1" si="27"/>
        <v>#N/A</v>
      </c>
      <c r="U253" s="62" t="e">
        <f t="shared" ca="1" si="28"/>
        <v>#N/A</v>
      </c>
      <c r="V253" s="62" t="e">
        <f t="shared" ca="1" si="29"/>
        <v>#N/A</v>
      </c>
      <c r="W253" s="60" t="e">
        <f t="shared" ca="1" si="30"/>
        <v>#N/A</v>
      </c>
      <c r="X253" s="60" t="e">
        <f t="shared" ca="1" si="34"/>
        <v>#N/A</v>
      </c>
      <c r="Y253" s="60" t="e">
        <f t="shared" ca="1" si="31"/>
        <v>#N/A</v>
      </c>
      <c r="Z253" s="60" t="e">
        <f t="shared" ca="1" si="32"/>
        <v>#N/A</v>
      </c>
    </row>
    <row r="254" spans="18:26" x14ac:dyDescent="0.25">
      <c r="R254" s="93" t="e">
        <f ca="1"/>
        <v>#N/A</v>
      </c>
      <c r="S254" s="62" t="e">
        <f t="shared" ca="1" si="33"/>
        <v>#N/A</v>
      </c>
      <c r="T254" s="62" t="e">
        <f t="shared" ca="1" si="27"/>
        <v>#N/A</v>
      </c>
      <c r="U254" s="62" t="e">
        <f t="shared" ca="1" si="28"/>
        <v>#N/A</v>
      </c>
      <c r="V254" s="62" t="e">
        <f t="shared" ca="1" si="29"/>
        <v>#N/A</v>
      </c>
      <c r="W254" s="60" t="e">
        <f t="shared" ca="1" si="30"/>
        <v>#N/A</v>
      </c>
      <c r="X254" s="60" t="e">
        <f t="shared" ca="1" si="34"/>
        <v>#N/A</v>
      </c>
      <c r="Y254" s="60" t="e">
        <f t="shared" ca="1" si="31"/>
        <v>#N/A</v>
      </c>
      <c r="Z254" s="60" t="e">
        <f t="shared" ca="1" si="32"/>
        <v>#N/A</v>
      </c>
    </row>
    <row r="255" spans="18:26" x14ac:dyDescent="0.25">
      <c r="R255" s="93" t="e">
        <f ca="1"/>
        <v>#N/A</v>
      </c>
      <c r="S255" s="62" t="e">
        <f t="shared" ca="1" si="33"/>
        <v>#N/A</v>
      </c>
      <c r="T255" s="62" t="e">
        <f t="shared" ca="1" si="27"/>
        <v>#N/A</v>
      </c>
      <c r="U255" s="62" t="e">
        <f t="shared" ca="1" si="28"/>
        <v>#N/A</v>
      </c>
      <c r="V255" s="62" t="e">
        <f t="shared" ca="1" si="29"/>
        <v>#N/A</v>
      </c>
      <c r="W255" s="60" t="e">
        <f t="shared" ca="1" si="30"/>
        <v>#N/A</v>
      </c>
      <c r="X255" s="60" t="e">
        <f t="shared" ca="1" si="34"/>
        <v>#N/A</v>
      </c>
      <c r="Y255" s="60" t="e">
        <f t="shared" ca="1" si="31"/>
        <v>#N/A</v>
      </c>
      <c r="Z255" s="60" t="e">
        <f t="shared" ca="1" si="32"/>
        <v>#N/A</v>
      </c>
    </row>
    <row r="256" spans="18:26" x14ac:dyDescent="0.25">
      <c r="R256" s="93" t="e">
        <f ca="1"/>
        <v>#N/A</v>
      </c>
      <c r="S256" s="62" t="e">
        <f t="shared" ca="1" si="33"/>
        <v>#N/A</v>
      </c>
      <c r="T256" s="62" t="e">
        <f t="shared" ca="1" si="27"/>
        <v>#N/A</v>
      </c>
      <c r="U256" s="62" t="e">
        <f t="shared" ca="1" si="28"/>
        <v>#N/A</v>
      </c>
      <c r="V256" s="62" t="e">
        <f t="shared" ca="1" si="29"/>
        <v>#N/A</v>
      </c>
      <c r="W256" s="60" t="e">
        <f t="shared" ca="1" si="30"/>
        <v>#N/A</v>
      </c>
      <c r="X256" s="60" t="e">
        <f t="shared" ca="1" si="34"/>
        <v>#N/A</v>
      </c>
      <c r="Y256" s="60" t="e">
        <f t="shared" ca="1" si="31"/>
        <v>#N/A</v>
      </c>
      <c r="Z256" s="60" t="e">
        <f t="shared" ca="1" si="32"/>
        <v>#N/A</v>
      </c>
    </row>
    <row r="257" spans="18:26" x14ac:dyDescent="0.25">
      <c r="R257" s="93" t="e">
        <f ca="1"/>
        <v>#N/A</v>
      </c>
      <c r="S257" s="62" t="e">
        <f t="shared" ca="1" si="33"/>
        <v>#N/A</v>
      </c>
      <c r="T257" s="62" t="e">
        <f t="shared" ca="1" si="27"/>
        <v>#N/A</v>
      </c>
      <c r="U257" s="62" t="e">
        <f t="shared" ca="1" si="28"/>
        <v>#N/A</v>
      </c>
      <c r="V257" s="62" t="e">
        <f t="shared" ca="1" si="29"/>
        <v>#N/A</v>
      </c>
      <c r="W257" s="60" t="e">
        <f t="shared" ca="1" si="30"/>
        <v>#N/A</v>
      </c>
      <c r="X257" s="60" t="e">
        <f t="shared" ca="1" si="34"/>
        <v>#N/A</v>
      </c>
      <c r="Y257" s="60" t="e">
        <f t="shared" ca="1" si="31"/>
        <v>#N/A</v>
      </c>
      <c r="Z257" s="60" t="e">
        <f t="shared" ca="1" si="32"/>
        <v>#N/A</v>
      </c>
    </row>
    <row r="258" spans="18:26" x14ac:dyDescent="0.25">
      <c r="R258" s="93" t="e">
        <f ca="1"/>
        <v>#N/A</v>
      </c>
      <c r="S258" s="62" t="e">
        <f t="shared" ca="1" si="33"/>
        <v>#N/A</v>
      </c>
      <c r="T258" s="62" t="e">
        <f t="shared" ca="1" si="27"/>
        <v>#N/A</v>
      </c>
      <c r="U258" s="62" t="e">
        <f t="shared" ca="1" si="28"/>
        <v>#N/A</v>
      </c>
      <c r="V258" s="62" t="e">
        <f t="shared" ca="1" si="29"/>
        <v>#N/A</v>
      </c>
      <c r="W258" s="60" t="e">
        <f t="shared" ca="1" si="30"/>
        <v>#N/A</v>
      </c>
      <c r="X258" s="60" t="e">
        <f t="shared" ca="1" si="34"/>
        <v>#N/A</v>
      </c>
      <c r="Y258" s="60" t="e">
        <f t="shared" ca="1" si="31"/>
        <v>#N/A</v>
      </c>
      <c r="Z258" s="60" t="e">
        <f t="shared" ca="1" si="32"/>
        <v>#N/A</v>
      </c>
    </row>
    <row r="259" spans="18:26" x14ac:dyDescent="0.25">
      <c r="R259" s="93" t="e">
        <f ca="1"/>
        <v>#N/A</v>
      </c>
      <c r="S259" s="62" t="e">
        <f t="shared" ca="1" si="33"/>
        <v>#N/A</v>
      </c>
      <c r="T259" s="62" t="e">
        <f t="shared" ca="1" si="27"/>
        <v>#N/A</v>
      </c>
      <c r="U259" s="62" t="e">
        <f t="shared" ca="1" si="28"/>
        <v>#N/A</v>
      </c>
      <c r="V259" s="62" t="e">
        <f t="shared" ca="1" si="29"/>
        <v>#N/A</v>
      </c>
      <c r="W259" s="60" t="e">
        <f t="shared" ca="1" si="30"/>
        <v>#N/A</v>
      </c>
      <c r="X259" s="60" t="e">
        <f t="shared" ca="1" si="34"/>
        <v>#N/A</v>
      </c>
      <c r="Y259" s="60" t="e">
        <f t="shared" ca="1" si="31"/>
        <v>#N/A</v>
      </c>
      <c r="Z259" s="60" t="e">
        <f t="shared" ca="1" si="32"/>
        <v>#N/A</v>
      </c>
    </row>
    <row r="260" spans="18:26" x14ac:dyDescent="0.25">
      <c r="R260" s="93" t="e">
        <f ca="1"/>
        <v>#N/A</v>
      </c>
      <c r="S260" s="62" t="e">
        <f t="shared" ca="1" si="33"/>
        <v>#N/A</v>
      </c>
      <c r="T260" s="62" t="e">
        <f t="shared" ca="1" si="27"/>
        <v>#N/A</v>
      </c>
      <c r="U260" s="62" t="e">
        <f t="shared" ca="1" si="28"/>
        <v>#N/A</v>
      </c>
      <c r="V260" s="62" t="e">
        <f t="shared" ca="1" si="29"/>
        <v>#N/A</v>
      </c>
      <c r="W260" s="60" t="e">
        <f t="shared" ca="1" si="30"/>
        <v>#N/A</v>
      </c>
      <c r="X260" s="60" t="e">
        <f t="shared" ca="1" si="34"/>
        <v>#N/A</v>
      </c>
      <c r="Y260" s="60" t="e">
        <f t="shared" ca="1" si="31"/>
        <v>#N/A</v>
      </c>
      <c r="Z260" s="60" t="e">
        <f t="shared" ca="1" si="32"/>
        <v>#N/A</v>
      </c>
    </row>
    <row r="261" spans="18:26" x14ac:dyDescent="0.25">
      <c r="R261" s="93" t="e">
        <f ca="1"/>
        <v>#N/A</v>
      </c>
      <c r="S261" s="62" t="e">
        <f t="shared" ca="1" si="33"/>
        <v>#N/A</v>
      </c>
      <c r="T261" s="62" t="e">
        <f t="shared" ca="1" si="27"/>
        <v>#N/A</v>
      </c>
      <c r="U261" s="62" t="e">
        <f t="shared" ca="1" si="28"/>
        <v>#N/A</v>
      </c>
      <c r="V261" s="62" t="e">
        <f t="shared" ca="1" si="29"/>
        <v>#N/A</v>
      </c>
      <c r="W261" s="60" t="e">
        <f t="shared" ca="1" si="30"/>
        <v>#N/A</v>
      </c>
      <c r="X261" s="60" t="e">
        <f t="shared" ca="1" si="34"/>
        <v>#N/A</v>
      </c>
      <c r="Y261" s="60" t="e">
        <f t="shared" ca="1" si="31"/>
        <v>#N/A</v>
      </c>
      <c r="Z261" s="60" t="e">
        <f t="shared" ca="1" si="32"/>
        <v>#N/A</v>
      </c>
    </row>
    <row r="262" spans="18:26" x14ac:dyDescent="0.25">
      <c r="R262" s="93" t="e">
        <f ca="1"/>
        <v>#N/A</v>
      </c>
      <c r="S262" s="62" t="e">
        <f t="shared" ca="1" si="33"/>
        <v>#N/A</v>
      </c>
      <c r="T262" s="62" t="e">
        <f t="shared" ca="1" si="27"/>
        <v>#N/A</v>
      </c>
      <c r="U262" s="62" t="e">
        <f t="shared" ca="1" si="28"/>
        <v>#N/A</v>
      </c>
      <c r="V262" s="62" t="e">
        <f t="shared" ca="1" si="29"/>
        <v>#N/A</v>
      </c>
      <c r="W262" s="60" t="e">
        <f t="shared" ca="1" si="30"/>
        <v>#N/A</v>
      </c>
      <c r="X262" s="60" t="e">
        <f t="shared" ca="1" si="34"/>
        <v>#N/A</v>
      </c>
      <c r="Y262" s="60" t="e">
        <f t="shared" ca="1" si="31"/>
        <v>#N/A</v>
      </c>
      <c r="Z262" s="60" t="e">
        <f t="shared" ca="1" si="32"/>
        <v>#N/A</v>
      </c>
    </row>
    <row r="263" spans="18:26" x14ac:dyDescent="0.25">
      <c r="R263" s="93" t="e">
        <f ca="1"/>
        <v>#N/A</v>
      </c>
      <c r="S263" s="62" t="e">
        <f t="shared" ca="1" si="33"/>
        <v>#N/A</v>
      </c>
      <c r="T263" s="62" t="e">
        <f t="shared" ca="1" si="27"/>
        <v>#N/A</v>
      </c>
      <c r="U263" s="62" t="e">
        <f t="shared" ca="1" si="28"/>
        <v>#N/A</v>
      </c>
      <c r="V263" s="62" t="e">
        <f t="shared" ca="1" si="29"/>
        <v>#N/A</v>
      </c>
      <c r="W263" s="60" t="e">
        <f t="shared" ca="1" si="30"/>
        <v>#N/A</v>
      </c>
      <c r="X263" s="60" t="e">
        <f t="shared" ca="1" si="34"/>
        <v>#N/A</v>
      </c>
      <c r="Y263" s="60" t="e">
        <f t="shared" ca="1" si="31"/>
        <v>#N/A</v>
      </c>
      <c r="Z263" s="60" t="e">
        <f t="shared" ca="1" si="32"/>
        <v>#N/A</v>
      </c>
    </row>
    <row r="264" spans="18:26" x14ac:dyDescent="0.25">
      <c r="R264" s="93" t="e">
        <f ca="1"/>
        <v>#N/A</v>
      </c>
      <c r="S264" s="62" t="e">
        <f t="shared" ca="1" si="33"/>
        <v>#N/A</v>
      </c>
      <c r="T264" s="62" t="e">
        <f t="shared" ca="1" si="27"/>
        <v>#N/A</v>
      </c>
      <c r="U264" s="62" t="e">
        <f t="shared" ca="1" si="28"/>
        <v>#N/A</v>
      </c>
      <c r="V264" s="62" t="e">
        <f t="shared" ca="1" si="29"/>
        <v>#N/A</v>
      </c>
      <c r="W264" s="60" t="e">
        <f t="shared" ca="1" si="30"/>
        <v>#N/A</v>
      </c>
      <c r="X264" s="60" t="e">
        <f t="shared" ca="1" si="34"/>
        <v>#N/A</v>
      </c>
      <c r="Y264" s="60" t="e">
        <f t="shared" ca="1" si="31"/>
        <v>#N/A</v>
      </c>
      <c r="Z264" s="60" t="e">
        <f t="shared" ca="1" si="32"/>
        <v>#N/A</v>
      </c>
    </row>
    <row r="265" spans="18:26" x14ac:dyDescent="0.25">
      <c r="R265" s="93" t="e">
        <f ca="1"/>
        <v>#N/A</v>
      </c>
      <c r="S265" s="62" t="e">
        <f t="shared" ca="1" si="33"/>
        <v>#N/A</v>
      </c>
      <c r="T265" s="62" t="e">
        <f t="shared" ca="1" si="27"/>
        <v>#N/A</v>
      </c>
      <c r="U265" s="62" t="e">
        <f t="shared" ca="1" si="28"/>
        <v>#N/A</v>
      </c>
      <c r="V265" s="62" t="e">
        <f t="shared" ca="1" si="29"/>
        <v>#N/A</v>
      </c>
      <c r="W265" s="60" t="e">
        <f t="shared" ca="1" si="30"/>
        <v>#N/A</v>
      </c>
      <c r="X265" s="60" t="e">
        <f t="shared" ca="1" si="34"/>
        <v>#N/A</v>
      </c>
      <c r="Y265" s="60" t="e">
        <f t="shared" ca="1" si="31"/>
        <v>#N/A</v>
      </c>
      <c r="Z265" s="60" t="e">
        <f t="shared" ca="1" si="32"/>
        <v>#N/A</v>
      </c>
    </row>
    <row r="266" spans="18:26" x14ac:dyDescent="0.25">
      <c r="R266" s="93" t="e">
        <f ca="1"/>
        <v>#N/A</v>
      </c>
      <c r="S266" s="62" t="e">
        <f t="shared" ca="1" si="33"/>
        <v>#N/A</v>
      </c>
      <c r="T266" s="62" t="e">
        <f t="shared" ca="1" si="27"/>
        <v>#N/A</v>
      </c>
      <c r="U266" s="62" t="e">
        <f t="shared" ca="1" si="28"/>
        <v>#N/A</v>
      </c>
      <c r="V266" s="62" t="e">
        <f t="shared" ca="1" si="29"/>
        <v>#N/A</v>
      </c>
      <c r="W266" s="60" t="e">
        <f t="shared" ca="1" si="30"/>
        <v>#N/A</v>
      </c>
      <c r="X266" s="60" t="e">
        <f t="shared" ca="1" si="34"/>
        <v>#N/A</v>
      </c>
      <c r="Y266" s="60" t="e">
        <f t="shared" ca="1" si="31"/>
        <v>#N/A</v>
      </c>
      <c r="Z266" s="60" t="e">
        <f t="shared" ca="1" si="32"/>
        <v>#N/A</v>
      </c>
    </row>
    <row r="267" spans="18:26" x14ac:dyDescent="0.25">
      <c r="R267" s="93" t="e">
        <f ca="1"/>
        <v>#N/A</v>
      </c>
      <c r="S267" s="62" t="e">
        <f t="shared" ca="1" si="33"/>
        <v>#N/A</v>
      </c>
      <c r="T267" s="62" t="e">
        <f t="shared" ca="1" si="27"/>
        <v>#N/A</v>
      </c>
      <c r="U267" s="62" t="e">
        <f t="shared" ca="1" si="28"/>
        <v>#N/A</v>
      </c>
      <c r="V267" s="62" t="e">
        <f t="shared" ca="1" si="29"/>
        <v>#N/A</v>
      </c>
      <c r="W267" s="60" t="e">
        <f t="shared" ca="1" si="30"/>
        <v>#N/A</v>
      </c>
      <c r="X267" s="60" t="e">
        <f t="shared" ca="1" si="34"/>
        <v>#N/A</v>
      </c>
      <c r="Y267" s="60" t="e">
        <f t="shared" ca="1" si="31"/>
        <v>#N/A</v>
      </c>
      <c r="Z267" s="60" t="e">
        <f t="shared" ca="1" si="32"/>
        <v>#N/A</v>
      </c>
    </row>
    <row r="268" spans="18:26" x14ac:dyDescent="0.25">
      <c r="R268" s="93" t="e">
        <f ca="1"/>
        <v>#N/A</v>
      </c>
      <c r="S268" s="62" t="e">
        <f t="shared" ca="1" si="33"/>
        <v>#N/A</v>
      </c>
      <c r="T268" s="62" t="e">
        <f t="shared" ca="1" si="27"/>
        <v>#N/A</v>
      </c>
      <c r="U268" s="62" t="e">
        <f t="shared" ca="1" si="28"/>
        <v>#N/A</v>
      </c>
      <c r="V268" s="62" t="e">
        <f t="shared" ca="1" si="29"/>
        <v>#N/A</v>
      </c>
      <c r="W268" s="60" t="e">
        <f t="shared" ca="1" si="30"/>
        <v>#N/A</v>
      </c>
      <c r="X268" s="60" t="e">
        <f t="shared" ca="1" si="34"/>
        <v>#N/A</v>
      </c>
      <c r="Y268" s="60" t="e">
        <f t="shared" ca="1" si="31"/>
        <v>#N/A</v>
      </c>
      <c r="Z268" s="60" t="e">
        <f t="shared" ca="1" si="32"/>
        <v>#N/A</v>
      </c>
    </row>
    <row r="269" spans="18:26" x14ac:dyDescent="0.25">
      <c r="R269" s="93" t="e">
        <f ca="1"/>
        <v>#N/A</v>
      </c>
      <c r="S269" s="62" t="e">
        <f t="shared" ca="1" si="33"/>
        <v>#N/A</v>
      </c>
      <c r="T269" s="62" t="e">
        <f t="shared" ca="1" si="27"/>
        <v>#N/A</v>
      </c>
      <c r="U269" s="62" t="e">
        <f t="shared" ca="1" si="28"/>
        <v>#N/A</v>
      </c>
      <c r="V269" s="62" t="e">
        <f t="shared" ca="1" si="29"/>
        <v>#N/A</v>
      </c>
      <c r="W269" s="60" t="e">
        <f t="shared" ca="1" si="30"/>
        <v>#N/A</v>
      </c>
      <c r="X269" s="60" t="e">
        <f t="shared" ca="1" si="34"/>
        <v>#N/A</v>
      </c>
      <c r="Y269" s="60" t="e">
        <f t="shared" ca="1" si="31"/>
        <v>#N/A</v>
      </c>
      <c r="Z269" s="60" t="e">
        <f t="shared" ca="1" si="32"/>
        <v>#N/A</v>
      </c>
    </row>
    <row r="270" spans="18:26" x14ac:dyDescent="0.25">
      <c r="R270" s="93" t="e">
        <f ca="1"/>
        <v>#N/A</v>
      </c>
      <c r="S270" s="62" t="e">
        <f t="shared" ca="1" si="33"/>
        <v>#N/A</v>
      </c>
      <c r="T270" s="62" t="e">
        <f t="shared" ca="1" si="27"/>
        <v>#N/A</v>
      </c>
      <c r="U270" s="62" t="e">
        <f t="shared" ca="1" si="28"/>
        <v>#N/A</v>
      </c>
      <c r="V270" s="62" t="e">
        <f t="shared" ca="1" si="29"/>
        <v>#N/A</v>
      </c>
      <c r="W270" s="60" t="e">
        <f t="shared" ca="1" si="30"/>
        <v>#N/A</v>
      </c>
      <c r="X270" s="60" t="e">
        <f t="shared" ca="1" si="34"/>
        <v>#N/A</v>
      </c>
      <c r="Y270" s="60" t="e">
        <f t="shared" ca="1" si="31"/>
        <v>#N/A</v>
      </c>
      <c r="Z270" s="60" t="e">
        <f t="shared" ca="1" si="32"/>
        <v>#N/A</v>
      </c>
    </row>
    <row r="271" spans="18:26" x14ac:dyDescent="0.25">
      <c r="R271" s="93" t="e">
        <f ca="1"/>
        <v>#N/A</v>
      </c>
      <c r="S271" s="62" t="e">
        <f t="shared" ca="1" si="33"/>
        <v>#N/A</v>
      </c>
      <c r="T271" s="62" t="e">
        <f t="shared" ca="1" si="27"/>
        <v>#N/A</v>
      </c>
      <c r="U271" s="62" t="e">
        <f t="shared" ca="1" si="28"/>
        <v>#N/A</v>
      </c>
      <c r="V271" s="62" t="e">
        <f t="shared" ca="1" si="29"/>
        <v>#N/A</v>
      </c>
      <c r="W271" s="60" t="e">
        <f t="shared" ca="1" si="30"/>
        <v>#N/A</v>
      </c>
      <c r="X271" s="60" t="e">
        <f t="shared" ca="1" si="34"/>
        <v>#N/A</v>
      </c>
      <c r="Y271" s="60" t="e">
        <f t="shared" ca="1" si="31"/>
        <v>#N/A</v>
      </c>
      <c r="Z271" s="60" t="e">
        <f t="shared" ca="1" si="32"/>
        <v>#N/A</v>
      </c>
    </row>
    <row r="272" spans="18:26" x14ac:dyDescent="0.25">
      <c r="R272" s="93" t="e">
        <f ca="1"/>
        <v>#N/A</v>
      </c>
      <c r="S272" s="62" t="e">
        <f t="shared" ca="1" si="33"/>
        <v>#N/A</v>
      </c>
      <c r="T272" s="62" t="e">
        <f t="shared" ca="1" si="27"/>
        <v>#N/A</v>
      </c>
      <c r="U272" s="62" t="e">
        <f t="shared" ca="1" si="28"/>
        <v>#N/A</v>
      </c>
      <c r="V272" s="62" t="e">
        <f t="shared" ca="1" si="29"/>
        <v>#N/A</v>
      </c>
      <c r="W272" s="60" t="e">
        <f t="shared" ca="1" si="30"/>
        <v>#N/A</v>
      </c>
      <c r="X272" s="60" t="e">
        <f t="shared" ca="1" si="34"/>
        <v>#N/A</v>
      </c>
      <c r="Y272" s="60" t="e">
        <f t="shared" ca="1" si="31"/>
        <v>#N/A</v>
      </c>
      <c r="Z272" s="60" t="e">
        <f t="shared" ca="1" si="32"/>
        <v>#N/A</v>
      </c>
    </row>
    <row r="273" spans="18:26" x14ac:dyDescent="0.25">
      <c r="R273" s="93" t="e">
        <f ca="1"/>
        <v>#N/A</v>
      </c>
      <c r="S273" s="62" t="e">
        <f t="shared" ca="1" si="33"/>
        <v>#N/A</v>
      </c>
      <c r="T273" s="62" t="e">
        <f t="shared" ca="1" si="27"/>
        <v>#N/A</v>
      </c>
      <c r="U273" s="62" t="e">
        <f t="shared" ca="1" si="28"/>
        <v>#N/A</v>
      </c>
      <c r="V273" s="62" t="e">
        <f t="shared" ca="1" si="29"/>
        <v>#N/A</v>
      </c>
      <c r="W273" s="60" t="e">
        <f t="shared" ca="1" si="30"/>
        <v>#N/A</v>
      </c>
      <c r="X273" s="60" t="e">
        <f t="shared" ca="1" si="34"/>
        <v>#N/A</v>
      </c>
      <c r="Y273" s="60" t="e">
        <f t="shared" ca="1" si="31"/>
        <v>#N/A</v>
      </c>
      <c r="Z273" s="60" t="e">
        <f t="shared" ca="1" si="32"/>
        <v>#N/A</v>
      </c>
    </row>
    <row r="274" spans="18:26" x14ac:dyDescent="0.25">
      <c r="R274" s="93" t="e">
        <f ca="1"/>
        <v>#N/A</v>
      </c>
      <c r="S274" s="62" t="e">
        <f t="shared" ca="1" si="33"/>
        <v>#N/A</v>
      </c>
      <c r="T274" s="62" t="e">
        <f t="shared" ref="T274:T337" ca="1" si="35">VLOOKUP(S274,ModelOutputs,2,FALSE)</f>
        <v>#N/A</v>
      </c>
      <c r="U274" s="62" t="e">
        <f t="shared" ref="U274:U337" ca="1" si="36">VLOOKUP(S274,ModelOutputs,7,FALSE)</f>
        <v>#N/A</v>
      </c>
      <c r="V274" s="62" t="e">
        <f t="shared" ref="V274:V337" ca="1" si="37">VLOOKUP(S274,ModelOutputs,6,FALSE)</f>
        <v>#N/A</v>
      </c>
      <c r="W274" s="60" t="e">
        <f t="shared" ref="W274:W337" ca="1" si="38">VLOOKUP(S274,ModelOutputs,10,FALSE)*AWC</f>
        <v>#N/A</v>
      </c>
      <c r="X274" s="60" t="e">
        <f t="shared" ca="1" si="34"/>
        <v>#N/A</v>
      </c>
      <c r="Y274" s="60" t="e">
        <f t="shared" ref="Y274:Y337" ca="1" si="39">VLOOKUP(S274,ModelOutputs,12,FALSE)</f>
        <v>#N/A</v>
      </c>
      <c r="Z274" s="60" t="e">
        <f t="shared" ref="Z274:Z337" ca="1" si="40">VLOOKUP(S274,ModelOutputs,13,FALSE)</f>
        <v>#N/A</v>
      </c>
    </row>
    <row r="275" spans="18:26" x14ac:dyDescent="0.25">
      <c r="R275" s="93" t="e">
        <f ca="1"/>
        <v>#N/A</v>
      </c>
      <c r="S275" s="62" t="e">
        <f t="shared" ref="S275:S338" ca="1" si="41">IF(R275&gt;1,R275,"")</f>
        <v>#N/A</v>
      </c>
      <c r="T275" s="62" t="e">
        <f t="shared" ca="1" si="35"/>
        <v>#N/A</v>
      </c>
      <c r="U275" s="62" t="e">
        <f t="shared" ca="1" si="36"/>
        <v>#N/A</v>
      </c>
      <c r="V275" s="62" t="e">
        <f t="shared" ca="1" si="37"/>
        <v>#N/A</v>
      </c>
      <c r="W275" s="60" t="e">
        <f t="shared" ca="1" si="38"/>
        <v>#N/A</v>
      </c>
      <c r="X275" s="60" t="e">
        <f t="shared" ref="X275:X338" ca="1" si="42">VLOOKUP(S275,ModelOutputs,11,FALSE)+X274</f>
        <v>#N/A</v>
      </c>
      <c r="Y275" s="60" t="e">
        <f t="shared" ca="1" si="39"/>
        <v>#N/A</v>
      </c>
      <c r="Z275" s="60" t="e">
        <f t="shared" ca="1" si="40"/>
        <v>#N/A</v>
      </c>
    </row>
    <row r="276" spans="18:26" x14ac:dyDescent="0.25">
      <c r="R276" s="93" t="e">
        <f ca="1"/>
        <v>#N/A</v>
      </c>
      <c r="S276" s="62" t="e">
        <f t="shared" ca="1" si="41"/>
        <v>#N/A</v>
      </c>
      <c r="T276" s="62" t="e">
        <f t="shared" ca="1" si="35"/>
        <v>#N/A</v>
      </c>
      <c r="U276" s="62" t="e">
        <f t="shared" ca="1" si="36"/>
        <v>#N/A</v>
      </c>
      <c r="V276" s="62" t="e">
        <f t="shared" ca="1" si="37"/>
        <v>#N/A</v>
      </c>
      <c r="W276" s="60" t="e">
        <f t="shared" ca="1" si="38"/>
        <v>#N/A</v>
      </c>
      <c r="X276" s="60" t="e">
        <f t="shared" ca="1" si="42"/>
        <v>#N/A</v>
      </c>
      <c r="Y276" s="60" t="e">
        <f t="shared" ca="1" si="39"/>
        <v>#N/A</v>
      </c>
      <c r="Z276" s="60" t="e">
        <f t="shared" ca="1" si="40"/>
        <v>#N/A</v>
      </c>
    </row>
    <row r="277" spans="18:26" x14ac:dyDescent="0.25">
      <c r="R277" s="93" t="e">
        <f ca="1"/>
        <v>#N/A</v>
      </c>
      <c r="S277" s="62" t="e">
        <f t="shared" ca="1" si="41"/>
        <v>#N/A</v>
      </c>
      <c r="T277" s="62" t="e">
        <f t="shared" ca="1" si="35"/>
        <v>#N/A</v>
      </c>
      <c r="U277" s="62" t="e">
        <f t="shared" ca="1" si="36"/>
        <v>#N/A</v>
      </c>
      <c r="V277" s="62" t="e">
        <f t="shared" ca="1" si="37"/>
        <v>#N/A</v>
      </c>
      <c r="W277" s="60" t="e">
        <f t="shared" ca="1" si="38"/>
        <v>#N/A</v>
      </c>
      <c r="X277" s="60" t="e">
        <f t="shared" ca="1" si="42"/>
        <v>#N/A</v>
      </c>
      <c r="Y277" s="60" t="e">
        <f t="shared" ca="1" si="39"/>
        <v>#N/A</v>
      </c>
      <c r="Z277" s="60" t="e">
        <f t="shared" ca="1" si="40"/>
        <v>#N/A</v>
      </c>
    </row>
    <row r="278" spans="18:26" x14ac:dyDescent="0.25">
      <c r="R278" s="93" t="e">
        <f ca="1"/>
        <v>#N/A</v>
      </c>
      <c r="S278" s="62" t="e">
        <f t="shared" ca="1" si="41"/>
        <v>#N/A</v>
      </c>
      <c r="T278" s="62" t="e">
        <f t="shared" ca="1" si="35"/>
        <v>#N/A</v>
      </c>
      <c r="U278" s="62" t="e">
        <f t="shared" ca="1" si="36"/>
        <v>#N/A</v>
      </c>
      <c r="V278" s="62" t="e">
        <f t="shared" ca="1" si="37"/>
        <v>#N/A</v>
      </c>
      <c r="W278" s="60" t="e">
        <f t="shared" ca="1" si="38"/>
        <v>#N/A</v>
      </c>
      <c r="X278" s="60" t="e">
        <f t="shared" ca="1" si="42"/>
        <v>#N/A</v>
      </c>
      <c r="Y278" s="60" t="e">
        <f t="shared" ca="1" si="39"/>
        <v>#N/A</v>
      </c>
      <c r="Z278" s="60" t="e">
        <f t="shared" ca="1" si="40"/>
        <v>#N/A</v>
      </c>
    </row>
    <row r="279" spans="18:26" x14ac:dyDescent="0.25">
      <c r="R279" s="93" t="e">
        <f ca="1"/>
        <v>#N/A</v>
      </c>
      <c r="S279" s="62" t="e">
        <f t="shared" ca="1" si="41"/>
        <v>#N/A</v>
      </c>
      <c r="T279" s="62" t="e">
        <f t="shared" ca="1" si="35"/>
        <v>#N/A</v>
      </c>
      <c r="U279" s="62" t="e">
        <f t="shared" ca="1" si="36"/>
        <v>#N/A</v>
      </c>
      <c r="V279" s="62" t="e">
        <f t="shared" ca="1" si="37"/>
        <v>#N/A</v>
      </c>
      <c r="W279" s="60" t="e">
        <f t="shared" ca="1" si="38"/>
        <v>#N/A</v>
      </c>
      <c r="X279" s="60" t="e">
        <f t="shared" ca="1" si="42"/>
        <v>#N/A</v>
      </c>
      <c r="Y279" s="60" t="e">
        <f t="shared" ca="1" si="39"/>
        <v>#N/A</v>
      </c>
      <c r="Z279" s="60" t="e">
        <f t="shared" ca="1" si="40"/>
        <v>#N/A</v>
      </c>
    </row>
    <row r="280" spans="18:26" x14ac:dyDescent="0.25">
      <c r="R280" s="93" t="e">
        <f ca="1"/>
        <v>#N/A</v>
      </c>
      <c r="S280" s="62" t="e">
        <f t="shared" ca="1" si="41"/>
        <v>#N/A</v>
      </c>
      <c r="T280" s="62" t="e">
        <f t="shared" ca="1" si="35"/>
        <v>#N/A</v>
      </c>
      <c r="U280" s="62" t="e">
        <f t="shared" ca="1" si="36"/>
        <v>#N/A</v>
      </c>
      <c r="V280" s="62" t="e">
        <f t="shared" ca="1" si="37"/>
        <v>#N/A</v>
      </c>
      <c r="W280" s="60" t="e">
        <f t="shared" ca="1" si="38"/>
        <v>#N/A</v>
      </c>
      <c r="X280" s="60" t="e">
        <f t="shared" ca="1" si="42"/>
        <v>#N/A</v>
      </c>
      <c r="Y280" s="60" t="e">
        <f t="shared" ca="1" si="39"/>
        <v>#N/A</v>
      </c>
      <c r="Z280" s="60" t="e">
        <f t="shared" ca="1" si="40"/>
        <v>#N/A</v>
      </c>
    </row>
    <row r="281" spans="18:26" x14ac:dyDescent="0.25">
      <c r="R281" s="93" t="e">
        <f ca="1"/>
        <v>#N/A</v>
      </c>
      <c r="S281" s="62" t="e">
        <f t="shared" ca="1" si="41"/>
        <v>#N/A</v>
      </c>
      <c r="T281" s="62" t="e">
        <f t="shared" ca="1" si="35"/>
        <v>#N/A</v>
      </c>
      <c r="U281" s="62" t="e">
        <f t="shared" ca="1" si="36"/>
        <v>#N/A</v>
      </c>
      <c r="V281" s="62" t="e">
        <f t="shared" ca="1" si="37"/>
        <v>#N/A</v>
      </c>
      <c r="W281" s="60" t="e">
        <f t="shared" ca="1" si="38"/>
        <v>#N/A</v>
      </c>
      <c r="X281" s="60" t="e">
        <f t="shared" ca="1" si="42"/>
        <v>#N/A</v>
      </c>
      <c r="Y281" s="60" t="e">
        <f t="shared" ca="1" si="39"/>
        <v>#N/A</v>
      </c>
      <c r="Z281" s="60" t="e">
        <f t="shared" ca="1" si="40"/>
        <v>#N/A</v>
      </c>
    </row>
    <row r="282" spans="18:26" x14ac:dyDescent="0.25">
      <c r="R282" s="93" t="e">
        <f ca="1"/>
        <v>#N/A</v>
      </c>
      <c r="S282" s="62" t="e">
        <f t="shared" ca="1" si="41"/>
        <v>#N/A</v>
      </c>
      <c r="T282" s="62" t="e">
        <f t="shared" ca="1" si="35"/>
        <v>#N/A</v>
      </c>
      <c r="U282" s="62" t="e">
        <f t="shared" ca="1" si="36"/>
        <v>#N/A</v>
      </c>
      <c r="V282" s="62" t="e">
        <f t="shared" ca="1" si="37"/>
        <v>#N/A</v>
      </c>
      <c r="W282" s="60" t="e">
        <f t="shared" ca="1" si="38"/>
        <v>#N/A</v>
      </c>
      <c r="X282" s="60" t="e">
        <f t="shared" ca="1" si="42"/>
        <v>#N/A</v>
      </c>
      <c r="Y282" s="60" t="e">
        <f t="shared" ca="1" si="39"/>
        <v>#N/A</v>
      </c>
      <c r="Z282" s="60" t="e">
        <f t="shared" ca="1" si="40"/>
        <v>#N/A</v>
      </c>
    </row>
    <row r="283" spans="18:26" x14ac:dyDescent="0.25">
      <c r="R283" s="93" t="e">
        <f ca="1"/>
        <v>#N/A</v>
      </c>
      <c r="S283" s="62" t="e">
        <f t="shared" ca="1" si="41"/>
        <v>#N/A</v>
      </c>
      <c r="T283" s="62" t="e">
        <f t="shared" ca="1" si="35"/>
        <v>#N/A</v>
      </c>
      <c r="U283" s="62" t="e">
        <f t="shared" ca="1" si="36"/>
        <v>#N/A</v>
      </c>
      <c r="V283" s="62" t="e">
        <f t="shared" ca="1" si="37"/>
        <v>#N/A</v>
      </c>
      <c r="W283" s="60" t="e">
        <f t="shared" ca="1" si="38"/>
        <v>#N/A</v>
      </c>
      <c r="X283" s="60" t="e">
        <f t="shared" ca="1" si="42"/>
        <v>#N/A</v>
      </c>
      <c r="Y283" s="60" t="e">
        <f t="shared" ca="1" si="39"/>
        <v>#N/A</v>
      </c>
      <c r="Z283" s="60" t="e">
        <f t="shared" ca="1" si="40"/>
        <v>#N/A</v>
      </c>
    </row>
    <row r="284" spans="18:26" x14ac:dyDescent="0.25">
      <c r="R284" s="93" t="e">
        <f ca="1"/>
        <v>#N/A</v>
      </c>
      <c r="S284" s="62" t="e">
        <f t="shared" ca="1" si="41"/>
        <v>#N/A</v>
      </c>
      <c r="T284" s="62" t="e">
        <f t="shared" ca="1" si="35"/>
        <v>#N/A</v>
      </c>
      <c r="U284" s="62" t="e">
        <f t="shared" ca="1" si="36"/>
        <v>#N/A</v>
      </c>
      <c r="V284" s="62" t="e">
        <f t="shared" ca="1" si="37"/>
        <v>#N/A</v>
      </c>
      <c r="W284" s="60" t="e">
        <f t="shared" ca="1" si="38"/>
        <v>#N/A</v>
      </c>
      <c r="X284" s="60" t="e">
        <f t="shared" ca="1" si="42"/>
        <v>#N/A</v>
      </c>
      <c r="Y284" s="60" t="e">
        <f t="shared" ca="1" si="39"/>
        <v>#N/A</v>
      </c>
      <c r="Z284" s="60" t="e">
        <f t="shared" ca="1" si="40"/>
        <v>#N/A</v>
      </c>
    </row>
    <row r="285" spans="18:26" x14ac:dyDescent="0.25">
      <c r="R285" s="93" t="e">
        <f ca="1"/>
        <v>#N/A</v>
      </c>
      <c r="S285" s="62" t="e">
        <f t="shared" ca="1" si="41"/>
        <v>#N/A</v>
      </c>
      <c r="T285" s="62" t="e">
        <f t="shared" ca="1" si="35"/>
        <v>#N/A</v>
      </c>
      <c r="U285" s="62" t="e">
        <f t="shared" ca="1" si="36"/>
        <v>#N/A</v>
      </c>
      <c r="V285" s="62" t="e">
        <f t="shared" ca="1" si="37"/>
        <v>#N/A</v>
      </c>
      <c r="W285" s="60" t="e">
        <f t="shared" ca="1" si="38"/>
        <v>#N/A</v>
      </c>
      <c r="X285" s="60" t="e">
        <f t="shared" ca="1" si="42"/>
        <v>#N/A</v>
      </c>
      <c r="Y285" s="60" t="e">
        <f t="shared" ca="1" si="39"/>
        <v>#N/A</v>
      </c>
      <c r="Z285" s="60" t="e">
        <f t="shared" ca="1" si="40"/>
        <v>#N/A</v>
      </c>
    </row>
    <row r="286" spans="18:26" x14ac:dyDescent="0.25">
      <c r="R286" s="93" t="e">
        <f ca="1"/>
        <v>#N/A</v>
      </c>
      <c r="S286" s="62" t="e">
        <f t="shared" ca="1" si="41"/>
        <v>#N/A</v>
      </c>
      <c r="T286" s="62" t="e">
        <f t="shared" ca="1" si="35"/>
        <v>#N/A</v>
      </c>
      <c r="U286" s="62" t="e">
        <f t="shared" ca="1" si="36"/>
        <v>#N/A</v>
      </c>
      <c r="V286" s="62" t="e">
        <f t="shared" ca="1" si="37"/>
        <v>#N/A</v>
      </c>
      <c r="W286" s="60" t="e">
        <f t="shared" ca="1" si="38"/>
        <v>#N/A</v>
      </c>
      <c r="X286" s="60" t="e">
        <f t="shared" ca="1" si="42"/>
        <v>#N/A</v>
      </c>
      <c r="Y286" s="60" t="e">
        <f t="shared" ca="1" si="39"/>
        <v>#N/A</v>
      </c>
      <c r="Z286" s="60" t="e">
        <f t="shared" ca="1" si="40"/>
        <v>#N/A</v>
      </c>
    </row>
    <row r="287" spans="18:26" x14ac:dyDescent="0.25">
      <c r="R287" s="93" t="e">
        <f ca="1"/>
        <v>#N/A</v>
      </c>
      <c r="S287" s="62" t="e">
        <f t="shared" ca="1" si="41"/>
        <v>#N/A</v>
      </c>
      <c r="T287" s="62" t="e">
        <f t="shared" ca="1" si="35"/>
        <v>#N/A</v>
      </c>
      <c r="U287" s="62" t="e">
        <f t="shared" ca="1" si="36"/>
        <v>#N/A</v>
      </c>
      <c r="V287" s="62" t="e">
        <f t="shared" ca="1" si="37"/>
        <v>#N/A</v>
      </c>
      <c r="W287" s="60" t="e">
        <f t="shared" ca="1" si="38"/>
        <v>#N/A</v>
      </c>
      <c r="X287" s="60" t="e">
        <f t="shared" ca="1" si="42"/>
        <v>#N/A</v>
      </c>
      <c r="Y287" s="60" t="e">
        <f t="shared" ca="1" si="39"/>
        <v>#N/A</v>
      </c>
      <c r="Z287" s="60" t="e">
        <f t="shared" ca="1" si="40"/>
        <v>#N/A</v>
      </c>
    </row>
    <row r="288" spans="18:26" x14ac:dyDescent="0.25">
      <c r="R288" s="93" t="e">
        <f ca="1"/>
        <v>#N/A</v>
      </c>
      <c r="S288" s="62" t="e">
        <f t="shared" ca="1" si="41"/>
        <v>#N/A</v>
      </c>
      <c r="T288" s="62" t="e">
        <f t="shared" ca="1" si="35"/>
        <v>#N/A</v>
      </c>
      <c r="U288" s="62" t="e">
        <f t="shared" ca="1" si="36"/>
        <v>#N/A</v>
      </c>
      <c r="V288" s="62" t="e">
        <f t="shared" ca="1" si="37"/>
        <v>#N/A</v>
      </c>
      <c r="W288" s="60" t="e">
        <f t="shared" ca="1" si="38"/>
        <v>#N/A</v>
      </c>
      <c r="X288" s="60" t="e">
        <f t="shared" ca="1" si="42"/>
        <v>#N/A</v>
      </c>
      <c r="Y288" s="60" t="e">
        <f t="shared" ca="1" si="39"/>
        <v>#N/A</v>
      </c>
      <c r="Z288" s="60" t="e">
        <f t="shared" ca="1" si="40"/>
        <v>#N/A</v>
      </c>
    </row>
    <row r="289" spans="18:26" x14ac:dyDescent="0.25">
      <c r="R289" s="93" t="e">
        <f ca="1"/>
        <v>#N/A</v>
      </c>
      <c r="S289" s="62" t="e">
        <f t="shared" ca="1" si="41"/>
        <v>#N/A</v>
      </c>
      <c r="T289" s="62" t="e">
        <f t="shared" ca="1" si="35"/>
        <v>#N/A</v>
      </c>
      <c r="U289" s="62" t="e">
        <f t="shared" ca="1" si="36"/>
        <v>#N/A</v>
      </c>
      <c r="V289" s="62" t="e">
        <f t="shared" ca="1" si="37"/>
        <v>#N/A</v>
      </c>
      <c r="W289" s="60" t="e">
        <f t="shared" ca="1" si="38"/>
        <v>#N/A</v>
      </c>
      <c r="X289" s="60" t="e">
        <f t="shared" ca="1" si="42"/>
        <v>#N/A</v>
      </c>
      <c r="Y289" s="60" t="e">
        <f t="shared" ca="1" si="39"/>
        <v>#N/A</v>
      </c>
      <c r="Z289" s="60" t="e">
        <f t="shared" ca="1" si="40"/>
        <v>#N/A</v>
      </c>
    </row>
    <row r="290" spans="18:26" x14ac:dyDescent="0.25">
      <c r="R290" s="93" t="e">
        <f ca="1"/>
        <v>#N/A</v>
      </c>
      <c r="S290" s="62" t="e">
        <f t="shared" ca="1" si="41"/>
        <v>#N/A</v>
      </c>
      <c r="T290" s="62" t="e">
        <f t="shared" ca="1" si="35"/>
        <v>#N/A</v>
      </c>
      <c r="U290" s="62" t="e">
        <f t="shared" ca="1" si="36"/>
        <v>#N/A</v>
      </c>
      <c r="V290" s="62" t="e">
        <f t="shared" ca="1" si="37"/>
        <v>#N/A</v>
      </c>
      <c r="W290" s="60" t="e">
        <f t="shared" ca="1" si="38"/>
        <v>#N/A</v>
      </c>
      <c r="X290" s="60" t="e">
        <f t="shared" ca="1" si="42"/>
        <v>#N/A</v>
      </c>
      <c r="Y290" s="60" t="e">
        <f t="shared" ca="1" si="39"/>
        <v>#N/A</v>
      </c>
      <c r="Z290" s="60" t="e">
        <f t="shared" ca="1" si="40"/>
        <v>#N/A</v>
      </c>
    </row>
    <row r="291" spans="18:26" x14ac:dyDescent="0.25">
      <c r="R291" s="93" t="e">
        <f ca="1"/>
        <v>#N/A</v>
      </c>
      <c r="S291" s="62" t="e">
        <f t="shared" ca="1" si="41"/>
        <v>#N/A</v>
      </c>
      <c r="T291" s="62" t="e">
        <f t="shared" ca="1" si="35"/>
        <v>#N/A</v>
      </c>
      <c r="U291" s="62" t="e">
        <f t="shared" ca="1" si="36"/>
        <v>#N/A</v>
      </c>
      <c r="V291" s="62" t="e">
        <f t="shared" ca="1" si="37"/>
        <v>#N/A</v>
      </c>
      <c r="W291" s="60" t="e">
        <f t="shared" ca="1" si="38"/>
        <v>#N/A</v>
      </c>
      <c r="X291" s="60" t="e">
        <f t="shared" ca="1" si="42"/>
        <v>#N/A</v>
      </c>
      <c r="Y291" s="60" t="e">
        <f t="shared" ca="1" si="39"/>
        <v>#N/A</v>
      </c>
      <c r="Z291" s="60" t="e">
        <f t="shared" ca="1" si="40"/>
        <v>#N/A</v>
      </c>
    </row>
    <row r="292" spans="18:26" x14ac:dyDescent="0.25">
      <c r="R292" s="93" t="e">
        <f ca="1"/>
        <v>#N/A</v>
      </c>
      <c r="S292" s="62" t="e">
        <f t="shared" ca="1" si="41"/>
        <v>#N/A</v>
      </c>
      <c r="T292" s="62" t="e">
        <f t="shared" ca="1" si="35"/>
        <v>#N/A</v>
      </c>
      <c r="U292" s="62" t="e">
        <f t="shared" ca="1" si="36"/>
        <v>#N/A</v>
      </c>
      <c r="V292" s="62" t="e">
        <f t="shared" ca="1" si="37"/>
        <v>#N/A</v>
      </c>
      <c r="W292" s="60" t="e">
        <f t="shared" ca="1" si="38"/>
        <v>#N/A</v>
      </c>
      <c r="X292" s="60" t="e">
        <f t="shared" ca="1" si="42"/>
        <v>#N/A</v>
      </c>
      <c r="Y292" s="60" t="e">
        <f t="shared" ca="1" si="39"/>
        <v>#N/A</v>
      </c>
      <c r="Z292" s="60" t="e">
        <f t="shared" ca="1" si="40"/>
        <v>#N/A</v>
      </c>
    </row>
    <row r="293" spans="18:26" x14ac:dyDescent="0.25">
      <c r="R293" s="93" t="e">
        <f ca="1"/>
        <v>#N/A</v>
      </c>
      <c r="S293" s="62" t="e">
        <f t="shared" ca="1" si="41"/>
        <v>#N/A</v>
      </c>
      <c r="T293" s="62" t="e">
        <f t="shared" ca="1" si="35"/>
        <v>#N/A</v>
      </c>
      <c r="U293" s="62" t="e">
        <f t="shared" ca="1" si="36"/>
        <v>#N/A</v>
      </c>
      <c r="V293" s="62" t="e">
        <f t="shared" ca="1" si="37"/>
        <v>#N/A</v>
      </c>
      <c r="W293" s="60" t="e">
        <f t="shared" ca="1" si="38"/>
        <v>#N/A</v>
      </c>
      <c r="X293" s="60" t="e">
        <f t="shared" ca="1" si="42"/>
        <v>#N/A</v>
      </c>
      <c r="Y293" s="60" t="e">
        <f t="shared" ca="1" si="39"/>
        <v>#N/A</v>
      </c>
      <c r="Z293" s="60" t="e">
        <f t="shared" ca="1" si="40"/>
        <v>#N/A</v>
      </c>
    </row>
    <row r="294" spans="18:26" x14ac:dyDescent="0.25">
      <c r="R294" s="93" t="e">
        <f ca="1"/>
        <v>#N/A</v>
      </c>
      <c r="S294" s="62" t="e">
        <f t="shared" ca="1" si="41"/>
        <v>#N/A</v>
      </c>
      <c r="T294" s="62" t="e">
        <f t="shared" ca="1" si="35"/>
        <v>#N/A</v>
      </c>
      <c r="U294" s="62" t="e">
        <f t="shared" ca="1" si="36"/>
        <v>#N/A</v>
      </c>
      <c r="V294" s="62" t="e">
        <f t="shared" ca="1" si="37"/>
        <v>#N/A</v>
      </c>
      <c r="W294" s="60" t="e">
        <f t="shared" ca="1" si="38"/>
        <v>#N/A</v>
      </c>
      <c r="X294" s="60" t="e">
        <f t="shared" ca="1" si="42"/>
        <v>#N/A</v>
      </c>
      <c r="Y294" s="60" t="e">
        <f t="shared" ca="1" si="39"/>
        <v>#N/A</v>
      </c>
      <c r="Z294" s="60" t="e">
        <f t="shared" ca="1" si="40"/>
        <v>#N/A</v>
      </c>
    </row>
    <row r="295" spans="18:26" x14ac:dyDescent="0.25">
      <c r="R295" s="93" t="e">
        <f ca="1"/>
        <v>#N/A</v>
      </c>
      <c r="S295" s="62" t="e">
        <f t="shared" ca="1" si="41"/>
        <v>#N/A</v>
      </c>
      <c r="T295" s="62" t="e">
        <f t="shared" ca="1" si="35"/>
        <v>#N/A</v>
      </c>
      <c r="U295" s="62" t="e">
        <f t="shared" ca="1" si="36"/>
        <v>#N/A</v>
      </c>
      <c r="V295" s="62" t="e">
        <f t="shared" ca="1" si="37"/>
        <v>#N/A</v>
      </c>
      <c r="W295" s="60" t="e">
        <f t="shared" ca="1" si="38"/>
        <v>#N/A</v>
      </c>
      <c r="X295" s="60" t="e">
        <f t="shared" ca="1" si="42"/>
        <v>#N/A</v>
      </c>
      <c r="Y295" s="60" t="e">
        <f t="shared" ca="1" si="39"/>
        <v>#N/A</v>
      </c>
      <c r="Z295" s="60" t="e">
        <f t="shared" ca="1" si="40"/>
        <v>#N/A</v>
      </c>
    </row>
    <row r="296" spans="18:26" x14ac:dyDescent="0.25">
      <c r="R296" s="93" t="e">
        <f ca="1"/>
        <v>#N/A</v>
      </c>
      <c r="S296" s="62" t="e">
        <f t="shared" ca="1" si="41"/>
        <v>#N/A</v>
      </c>
      <c r="T296" s="62" t="e">
        <f t="shared" ca="1" si="35"/>
        <v>#N/A</v>
      </c>
      <c r="U296" s="62" t="e">
        <f t="shared" ca="1" si="36"/>
        <v>#N/A</v>
      </c>
      <c r="V296" s="62" t="e">
        <f t="shared" ca="1" si="37"/>
        <v>#N/A</v>
      </c>
      <c r="W296" s="60" t="e">
        <f t="shared" ca="1" si="38"/>
        <v>#N/A</v>
      </c>
      <c r="X296" s="60" t="e">
        <f t="shared" ca="1" si="42"/>
        <v>#N/A</v>
      </c>
      <c r="Y296" s="60" t="e">
        <f t="shared" ca="1" si="39"/>
        <v>#N/A</v>
      </c>
      <c r="Z296" s="60" t="e">
        <f t="shared" ca="1" si="40"/>
        <v>#N/A</v>
      </c>
    </row>
    <row r="297" spans="18:26" x14ac:dyDescent="0.25">
      <c r="R297" s="93" t="e">
        <f ca="1"/>
        <v>#N/A</v>
      </c>
      <c r="S297" s="62" t="e">
        <f t="shared" ca="1" si="41"/>
        <v>#N/A</v>
      </c>
      <c r="T297" s="62" t="e">
        <f t="shared" ca="1" si="35"/>
        <v>#N/A</v>
      </c>
      <c r="U297" s="62" t="e">
        <f t="shared" ca="1" si="36"/>
        <v>#N/A</v>
      </c>
      <c r="V297" s="62" t="e">
        <f t="shared" ca="1" si="37"/>
        <v>#N/A</v>
      </c>
      <c r="W297" s="60" t="e">
        <f t="shared" ca="1" si="38"/>
        <v>#N/A</v>
      </c>
      <c r="X297" s="60" t="e">
        <f t="shared" ca="1" si="42"/>
        <v>#N/A</v>
      </c>
      <c r="Y297" s="60" t="e">
        <f t="shared" ca="1" si="39"/>
        <v>#N/A</v>
      </c>
      <c r="Z297" s="60" t="e">
        <f t="shared" ca="1" si="40"/>
        <v>#N/A</v>
      </c>
    </row>
    <row r="298" spans="18:26" x14ac:dyDescent="0.25">
      <c r="R298" s="93" t="e">
        <f ca="1"/>
        <v>#N/A</v>
      </c>
      <c r="S298" s="62" t="e">
        <f t="shared" ca="1" si="41"/>
        <v>#N/A</v>
      </c>
      <c r="T298" s="62" t="e">
        <f t="shared" ca="1" si="35"/>
        <v>#N/A</v>
      </c>
      <c r="U298" s="62" t="e">
        <f t="shared" ca="1" si="36"/>
        <v>#N/A</v>
      </c>
      <c r="V298" s="62" t="e">
        <f t="shared" ca="1" si="37"/>
        <v>#N/A</v>
      </c>
      <c r="W298" s="60" t="e">
        <f t="shared" ca="1" si="38"/>
        <v>#N/A</v>
      </c>
      <c r="X298" s="60" t="e">
        <f t="shared" ca="1" si="42"/>
        <v>#N/A</v>
      </c>
      <c r="Y298" s="60" t="e">
        <f t="shared" ca="1" si="39"/>
        <v>#N/A</v>
      </c>
      <c r="Z298" s="60" t="e">
        <f t="shared" ca="1" si="40"/>
        <v>#N/A</v>
      </c>
    </row>
    <row r="299" spans="18:26" x14ac:dyDescent="0.25">
      <c r="R299" s="93" t="e">
        <f ca="1"/>
        <v>#N/A</v>
      </c>
      <c r="S299" s="62" t="e">
        <f t="shared" ca="1" si="41"/>
        <v>#N/A</v>
      </c>
      <c r="T299" s="62" t="e">
        <f t="shared" ca="1" si="35"/>
        <v>#N/A</v>
      </c>
      <c r="U299" s="62" t="e">
        <f t="shared" ca="1" si="36"/>
        <v>#N/A</v>
      </c>
      <c r="V299" s="62" t="e">
        <f t="shared" ca="1" si="37"/>
        <v>#N/A</v>
      </c>
      <c r="W299" s="60" t="e">
        <f t="shared" ca="1" si="38"/>
        <v>#N/A</v>
      </c>
      <c r="X299" s="60" t="e">
        <f t="shared" ca="1" si="42"/>
        <v>#N/A</v>
      </c>
      <c r="Y299" s="60" t="e">
        <f t="shared" ca="1" si="39"/>
        <v>#N/A</v>
      </c>
      <c r="Z299" s="60" t="e">
        <f t="shared" ca="1" si="40"/>
        <v>#N/A</v>
      </c>
    </row>
    <row r="300" spans="18:26" x14ac:dyDescent="0.25">
      <c r="R300" s="93" t="e">
        <f ca="1"/>
        <v>#N/A</v>
      </c>
      <c r="S300" s="62" t="e">
        <f t="shared" ca="1" si="41"/>
        <v>#N/A</v>
      </c>
      <c r="T300" s="62" t="e">
        <f t="shared" ca="1" si="35"/>
        <v>#N/A</v>
      </c>
      <c r="U300" s="62" t="e">
        <f t="shared" ca="1" si="36"/>
        <v>#N/A</v>
      </c>
      <c r="V300" s="62" t="e">
        <f t="shared" ca="1" si="37"/>
        <v>#N/A</v>
      </c>
      <c r="W300" s="60" t="e">
        <f t="shared" ca="1" si="38"/>
        <v>#N/A</v>
      </c>
      <c r="X300" s="60" t="e">
        <f t="shared" ca="1" si="42"/>
        <v>#N/A</v>
      </c>
      <c r="Y300" s="60" t="e">
        <f t="shared" ca="1" si="39"/>
        <v>#N/A</v>
      </c>
      <c r="Z300" s="60" t="e">
        <f t="shared" ca="1" si="40"/>
        <v>#N/A</v>
      </c>
    </row>
    <row r="301" spans="18:26" x14ac:dyDescent="0.25">
      <c r="R301" s="93" t="e">
        <f ca="1"/>
        <v>#N/A</v>
      </c>
      <c r="S301" s="62" t="e">
        <f t="shared" ca="1" si="41"/>
        <v>#N/A</v>
      </c>
      <c r="T301" s="62" t="e">
        <f t="shared" ca="1" si="35"/>
        <v>#N/A</v>
      </c>
      <c r="U301" s="62" t="e">
        <f t="shared" ca="1" si="36"/>
        <v>#N/A</v>
      </c>
      <c r="V301" s="62" t="e">
        <f t="shared" ca="1" si="37"/>
        <v>#N/A</v>
      </c>
      <c r="W301" s="60" t="e">
        <f t="shared" ca="1" si="38"/>
        <v>#N/A</v>
      </c>
      <c r="X301" s="60" t="e">
        <f t="shared" ca="1" si="42"/>
        <v>#N/A</v>
      </c>
      <c r="Y301" s="60" t="e">
        <f t="shared" ca="1" si="39"/>
        <v>#N/A</v>
      </c>
      <c r="Z301" s="60" t="e">
        <f t="shared" ca="1" si="40"/>
        <v>#N/A</v>
      </c>
    </row>
    <row r="302" spans="18:26" x14ac:dyDescent="0.25">
      <c r="R302" s="93" t="e">
        <f ca="1"/>
        <v>#N/A</v>
      </c>
      <c r="S302" s="62" t="e">
        <f t="shared" ca="1" si="41"/>
        <v>#N/A</v>
      </c>
      <c r="T302" s="62" t="e">
        <f t="shared" ca="1" si="35"/>
        <v>#N/A</v>
      </c>
      <c r="U302" s="62" t="e">
        <f t="shared" ca="1" si="36"/>
        <v>#N/A</v>
      </c>
      <c r="V302" s="62" t="e">
        <f t="shared" ca="1" si="37"/>
        <v>#N/A</v>
      </c>
      <c r="W302" s="60" t="e">
        <f t="shared" ca="1" si="38"/>
        <v>#N/A</v>
      </c>
      <c r="X302" s="60" t="e">
        <f t="shared" ca="1" si="42"/>
        <v>#N/A</v>
      </c>
      <c r="Y302" s="60" t="e">
        <f t="shared" ca="1" si="39"/>
        <v>#N/A</v>
      </c>
      <c r="Z302" s="60" t="e">
        <f t="shared" ca="1" si="40"/>
        <v>#N/A</v>
      </c>
    </row>
    <row r="303" spans="18:26" x14ac:dyDescent="0.25">
      <c r="R303" s="93" t="e">
        <f ca="1"/>
        <v>#N/A</v>
      </c>
      <c r="S303" s="62" t="e">
        <f t="shared" ca="1" si="41"/>
        <v>#N/A</v>
      </c>
      <c r="T303" s="62" t="e">
        <f t="shared" ca="1" si="35"/>
        <v>#N/A</v>
      </c>
      <c r="U303" s="62" t="e">
        <f t="shared" ca="1" si="36"/>
        <v>#N/A</v>
      </c>
      <c r="V303" s="62" t="e">
        <f t="shared" ca="1" si="37"/>
        <v>#N/A</v>
      </c>
      <c r="W303" s="60" t="e">
        <f t="shared" ca="1" si="38"/>
        <v>#N/A</v>
      </c>
      <c r="X303" s="60" t="e">
        <f t="shared" ca="1" si="42"/>
        <v>#N/A</v>
      </c>
      <c r="Y303" s="60" t="e">
        <f t="shared" ca="1" si="39"/>
        <v>#N/A</v>
      </c>
      <c r="Z303" s="60" t="e">
        <f t="shared" ca="1" si="40"/>
        <v>#N/A</v>
      </c>
    </row>
    <row r="304" spans="18:26" x14ac:dyDescent="0.25">
      <c r="R304" s="93" t="e">
        <f ca="1"/>
        <v>#N/A</v>
      </c>
      <c r="S304" s="62" t="e">
        <f t="shared" ca="1" si="41"/>
        <v>#N/A</v>
      </c>
      <c r="T304" s="62" t="e">
        <f t="shared" ca="1" si="35"/>
        <v>#N/A</v>
      </c>
      <c r="U304" s="62" t="e">
        <f t="shared" ca="1" si="36"/>
        <v>#N/A</v>
      </c>
      <c r="V304" s="62" t="e">
        <f t="shared" ca="1" si="37"/>
        <v>#N/A</v>
      </c>
      <c r="W304" s="60" t="e">
        <f t="shared" ca="1" si="38"/>
        <v>#N/A</v>
      </c>
      <c r="X304" s="60" t="e">
        <f t="shared" ca="1" si="42"/>
        <v>#N/A</v>
      </c>
      <c r="Y304" s="60" t="e">
        <f t="shared" ca="1" si="39"/>
        <v>#N/A</v>
      </c>
      <c r="Z304" s="60" t="e">
        <f t="shared" ca="1" si="40"/>
        <v>#N/A</v>
      </c>
    </row>
    <row r="305" spans="18:26" x14ac:dyDescent="0.25">
      <c r="R305" s="93" t="e">
        <f ca="1"/>
        <v>#N/A</v>
      </c>
      <c r="S305" s="62" t="e">
        <f t="shared" ca="1" si="41"/>
        <v>#N/A</v>
      </c>
      <c r="T305" s="62" t="e">
        <f t="shared" ca="1" si="35"/>
        <v>#N/A</v>
      </c>
      <c r="U305" s="62" t="e">
        <f t="shared" ca="1" si="36"/>
        <v>#N/A</v>
      </c>
      <c r="V305" s="62" t="e">
        <f t="shared" ca="1" si="37"/>
        <v>#N/A</v>
      </c>
      <c r="W305" s="60" t="e">
        <f t="shared" ca="1" si="38"/>
        <v>#N/A</v>
      </c>
      <c r="X305" s="60" t="e">
        <f t="shared" ca="1" si="42"/>
        <v>#N/A</v>
      </c>
      <c r="Y305" s="60" t="e">
        <f t="shared" ca="1" si="39"/>
        <v>#N/A</v>
      </c>
      <c r="Z305" s="60" t="e">
        <f t="shared" ca="1" si="40"/>
        <v>#N/A</v>
      </c>
    </row>
    <row r="306" spans="18:26" x14ac:dyDescent="0.25">
      <c r="R306" s="93" t="e">
        <f ca="1"/>
        <v>#N/A</v>
      </c>
      <c r="S306" s="62" t="e">
        <f t="shared" ca="1" si="41"/>
        <v>#N/A</v>
      </c>
      <c r="T306" s="62" t="e">
        <f t="shared" ca="1" si="35"/>
        <v>#N/A</v>
      </c>
      <c r="U306" s="62" t="e">
        <f t="shared" ca="1" si="36"/>
        <v>#N/A</v>
      </c>
      <c r="V306" s="62" t="e">
        <f t="shared" ca="1" si="37"/>
        <v>#N/A</v>
      </c>
      <c r="W306" s="60" t="e">
        <f t="shared" ca="1" si="38"/>
        <v>#N/A</v>
      </c>
      <c r="X306" s="60" t="e">
        <f t="shared" ca="1" si="42"/>
        <v>#N/A</v>
      </c>
      <c r="Y306" s="60" t="e">
        <f t="shared" ca="1" si="39"/>
        <v>#N/A</v>
      </c>
      <c r="Z306" s="60" t="e">
        <f t="shared" ca="1" si="40"/>
        <v>#N/A</v>
      </c>
    </row>
    <row r="307" spans="18:26" x14ac:dyDescent="0.25">
      <c r="R307" s="93" t="e">
        <f ca="1"/>
        <v>#N/A</v>
      </c>
      <c r="S307" s="62" t="e">
        <f t="shared" ca="1" si="41"/>
        <v>#N/A</v>
      </c>
      <c r="T307" s="62" t="e">
        <f t="shared" ca="1" si="35"/>
        <v>#N/A</v>
      </c>
      <c r="U307" s="62" t="e">
        <f t="shared" ca="1" si="36"/>
        <v>#N/A</v>
      </c>
      <c r="V307" s="62" t="e">
        <f t="shared" ca="1" si="37"/>
        <v>#N/A</v>
      </c>
      <c r="W307" s="60" t="e">
        <f t="shared" ca="1" si="38"/>
        <v>#N/A</v>
      </c>
      <c r="X307" s="60" t="e">
        <f t="shared" ca="1" si="42"/>
        <v>#N/A</v>
      </c>
      <c r="Y307" s="60" t="e">
        <f t="shared" ca="1" si="39"/>
        <v>#N/A</v>
      </c>
      <c r="Z307" s="60" t="e">
        <f t="shared" ca="1" si="40"/>
        <v>#N/A</v>
      </c>
    </row>
    <row r="308" spans="18:26" x14ac:dyDescent="0.25">
      <c r="R308" s="93" t="e">
        <f ca="1"/>
        <v>#N/A</v>
      </c>
      <c r="S308" s="62" t="e">
        <f t="shared" ca="1" si="41"/>
        <v>#N/A</v>
      </c>
      <c r="T308" s="62" t="e">
        <f t="shared" ca="1" si="35"/>
        <v>#N/A</v>
      </c>
      <c r="U308" s="62" t="e">
        <f t="shared" ca="1" si="36"/>
        <v>#N/A</v>
      </c>
      <c r="V308" s="62" t="e">
        <f t="shared" ca="1" si="37"/>
        <v>#N/A</v>
      </c>
      <c r="W308" s="60" t="e">
        <f t="shared" ca="1" si="38"/>
        <v>#N/A</v>
      </c>
      <c r="X308" s="60" t="e">
        <f t="shared" ca="1" si="42"/>
        <v>#N/A</v>
      </c>
      <c r="Y308" s="60" t="e">
        <f t="shared" ca="1" si="39"/>
        <v>#N/A</v>
      </c>
      <c r="Z308" s="60" t="e">
        <f t="shared" ca="1" si="40"/>
        <v>#N/A</v>
      </c>
    </row>
    <row r="309" spans="18:26" x14ac:dyDescent="0.25">
      <c r="R309" s="93" t="e">
        <f ca="1"/>
        <v>#N/A</v>
      </c>
      <c r="S309" s="62" t="e">
        <f t="shared" ca="1" si="41"/>
        <v>#N/A</v>
      </c>
      <c r="T309" s="62" t="e">
        <f t="shared" ca="1" si="35"/>
        <v>#N/A</v>
      </c>
      <c r="U309" s="62" t="e">
        <f t="shared" ca="1" si="36"/>
        <v>#N/A</v>
      </c>
      <c r="V309" s="62" t="e">
        <f t="shared" ca="1" si="37"/>
        <v>#N/A</v>
      </c>
      <c r="W309" s="60" t="e">
        <f t="shared" ca="1" si="38"/>
        <v>#N/A</v>
      </c>
      <c r="X309" s="60" t="e">
        <f t="shared" ca="1" si="42"/>
        <v>#N/A</v>
      </c>
      <c r="Y309" s="60" t="e">
        <f t="shared" ca="1" si="39"/>
        <v>#N/A</v>
      </c>
      <c r="Z309" s="60" t="e">
        <f t="shared" ca="1" si="40"/>
        <v>#N/A</v>
      </c>
    </row>
    <row r="310" spans="18:26" x14ac:dyDescent="0.25">
      <c r="R310" s="93" t="e">
        <f ca="1"/>
        <v>#N/A</v>
      </c>
      <c r="S310" s="62" t="e">
        <f t="shared" ca="1" si="41"/>
        <v>#N/A</v>
      </c>
      <c r="T310" s="62" t="e">
        <f t="shared" ca="1" si="35"/>
        <v>#N/A</v>
      </c>
      <c r="U310" s="62" t="e">
        <f t="shared" ca="1" si="36"/>
        <v>#N/A</v>
      </c>
      <c r="V310" s="62" t="e">
        <f t="shared" ca="1" si="37"/>
        <v>#N/A</v>
      </c>
      <c r="W310" s="60" t="e">
        <f t="shared" ca="1" si="38"/>
        <v>#N/A</v>
      </c>
      <c r="X310" s="60" t="e">
        <f t="shared" ca="1" si="42"/>
        <v>#N/A</v>
      </c>
      <c r="Y310" s="60" t="e">
        <f t="shared" ca="1" si="39"/>
        <v>#N/A</v>
      </c>
      <c r="Z310" s="60" t="e">
        <f t="shared" ca="1" si="40"/>
        <v>#N/A</v>
      </c>
    </row>
    <row r="311" spans="18:26" x14ac:dyDescent="0.25">
      <c r="R311" s="93" t="e">
        <f ca="1"/>
        <v>#N/A</v>
      </c>
      <c r="S311" s="62" t="e">
        <f t="shared" ca="1" si="41"/>
        <v>#N/A</v>
      </c>
      <c r="T311" s="62" t="e">
        <f t="shared" ca="1" si="35"/>
        <v>#N/A</v>
      </c>
      <c r="U311" s="62" t="e">
        <f t="shared" ca="1" si="36"/>
        <v>#N/A</v>
      </c>
      <c r="V311" s="62" t="e">
        <f t="shared" ca="1" si="37"/>
        <v>#N/A</v>
      </c>
      <c r="W311" s="60" t="e">
        <f t="shared" ca="1" si="38"/>
        <v>#N/A</v>
      </c>
      <c r="X311" s="60" t="e">
        <f t="shared" ca="1" si="42"/>
        <v>#N/A</v>
      </c>
      <c r="Y311" s="60" t="e">
        <f t="shared" ca="1" si="39"/>
        <v>#N/A</v>
      </c>
      <c r="Z311" s="60" t="e">
        <f t="shared" ca="1" si="40"/>
        <v>#N/A</v>
      </c>
    </row>
    <row r="312" spans="18:26" x14ac:dyDescent="0.25">
      <c r="R312" s="93" t="e">
        <f ca="1"/>
        <v>#N/A</v>
      </c>
      <c r="S312" s="62" t="e">
        <f t="shared" ca="1" si="41"/>
        <v>#N/A</v>
      </c>
      <c r="T312" s="62" t="e">
        <f t="shared" ca="1" si="35"/>
        <v>#N/A</v>
      </c>
      <c r="U312" s="62" t="e">
        <f t="shared" ca="1" si="36"/>
        <v>#N/A</v>
      </c>
      <c r="V312" s="62" t="e">
        <f t="shared" ca="1" si="37"/>
        <v>#N/A</v>
      </c>
      <c r="W312" s="60" t="e">
        <f t="shared" ca="1" si="38"/>
        <v>#N/A</v>
      </c>
      <c r="X312" s="60" t="e">
        <f t="shared" ca="1" si="42"/>
        <v>#N/A</v>
      </c>
      <c r="Y312" s="60" t="e">
        <f t="shared" ca="1" si="39"/>
        <v>#N/A</v>
      </c>
      <c r="Z312" s="60" t="e">
        <f t="shared" ca="1" si="40"/>
        <v>#N/A</v>
      </c>
    </row>
    <row r="313" spans="18:26" x14ac:dyDescent="0.25">
      <c r="R313" s="93" t="e">
        <f ca="1"/>
        <v>#N/A</v>
      </c>
      <c r="S313" s="62" t="e">
        <f t="shared" ca="1" si="41"/>
        <v>#N/A</v>
      </c>
      <c r="T313" s="62" t="e">
        <f t="shared" ca="1" si="35"/>
        <v>#N/A</v>
      </c>
      <c r="U313" s="62" t="e">
        <f t="shared" ca="1" si="36"/>
        <v>#N/A</v>
      </c>
      <c r="V313" s="62" t="e">
        <f t="shared" ca="1" si="37"/>
        <v>#N/A</v>
      </c>
      <c r="W313" s="60" t="e">
        <f t="shared" ca="1" si="38"/>
        <v>#N/A</v>
      </c>
      <c r="X313" s="60" t="e">
        <f t="shared" ca="1" si="42"/>
        <v>#N/A</v>
      </c>
      <c r="Y313" s="60" t="e">
        <f t="shared" ca="1" si="39"/>
        <v>#N/A</v>
      </c>
      <c r="Z313" s="60" t="e">
        <f t="shared" ca="1" si="40"/>
        <v>#N/A</v>
      </c>
    </row>
    <row r="314" spans="18:26" x14ac:dyDescent="0.25">
      <c r="R314" s="93" t="e">
        <f ca="1"/>
        <v>#N/A</v>
      </c>
      <c r="S314" s="62" t="e">
        <f t="shared" ca="1" si="41"/>
        <v>#N/A</v>
      </c>
      <c r="T314" s="62" t="e">
        <f t="shared" ca="1" si="35"/>
        <v>#N/A</v>
      </c>
      <c r="U314" s="62" t="e">
        <f t="shared" ca="1" si="36"/>
        <v>#N/A</v>
      </c>
      <c r="V314" s="62" t="e">
        <f t="shared" ca="1" si="37"/>
        <v>#N/A</v>
      </c>
      <c r="W314" s="60" t="e">
        <f t="shared" ca="1" si="38"/>
        <v>#N/A</v>
      </c>
      <c r="X314" s="60" t="e">
        <f t="shared" ca="1" si="42"/>
        <v>#N/A</v>
      </c>
      <c r="Y314" s="60" t="e">
        <f t="shared" ca="1" si="39"/>
        <v>#N/A</v>
      </c>
      <c r="Z314" s="60" t="e">
        <f t="shared" ca="1" si="40"/>
        <v>#N/A</v>
      </c>
    </row>
    <row r="315" spans="18:26" x14ac:dyDescent="0.25">
      <c r="R315" s="93" t="e">
        <f ca="1"/>
        <v>#N/A</v>
      </c>
      <c r="S315" s="62" t="e">
        <f t="shared" ca="1" si="41"/>
        <v>#N/A</v>
      </c>
      <c r="T315" s="62" t="e">
        <f t="shared" ca="1" si="35"/>
        <v>#N/A</v>
      </c>
      <c r="U315" s="62" t="e">
        <f t="shared" ca="1" si="36"/>
        <v>#N/A</v>
      </c>
      <c r="V315" s="62" t="e">
        <f t="shared" ca="1" si="37"/>
        <v>#N/A</v>
      </c>
      <c r="W315" s="60" t="e">
        <f t="shared" ca="1" si="38"/>
        <v>#N/A</v>
      </c>
      <c r="X315" s="60" t="e">
        <f t="shared" ca="1" si="42"/>
        <v>#N/A</v>
      </c>
      <c r="Y315" s="60" t="e">
        <f t="shared" ca="1" si="39"/>
        <v>#N/A</v>
      </c>
      <c r="Z315" s="60" t="e">
        <f t="shared" ca="1" si="40"/>
        <v>#N/A</v>
      </c>
    </row>
    <row r="316" spans="18:26" x14ac:dyDescent="0.25">
      <c r="R316" s="93" t="e">
        <f ca="1"/>
        <v>#N/A</v>
      </c>
      <c r="S316" s="62" t="e">
        <f t="shared" ca="1" si="41"/>
        <v>#N/A</v>
      </c>
      <c r="T316" s="62" t="e">
        <f t="shared" ca="1" si="35"/>
        <v>#N/A</v>
      </c>
      <c r="U316" s="62" t="e">
        <f t="shared" ca="1" si="36"/>
        <v>#N/A</v>
      </c>
      <c r="V316" s="62" t="e">
        <f t="shared" ca="1" si="37"/>
        <v>#N/A</v>
      </c>
      <c r="W316" s="60" t="e">
        <f t="shared" ca="1" si="38"/>
        <v>#N/A</v>
      </c>
      <c r="X316" s="60" t="e">
        <f t="shared" ca="1" si="42"/>
        <v>#N/A</v>
      </c>
      <c r="Y316" s="60" t="e">
        <f t="shared" ca="1" si="39"/>
        <v>#N/A</v>
      </c>
      <c r="Z316" s="60" t="e">
        <f t="shared" ca="1" si="40"/>
        <v>#N/A</v>
      </c>
    </row>
    <row r="317" spans="18:26" x14ac:dyDescent="0.25">
      <c r="R317" s="93" t="e">
        <f ca="1"/>
        <v>#N/A</v>
      </c>
      <c r="S317" s="62" t="e">
        <f t="shared" ca="1" si="41"/>
        <v>#N/A</v>
      </c>
      <c r="T317" s="62" t="e">
        <f t="shared" ca="1" si="35"/>
        <v>#N/A</v>
      </c>
      <c r="U317" s="62" t="e">
        <f t="shared" ca="1" si="36"/>
        <v>#N/A</v>
      </c>
      <c r="V317" s="62" t="e">
        <f t="shared" ca="1" si="37"/>
        <v>#N/A</v>
      </c>
      <c r="W317" s="60" t="e">
        <f t="shared" ca="1" si="38"/>
        <v>#N/A</v>
      </c>
      <c r="X317" s="60" t="e">
        <f t="shared" ca="1" si="42"/>
        <v>#N/A</v>
      </c>
      <c r="Y317" s="60" t="e">
        <f t="shared" ca="1" si="39"/>
        <v>#N/A</v>
      </c>
      <c r="Z317" s="60" t="e">
        <f t="shared" ca="1" si="40"/>
        <v>#N/A</v>
      </c>
    </row>
    <row r="318" spans="18:26" x14ac:dyDescent="0.25">
      <c r="R318" s="93" t="e">
        <f ca="1"/>
        <v>#N/A</v>
      </c>
      <c r="S318" s="62" t="e">
        <f t="shared" ca="1" si="41"/>
        <v>#N/A</v>
      </c>
      <c r="T318" s="62" t="e">
        <f t="shared" ca="1" si="35"/>
        <v>#N/A</v>
      </c>
      <c r="U318" s="62" t="e">
        <f t="shared" ca="1" si="36"/>
        <v>#N/A</v>
      </c>
      <c r="V318" s="62" t="e">
        <f t="shared" ca="1" si="37"/>
        <v>#N/A</v>
      </c>
      <c r="W318" s="60" t="e">
        <f t="shared" ca="1" si="38"/>
        <v>#N/A</v>
      </c>
      <c r="X318" s="60" t="e">
        <f t="shared" ca="1" si="42"/>
        <v>#N/A</v>
      </c>
      <c r="Y318" s="60" t="e">
        <f t="shared" ca="1" si="39"/>
        <v>#N/A</v>
      </c>
      <c r="Z318" s="60" t="e">
        <f t="shared" ca="1" si="40"/>
        <v>#N/A</v>
      </c>
    </row>
    <row r="319" spans="18:26" x14ac:dyDescent="0.25">
      <c r="R319" s="93" t="e">
        <f ca="1"/>
        <v>#N/A</v>
      </c>
      <c r="S319" s="62" t="e">
        <f t="shared" ca="1" si="41"/>
        <v>#N/A</v>
      </c>
      <c r="T319" s="62" t="e">
        <f t="shared" ca="1" si="35"/>
        <v>#N/A</v>
      </c>
      <c r="U319" s="62" t="e">
        <f t="shared" ca="1" si="36"/>
        <v>#N/A</v>
      </c>
      <c r="V319" s="62" t="e">
        <f t="shared" ca="1" si="37"/>
        <v>#N/A</v>
      </c>
      <c r="W319" s="60" t="e">
        <f t="shared" ca="1" si="38"/>
        <v>#N/A</v>
      </c>
      <c r="X319" s="60" t="e">
        <f t="shared" ca="1" si="42"/>
        <v>#N/A</v>
      </c>
      <c r="Y319" s="60" t="e">
        <f t="shared" ca="1" si="39"/>
        <v>#N/A</v>
      </c>
      <c r="Z319" s="60" t="e">
        <f t="shared" ca="1" si="40"/>
        <v>#N/A</v>
      </c>
    </row>
    <row r="320" spans="18:26" x14ac:dyDescent="0.25">
      <c r="R320" s="93" t="e">
        <f ca="1"/>
        <v>#N/A</v>
      </c>
      <c r="S320" s="62" t="e">
        <f t="shared" ca="1" si="41"/>
        <v>#N/A</v>
      </c>
      <c r="T320" s="62" t="e">
        <f t="shared" ca="1" si="35"/>
        <v>#N/A</v>
      </c>
      <c r="U320" s="62" t="e">
        <f t="shared" ca="1" si="36"/>
        <v>#N/A</v>
      </c>
      <c r="V320" s="62" t="e">
        <f t="shared" ca="1" si="37"/>
        <v>#N/A</v>
      </c>
      <c r="W320" s="60" t="e">
        <f t="shared" ca="1" si="38"/>
        <v>#N/A</v>
      </c>
      <c r="X320" s="60" t="e">
        <f t="shared" ca="1" si="42"/>
        <v>#N/A</v>
      </c>
      <c r="Y320" s="60" t="e">
        <f t="shared" ca="1" si="39"/>
        <v>#N/A</v>
      </c>
      <c r="Z320" s="60" t="e">
        <f t="shared" ca="1" si="40"/>
        <v>#N/A</v>
      </c>
    </row>
    <row r="321" spans="18:26" x14ac:dyDescent="0.25">
      <c r="R321" s="93" t="e">
        <f ca="1"/>
        <v>#N/A</v>
      </c>
      <c r="S321" s="62" t="e">
        <f t="shared" ca="1" si="41"/>
        <v>#N/A</v>
      </c>
      <c r="T321" s="62" t="e">
        <f t="shared" ca="1" si="35"/>
        <v>#N/A</v>
      </c>
      <c r="U321" s="62" t="e">
        <f t="shared" ca="1" si="36"/>
        <v>#N/A</v>
      </c>
      <c r="V321" s="62" t="e">
        <f t="shared" ca="1" si="37"/>
        <v>#N/A</v>
      </c>
      <c r="W321" s="60" t="e">
        <f t="shared" ca="1" si="38"/>
        <v>#N/A</v>
      </c>
      <c r="X321" s="60" t="e">
        <f t="shared" ca="1" si="42"/>
        <v>#N/A</v>
      </c>
      <c r="Y321" s="60" t="e">
        <f t="shared" ca="1" si="39"/>
        <v>#N/A</v>
      </c>
      <c r="Z321" s="60" t="e">
        <f t="shared" ca="1" si="40"/>
        <v>#N/A</v>
      </c>
    </row>
    <row r="322" spans="18:26" x14ac:dyDescent="0.25">
      <c r="R322" s="93" t="e">
        <f ca="1"/>
        <v>#N/A</v>
      </c>
      <c r="S322" s="62" t="e">
        <f t="shared" ca="1" si="41"/>
        <v>#N/A</v>
      </c>
      <c r="T322" s="62" t="e">
        <f t="shared" ca="1" si="35"/>
        <v>#N/A</v>
      </c>
      <c r="U322" s="62" t="e">
        <f t="shared" ca="1" si="36"/>
        <v>#N/A</v>
      </c>
      <c r="V322" s="62" t="e">
        <f t="shared" ca="1" si="37"/>
        <v>#N/A</v>
      </c>
      <c r="W322" s="60" t="e">
        <f t="shared" ca="1" si="38"/>
        <v>#N/A</v>
      </c>
      <c r="X322" s="60" t="e">
        <f t="shared" ca="1" si="42"/>
        <v>#N/A</v>
      </c>
      <c r="Y322" s="60" t="e">
        <f t="shared" ca="1" si="39"/>
        <v>#N/A</v>
      </c>
      <c r="Z322" s="60" t="e">
        <f t="shared" ca="1" si="40"/>
        <v>#N/A</v>
      </c>
    </row>
    <row r="323" spans="18:26" x14ac:dyDescent="0.25">
      <c r="R323" s="93" t="e">
        <f ca="1"/>
        <v>#N/A</v>
      </c>
      <c r="S323" s="62" t="e">
        <f t="shared" ca="1" si="41"/>
        <v>#N/A</v>
      </c>
      <c r="T323" s="62" t="e">
        <f t="shared" ca="1" si="35"/>
        <v>#N/A</v>
      </c>
      <c r="U323" s="62" t="e">
        <f t="shared" ca="1" si="36"/>
        <v>#N/A</v>
      </c>
      <c r="V323" s="62" t="e">
        <f t="shared" ca="1" si="37"/>
        <v>#N/A</v>
      </c>
      <c r="W323" s="60" t="e">
        <f t="shared" ca="1" si="38"/>
        <v>#N/A</v>
      </c>
      <c r="X323" s="60" t="e">
        <f t="shared" ca="1" si="42"/>
        <v>#N/A</v>
      </c>
      <c r="Y323" s="60" t="e">
        <f t="shared" ca="1" si="39"/>
        <v>#N/A</v>
      </c>
      <c r="Z323" s="60" t="e">
        <f t="shared" ca="1" si="40"/>
        <v>#N/A</v>
      </c>
    </row>
    <row r="324" spans="18:26" x14ac:dyDescent="0.25">
      <c r="R324" s="93" t="e">
        <f ca="1"/>
        <v>#N/A</v>
      </c>
      <c r="S324" s="62" t="e">
        <f t="shared" ca="1" si="41"/>
        <v>#N/A</v>
      </c>
      <c r="T324" s="62" t="e">
        <f t="shared" ca="1" si="35"/>
        <v>#N/A</v>
      </c>
      <c r="U324" s="62" t="e">
        <f t="shared" ca="1" si="36"/>
        <v>#N/A</v>
      </c>
      <c r="V324" s="62" t="e">
        <f t="shared" ca="1" si="37"/>
        <v>#N/A</v>
      </c>
      <c r="W324" s="60" t="e">
        <f t="shared" ca="1" si="38"/>
        <v>#N/A</v>
      </c>
      <c r="X324" s="60" t="e">
        <f t="shared" ca="1" si="42"/>
        <v>#N/A</v>
      </c>
      <c r="Y324" s="60" t="e">
        <f t="shared" ca="1" si="39"/>
        <v>#N/A</v>
      </c>
      <c r="Z324" s="60" t="e">
        <f t="shared" ca="1" si="40"/>
        <v>#N/A</v>
      </c>
    </row>
    <row r="325" spans="18:26" x14ac:dyDescent="0.25">
      <c r="R325" s="93" t="e">
        <f ca="1"/>
        <v>#N/A</v>
      </c>
      <c r="S325" s="62" t="e">
        <f t="shared" ca="1" si="41"/>
        <v>#N/A</v>
      </c>
      <c r="T325" s="62" t="e">
        <f t="shared" ca="1" si="35"/>
        <v>#N/A</v>
      </c>
      <c r="U325" s="62" t="e">
        <f t="shared" ca="1" si="36"/>
        <v>#N/A</v>
      </c>
      <c r="V325" s="62" t="e">
        <f t="shared" ca="1" si="37"/>
        <v>#N/A</v>
      </c>
      <c r="W325" s="60" t="e">
        <f t="shared" ca="1" si="38"/>
        <v>#N/A</v>
      </c>
      <c r="X325" s="60" t="e">
        <f t="shared" ca="1" si="42"/>
        <v>#N/A</v>
      </c>
      <c r="Y325" s="60" t="e">
        <f t="shared" ca="1" si="39"/>
        <v>#N/A</v>
      </c>
      <c r="Z325" s="60" t="e">
        <f t="shared" ca="1" si="40"/>
        <v>#N/A</v>
      </c>
    </row>
    <row r="326" spans="18:26" x14ac:dyDescent="0.25">
      <c r="R326" s="93" t="e">
        <f ca="1"/>
        <v>#N/A</v>
      </c>
      <c r="S326" s="62" t="e">
        <f t="shared" ca="1" si="41"/>
        <v>#N/A</v>
      </c>
      <c r="T326" s="62" t="e">
        <f t="shared" ca="1" si="35"/>
        <v>#N/A</v>
      </c>
      <c r="U326" s="62" t="e">
        <f t="shared" ca="1" si="36"/>
        <v>#N/A</v>
      </c>
      <c r="V326" s="62" t="e">
        <f t="shared" ca="1" si="37"/>
        <v>#N/A</v>
      </c>
      <c r="W326" s="60" t="e">
        <f t="shared" ca="1" si="38"/>
        <v>#N/A</v>
      </c>
      <c r="X326" s="60" t="e">
        <f t="shared" ca="1" si="42"/>
        <v>#N/A</v>
      </c>
      <c r="Y326" s="60" t="e">
        <f t="shared" ca="1" si="39"/>
        <v>#N/A</v>
      </c>
      <c r="Z326" s="60" t="e">
        <f t="shared" ca="1" si="40"/>
        <v>#N/A</v>
      </c>
    </row>
    <row r="327" spans="18:26" x14ac:dyDescent="0.25">
      <c r="R327" s="93" t="e">
        <f ca="1"/>
        <v>#N/A</v>
      </c>
      <c r="S327" s="62" t="e">
        <f t="shared" ca="1" si="41"/>
        <v>#N/A</v>
      </c>
      <c r="T327" s="62" t="e">
        <f t="shared" ca="1" si="35"/>
        <v>#N/A</v>
      </c>
      <c r="U327" s="62" t="e">
        <f t="shared" ca="1" si="36"/>
        <v>#N/A</v>
      </c>
      <c r="V327" s="62" t="e">
        <f t="shared" ca="1" si="37"/>
        <v>#N/A</v>
      </c>
      <c r="W327" s="60" t="e">
        <f t="shared" ca="1" si="38"/>
        <v>#N/A</v>
      </c>
      <c r="X327" s="60" t="e">
        <f t="shared" ca="1" si="42"/>
        <v>#N/A</v>
      </c>
      <c r="Y327" s="60" t="e">
        <f t="shared" ca="1" si="39"/>
        <v>#N/A</v>
      </c>
      <c r="Z327" s="60" t="e">
        <f t="shared" ca="1" si="40"/>
        <v>#N/A</v>
      </c>
    </row>
    <row r="328" spans="18:26" x14ac:dyDescent="0.25">
      <c r="R328" s="93" t="e">
        <f ca="1"/>
        <v>#N/A</v>
      </c>
      <c r="S328" s="62" t="e">
        <f t="shared" ca="1" si="41"/>
        <v>#N/A</v>
      </c>
      <c r="T328" s="62" t="e">
        <f t="shared" ca="1" si="35"/>
        <v>#N/A</v>
      </c>
      <c r="U328" s="62" t="e">
        <f t="shared" ca="1" si="36"/>
        <v>#N/A</v>
      </c>
      <c r="V328" s="62" t="e">
        <f t="shared" ca="1" si="37"/>
        <v>#N/A</v>
      </c>
      <c r="W328" s="60" t="e">
        <f t="shared" ca="1" si="38"/>
        <v>#N/A</v>
      </c>
      <c r="X328" s="60" t="e">
        <f t="shared" ca="1" si="42"/>
        <v>#N/A</v>
      </c>
      <c r="Y328" s="60" t="e">
        <f t="shared" ca="1" si="39"/>
        <v>#N/A</v>
      </c>
      <c r="Z328" s="60" t="e">
        <f t="shared" ca="1" si="40"/>
        <v>#N/A</v>
      </c>
    </row>
    <row r="329" spans="18:26" x14ac:dyDescent="0.25">
      <c r="R329" s="93" t="e">
        <f ca="1"/>
        <v>#N/A</v>
      </c>
      <c r="S329" s="62" t="e">
        <f t="shared" ca="1" si="41"/>
        <v>#N/A</v>
      </c>
      <c r="T329" s="62" t="e">
        <f t="shared" ca="1" si="35"/>
        <v>#N/A</v>
      </c>
      <c r="U329" s="62" t="e">
        <f t="shared" ca="1" si="36"/>
        <v>#N/A</v>
      </c>
      <c r="V329" s="62" t="e">
        <f t="shared" ca="1" si="37"/>
        <v>#N/A</v>
      </c>
      <c r="W329" s="60" t="e">
        <f t="shared" ca="1" si="38"/>
        <v>#N/A</v>
      </c>
      <c r="X329" s="60" t="e">
        <f t="shared" ca="1" si="42"/>
        <v>#N/A</v>
      </c>
      <c r="Y329" s="60" t="e">
        <f t="shared" ca="1" si="39"/>
        <v>#N/A</v>
      </c>
      <c r="Z329" s="60" t="e">
        <f t="shared" ca="1" si="40"/>
        <v>#N/A</v>
      </c>
    </row>
    <row r="330" spans="18:26" x14ac:dyDescent="0.25">
      <c r="R330" s="93" t="e">
        <f ca="1"/>
        <v>#N/A</v>
      </c>
      <c r="S330" s="62" t="e">
        <f t="shared" ca="1" si="41"/>
        <v>#N/A</v>
      </c>
      <c r="T330" s="62" t="e">
        <f t="shared" ca="1" si="35"/>
        <v>#N/A</v>
      </c>
      <c r="U330" s="62" t="e">
        <f t="shared" ca="1" si="36"/>
        <v>#N/A</v>
      </c>
      <c r="V330" s="62" t="e">
        <f t="shared" ca="1" si="37"/>
        <v>#N/A</v>
      </c>
      <c r="W330" s="60" t="e">
        <f t="shared" ca="1" si="38"/>
        <v>#N/A</v>
      </c>
      <c r="X330" s="60" t="e">
        <f t="shared" ca="1" si="42"/>
        <v>#N/A</v>
      </c>
      <c r="Y330" s="60" t="e">
        <f t="shared" ca="1" si="39"/>
        <v>#N/A</v>
      </c>
      <c r="Z330" s="60" t="e">
        <f t="shared" ca="1" si="40"/>
        <v>#N/A</v>
      </c>
    </row>
    <row r="331" spans="18:26" x14ac:dyDescent="0.25">
      <c r="R331" s="93" t="e">
        <f ca="1"/>
        <v>#N/A</v>
      </c>
      <c r="S331" s="62" t="e">
        <f t="shared" ca="1" si="41"/>
        <v>#N/A</v>
      </c>
      <c r="T331" s="62" t="e">
        <f t="shared" ca="1" si="35"/>
        <v>#N/A</v>
      </c>
      <c r="U331" s="62" t="e">
        <f t="shared" ca="1" si="36"/>
        <v>#N/A</v>
      </c>
      <c r="V331" s="62" t="e">
        <f t="shared" ca="1" si="37"/>
        <v>#N/A</v>
      </c>
      <c r="W331" s="60" t="e">
        <f t="shared" ca="1" si="38"/>
        <v>#N/A</v>
      </c>
      <c r="X331" s="60" t="e">
        <f t="shared" ca="1" si="42"/>
        <v>#N/A</v>
      </c>
      <c r="Y331" s="60" t="e">
        <f t="shared" ca="1" si="39"/>
        <v>#N/A</v>
      </c>
      <c r="Z331" s="60" t="e">
        <f t="shared" ca="1" si="40"/>
        <v>#N/A</v>
      </c>
    </row>
    <row r="332" spans="18:26" x14ac:dyDescent="0.25">
      <c r="R332" s="93" t="e">
        <f ca="1"/>
        <v>#N/A</v>
      </c>
      <c r="S332" s="62" t="e">
        <f t="shared" ca="1" si="41"/>
        <v>#N/A</v>
      </c>
      <c r="T332" s="62" t="e">
        <f t="shared" ca="1" si="35"/>
        <v>#N/A</v>
      </c>
      <c r="U332" s="62" t="e">
        <f t="shared" ca="1" si="36"/>
        <v>#N/A</v>
      </c>
      <c r="V332" s="62" t="e">
        <f t="shared" ca="1" si="37"/>
        <v>#N/A</v>
      </c>
      <c r="W332" s="60" t="e">
        <f t="shared" ca="1" si="38"/>
        <v>#N/A</v>
      </c>
      <c r="X332" s="60" t="e">
        <f t="shared" ca="1" si="42"/>
        <v>#N/A</v>
      </c>
      <c r="Y332" s="60" t="e">
        <f t="shared" ca="1" si="39"/>
        <v>#N/A</v>
      </c>
      <c r="Z332" s="60" t="e">
        <f t="shared" ca="1" si="40"/>
        <v>#N/A</v>
      </c>
    </row>
    <row r="333" spans="18:26" x14ac:dyDescent="0.25">
      <c r="R333" s="93" t="e">
        <f ca="1"/>
        <v>#N/A</v>
      </c>
      <c r="S333" s="62" t="e">
        <f t="shared" ca="1" si="41"/>
        <v>#N/A</v>
      </c>
      <c r="T333" s="62" t="e">
        <f t="shared" ca="1" si="35"/>
        <v>#N/A</v>
      </c>
      <c r="U333" s="62" t="e">
        <f t="shared" ca="1" si="36"/>
        <v>#N/A</v>
      </c>
      <c r="V333" s="62" t="e">
        <f t="shared" ca="1" si="37"/>
        <v>#N/A</v>
      </c>
      <c r="W333" s="60" t="e">
        <f t="shared" ca="1" si="38"/>
        <v>#N/A</v>
      </c>
      <c r="X333" s="60" t="e">
        <f t="shared" ca="1" si="42"/>
        <v>#N/A</v>
      </c>
      <c r="Y333" s="60" t="e">
        <f t="shared" ca="1" si="39"/>
        <v>#N/A</v>
      </c>
      <c r="Z333" s="60" t="e">
        <f t="shared" ca="1" si="40"/>
        <v>#N/A</v>
      </c>
    </row>
    <row r="334" spans="18:26" x14ac:dyDescent="0.25">
      <c r="R334" s="93" t="e">
        <f ca="1"/>
        <v>#N/A</v>
      </c>
      <c r="S334" s="62" t="e">
        <f t="shared" ca="1" si="41"/>
        <v>#N/A</v>
      </c>
      <c r="T334" s="62" t="e">
        <f t="shared" ca="1" si="35"/>
        <v>#N/A</v>
      </c>
      <c r="U334" s="62" t="e">
        <f t="shared" ca="1" si="36"/>
        <v>#N/A</v>
      </c>
      <c r="V334" s="62" t="e">
        <f t="shared" ca="1" si="37"/>
        <v>#N/A</v>
      </c>
      <c r="W334" s="60" t="e">
        <f t="shared" ca="1" si="38"/>
        <v>#N/A</v>
      </c>
      <c r="X334" s="60" t="e">
        <f t="shared" ca="1" si="42"/>
        <v>#N/A</v>
      </c>
      <c r="Y334" s="60" t="e">
        <f t="shared" ca="1" si="39"/>
        <v>#N/A</v>
      </c>
      <c r="Z334" s="60" t="e">
        <f t="shared" ca="1" si="40"/>
        <v>#N/A</v>
      </c>
    </row>
    <row r="335" spans="18:26" x14ac:dyDescent="0.25">
      <c r="R335" s="93" t="e">
        <f ca="1"/>
        <v>#N/A</v>
      </c>
      <c r="S335" s="62" t="e">
        <f t="shared" ca="1" si="41"/>
        <v>#N/A</v>
      </c>
      <c r="T335" s="62" t="e">
        <f t="shared" ca="1" si="35"/>
        <v>#N/A</v>
      </c>
      <c r="U335" s="62" t="e">
        <f t="shared" ca="1" si="36"/>
        <v>#N/A</v>
      </c>
      <c r="V335" s="62" t="e">
        <f t="shared" ca="1" si="37"/>
        <v>#N/A</v>
      </c>
      <c r="W335" s="60" t="e">
        <f t="shared" ca="1" si="38"/>
        <v>#N/A</v>
      </c>
      <c r="X335" s="60" t="e">
        <f t="shared" ca="1" si="42"/>
        <v>#N/A</v>
      </c>
      <c r="Y335" s="60" t="e">
        <f t="shared" ca="1" si="39"/>
        <v>#N/A</v>
      </c>
      <c r="Z335" s="60" t="e">
        <f t="shared" ca="1" si="40"/>
        <v>#N/A</v>
      </c>
    </row>
    <row r="336" spans="18:26" x14ac:dyDescent="0.25">
      <c r="R336" s="93" t="e">
        <f ca="1"/>
        <v>#N/A</v>
      </c>
      <c r="S336" s="62" t="e">
        <f t="shared" ca="1" si="41"/>
        <v>#N/A</v>
      </c>
      <c r="T336" s="62" t="e">
        <f t="shared" ca="1" si="35"/>
        <v>#N/A</v>
      </c>
      <c r="U336" s="62" t="e">
        <f t="shared" ca="1" si="36"/>
        <v>#N/A</v>
      </c>
      <c r="V336" s="62" t="e">
        <f t="shared" ca="1" si="37"/>
        <v>#N/A</v>
      </c>
      <c r="W336" s="60" t="e">
        <f t="shared" ca="1" si="38"/>
        <v>#N/A</v>
      </c>
      <c r="X336" s="60" t="e">
        <f t="shared" ca="1" si="42"/>
        <v>#N/A</v>
      </c>
      <c r="Y336" s="60" t="e">
        <f t="shared" ca="1" si="39"/>
        <v>#N/A</v>
      </c>
      <c r="Z336" s="60" t="e">
        <f t="shared" ca="1" si="40"/>
        <v>#N/A</v>
      </c>
    </row>
    <row r="337" spans="18:26" x14ac:dyDescent="0.25">
      <c r="R337" s="93" t="e">
        <f ca="1"/>
        <v>#N/A</v>
      </c>
      <c r="S337" s="62" t="e">
        <f t="shared" ca="1" si="41"/>
        <v>#N/A</v>
      </c>
      <c r="T337" s="62" t="e">
        <f t="shared" ca="1" si="35"/>
        <v>#N/A</v>
      </c>
      <c r="U337" s="62" t="e">
        <f t="shared" ca="1" si="36"/>
        <v>#N/A</v>
      </c>
      <c r="V337" s="62" t="e">
        <f t="shared" ca="1" si="37"/>
        <v>#N/A</v>
      </c>
      <c r="W337" s="60" t="e">
        <f t="shared" ca="1" si="38"/>
        <v>#N/A</v>
      </c>
      <c r="X337" s="60" t="e">
        <f t="shared" ca="1" si="42"/>
        <v>#N/A</v>
      </c>
      <c r="Y337" s="60" t="e">
        <f t="shared" ca="1" si="39"/>
        <v>#N/A</v>
      </c>
      <c r="Z337" s="60" t="e">
        <f t="shared" ca="1" si="40"/>
        <v>#N/A</v>
      </c>
    </row>
    <row r="338" spans="18:26" x14ac:dyDescent="0.25">
      <c r="R338" s="93" t="e">
        <f ca="1"/>
        <v>#N/A</v>
      </c>
      <c r="S338" s="62" t="e">
        <f t="shared" ca="1" si="41"/>
        <v>#N/A</v>
      </c>
      <c r="T338" s="62" t="e">
        <f t="shared" ref="T338:T395" ca="1" si="43">VLOOKUP(S338,ModelOutputs,2,FALSE)</f>
        <v>#N/A</v>
      </c>
      <c r="U338" s="62" t="e">
        <f t="shared" ref="U338:U395" ca="1" si="44">VLOOKUP(S338,ModelOutputs,7,FALSE)</f>
        <v>#N/A</v>
      </c>
      <c r="V338" s="62" t="e">
        <f t="shared" ref="V338:V395" ca="1" si="45">VLOOKUP(S338,ModelOutputs,6,FALSE)</f>
        <v>#N/A</v>
      </c>
      <c r="W338" s="60" t="e">
        <f t="shared" ref="W338:W395" ca="1" si="46">VLOOKUP(S338,ModelOutputs,10,FALSE)*AWC</f>
        <v>#N/A</v>
      </c>
      <c r="X338" s="60" t="e">
        <f t="shared" ca="1" si="42"/>
        <v>#N/A</v>
      </c>
      <c r="Y338" s="60" t="e">
        <f t="shared" ref="Y338:Y395" ca="1" si="47">VLOOKUP(S338,ModelOutputs,12,FALSE)</f>
        <v>#N/A</v>
      </c>
      <c r="Z338" s="60" t="e">
        <f t="shared" ref="Z338:Z395" ca="1" si="48">VLOOKUP(S338,ModelOutputs,13,FALSE)</f>
        <v>#N/A</v>
      </c>
    </row>
    <row r="339" spans="18:26" x14ac:dyDescent="0.25">
      <c r="R339" s="93" t="e">
        <f ca="1"/>
        <v>#N/A</v>
      </c>
      <c r="S339" s="62" t="e">
        <f t="shared" ref="S339:S395" ca="1" si="49">IF(R339&gt;1,R339,"")</f>
        <v>#N/A</v>
      </c>
      <c r="T339" s="62" t="e">
        <f t="shared" ca="1" si="43"/>
        <v>#N/A</v>
      </c>
      <c r="U339" s="62" t="e">
        <f t="shared" ca="1" si="44"/>
        <v>#N/A</v>
      </c>
      <c r="V339" s="62" t="e">
        <f t="shared" ca="1" si="45"/>
        <v>#N/A</v>
      </c>
      <c r="W339" s="60" t="e">
        <f t="shared" ca="1" si="46"/>
        <v>#N/A</v>
      </c>
      <c r="X339" s="60" t="e">
        <f t="shared" ref="X339:X395" ca="1" si="50">VLOOKUP(S339,ModelOutputs,11,FALSE)+X338</f>
        <v>#N/A</v>
      </c>
      <c r="Y339" s="60" t="e">
        <f t="shared" ca="1" si="47"/>
        <v>#N/A</v>
      </c>
      <c r="Z339" s="60" t="e">
        <f t="shared" ca="1" si="48"/>
        <v>#N/A</v>
      </c>
    </row>
    <row r="340" spans="18:26" x14ac:dyDescent="0.25">
      <c r="R340" s="93" t="e">
        <f ca="1"/>
        <v>#N/A</v>
      </c>
      <c r="S340" s="62" t="e">
        <f t="shared" ca="1" si="49"/>
        <v>#N/A</v>
      </c>
      <c r="T340" s="62" t="e">
        <f t="shared" ca="1" si="43"/>
        <v>#N/A</v>
      </c>
      <c r="U340" s="62" t="e">
        <f t="shared" ca="1" si="44"/>
        <v>#N/A</v>
      </c>
      <c r="V340" s="62" t="e">
        <f t="shared" ca="1" si="45"/>
        <v>#N/A</v>
      </c>
      <c r="W340" s="60" t="e">
        <f t="shared" ca="1" si="46"/>
        <v>#N/A</v>
      </c>
      <c r="X340" s="60" t="e">
        <f t="shared" ca="1" si="50"/>
        <v>#N/A</v>
      </c>
      <c r="Y340" s="60" t="e">
        <f t="shared" ca="1" si="47"/>
        <v>#N/A</v>
      </c>
      <c r="Z340" s="60" t="e">
        <f t="shared" ca="1" si="48"/>
        <v>#N/A</v>
      </c>
    </row>
    <row r="341" spans="18:26" x14ac:dyDescent="0.25">
      <c r="R341" s="93" t="e">
        <f ca="1"/>
        <v>#N/A</v>
      </c>
      <c r="S341" s="62" t="e">
        <f t="shared" ca="1" si="49"/>
        <v>#N/A</v>
      </c>
      <c r="T341" s="62" t="e">
        <f t="shared" ca="1" si="43"/>
        <v>#N/A</v>
      </c>
      <c r="U341" s="62" t="e">
        <f t="shared" ca="1" si="44"/>
        <v>#N/A</v>
      </c>
      <c r="V341" s="62" t="e">
        <f t="shared" ca="1" si="45"/>
        <v>#N/A</v>
      </c>
      <c r="W341" s="60" t="e">
        <f t="shared" ca="1" si="46"/>
        <v>#N/A</v>
      </c>
      <c r="X341" s="60" t="e">
        <f t="shared" ca="1" si="50"/>
        <v>#N/A</v>
      </c>
      <c r="Y341" s="60" t="e">
        <f t="shared" ca="1" si="47"/>
        <v>#N/A</v>
      </c>
      <c r="Z341" s="60" t="e">
        <f t="shared" ca="1" si="48"/>
        <v>#N/A</v>
      </c>
    </row>
    <row r="342" spans="18:26" x14ac:dyDescent="0.25">
      <c r="R342" s="93" t="e">
        <f ca="1"/>
        <v>#N/A</v>
      </c>
      <c r="S342" s="62" t="e">
        <f t="shared" ca="1" si="49"/>
        <v>#N/A</v>
      </c>
      <c r="T342" s="62" t="e">
        <f t="shared" ca="1" si="43"/>
        <v>#N/A</v>
      </c>
      <c r="U342" s="62" t="e">
        <f t="shared" ca="1" si="44"/>
        <v>#N/A</v>
      </c>
      <c r="V342" s="62" t="e">
        <f t="shared" ca="1" si="45"/>
        <v>#N/A</v>
      </c>
      <c r="W342" s="60" t="e">
        <f t="shared" ca="1" si="46"/>
        <v>#N/A</v>
      </c>
      <c r="X342" s="60" t="e">
        <f t="shared" ca="1" si="50"/>
        <v>#N/A</v>
      </c>
      <c r="Y342" s="60" t="e">
        <f t="shared" ca="1" si="47"/>
        <v>#N/A</v>
      </c>
      <c r="Z342" s="60" t="e">
        <f t="shared" ca="1" si="48"/>
        <v>#N/A</v>
      </c>
    </row>
    <row r="343" spans="18:26" x14ac:dyDescent="0.25">
      <c r="R343" s="93" t="e">
        <f ca="1"/>
        <v>#N/A</v>
      </c>
      <c r="S343" s="62" t="e">
        <f t="shared" ca="1" si="49"/>
        <v>#N/A</v>
      </c>
      <c r="T343" s="62" t="e">
        <f t="shared" ca="1" si="43"/>
        <v>#N/A</v>
      </c>
      <c r="U343" s="62" t="e">
        <f t="shared" ca="1" si="44"/>
        <v>#N/A</v>
      </c>
      <c r="V343" s="62" t="e">
        <f t="shared" ca="1" si="45"/>
        <v>#N/A</v>
      </c>
      <c r="W343" s="60" t="e">
        <f t="shared" ca="1" si="46"/>
        <v>#N/A</v>
      </c>
      <c r="X343" s="60" t="e">
        <f t="shared" ca="1" si="50"/>
        <v>#N/A</v>
      </c>
      <c r="Y343" s="60" t="e">
        <f t="shared" ca="1" si="47"/>
        <v>#N/A</v>
      </c>
      <c r="Z343" s="60" t="e">
        <f t="shared" ca="1" si="48"/>
        <v>#N/A</v>
      </c>
    </row>
    <row r="344" spans="18:26" x14ac:dyDescent="0.25">
      <c r="R344" s="93" t="e">
        <f ca="1"/>
        <v>#N/A</v>
      </c>
      <c r="S344" s="62" t="e">
        <f t="shared" ca="1" si="49"/>
        <v>#N/A</v>
      </c>
      <c r="T344" s="62" t="e">
        <f t="shared" ca="1" si="43"/>
        <v>#N/A</v>
      </c>
      <c r="U344" s="62" t="e">
        <f t="shared" ca="1" si="44"/>
        <v>#N/A</v>
      </c>
      <c r="V344" s="62" t="e">
        <f t="shared" ca="1" si="45"/>
        <v>#N/A</v>
      </c>
      <c r="W344" s="60" t="e">
        <f t="shared" ca="1" si="46"/>
        <v>#N/A</v>
      </c>
      <c r="X344" s="60" t="e">
        <f t="shared" ca="1" si="50"/>
        <v>#N/A</v>
      </c>
      <c r="Y344" s="60" t="e">
        <f t="shared" ca="1" si="47"/>
        <v>#N/A</v>
      </c>
      <c r="Z344" s="60" t="e">
        <f t="shared" ca="1" si="48"/>
        <v>#N/A</v>
      </c>
    </row>
    <row r="345" spans="18:26" x14ac:dyDescent="0.25">
      <c r="R345" s="93" t="e">
        <f ca="1"/>
        <v>#N/A</v>
      </c>
      <c r="S345" s="62" t="e">
        <f t="shared" ca="1" si="49"/>
        <v>#N/A</v>
      </c>
      <c r="T345" s="62" t="e">
        <f t="shared" ca="1" si="43"/>
        <v>#N/A</v>
      </c>
      <c r="U345" s="62" t="e">
        <f t="shared" ca="1" si="44"/>
        <v>#N/A</v>
      </c>
      <c r="V345" s="62" t="e">
        <f t="shared" ca="1" si="45"/>
        <v>#N/A</v>
      </c>
      <c r="W345" s="60" t="e">
        <f t="shared" ca="1" si="46"/>
        <v>#N/A</v>
      </c>
      <c r="X345" s="60" t="e">
        <f t="shared" ca="1" si="50"/>
        <v>#N/A</v>
      </c>
      <c r="Y345" s="60" t="e">
        <f t="shared" ca="1" si="47"/>
        <v>#N/A</v>
      </c>
      <c r="Z345" s="60" t="e">
        <f t="shared" ca="1" si="48"/>
        <v>#N/A</v>
      </c>
    </row>
    <row r="346" spans="18:26" x14ac:dyDescent="0.25">
      <c r="R346" s="93" t="e">
        <f ca="1"/>
        <v>#N/A</v>
      </c>
      <c r="S346" s="62" t="e">
        <f t="shared" ca="1" si="49"/>
        <v>#N/A</v>
      </c>
      <c r="T346" s="62" t="e">
        <f t="shared" ca="1" si="43"/>
        <v>#N/A</v>
      </c>
      <c r="U346" s="62" t="e">
        <f t="shared" ca="1" si="44"/>
        <v>#N/A</v>
      </c>
      <c r="V346" s="62" t="e">
        <f t="shared" ca="1" si="45"/>
        <v>#N/A</v>
      </c>
      <c r="W346" s="60" t="e">
        <f t="shared" ca="1" si="46"/>
        <v>#N/A</v>
      </c>
      <c r="X346" s="60" t="e">
        <f t="shared" ca="1" si="50"/>
        <v>#N/A</v>
      </c>
      <c r="Y346" s="60" t="e">
        <f t="shared" ca="1" si="47"/>
        <v>#N/A</v>
      </c>
      <c r="Z346" s="60" t="e">
        <f t="shared" ca="1" si="48"/>
        <v>#N/A</v>
      </c>
    </row>
    <row r="347" spans="18:26" x14ac:dyDescent="0.25">
      <c r="R347" s="93" t="e">
        <f ca="1"/>
        <v>#N/A</v>
      </c>
      <c r="S347" s="62" t="e">
        <f t="shared" ca="1" si="49"/>
        <v>#N/A</v>
      </c>
      <c r="T347" s="62" t="e">
        <f t="shared" ca="1" si="43"/>
        <v>#N/A</v>
      </c>
      <c r="U347" s="62" t="e">
        <f t="shared" ca="1" si="44"/>
        <v>#N/A</v>
      </c>
      <c r="V347" s="62" t="e">
        <f t="shared" ca="1" si="45"/>
        <v>#N/A</v>
      </c>
      <c r="W347" s="60" t="e">
        <f t="shared" ca="1" si="46"/>
        <v>#N/A</v>
      </c>
      <c r="X347" s="60" t="e">
        <f t="shared" ca="1" si="50"/>
        <v>#N/A</v>
      </c>
      <c r="Y347" s="60" t="e">
        <f t="shared" ca="1" si="47"/>
        <v>#N/A</v>
      </c>
      <c r="Z347" s="60" t="e">
        <f t="shared" ca="1" si="48"/>
        <v>#N/A</v>
      </c>
    </row>
    <row r="348" spans="18:26" x14ac:dyDescent="0.25">
      <c r="R348" s="93" t="e">
        <f ca="1"/>
        <v>#N/A</v>
      </c>
      <c r="S348" s="62" t="e">
        <f t="shared" ca="1" si="49"/>
        <v>#N/A</v>
      </c>
      <c r="T348" s="62" t="e">
        <f t="shared" ca="1" si="43"/>
        <v>#N/A</v>
      </c>
      <c r="U348" s="62" t="e">
        <f t="shared" ca="1" si="44"/>
        <v>#N/A</v>
      </c>
      <c r="V348" s="62" t="e">
        <f t="shared" ca="1" si="45"/>
        <v>#N/A</v>
      </c>
      <c r="W348" s="60" t="e">
        <f t="shared" ca="1" si="46"/>
        <v>#N/A</v>
      </c>
      <c r="X348" s="60" t="e">
        <f t="shared" ca="1" si="50"/>
        <v>#N/A</v>
      </c>
      <c r="Y348" s="60" t="e">
        <f t="shared" ca="1" si="47"/>
        <v>#N/A</v>
      </c>
      <c r="Z348" s="60" t="e">
        <f t="shared" ca="1" si="48"/>
        <v>#N/A</v>
      </c>
    </row>
    <row r="349" spans="18:26" x14ac:dyDescent="0.25">
      <c r="R349" s="93" t="e">
        <f ca="1"/>
        <v>#N/A</v>
      </c>
      <c r="S349" s="62" t="e">
        <f t="shared" ca="1" si="49"/>
        <v>#N/A</v>
      </c>
      <c r="T349" s="62" t="e">
        <f t="shared" ca="1" si="43"/>
        <v>#N/A</v>
      </c>
      <c r="U349" s="62" t="e">
        <f t="shared" ca="1" si="44"/>
        <v>#N/A</v>
      </c>
      <c r="V349" s="62" t="e">
        <f t="shared" ca="1" si="45"/>
        <v>#N/A</v>
      </c>
      <c r="W349" s="60" t="e">
        <f t="shared" ca="1" si="46"/>
        <v>#N/A</v>
      </c>
      <c r="X349" s="60" t="e">
        <f t="shared" ca="1" si="50"/>
        <v>#N/A</v>
      </c>
      <c r="Y349" s="60" t="e">
        <f t="shared" ca="1" si="47"/>
        <v>#N/A</v>
      </c>
      <c r="Z349" s="60" t="e">
        <f t="shared" ca="1" si="48"/>
        <v>#N/A</v>
      </c>
    </row>
    <row r="350" spans="18:26" x14ac:dyDescent="0.25">
      <c r="R350" s="93" t="e">
        <f ca="1"/>
        <v>#N/A</v>
      </c>
      <c r="S350" s="62" t="e">
        <f t="shared" ca="1" si="49"/>
        <v>#N/A</v>
      </c>
      <c r="T350" s="62" t="e">
        <f t="shared" ca="1" si="43"/>
        <v>#N/A</v>
      </c>
      <c r="U350" s="62" t="e">
        <f t="shared" ca="1" si="44"/>
        <v>#N/A</v>
      </c>
      <c r="V350" s="62" t="e">
        <f t="shared" ca="1" si="45"/>
        <v>#N/A</v>
      </c>
      <c r="W350" s="60" t="e">
        <f t="shared" ca="1" si="46"/>
        <v>#N/A</v>
      </c>
      <c r="X350" s="60" t="e">
        <f t="shared" ca="1" si="50"/>
        <v>#N/A</v>
      </c>
      <c r="Y350" s="60" t="e">
        <f t="shared" ca="1" si="47"/>
        <v>#N/A</v>
      </c>
      <c r="Z350" s="60" t="e">
        <f t="shared" ca="1" si="48"/>
        <v>#N/A</v>
      </c>
    </row>
    <row r="351" spans="18:26" x14ac:dyDescent="0.25">
      <c r="R351" s="93" t="e">
        <f ca="1"/>
        <v>#N/A</v>
      </c>
      <c r="S351" s="62" t="e">
        <f t="shared" ca="1" si="49"/>
        <v>#N/A</v>
      </c>
      <c r="T351" s="62" t="e">
        <f t="shared" ca="1" si="43"/>
        <v>#N/A</v>
      </c>
      <c r="U351" s="62" t="e">
        <f t="shared" ca="1" si="44"/>
        <v>#N/A</v>
      </c>
      <c r="V351" s="62" t="e">
        <f t="shared" ca="1" si="45"/>
        <v>#N/A</v>
      </c>
      <c r="W351" s="60" t="e">
        <f t="shared" ca="1" si="46"/>
        <v>#N/A</v>
      </c>
      <c r="X351" s="60" t="e">
        <f t="shared" ca="1" si="50"/>
        <v>#N/A</v>
      </c>
      <c r="Y351" s="60" t="e">
        <f t="shared" ca="1" si="47"/>
        <v>#N/A</v>
      </c>
      <c r="Z351" s="60" t="e">
        <f t="shared" ca="1" si="48"/>
        <v>#N/A</v>
      </c>
    </row>
    <row r="352" spans="18:26" x14ac:dyDescent="0.25">
      <c r="R352" s="93" t="e">
        <f ca="1"/>
        <v>#N/A</v>
      </c>
      <c r="S352" s="62" t="e">
        <f t="shared" ca="1" si="49"/>
        <v>#N/A</v>
      </c>
      <c r="T352" s="62" t="e">
        <f t="shared" ca="1" si="43"/>
        <v>#N/A</v>
      </c>
      <c r="U352" s="62" t="e">
        <f t="shared" ca="1" si="44"/>
        <v>#N/A</v>
      </c>
      <c r="V352" s="62" t="e">
        <f t="shared" ca="1" si="45"/>
        <v>#N/A</v>
      </c>
      <c r="W352" s="60" t="e">
        <f t="shared" ca="1" si="46"/>
        <v>#N/A</v>
      </c>
      <c r="X352" s="60" t="e">
        <f t="shared" ca="1" si="50"/>
        <v>#N/A</v>
      </c>
      <c r="Y352" s="60" t="e">
        <f t="shared" ca="1" si="47"/>
        <v>#N/A</v>
      </c>
      <c r="Z352" s="60" t="e">
        <f t="shared" ca="1" si="48"/>
        <v>#N/A</v>
      </c>
    </row>
    <row r="353" spans="18:26" x14ac:dyDescent="0.25">
      <c r="R353" s="93" t="e">
        <f ca="1"/>
        <v>#N/A</v>
      </c>
      <c r="S353" s="62" t="e">
        <f t="shared" ca="1" si="49"/>
        <v>#N/A</v>
      </c>
      <c r="T353" s="62" t="e">
        <f t="shared" ca="1" si="43"/>
        <v>#N/A</v>
      </c>
      <c r="U353" s="62" t="e">
        <f t="shared" ca="1" si="44"/>
        <v>#N/A</v>
      </c>
      <c r="V353" s="62" t="e">
        <f t="shared" ca="1" si="45"/>
        <v>#N/A</v>
      </c>
      <c r="W353" s="60" t="e">
        <f t="shared" ca="1" si="46"/>
        <v>#N/A</v>
      </c>
      <c r="X353" s="60" t="e">
        <f t="shared" ca="1" si="50"/>
        <v>#N/A</v>
      </c>
      <c r="Y353" s="60" t="e">
        <f t="shared" ca="1" si="47"/>
        <v>#N/A</v>
      </c>
      <c r="Z353" s="60" t="e">
        <f t="shared" ca="1" si="48"/>
        <v>#N/A</v>
      </c>
    </row>
    <row r="354" spans="18:26" x14ac:dyDescent="0.25">
      <c r="R354" s="93" t="e">
        <f ca="1"/>
        <v>#N/A</v>
      </c>
      <c r="S354" s="62" t="e">
        <f t="shared" ca="1" si="49"/>
        <v>#N/A</v>
      </c>
      <c r="T354" s="62" t="e">
        <f t="shared" ca="1" si="43"/>
        <v>#N/A</v>
      </c>
      <c r="U354" s="62" t="e">
        <f t="shared" ca="1" si="44"/>
        <v>#N/A</v>
      </c>
      <c r="V354" s="62" t="e">
        <f t="shared" ca="1" si="45"/>
        <v>#N/A</v>
      </c>
      <c r="W354" s="60" t="e">
        <f t="shared" ca="1" si="46"/>
        <v>#N/A</v>
      </c>
      <c r="X354" s="60" t="e">
        <f t="shared" ca="1" si="50"/>
        <v>#N/A</v>
      </c>
      <c r="Y354" s="60" t="e">
        <f t="shared" ca="1" si="47"/>
        <v>#N/A</v>
      </c>
      <c r="Z354" s="60" t="e">
        <f t="shared" ca="1" si="48"/>
        <v>#N/A</v>
      </c>
    </row>
    <row r="355" spans="18:26" x14ac:dyDescent="0.25">
      <c r="R355" s="93" t="e">
        <f ca="1"/>
        <v>#N/A</v>
      </c>
      <c r="S355" s="62" t="e">
        <f t="shared" ca="1" si="49"/>
        <v>#N/A</v>
      </c>
      <c r="T355" s="62" t="e">
        <f t="shared" ca="1" si="43"/>
        <v>#N/A</v>
      </c>
      <c r="U355" s="62" t="e">
        <f t="shared" ca="1" si="44"/>
        <v>#N/A</v>
      </c>
      <c r="V355" s="62" t="e">
        <f t="shared" ca="1" si="45"/>
        <v>#N/A</v>
      </c>
      <c r="W355" s="60" t="e">
        <f t="shared" ca="1" si="46"/>
        <v>#N/A</v>
      </c>
      <c r="X355" s="60" t="e">
        <f t="shared" ca="1" si="50"/>
        <v>#N/A</v>
      </c>
      <c r="Y355" s="60" t="e">
        <f t="shared" ca="1" si="47"/>
        <v>#N/A</v>
      </c>
      <c r="Z355" s="60" t="e">
        <f t="shared" ca="1" si="48"/>
        <v>#N/A</v>
      </c>
    </row>
    <row r="356" spans="18:26" x14ac:dyDescent="0.25">
      <c r="R356" s="93" t="e">
        <f ca="1"/>
        <v>#N/A</v>
      </c>
      <c r="S356" s="62" t="e">
        <f t="shared" ca="1" si="49"/>
        <v>#N/A</v>
      </c>
      <c r="T356" s="62" t="e">
        <f t="shared" ca="1" si="43"/>
        <v>#N/A</v>
      </c>
      <c r="U356" s="62" t="e">
        <f t="shared" ca="1" si="44"/>
        <v>#N/A</v>
      </c>
      <c r="V356" s="62" t="e">
        <f t="shared" ca="1" si="45"/>
        <v>#N/A</v>
      </c>
      <c r="W356" s="60" t="e">
        <f t="shared" ca="1" si="46"/>
        <v>#N/A</v>
      </c>
      <c r="X356" s="60" t="e">
        <f t="shared" ca="1" si="50"/>
        <v>#N/A</v>
      </c>
      <c r="Y356" s="60" t="e">
        <f t="shared" ca="1" si="47"/>
        <v>#N/A</v>
      </c>
      <c r="Z356" s="60" t="e">
        <f t="shared" ca="1" si="48"/>
        <v>#N/A</v>
      </c>
    </row>
    <row r="357" spans="18:26" x14ac:dyDescent="0.25">
      <c r="R357" s="93" t="e">
        <f ca="1"/>
        <v>#N/A</v>
      </c>
      <c r="S357" s="62" t="e">
        <f t="shared" ca="1" si="49"/>
        <v>#N/A</v>
      </c>
      <c r="T357" s="62" t="e">
        <f t="shared" ca="1" si="43"/>
        <v>#N/A</v>
      </c>
      <c r="U357" s="62" t="e">
        <f t="shared" ca="1" si="44"/>
        <v>#N/A</v>
      </c>
      <c r="V357" s="62" t="e">
        <f t="shared" ca="1" si="45"/>
        <v>#N/A</v>
      </c>
      <c r="W357" s="60" t="e">
        <f t="shared" ca="1" si="46"/>
        <v>#N/A</v>
      </c>
      <c r="X357" s="60" t="e">
        <f t="shared" ca="1" si="50"/>
        <v>#N/A</v>
      </c>
      <c r="Y357" s="60" t="e">
        <f t="shared" ca="1" si="47"/>
        <v>#N/A</v>
      </c>
      <c r="Z357" s="60" t="e">
        <f t="shared" ca="1" si="48"/>
        <v>#N/A</v>
      </c>
    </row>
    <row r="358" spans="18:26" x14ac:dyDescent="0.25">
      <c r="R358" s="93" t="e">
        <f ca="1"/>
        <v>#N/A</v>
      </c>
      <c r="S358" s="62" t="e">
        <f t="shared" ca="1" si="49"/>
        <v>#N/A</v>
      </c>
      <c r="T358" s="62" t="e">
        <f t="shared" ca="1" si="43"/>
        <v>#N/A</v>
      </c>
      <c r="U358" s="62" t="e">
        <f t="shared" ca="1" si="44"/>
        <v>#N/A</v>
      </c>
      <c r="V358" s="62" t="e">
        <f t="shared" ca="1" si="45"/>
        <v>#N/A</v>
      </c>
      <c r="W358" s="60" t="e">
        <f t="shared" ca="1" si="46"/>
        <v>#N/A</v>
      </c>
      <c r="X358" s="60" t="e">
        <f t="shared" ca="1" si="50"/>
        <v>#N/A</v>
      </c>
      <c r="Y358" s="60" t="e">
        <f t="shared" ca="1" si="47"/>
        <v>#N/A</v>
      </c>
      <c r="Z358" s="60" t="e">
        <f t="shared" ca="1" si="48"/>
        <v>#N/A</v>
      </c>
    </row>
    <row r="359" spans="18:26" x14ac:dyDescent="0.25">
      <c r="R359" s="93" t="e">
        <f ca="1"/>
        <v>#N/A</v>
      </c>
      <c r="S359" s="62" t="e">
        <f t="shared" ca="1" si="49"/>
        <v>#N/A</v>
      </c>
      <c r="T359" s="62" t="e">
        <f t="shared" ca="1" si="43"/>
        <v>#N/A</v>
      </c>
      <c r="U359" s="62" t="e">
        <f t="shared" ca="1" si="44"/>
        <v>#N/A</v>
      </c>
      <c r="V359" s="62" t="e">
        <f t="shared" ca="1" si="45"/>
        <v>#N/A</v>
      </c>
      <c r="W359" s="60" t="e">
        <f t="shared" ca="1" si="46"/>
        <v>#N/A</v>
      </c>
      <c r="X359" s="60" t="e">
        <f t="shared" ca="1" si="50"/>
        <v>#N/A</v>
      </c>
      <c r="Y359" s="60" t="e">
        <f t="shared" ca="1" si="47"/>
        <v>#N/A</v>
      </c>
      <c r="Z359" s="60" t="e">
        <f t="shared" ca="1" si="48"/>
        <v>#N/A</v>
      </c>
    </row>
    <row r="360" spans="18:26" x14ac:dyDescent="0.25">
      <c r="R360" s="93" t="e">
        <f ca="1"/>
        <v>#N/A</v>
      </c>
      <c r="S360" s="62" t="e">
        <f t="shared" ca="1" si="49"/>
        <v>#N/A</v>
      </c>
      <c r="T360" s="62" t="e">
        <f t="shared" ca="1" si="43"/>
        <v>#N/A</v>
      </c>
      <c r="U360" s="62" t="e">
        <f t="shared" ca="1" si="44"/>
        <v>#N/A</v>
      </c>
      <c r="V360" s="62" t="e">
        <f t="shared" ca="1" si="45"/>
        <v>#N/A</v>
      </c>
      <c r="W360" s="60" t="e">
        <f t="shared" ca="1" si="46"/>
        <v>#N/A</v>
      </c>
      <c r="X360" s="60" t="e">
        <f t="shared" ca="1" si="50"/>
        <v>#N/A</v>
      </c>
      <c r="Y360" s="60" t="e">
        <f t="shared" ca="1" si="47"/>
        <v>#N/A</v>
      </c>
      <c r="Z360" s="60" t="e">
        <f t="shared" ca="1" si="48"/>
        <v>#N/A</v>
      </c>
    </row>
    <row r="361" spans="18:26" x14ac:dyDescent="0.25">
      <c r="R361" s="93" t="e">
        <f ca="1"/>
        <v>#N/A</v>
      </c>
      <c r="S361" s="62" t="e">
        <f t="shared" ca="1" si="49"/>
        <v>#N/A</v>
      </c>
      <c r="T361" s="62" t="e">
        <f t="shared" ca="1" si="43"/>
        <v>#N/A</v>
      </c>
      <c r="U361" s="62" t="e">
        <f t="shared" ca="1" si="44"/>
        <v>#N/A</v>
      </c>
      <c r="V361" s="62" t="e">
        <f t="shared" ca="1" si="45"/>
        <v>#N/A</v>
      </c>
      <c r="W361" s="60" t="e">
        <f t="shared" ca="1" si="46"/>
        <v>#N/A</v>
      </c>
      <c r="X361" s="60" t="e">
        <f t="shared" ca="1" si="50"/>
        <v>#N/A</v>
      </c>
      <c r="Y361" s="60" t="e">
        <f t="shared" ca="1" si="47"/>
        <v>#N/A</v>
      </c>
      <c r="Z361" s="60" t="e">
        <f t="shared" ca="1" si="48"/>
        <v>#N/A</v>
      </c>
    </row>
    <row r="362" spans="18:26" x14ac:dyDescent="0.25">
      <c r="R362" s="93" t="e">
        <f ca="1"/>
        <v>#N/A</v>
      </c>
      <c r="S362" s="62" t="e">
        <f t="shared" ca="1" si="49"/>
        <v>#N/A</v>
      </c>
      <c r="T362" s="62" t="e">
        <f t="shared" ca="1" si="43"/>
        <v>#N/A</v>
      </c>
      <c r="U362" s="62" t="e">
        <f t="shared" ca="1" si="44"/>
        <v>#N/A</v>
      </c>
      <c r="V362" s="62" t="e">
        <f t="shared" ca="1" si="45"/>
        <v>#N/A</v>
      </c>
      <c r="W362" s="60" t="e">
        <f t="shared" ca="1" si="46"/>
        <v>#N/A</v>
      </c>
      <c r="X362" s="60" t="e">
        <f t="shared" ca="1" si="50"/>
        <v>#N/A</v>
      </c>
      <c r="Y362" s="60" t="e">
        <f t="shared" ca="1" si="47"/>
        <v>#N/A</v>
      </c>
      <c r="Z362" s="60" t="e">
        <f t="shared" ca="1" si="48"/>
        <v>#N/A</v>
      </c>
    </row>
    <row r="363" spans="18:26" x14ac:dyDescent="0.25">
      <c r="R363" s="93" t="e">
        <f ca="1"/>
        <v>#N/A</v>
      </c>
      <c r="S363" s="62" t="e">
        <f t="shared" ca="1" si="49"/>
        <v>#N/A</v>
      </c>
      <c r="T363" s="62" t="e">
        <f t="shared" ca="1" si="43"/>
        <v>#N/A</v>
      </c>
      <c r="U363" s="62" t="e">
        <f t="shared" ca="1" si="44"/>
        <v>#N/A</v>
      </c>
      <c r="V363" s="62" t="e">
        <f t="shared" ca="1" si="45"/>
        <v>#N/A</v>
      </c>
      <c r="W363" s="60" t="e">
        <f t="shared" ca="1" si="46"/>
        <v>#N/A</v>
      </c>
      <c r="X363" s="60" t="e">
        <f t="shared" ca="1" si="50"/>
        <v>#N/A</v>
      </c>
      <c r="Y363" s="60" t="e">
        <f t="shared" ca="1" si="47"/>
        <v>#N/A</v>
      </c>
      <c r="Z363" s="60" t="e">
        <f t="shared" ca="1" si="48"/>
        <v>#N/A</v>
      </c>
    </row>
    <row r="364" spans="18:26" x14ac:dyDescent="0.25">
      <c r="R364" s="93" t="e">
        <f ca="1"/>
        <v>#N/A</v>
      </c>
      <c r="S364" s="62" t="e">
        <f t="shared" ca="1" si="49"/>
        <v>#N/A</v>
      </c>
      <c r="T364" s="62" t="e">
        <f t="shared" ca="1" si="43"/>
        <v>#N/A</v>
      </c>
      <c r="U364" s="62" t="e">
        <f t="shared" ca="1" si="44"/>
        <v>#N/A</v>
      </c>
      <c r="V364" s="62" t="e">
        <f t="shared" ca="1" si="45"/>
        <v>#N/A</v>
      </c>
      <c r="W364" s="60" t="e">
        <f t="shared" ca="1" si="46"/>
        <v>#N/A</v>
      </c>
      <c r="X364" s="60" t="e">
        <f t="shared" ca="1" si="50"/>
        <v>#N/A</v>
      </c>
      <c r="Y364" s="60" t="e">
        <f t="shared" ca="1" si="47"/>
        <v>#N/A</v>
      </c>
      <c r="Z364" s="60" t="e">
        <f t="shared" ca="1" si="48"/>
        <v>#N/A</v>
      </c>
    </row>
    <row r="365" spans="18:26" x14ac:dyDescent="0.25">
      <c r="R365" s="93" t="e">
        <f ca="1"/>
        <v>#N/A</v>
      </c>
      <c r="S365" s="62" t="e">
        <f t="shared" ca="1" si="49"/>
        <v>#N/A</v>
      </c>
      <c r="T365" s="62" t="e">
        <f t="shared" ca="1" si="43"/>
        <v>#N/A</v>
      </c>
      <c r="U365" s="62" t="e">
        <f t="shared" ca="1" si="44"/>
        <v>#N/A</v>
      </c>
      <c r="V365" s="62" t="e">
        <f t="shared" ca="1" si="45"/>
        <v>#N/A</v>
      </c>
      <c r="W365" s="60" t="e">
        <f t="shared" ca="1" si="46"/>
        <v>#N/A</v>
      </c>
      <c r="X365" s="60" t="e">
        <f t="shared" ca="1" si="50"/>
        <v>#N/A</v>
      </c>
      <c r="Y365" s="60" t="e">
        <f t="shared" ca="1" si="47"/>
        <v>#N/A</v>
      </c>
      <c r="Z365" s="60" t="e">
        <f t="shared" ca="1" si="48"/>
        <v>#N/A</v>
      </c>
    </row>
    <row r="366" spans="18:26" x14ac:dyDescent="0.25">
      <c r="R366" s="93" t="e">
        <f ca="1"/>
        <v>#N/A</v>
      </c>
      <c r="S366" s="62" t="e">
        <f t="shared" ca="1" si="49"/>
        <v>#N/A</v>
      </c>
      <c r="T366" s="62" t="e">
        <f t="shared" ca="1" si="43"/>
        <v>#N/A</v>
      </c>
      <c r="U366" s="62" t="e">
        <f t="shared" ca="1" si="44"/>
        <v>#N/A</v>
      </c>
      <c r="V366" s="62" t="e">
        <f t="shared" ca="1" si="45"/>
        <v>#N/A</v>
      </c>
      <c r="W366" s="60" t="e">
        <f t="shared" ca="1" si="46"/>
        <v>#N/A</v>
      </c>
      <c r="X366" s="60" t="e">
        <f t="shared" ca="1" si="50"/>
        <v>#N/A</v>
      </c>
      <c r="Y366" s="60" t="e">
        <f t="shared" ca="1" si="47"/>
        <v>#N/A</v>
      </c>
      <c r="Z366" s="60" t="e">
        <f t="shared" ca="1" si="48"/>
        <v>#N/A</v>
      </c>
    </row>
    <row r="367" spans="18:26" x14ac:dyDescent="0.25">
      <c r="R367" s="93" t="e">
        <f ca="1"/>
        <v>#N/A</v>
      </c>
      <c r="S367" s="62" t="e">
        <f t="shared" ca="1" si="49"/>
        <v>#N/A</v>
      </c>
      <c r="T367" s="62" t="e">
        <f t="shared" ca="1" si="43"/>
        <v>#N/A</v>
      </c>
      <c r="U367" s="62" t="e">
        <f t="shared" ca="1" si="44"/>
        <v>#N/A</v>
      </c>
      <c r="V367" s="62" t="e">
        <f t="shared" ca="1" si="45"/>
        <v>#N/A</v>
      </c>
      <c r="W367" s="60" t="e">
        <f t="shared" ca="1" si="46"/>
        <v>#N/A</v>
      </c>
      <c r="X367" s="60" t="e">
        <f t="shared" ca="1" si="50"/>
        <v>#N/A</v>
      </c>
      <c r="Y367" s="60" t="e">
        <f t="shared" ca="1" si="47"/>
        <v>#N/A</v>
      </c>
      <c r="Z367" s="60" t="e">
        <f t="shared" ca="1" si="48"/>
        <v>#N/A</v>
      </c>
    </row>
    <row r="368" spans="18:26" x14ac:dyDescent="0.25">
      <c r="R368" s="93" t="e">
        <f ca="1"/>
        <v>#N/A</v>
      </c>
      <c r="S368" s="62" t="e">
        <f t="shared" ca="1" si="49"/>
        <v>#N/A</v>
      </c>
      <c r="T368" s="62" t="e">
        <f t="shared" ca="1" si="43"/>
        <v>#N/A</v>
      </c>
      <c r="U368" s="62" t="e">
        <f t="shared" ca="1" si="44"/>
        <v>#N/A</v>
      </c>
      <c r="V368" s="62" t="e">
        <f t="shared" ca="1" si="45"/>
        <v>#N/A</v>
      </c>
      <c r="W368" s="60" t="e">
        <f t="shared" ca="1" si="46"/>
        <v>#N/A</v>
      </c>
      <c r="X368" s="60" t="e">
        <f t="shared" ca="1" si="50"/>
        <v>#N/A</v>
      </c>
      <c r="Y368" s="60" t="e">
        <f t="shared" ca="1" si="47"/>
        <v>#N/A</v>
      </c>
      <c r="Z368" s="60" t="e">
        <f t="shared" ca="1" si="48"/>
        <v>#N/A</v>
      </c>
    </row>
    <row r="369" spans="18:26" x14ac:dyDescent="0.25">
      <c r="R369" s="93" t="e">
        <f ca="1"/>
        <v>#N/A</v>
      </c>
      <c r="S369" s="62" t="e">
        <f t="shared" ca="1" si="49"/>
        <v>#N/A</v>
      </c>
      <c r="T369" s="62" t="e">
        <f t="shared" ca="1" si="43"/>
        <v>#N/A</v>
      </c>
      <c r="U369" s="62" t="e">
        <f t="shared" ca="1" si="44"/>
        <v>#N/A</v>
      </c>
      <c r="V369" s="62" t="e">
        <f t="shared" ca="1" si="45"/>
        <v>#N/A</v>
      </c>
      <c r="W369" s="60" t="e">
        <f t="shared" ca="1" si="46"/>
        <v>#N/A</v>
      </c>
      <c r="X369" s="60" t="e">
        <f t="shared" ca="1" si="50"/>
        <v>#N/A</v>
      </c>
      <c r="Y369" s="60" t="e">
        <f t="shared" ca="1" si="47"/>
        <v>#N/A</v>
      </c>
      <c r="Z369" s="60" t="e">
        <f t="shared" ca="1" si="48"/>
        <v>#N/A</v>
      </c>
    </row>
    <row r="370" spans="18:26" x14ac:dyDescent="0.25">
      <c r="R370" s="93" t="e">
        <f ca="1"/>
        <v>#N/A</v>
      </c>
      <c r="S370" s="62" t="e">
        <f t="shared" ca="1" si="49"/>
        <v>#N/A</v>
      </c>
      <c r="T370" s="62" t="e">
        <f t="shared" ca="1" si="43"/>
        <v>#N/A</v>
      </c>
      <c r="U370" s="62" t="e">
        <f t="shared" ca="1" si="44"/>
        <v>#N/A</v>
      </c>
      <c r="V370" s="62" t="e">
        <f t="shared" ca="1" si="45"/>
        <v>#N/A</v>
      </c>
      <c r="W370" s="60" t="e">
        <f t="shared" ca="1" si="46"/>
        <v>#N/A</v>
      </c>
      <c r="X370" s="60" t="e">
        <f t="shared" ca="1" si="50"/>
        <v>#N/A</v>
      </c>
      <c r="Y370" s="60" t="e">
        <f t="shared" ca="1" si="47"/>
        <v>#N/A</v>
      </c>
      <c r="Z370" s="60" t="e">
        <f t="shared" ca="1" si="48"/>
        <v>#N/A</v>
      </c>
    </row>
    <row r="371" spans="18:26" x14ac:dyDescent="0.25">
      <c r="R371" s="93" t="e">
        <f ca="1"/>
        <v>#N/A</v>
      </c>
      <c r="S371" s="62" t="e">
        <f t="shared" ca="1" si="49"/>
        <v>#N/A</v>
      </c>
      <c r="T371" s="62" t="e">
        <f t="shared" ca="1" si="43"/>
        <v>#N/A</v>
      </c>
      <c r="U371" s="62" t="e">
        <f t="shared" ca="1" si="44"/>
        <v>#N/A</v>
      </c>
      <c r="V371" s="62" t="e">
        <f t="shared" ca="1" si="45"/>
        <v>#N/A</v>
      </c>
      <c r="W371" s="60" t="e">
        <f t="shared" ca="1" si="46"/>
        <v>#N/A</v>
      </c>
      <c r="X371" s="60" t="e">
        <f t="shared" ca="1" si="50"/>
        <v>#N/A</v>
      </c>
      <c r="Y371" s="60" t="e">
        <f t="shared" ca="1" si="47"/>
        <v>#N/A</v>
      </c>
      <c r="Z371" s="60" t="e">
        <f t="shared" ca="1" si="48"/>
        <v>#N/A</v>
      </c>
    </row>
    <row r="372" spans="18:26" x14ac:dyDescent="0.25">
      <c r="R372" s="93" t="e">
        <f ca="1"/>
        <v>#N/A</v>
      </c>
      <c r="S372" s="62" t="e">
        <f t="shared" ca="1" si="49"/>
        <v>#N/A</v>
      </c>
      <c r="T372" s="62" t="e">
        <f t="shared" ca="1" si="43"/>
        <v>#N/A</v>
      </c>
      <c r="U372" s="62" t="e">
        <f t="shared" ca="1" si="44"/>
        <v>#N/A</v>
      </c>
      <c r="V372" s="62" t="e">
        <f t="shared" ca="1" si="45"/>
        <v>#N/A</v>
      </c>
      <c r="W372" s="60" t="e">
        <f t="shared" ca="1" si="46"/>
        <v>#N/A</v>
      </c>
      <c r="X372" s="60" t="e">
        <f t="shared" ca="1" si="50"/>
        <v>#N/A</v>
      </c>
      <c r="Y372" s="60" t="e">
        <f t="shared" ca="1" si="47"/>
        <v>#N/A</v>
      </c>
      <c r="Z372" s="60" t="e">
        <f t="shared" ca="1" si="48"/>
        <v>#N/A</v>
      </c>
    </row>
    <row r="373" spans="18:26" x14ac:dyDescent="0.25">
      <c r="R373" s="93" t="e">
        <f ca="1"/>
        <v>#N/A</v>
      </c>
      <c r="S373" s="62" t="e">
        <f t="shared" ca="1" si="49"/>
        <v>#N/A</v>
      </c>
      <c r="T373" s="62" t="e">
        <f t="shared" ca="1" si="43"/>
        <v>#N/A</v>
      </c>
      <c r="U373" s="62" t="e">
        <f t="shared" ca="1" si="44"/>
        <v>#N/A</v>
      </c>
      <c r="V373" s="62" t="e">
        <f t="shared" ca="1" si="45"/>
        <v>#N/A</v>
      </c>
      <c r="W373" s="60" t="e">
        <f t="shared" ca="1" si="46"/>
        <v>#N/A</v>
      </c>
      <c r="X373" s="60" t="e">
        <f t="shared" ca="1" si="50"/>
        <v>#N/A</v>
      </c>
      <c r="Y373" s="60" t="e">
        <f t="shared" ca="1" si="47"/>
        <v>#N/A</v>
      </c>
      <c r="Z373" s="60" t="e">
        <f t="shared" ca="1" si="48"/>
        <v>#N/A</v>
      </c>
    </row>
    <row r="374" spans="18:26" x14ac:dyDescent="0.25">
      <c r="R374" s="93" t="e">
        <f ca="1"/>
        <v>#N/A</v>
      </c>
      <c r="S374" s="62" t="e">
        <f t="shared" ca="1" si="49"/>
        <v>#N/A</v>
      </c>
      <c r="T374" s="62" t="e">
        <f t="shared" ca="1" si="43"/>
        <v>#N/A</v>
      </c>
      <c r="U374" s="62" t="e">
        <f t="shared" ca="1" si="44"/>
        <v>#N/A</v>
      </c>
      <c r="V374" s="62" t="e">
        <f t="shared" ca="1" si="45"/>
        <v>#N/A</v>
      </c>
      <c r="W374" s="60" t="e">
        <f t="shared" ca="1" si="46"/>
        <v>#N/A</v>
      </c>
      <c r="X374" s="60" t="e">
        <f t="shared" ca="1" si="50"/>
        <v>#N/A</v>
      </c>
      <c r="Y374" s="60" t="e">
        <f t="shared" ca="1" si="47"/>
        <v>#N/A</v>
      </c>
      <c r="Z374" s="60" t="e">
        <f t="shared" ca="1" si="48"/>
        <v>#N/A</v>
      </c>
    </row>
    <row r="375" spans="18:26" x14ac:dyDescent="0.25">
      <c r="R375" s="93" t="e">
        <f ca="1"/>
        <v>#N/A</v>
      </c>
      <c r="S375" s="62" t="e">
        <f t="shared" ca="1" si="49"/>
        <v>#N/A</v>
      </c>
      <c r="T375" s="62" t="e">
        <f t="shared" ca="1" si="43"/>
        <v>#N/A</v>
      </c>
      <c r="U375" s="62" t="e">
        <f t="shared" ca="1" si="44"/>
        <v>#N/A</v>
      </c>
      <c r="V375" s="62" t="e">
        <f t="shared" ca="1" si="45"/>
        <v>#N/A</v>
      </c>
      <c r="W375" s="60" t="e">
        <f t="shared" ca="1" si="46"/>
        <v>#N/A</v>
      </c>
      <c r="X375" s="60" t="e">
        <f t="shared" ca="1" si="50"/>
        <v>#N/A</v>
      </c>
      <c r="Y375" s="60" t="e">
        <f t="shared" ca="1" si="47"/>
        <v>#N/A</v>
      </c>
      <c r="Z375" s="60" t="e">
        <f t="shared" ca="1" si="48"/>
        <v>#N/A</v>
      </c>
    </row>
    <row r="376" spans="18:26" x14ac:dyDescent="0.25">
      <c r="R376" s="93" t="e">
        <f ca="1"/>
        <v>#N/A</v>
      </c>
      <c r="S376" s="62" t="e">
        <f t="shared" ca="1" si="49"/>
        <v>#N/A</v>
      </c>
      <c r="T376" s="62" t="e">
        <f t="shared" ca="1" si="43"/>
        <v>#N/A</v>
      </c>
      <c r="U376" s="62" t="e">
        <f t="shared" ca="1" si="44"/>
        <v>#N/A</v>
      </c>
      <c r="V376" s="62" t="e">
        <f t="shared" ca="1" si="45"/>
        <v>#N/A</v>
      </c>
      <c r="W376" s="60" t="e">
        <f t="shared" ca="1" si="46"/>
        <v>#N/A</v>
      </c>
      <c r="X376" s="60" t="e">
        <f t="shared" ca="1" si="50"/>
        <v>#N/A</v>
      </c>
      <c r="Y376" s="60" t="e">
        <f t="shared" ca="1" si="47"/>
        <v>#N/A</v>
      </c>
      <c r="Z376" s="60" t="e">
        <f t="shared" ca="1" si="48"/>
        <v>#N/A</v>
      </c>
    </row>
    <row r="377" spans="18:26" x14ac:dyDescent="0.25">
      <c r="R377" s="93" t="e">
        <f ca="1"/>
        <v>#N/A</v>
      </c>
      <c r="S377" s="62" t="e">
        <f t="shared" ca="1" si="49"/>
        <v>#N/A</v>
      </c>
      <c r="T377" s="62" t="e">
        <f t="shared" ca="1" si="43"/>
        <v>#N/A</v>
      </c>
      <c r="U377" s="62" t="e">
        <f t="shared" ca="1" si="44"/>
        <v>#N/A</v>
      </c>
      <c r="V377" s="62" t="e">
        <f t="shared" ca="1" si="45"/>
        <v>#N/A</v>
      </c>
      <c r="W377" s="60" t="e">
        <f t="shared" ca="1" si="46"/>
        <v>#N/A</v>
      </c>
      <c r="X377" s="60" t="e">
        <f t="shared" ca="1" si="50"/>
        <v>#N/A</v>
      </c>
      <c r="Y377" s="60" t="e">
        <f t="shared" ca="1" si="47"/>
        <v>#N/A</v>
      </c>
      <c r="Z377" s="60" t="e">
        <f t="shared" ca="1" si="48"/>
        <v>#N/A</v>
      </c>
    </row>
    <row r="378" spans="18:26" x14ac:dyDescent="0.25">
      <c r="R378" s="93" t="e">
        <f ca="1"/>
        <v>#N/A</v>
      </c>
      <c r="S378" s="62" t="e">
        <f t="shared" ca="1" si="49"/>
        <v>#N/A</v>
      </c>
      <c r="T378" s="62" t="e">
        <f t="shared" ca="1" si="43"/>
        <v>#N/A</v>
      </c>
      <c r="U378" s="62" t="e">
        <f t="shared" ca="1" si="44"/>
        <v>#N/A</v>
      </c>
      <c r="V378" s="62" t="e">
        <f t="shared" ca="1" si="45"/>
        <v>#N/A</v>
      </c>
      <c r="W378" s="60" t="e">
        <f t="shared" ca="1" si="46"/>
        <v>#N/A</v>
      </c>
      <c r="X378" s="60" t="e">
        <f t="shared" ca="1" si="50"/>
        <v>#N/A</v>
      </c>
      <c r="Y378" s="60" t="e">
        <f t="shared" ca="1" si="47"/>
        <v>#N/A</v>
      </c>
      <c r="Z378" s="60" t="e">
        <f t="shared" ca="1" si="48"/>
        <v>#N/A</v>
      </c>
    </row>
    <row r="379" spans="18:26" x14ac:dyDescent="0.25">
      <c r="R379" s="93" t="e">
        <f ca="1"/>
        <v>#N/A</v>
      </c>
      <c r="S379" s="62" t="e">
        <f t="shared" ca="1" si="49"/>
        <v>#N/A</v>
      </c>
      <c r="T379" s="62" t="e">
        <f t="shared" ca="1" si="43"/>
        <v>#N/A</v>
      </c>
      <c r="U379" s="62" t="e">
        <f t="shared" ca="1" si="44"/>
        <v>#N/A</v>
      </c>
      <c r="V379" s="62" t="e">
        <f t="shared" ca="1" si="45"/>
        <v>#N/A</v>
      </c>
      <c r="W379" s="60" t="e">
        <f t="shared" ca="1" si="46"/>
        <v>#N/A</v>
      </c>
      <c r="X379" s="60" t="e">
        <f t="shared" ca="1" si="50"/>
        <v>#N/A</v>
      </c>
      <c r="Y379" s="60" t="e">
        <f t="shared" ca="1" si="47"/>
        <v>#N/A</v>
      </c>
      <c r="Z379" s="60" t="e">
        <f t="shared" ca="1" si="48"/>
        <v>#N/A</v>
      </c>
    </row>
    <row r="380" spans="18:26" x14ac:dyDescent="0.25">
      <c r="R380" s="93" t="e">
        <f ca="1"/>
        <v>#N/A</v>
      </c>
      <c r="S380" s="62" t="e">
        <f t="shared" ca="1" si="49"/>
        <v>#N/A</v>
      </c>
      <c r="T380" s="62" t="e">
        <f t="shared" ca="1" si="43"/>
        <v>#N/A</v>
      </c>
      <c r="U380" s="62" t="e">
        <f t="shared" ca="1" si="44"/>
        <v>#N/A</v>
      </c>
      <c r="V380" s="62" t="e">
        <f t="shared" ca="1" si="45"/>
        <v>#N/A</v>
      </c>
      <c r="W380" s="60" t="e">
        <f t="shared" ca="1" si="46"/>
        <v>#N/A</v>
      </c>
      <c r="X380" s="60" t="e">
        <f t="shared" ca="1" si="50"/>
        <v>#N/A</v>
      </c>
      <c r="Y380" s="60" t="e">
        <f t="shared" ca="1" si="47"/>
        <v>#N/A</v>
      </c>
      <c r="Z380" s="60" t="e">
        <f t="shared" ca="1" si="48"/>
        <v>#N/A</v>
      </c>
    </row>
    <row r="381" spans="18:26" x14ac:dyDescent="0.25">
      <c r="R381" s="93" t="e">
        <f ca="1"/>
        <v>#N/A</v>
      </c>
      <c r="S381" s="62" t="e">
        <f t="shared" ca="1" si="49"/>
        <v>#N/A</v>
      </c>
      <c r="T381" s="62" t="e">
        <f t="shared" ca="1" si="43"/>
        <v>#N/A</v>
      </c>
      <c r="U381" s="62" t="e">
        <f t="shared" ca="1" si="44"/>
        <v>#N/A</v>
      </c>
      <c r="V381" s="62" t="e">
        <f t="shared" ca="1" si="45"/>
        <v>#N/A</v>
      </c>
      <c r="W381" s="60" t="e">
        <f t="shared" ca="1" si="46"/>
        <v>#N/A</v>
      </c>
      <c r="X381" s="60" t="e">
        <f t="shared" ca="1" si="50"/>
        <v>#N/A</v>
      </c>
      <c r="Y381" s="60" t="e">
        <f t="shared" ca="1" si="47"/>
        <v>#N/A</v>
      </c>
      <c r="Z381" s="60" t="e">
        <f t="shared" ca="1" si="48"/>
        <v>#N/A</v>
      </c>
    </row>
    <row r="382" spans="18:26" x14ac:dyDescent="0.25">
      <c r="R382" s="93" t="e">
        <f ca="1"/>
        <v>#N/A</v>
      </c>
      <c r="S382" s="62" t="e">
        <f t="shared" ca="1" si="49"/>
        <v>#N/A</v>
      </c>
      <c r="T382" s="62" t="e">
        <f t="shared" ca="1" si="43"/>
        <v>#N/A</v>
      </c>
      <c r="U382" s="62" t="e">
        <f t="shared" ca="1" si="44"/>
        <v>#N/A</v>
      </c>
      <c r="V382" s="62" t="e">
        <f t="shared" ca="1" si="45"/>
        <v>#N/A</v>
      </c>
      <c r="W382" s="60" t="e">
        <f t="shared" ca="1" si="46"/>
        <v>#N/A</v>
      </c>
      <c r="X382" s="60" t="e">
        <f t="shared" ca="1" si="50"/>
        <v>#N/A</v>
      </c>
      <c r="Y382" s="60" t="e">
        <f t="shared" ca="1" si="47"/>
        <v>#N/A</v>
      </c>
      <c r="Z382" s="60" t="e">
        <f t="shared" ca="1" si="48"/>
        <v>#N/A</v>
      </c>
    </row>
    <row r="383" spans="18:26" x14ac:dyDescent="0.25">
      <c r="R383" s="93" t="e">
        <f ca="1"/>
        <v>#N/A</v>
      </c>
      <c r="S383" s="62" t="e">
        <f t="shared" ca="1" si="49"/>
        <v>#N/A</v>
      </c>
      <c r="T383" s="62" t="e">
        <f t="shared" ca="1" si="43"/>
        <v>#N/A</v>
      </c>
      <c r="U383" s="62" t="e">
        <f t="shared" ca="1" si="44"/>
        <v>#N/A</v>
      </c>
      <c r="V383" s="62" t="e">
        <f t="shared" ca="1" si="45"/>
        <v>#N/A</v>
      </c>
      <c r="W383" s="60" t="e">
        <f t="shared" ca="1" si="46"/>
        <v>#N/A</v>
      </c>
      <c r="X383" s="60" t="e">
        <f t="shared" ca="1" si="50"/>
        <v>#N/A</v>
      </c>
      <c r="Y383" s="60" t="e">
        <f t="shared" ca="1" si="47"/>
        <v>#N/A</v>
      </c>
      <c r="Z383" s="60" t="e">
        <f t="shared" ca="1" si="48"/>
        <v>#N/A</v>
      </c>
    </row>
    <row r="384" spans="18:26" x14ac:dyDescent="0.25">
      <c r="R384" s="93" t="e">
        <f ca="1"/>
        <v>#N/A</v>
      </c>
      <c r="S384" s="62" t="e">
        <f t="shared" ca="1" si="49"/>
        <v>#N/A</v>
      </c>
      <c r="T384" s="62" t="e">
        <f t="shared" ca="1" si="43"/>
        <v>#N/A</v>
      </c>
      <c r="U384" s="62" t="e">
        <f t="shared" ca="1" si="44"/>
        <v>#N/A</v>
      </c>
      <c r="V384" s="62" t="e">
        <f t="shared" ca="1" si="45"/>
        <v>#N/A</v>
      </c>
      <c r="W384" s="60" t="e">
        <f t="shared" ca="1" si="46"/>
        <v>#N/A</v>
      </c>
      <c r="X384" s="60" t="e">
        <f t="shared" ca="1" si="50"/>
        <v>#N/A</v>
      </c>
      <c r="Y384" s="60" t="e">
        <f t="shared" ca="1" si="47"/>
        <v>#N/A</v>
      </c>
      <c r="Z384" s="60" t="e">
        <f t="shared" ca="1" si="48"/>
        <v>#N/A</v>
      </c>
    </row>
    <row r="385" spans="18:26" x14ac:dyDescent="0.25">
      <c r="R385" s="93" t="e">
        <f ca="1"/>
        <v>#N/A</v>
      </c>
      <c r="S385" s="62" t="e">
        <f t="shared" ca="1" si="49"/>
        <v>#N/A</v>
      </c>
      <c r="T385" s="62" t="e">
        <f t="shared" ca="1" si="43"/>
        <v>#N/A</v>
      </c>
      <c r="U385" s="62" t="e">
        <f t="shared" ca="1" si="44"/>
        <v>#N/A</v>
      </c>
      <c r="V385" s="62" t="e">
        <f t="shared" ca="1" si="45"/>
        <v>#N/A</v>
      </c>
      <c r="W385" s="60" t="e">
        <f t="shared" ca="1" si="46"/>
        <v>#N/A</v>
      </c>
      <c r="X385" s="60" t="e">
        <f t="shared" ca="1" si="50"/>
        <v>#N/A</v>
      </c>
      <c r="Y385" s="60" t="e">
        <f t="shared" ca="1" si="47"/>
        <v>#N/A</v>
      </c>
      <c r="Z385" s="60" t="e">
        <f t="shared" ca="1" si="48"/>
        <v>#N/A</v>
      </c>
    </row>
    <row r="386" spans="18:26" x14ac:dyDescent="0.25">
      <c r="R386" s="93" t="e">
        <f ca="1"/>
        <v>#N/A</v>
      </c>
      <c r="S386" s="62" t="e">
        <f t="shared" ca="1" si="49"/>
        <v>#N/A</v>
      </c>
      <c r="T386" s="62" t="e">
        <f t="shared" ca="1" si="43"/>
        <v>#N/A</v>
      </c>
      <c r="U386" s="62" t="e">
        <f t="shared" ca="1" si="44"/>
        <v>#N/A</v>
      </c>
      <c r="V386" s="62" t="e">
        <f t="shared" ca="1" si="45"/>
        <v>#N/A</v>
      </c>
      <c r="W386" s="60" t="e">
        <f t="shared" ca="1" si="46"/>
        <v>#N/A</v>
      </c>
      <c r="X386" s="60" t="e">
        <f t="shared" ca="1" si="50"/>
        <v>#N/A</v>
      </c>
      <c r="Y386" s="60" t="e">
        <f t="shared" ca="1" si="47"/>
        <v>#N/A</v>
      </c>
      <c r="Z386" s="60" t="e">
        <f t="shared" ca="1" si="48"/>
        <v>#N/A</v>
      </c>
    </row>
    <row r="387" spans="18:26" x14ac:dyDescent="0.25">
      <c r="R387" s="93" t="e">
        <f ca="1"/>
        <v>#N/A</v>
      </c>
      <c r="S387" s="62" t="e">
        <f t="shared" ca="1" si="49"/>
        <v>#N/A</v>
      </c>
      <c r="T387" s="62" t="e">
        <f t="shared" ca="1" si="43"/>
        <v>#N/A</v>
      </c>
      <c r="U387" s="62" t="e">
        <f t="shared" ca="1" si="44"/>
        <v>#N/A</v>
      </c>
      <c r="V387" s="62" t="e">
        <f t="shared" ca="1" si="45"/>
        <v>#N/A</v>
      </c>
      <c r="W387" s="60" t="e">
        <f t="shared" ca="1" si="46"/>
        <v>#N/A</v>
      </c>
      <c r="X387" s="60" t="e">
        <f t="shared" ca="1" si="50"/>
        <v>#N/A</v>
      </c>
      <c r="Y387" s="60" t="e">
        <f t="shared" ca="1" si="47"/>
        <v>#N/A</v>
      </c>
      <c r="Z387" s="60" t="e">
        <f t="shared" ca="1" si="48"/>
        <v>#N/A</v>
      </c>
    </row>
    <row r="388" spans="18:26" x14ac:dyDescent="0.25">
      <c r="R388" s="93" t="e">
        <f ca="1"/>
        <v>#N/A</v>
      </c>
      <c r="S388" s="62" t="e">
        <f t="shared" ca="1" si="49"/>
        <v>#N/A</v>
      </c>
      <c r="T388" s="62" t="e">
        <f t="shared" ca="1" si="43"/>
        <v>#N/A</v>
      </c>
      <c r="U388" s="62" t="e">
        <f t="shared" ca="1" si="44"/>
        <v>#N/A</v>
      </c>
      <c r="V388" s="62" t="e">
        <f t="shared" ca="1" si="45"/>
        <v>#N/A</v>
      </c>
      <c r="W388" s="60" t="e">
        <f t="shared" ca="1" si="46"/>
        <v>#N/A</v>
      </c>
      <c r="X388" s="60" t="e">
        <f t="shared" ca="1" si="50"/>
        <v>#N/A</v>
      </c>
      <c r="Y388" s="60" t="e">
        <f t="shared" ca="1" si="47"/>
        <v>#N/A</v>
      </c>
      <c r="Z388" s="60" t="e">
        <f t="shared" ca="1" si="48"/>
        <v>#N/A</v>
      </c>
    </row>
    <row r="389" spans="18:26" x14ac:dyDescent="0.25">
      <c r="R389" s="93" t="e">
        <f ca="1"/>
        <v>#N/A</v>
      </c>
      <c r="S389" s="62" t="e">
        <f t="shared" ca="1" si="49"/>
        <v>#N/A</v>
      </c>
      <c r="T389" s="62" t="e">
        <f t="shared" ca="1" si="43"/>
        <v>#N/A</v>
      </c>
      <c r="U389" s="62" t="e">
        <f t="shared" ca="1" si="44"/>
        <v>#N/A</v>
      </c>
      <c r="V389" s="62" t="e">
        <f t="shared" ca="1" si="45"/>
        <v>#N/A</v>
      </c>
      <c r="W389" s="60" t="e">
        <f t="shared" ca="1" si="46"/>
        <v>#N/A</v>
      </c>
      <c r="X389" s="60" t="e">
        <f t="shared" ca="1" si="50"/>
        <v>#N/A</v>
      </c>
      <c r="Y389" s="60" t="e">
        <f t="shared" ca="1" si="47"/>
        <v>#N/A</v>
      </c>
      <c r="Z389" s="60" t="e">
        <f t="shared" ca="1" si="48"/>
        <v>#N/A</v>
      </c>
    </row>
    <row r="390" spans="18:26" x14ac:dyDescent="0.25">
      <c r="R390" s="93" t="e">
        <f ca="1"/>
        <v>#N/A</v>
      </c>
      <c r="S390" s="62" t="e">
        <f t="shared" ca="1" si="49"/>
        <v>#N/A</v>
      </c>
      <c r="T390" s="62" t="e">
        <f t="shared" ca="1" si="43"/>
        <v>#N/A</v>
      </c>
      <c r="U390" s="62" t="e">
        <f t="shared" ca="1" si="44"/>
        <v>#N/A</v>
      </c>
      <c r="V390" s="62" t="e">
        <f t="shared" ca="1" si="45"/>
        <v>#N/A</v>
      </c>
      <c r="W390" s="60" t="e">
        <f t="shared" ca="1" si="46"/>
        <v>#N/A</v>
      </c>
      <c r="X390" s="60" t="e">
        <f t="shared" ca="1" si="50"/>
        <v>#N/A</v>
      </c>
      <c r="Y390" s="60" t="e">
        <f t="shared" ca="1" si="47"/>
        <v>#N/A</v>
      </c>
      <c r="Z390" s="60" t="e">
        <f t="shared" ca="1" si="48"/>
        <v>#N/A</v>
      </c>
    </row>
    <row r="391" spans="18:26" x14ac:dyDescent="0.25">
      <c r="R391" s="93" t="e">
        <f ca="1"/>
        <v>#N/A</v>
      </c>
      <c r="S391" s="62" t="e">
        <f t="shared" ca="1" si="49"/>
        <v>#N/A</v>
      </c>
      <c r="T391" s="62" t="e">
        <f t="shared" ca="1" si="43"/>
        <v>#N/A</v>
      </c>
      <c r="U391" s="62" t="e">
        <f t="shared" ca="1" si="44"/>
        <v>#N/A</v>
      </c>
      <c r="V391" s="62" t="e">
        <f t="shared" ca="1" si="45"/>
        <v>#N/A</v>
      </c>
      <c r="W391" s="60" t="e">
        <f t="shared" ca="1" si="46"/>
        <v>#N/A</v>
      </c>
      <c r="X391" s="60" t="e">
        <f t="shared" ca="1" si="50"/>
        <v>#N/A</v>
      </c>
      <c r="Y391" s="60" t="e">
        <f t="shared" ca="1" si="47"/>
        <v>#N/A</v>
      </c>
      <c r="Z391" s="60" t="e">
        <f t="shared" ca="1" si="48"/>
        <v>#N/A</v>
      </c>
    </row>
    <row r="392" spans="18:26" x14ac:dyDescent="0.25">
      <c r="R392" s="93" t="e">
        <f ca="1"/>
        <v>#N/A</v>
      </c>
      <c r="S392" s="62" t="e">
        <f t="shared" ca="1" si="49"/>
        <v>#N/A</v>
      </c>
      <c r="T392" s="62" t="e">
        <f t="shared" ca="1" si="43"/>
        <v>#N/A</v>
      </c>
      <c r="U392" s="62" t="e">
        <f t="shared" ca="1" si="44"/>
        <v>#N/A</v>
      </c>
      <c r="V392" s="62" t="e">
        <f t="shared" ca="1" si="45"/>
        <v>#N/A</v>
      </c>
      <c r="W392" s="60" t="e">
        <f t="shared" ca="1" si="46"/>
        <v>#N/A</v>
      </c>
      <c r="X392" s="60" t="e">
        <f t="shared" ca="1" si="50"/>
        <v>#N/A</v>
      </c>
      <c r="Y392" s="60" t="e">
        <f t="shared" ca="1" si="47"/>
        <v>#N/A</v>
      </c>
      <c r="Z392" s="60" t="e">
        <f t="shared" ca="1" si="48"/>
        <v>#N/A</v>
      </c>
    </row>
    <row r="393" spans="18:26" x14ac:dyDescent="0.25">
      <c r="R393" s="93" t="e">
        <f ca="1"/>
        <v>#N/A</v>
      </c>
      <c r="S393" s="62" t="e">
        <f t="shared" ca="1" si="49"/>
        <v>#N/A</v>
      </c>
      <c r="T393" s="62" t="e">
        <f t="shared" ca="1" si="43"/>
        <v>#N/A</v>
      </c>
      <c r="U393" s="62" t="e">
        <f t="shared" ca="1" si="44"/>
        <v>#N/A</v>
      </c>
      <c r="V393" s="62" t="e">
        <f t="shared" ca="1" si="45"/>
        <v>#N/A</v>
      </c>
      <c r="W393" s="60" t="e">
        <f t="shared" ca="1" si="46"/>
        <v>#N/A</v>
      </c>
      <c r="X393" s="60" t="e">
        <f t="shared" ca="1" si="50"/>
        <v>#N/A</v>
      </c>
      <c r="Y393" s="60" t="e">
        <f t="shared" ca="1" si="47"/>
        <v>#N/A</v>
      </c>
      <c r="Z393" s="60" t="e">
        <f t="shared" ca="1" si="48"/>
        <v>#N/A</v>
      </c>
    </row>
    <row r="394" spans="18:26" x14ac:dyDescent="0.25">
      <c r="R394" s="93" t="e">
        <f ca="1"/>
        <v>#N/A</v>
      </c>
      <c r="S394" s="62" t="e">
        <f t="shared" ca="1" si="49"/>
        <v>#N/A</v>
      </c>
      <c r="T394" s="62" t="e">
        <f t="shared" ca="1" si="43"/>
        <v>#N/A</v>
      </c>
      <c r="U394" s="62" t="e">
        <f t="shared" ca="1" si="44"/>
        <v>#N/A</v>
      </c>
      <c r="V394" s="62" t="e">
        <f t="shared" ca="1" si="45"/>
        <v>#N/A</v>
      </c>
      <c r="W394" s="60" t="e">
        <f t="shared" ca="1" si="46"/>
        <v>#N/A</v>
      </c>
      <c r="X394" s="60" t="e">
        <f t="shared" ca="1" si="50"/>
        <v>#N/A</v>
      </c>
      <c r="Y394" s="60" t="e">
        <f t="shared" ca="1" si="47"/>
        <v>#N/A</v>
      </c>
      <c r="Z394" s="60" t="e">
        <f t="shared" ca="1" si="48"/>
        <v>#N/A</v>
      </c>
    </row>
    <row r="395" spans="18:26" x14ac:dyDescent="0.25">
      <c r="R395" s="93" t="e">
        <f ca="1"/>
        <v>#N/A</v>
      </c>
      <c r="S395" s="62" t="e">
        <f t="shared" ca="1" si="49"/>
        <v>#N/A</v>
      </c>
      <c r="T395" s="62" t="e">
        <f t="shared" ca="1" si="43"/>
        <v>#N/A</v>
      </c>
      <c r="U395" s="62" t="e">
        <f t="shared" ca="1" si="44"/>
        <v>#N/A</v>
      </c>
      <c r="V395" s="62" t="e">
        <f t="shared" ca="1" si="45"/>
        <v>#N/A</v>
      </c>
      <c r="W395" s="60" t="e">
        <f t="shared" ca="1" si="46"/>
        <v>#N/A</v>
      </c>
      <c r="X395" s="60" t="e">
        <f t="shared" ca="1" si="50"/>
        <v>#N/A</v>
      </c>
      <c r="Y395" s="60" t="e">
        <f t="shared" ca="1" si="47"/>
        <v>#N/A</v>
      </c>
      <c r="Z395" s="60" t="e">
        <f t="shared" ca="1" si="48"/>
        <v>#N/A</v>
      </c>
    </row>
  </sheetData>
  <sheetProtection selectLockedCells="1"/>
  <mergeCells count="11"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0" priority="45" operator="containsText" text="Suggested">
      <formula>NOT(ISERROR(SEARCH("Suggested",H29)))</formula>
    </cfRule>
  </conditionalFormatting>
  <conditionalFormatting sqref="F33:G33">
    <cfRule type="expression" dxfId="19" priority="46">
      <formula>$B$28=1</formula>
    </cfRule>
  </conditionalFormatting>
  <conditionalFormatting sqref="F29:G29">
    <cfRule type="expression" dxfId="18" priority="47">
      <formula>$B$24=1</formula>
    </cfRule>
  </conditionalFormatting>
  <conditionalFormatting sqref="F30:G30">
    <cfRule type="expression" dxfId="17" priority="48">
      <formula>$B$25=1</formula>
    </cfRule>
  </conditionalFormatting>
  <conditionalFormatting sqref="F31:G31">
    <cfRule type="expression" dxfId="16" priority="49">
      <formula>$B$26=1</formula>
    </cfRule>
  </conditionalFormatting>
  <conditionalFormatting sqref="F32:G32">
    <cfRule type="expression" dxfId="15" priority="50">
      <formula>$B$27=1</formula>
    </cfRule>
  </conditionalFormatting>
  <conditionalFormatting sqref="F34:G34">
    <cfRule type="expression" dxfId="14" priority="51">
      <formula>$B$29=1</formula>
    </cfRule>
  </conditionalFormatting>
  <conditionalFormatting sqref="F35:G35">
    <cfRule type="expression" dxfId="13" priority="58">
      <formula>$B$30=1</formula>
    </cfRule>
  </conditionalFormatting>
  <conditionalFormatting sqref="F36">
    <cfRule type="expression" dxfId="12" priority="60">
      <formula>$B$31=1</formula>
    </cfRule>
  </conditionalFormatting>
  <conditionalFormatting sqref="G36">
    <cfRule type="expression" dxfId="11" priority="61">
      <formula>$B$31</formula>
    </cfRule>
  </conditionalFormatting>
  <conditionalFormatting sqref="F37:G37">
    <cfRule type="expression" dxfId="10" priority="62">
      <formula>$B$32=1</formula>
    </cfRule>
  </conditionalFormatting>
  <conditionalFormatting sqref="F38:G38">
    <cfRule type="expression" dxfId="9" priority="64">
      <formula>$B$33=1</formula>
    </cfRule>
  </conditionalFormatting>
  <conditionalFormatting sqref="F39:G39">
    <cfRule type="expression" dxfId="8" priority="66">
      <formula>$B$34=1</formula>
    </cfRule>
  </conditionalFormatting>
  <conditionalFormatting sqref="F40:G40">
    <cfRule type="expression" dxfId="7" priority="68">
      <formula>$B$35=1</formula>
    </cfRule>
  </conditionalFormatting>
  <conditionalFormatting sqref="F41:G41">
    <cfRule type="expression" dxfId="6" priority="70">
      <formula>$B$36=1</formula>
    </cfRule>
  </conditionalFormatting>
  <conditionalFormatting sqref="F42:G42">
    <cfRule type="expression" dxfId="5" priority="72">
      <formula>$B$37=1</formula>
    </cfRule>
  </conditionalFormatting>
  <conditionalFormatting sqref="F43:G43">
    <cfRule type="expression" dxfId="4" priority="74">
      <formula>$B$38=1</formula>
    </cfRule>
  </conditionalFormatting>
  <conditionalFormatting sqref="C25:H45 F22:H24 C22:E23 C17:H21">
    <cfRule type="expression" dxfId="3" priority="5">
      <formula>$B$1=1</formula>
    </cfRule>
  </conditionalFormatting>
  <conditionalFormatting sqref="C54:E56 F54:H55 C46:H53 C57:H63 C68:H71 C64:E67 F65:H66 F8:H15">
    <cfRule type="expression" dxfId="2" priority="4">
      <formula>NOT($B$1=3)</formula>
    </cfRule>
  </conditionalFormatting>
  <conditionalFormatting sqref="E15">
    <cfRule type="expression" dxfId="1" priority="2">
      <formula>NOT($B$1=1)</formula>
    </cfRule>
  </conditionalFormatting>
  <conditionalFormatting sqref="D72:E72">
    <cfRule type="expression" dxfId="0" priority="1">
      <formula>NOT($B$1=3)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</dataValidations>
  <pageMargins left="0.36" right="0.48" top="0.48" bottom="0.75" header="0.3" footer="0.3"/>
  <pageSetup paperSize="9" scale="50" orientation="landscape" r:id="rId1"/>
  <ignoredErrors>
    <ignoredError sqref="G9:G10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9" sqref="B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4" t="s">
        <v>116</v>
      </c>
      <c r="B1" s="155"/>
      <c r="O1" s="35" t="s">
        <v>115</v>
      </c>
      <c r="P1" s="24"/>
      <c r="Q1" s="23" t="s">
        <v>192</v>
      </c>
      <c r="R1" s="24"/>
      <c r="S1" s="23" t="s">
        <v>189</v>
      </c>
      <c r="T1" s="25" t="s">
        <v>190</v>
      </c>
      <c r="U1" s="25" t="s">
        <v>13</v>
      </c>
      <c r="V1" s="23" t="s">
        <v>189</v>
      </c>
      <c r="W1" s="23" t="s">
        <v>191</v>
      </c>
      <c r="X1" s="26" t="s">
        <v>186</v>
      </c>
      <c r="Y1" s="132"/>
      <c r="Z1" s="132"/>
      <c r="AA1" s="132"/>
      <c r="AB1" s="132"/>
      <c r="AC1" s="113" t="s">
        <v>188</v>
      </c>
      <c r="AD1" s="113" t="s">
        <v>187</v>
      </c>
      <c r="AG1" s="113"/>
    </row>
    <row r="2" spans="1:37" ht="15.75" thickBot="1" x14ac:dyDescent="0.3">
      <c r="A2" s="5" t="s">
        <v>18</v>
      </c>
      <c r="B2" s="6">
        <f>ConceptDemo!D69</f>
        <v>50</v>
      </c>
      <c r="D2" s="44" t="str">
        <f>ConceptDemo!C27</f>
        <v>Fertiliser already applied or planned</v>
      </c>
      <c r="E2" s="45"/>
      <c r="O2" s="14" t="s">
        <v>0</v>
      </c>
      <c r="P2" s="33">
        <f ca="1">InitialDate</f>
        <v>45169</v>
      </c>
      <c r="Q2" s="27">
        <f ca="1">VLOOKUP(P2-1,ModelOutputs,2,FALSE)</f>
        <v>59.859859649620894</v>
      </c>
      <c r="R2" s="27"/>
      <c r="S2" s="27">
        <f ca="1">SUMIF($O$6:$O$495,TRUE,S6:S495)</f>
        <v>0.63740753629685498</v>
      </c>
      <c r="T2" s="27">
        <f ca="1">SUMIF($O$6:$O$495,TRUE,T6:T495)</f>
        <v>77.746471689023423</v>
      </c>
      <c r="U2" s="27">
        <f ca="1">SUMIF($O$6:$O$495,TRUE,U6:U495)</f>
        <v>61</v>
      </c>
      <c r="V2" s="27"/>
      <c r="W2" s="28"/>
      <c r="X2" s="15"/>
      <c r="Y2" s="28"/>
      <c r="Z2" s="28"/>
      <c r="AA2" s="28"/>
      <c r="AB2" s="28"/>
      <c r="AC2" s="3">
        <f ca="1">MAX(0,AD3-AD2)</f>
        <v>0</v>
      </c>
      <c r="AD2" s="3">
        <f ca="1">SUM(Q2:X2)</f>
        <v>199.24373887494119</v>
      </c>
      <c r="AG2" s="3"/>
    </row>
    <row r="3" spans="1:37" ht="15.75" thickBot="1" x14ac:dyDescent="0.3">
      <c r="A3" s="14" t="s">
        <v>224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214</v>
      </c>
      <c r="J3">
        <f>VLOOKUP(PrePlantRain,ListMembers!$Z$7:$AA$11,2,FALSE)</f>
        <v>1</v>
      </c>
      <c r="O3" s="16" t="s">
        <v>12</v>
      </c>
      <c r="P3" s="34">
        <f>B33</f>
        <v>45296</v>
      </c>
      <c r="Q3" s="29">
        <f ca="1">VLOOKUP(P3,ModelOutputs,2,FALSE)</f>
        <v>29.33948129721832</v>
      </c>
      <c r="R3" s="32"/>
      <c r="S3" s="30"/>
      <c r="T3" s="30"/>
      <c r="U3" s="30"/>
      <c r="V3" s="29">
        <f ca="1">(VLOOKUP($P$3,ModelOutputs,V4,FALSE)-VLOOKUP($P$2+1,ModelOutputs,V4,FALSE))-W3</f>
        <v>55.141777836009439</v>
      </c>
      <c r="W3" s="31">
        <f ca="1">VLOOKUP($P$3,ModelOutputs,W4,FALSE)-VLOOKUP($P$2+1,ModelOutputs,W4,FALSE)</f>
        <v>102.40615883830436</v>
      </c>
      <c r="X3" s="32">
        <f ca="1">SUMIF($O$6:$O$495,TRUE,X6:X495)</f>
        <v>12.199999999999998</v>
      </c>
      <c r="Y3" s="27"/>
      <c r="Z3" s="27"/>
      <c r="AA3" s="27"/>
      <c r="AB3" s="27"/>
      <c r="AC3" s="3">
        <f ca="1">MAX(0,AD2-AD3)</f>
        <v>0.15632090340909599</v>
      </c>
      <c r="AD3" s="3">
        <f ca="1">SUM(Q3:X3)</f>
        <v>199.08741797153209</v>
      </c>
    </row>
    <row r="4" spans="1:37" ht="15.75" thickBot="1" x14ac:dyDescent="0.3">
      <c r="A4" s="14" t="s">
        <v>225</v>
      </c>
      <c r="B4" s="15" t="str">
        <f>SampleDepth</f>
        <v>0-30cm</v>
      </c>
      <c r="D4" s="42" t="str">
        <f>IF(ConceptDemo!C29="","",ConceptDemo!C29)</f>
        <v/>
      </c>
      <c r="E4" s="43" t="str">
        <f>IF(ConceptDemo!D29="","",ConceptDemo!D29)</f>
        <v/>
      </c>
      <c r="H4" t="str">
        <f>ConceptDemo!D4</f>
        <v>Linocln</v>
      </c>
      <c r="I4" t="s">
        <v>215</v>
      </c>
      <c r="J4">
        <f>VLOOKUP(InCropRain,ListMembers!$Z$7:$AA$11,2,FALSE)</f>
        <v>1</v>
      </c>
      <c r="R4">
        <f ca="1">SUMIF(N6:N495,FALSE,R6:R495)</f>
        <v>33.451967903700449</v>
      </c>
      <c r="S4">
        <f ca="1">SUMIF(N6:N495,TRUE,S6:S495)</f>
        <v>2.7782257203778378</v>
      </c>
      <c r="V4">
        <v>7</v>
      </c>
      <c r="W4">
        <v>8</v>
      </c>
      <c r="AC4" s="3"/>
      <c r="AG4" s="3"/>
    </row>
    <row r="5" spans="1:37" x14ac:dyDescent="0.25">
      <c r="A5" s="14" t="s">
        <v>226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102</v>
      </c>
      <c r="H5" s="103" t="s">
        <v>14</v>
      </c>
      <c r="I5" s="134" t="s">
        <v>17</v>
      </c>
      <c r="J5" s="134" t="s">
        <v>211</v>
      </c>
      <c r="K5" s="104" t="s">
        <v>213</v>
      </c>
      <c r="N5" t="s">
        <v>185</v>
      </c>
      <c r="O5" t="s">
        <v>114</v>
      </c>
      <c r="P5" t="str">
        <f t="array" aca="1" ref="P5:AB495" ca="1">_xll.GetDailyNBalance(H5:K495,A2:B47,D12:E18,D3:E9)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151</v>
      </c>
      <c r="AE5" t="s">
        <v>152</v>
      </c>
    </row>
    <row r="6" spans="1:37" x14ac:dyDescent="0.25">
      <c r="A6" s="14" t="s">
        <v>227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183</v>
      </c>
      <c r="H6" s="105">
        <f ca="1">B20-1</f>
        <v>45108</v>
      </c>
      <c r="I6" s="133">
        <f ca="1">HLOOKUP($H$4,'Met Data'!$A$2:$F$368,G6,FALSE)</f>
        <v>5.80151515151515</v>
      </c>
      <c r="J6" s="133">
        <f ca="1">HLOOKUP($H$4,'Met Data'!$H$2:$M$368,G6,FALSE)*L6</f>
        <v>1.3575757575757501</v>
      </c>
      <c r="K6" s="106">
        <f ca="1">HLOOKUP($H$4,'Met Data'!$O$2:$T$368,G6,FALSE)</f>
        <v>1.0914719035015701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45153</v>
      </c>
      <c r="Q6">
        <f ca="1"/>
        <v>49.957224995404836</v>
      </c>
      <c r="R6">
        <f ca="1"/>
        <v>0.653292780166012</v>
      </c>
      <c r="S6">
        <f ca="1"/>
        <v>0.10021500000000003</v>
      </c>
      <c r="T6" s="4">
        <f ca="1"/>
        <v>0.51030277557084758</v>
      </c>
      <c r="U6">
        <f ca="1"/>
        <v>0</v>
      </c>
      <c r="V6">
        <f ca="1"/>
        <v>23.796297973366201</v>
      </c>
      <c r="W6">
        <f ca="1"/>
        <v>21.769205923783201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0.99999032584146896</v>
      </c>
      <c r="AD6" s="2">
        <f t="shared" ref="AD6:AD69" ca="1" si="2">IFERROR(P6,$AD$4)</f>
        <v>45153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223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184</v>
      </c>
      <c r="H7" s="105">
        <f ca="1">H6+1</f>
        <v>45109</v>
      </c>
      <c r="I7" s="133">
        <f ca="1">HLOOKUP($H$4,'Met Data'!$A$2:$F$368,G7,FALSE)</f>
        <v>5.4696969696969697</v>
      </c>
      <c r="J7" s="133">
        <f ca="1">HLOOKUP($H$4,'Met Data'!$H$2:$M$368,G7,FALSE)*L7</f>
        <v>1.66363636363636</v>
      </c>
      <c r="K7" s="106">
        <f ca="1">HLOOKUP($H$4,'Met Data'!$O$2:$T$368,G7,FALSE)</f>
        <v>1.0977706117478601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45154</v>
      </c>
      <c r="Q7">
        <f ca="1"/>
        <v>49.947000316391247</v>
      </c>
      <c r="R7">
        <f ca="1"/>
        <v>0.62872599098834703</v>
      </c>
      <c r="S7">
        <f ca="1"/>
        <v>9.493894012500001E-2</v>
      </c>
      <c r="T7" s="4">
        <f ca="1"/>
        <v>0.52356237184976395</v>
      </c>
      <c r="U7">
        <f ca="1"/>
        <v>0</v>
      </c>
      <c r="V7">
        <f ca="1"/>
        <v>24.425023964354601</v>
      </c>
      <c r="W7">
        <f ca="1"/>
        <v>22.344373774798399</v>
      </c>
      <c r="X7">
        <f ca="1"/>
        <v>0</v>
      </c>
      <c r="Y7">
        <f ca="1"/>
        <v>1</v>
      </c>
      <c r="Z7">
        <f ca="1"/>
        <v>0.31480543650839365</v>
      </c>
      <c r="AA7">
        <f ca="1"/>
        <v>0</v>
      </c>
      <c r="AB7">
        <f ca="1"/>
        <v>0.99999350482483895</v>
      </c>
      <c r="AD7" s="2">
        <f t="shared" ca="1" si="2"/>
        <v>45154</v>
      </c>
      <c r="AE7" s="46">
        <f t="shared" ca="1" si="3"/>
        <v>0</v>
      </c>
      <c r="AF7" s="3"/>
      <c r="AG7" s="72">
        <f ca="1">Q6+S7+T7+U7</f>
        <v>50.575726307379597</v>
      </c>
      <c r="AH7" s="72">
        <f ca="1">Q7+R7+X7</f>
        <v>50.575726307379597</v>
      </c>
      <c r="AI7" s="3">
        <f ca="1">AH7-AG7</f>
        <v>0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185</v>
      </c>
      <c r="H8" s="105">
        <f t="shared" ref="H8:H71" ca="1" si="6">H7+1</f>
        <v>45110</v>
      </c>
      <c r="I8" s="133">
        <f ca="1">HLOOKUP($H$4,'Met Data'!$A$2:$F$368,G8,FALSE)</f>
        <v>6.01212121212121</v>
      </c>
      <c r="J8" s="133">
        <f ca="1">HLOOKUP($H$4,'Met Data'!$H$2:$M$368,G8,FALSE)*L8</f>
        <v>1.73030303030303</v>
      </c>
      <c r="K8" s="106">
        <f ca="1">HLOOKUP($H$4,'Met Data'!$O$2:$T$368,G8,FALSE)</f>
        <v>1.17483894696367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45155</v>
      </c>
      <c r="Q8">
        <f ca="1"/>
        <v>50.742591217858362</v>
      </c>
      <c r="R8">
        <f ca="1"/>
        <v>0</v>
      </c>
      <c r="S8">
        <f ca="1"/>
        <v>0.24003207892144551</v>
      </c>
      <c r="T8" s="4">
        <f ca="1"/>
        <v>0.55555882254566835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1</v>
      </c>
      <c r="Z8">
        <f ca="1"/>
        <v>0.64891720331733893</v>
      </c>
      <c r="AA8">
        <f ca="1"/>
        <v>0</v>
      </c>
      <c r="AB8">
        <f ca="1"/>
        <v>0</v>
      </c>
      <c r="AD8" s="2">
        <f t="shared" ca="1" si="2"/>
        <v>45155</v>
      </c>
      <c r="AE8" s="46">
        <f t="shared" ca="1" si="3"/>
        <v>0</v>
      </c>
      <c r="AG8" s="72">
        <f t="shared" ref="AG8:AG71" ca="1" si="7">Q7+S8+T8+U8</f>
        <v>50.742591217858362</v>
      </c>
      <c r="AH8" s="72">
        <f t="shared" ref="AH8:AH71" ca="1" si="8">Q8+R8+X8</f>
        <v>50.742591217858362</v>
      </c>
      <c r="AI8" s="3">
        <f t="shared" ref="AI8:AI71" ca="1" si="9">AH8-AG8</f>
        <v>0</v>
      </c>
    </row>
    <row r="9" spans="1:37" ht="15.75" thickBot="1" x14ac:dyDescent="0.3">
      <c r="A9" s="14" t="s">
        <v>28</v>
      </c>
      <c r="B9" s="15">
        <f>ConceptDemo!D71</f>
        <v>80</v>
      </c>
      <c r="D9" s="40" t="str">
        <f>IF(ConceptDemo!C34="","",ConceptDemo!C34)</f>
        <v/>
      </c>
      <c r="E9" s="22" t="str">
        <f>IF(ConceptDemo!D34="","",ConceptDemo!D34)</f>
        <v/>
      </c>
      <c r="G9" s="3">
        <f t="shared" ca="1" si="4"/>
        <v>186</v>
      </c>
      <c r="H9" s="105">
        <f t="shared" ca="1" si="6"/>
        <v>45111</v>
      </c>
      <c r="I9" s="133">
        <f ca="1">HLOOKUP($H$4,'Met Data'!$A$2:$F$368,G9,FALSE)</f>
        <v>6.2727272727272698</v>
      </c>
      <c r="J9" s="133">
        <f ca="1">HLOOKUP($H$4,'Met Data'!$H$2:$M$368,G9,FALSE)*L9</f>
        <v>1.39393939393939</v>
      </c>
      <c r="K9" s="106">
        <f ca="1">HLOOKUP($H$4,'Met Data'!$O$2:$T$368,G9,FALSE)</f>
        <v>1.1350548695748499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45156</v>
      </c>
      <c r="Q9">
        <f ca="1"/>
        <v>51.520801119637056</v>
      </c>
      <c r="R9">
        <f ca="1"/>
        <v>0</v>
      </c>
      <c r="S9">
        <f ca="1"/>
        <v>0.21930865075755637</v>
      </c>
      <c r="T9" s="4">
        <f ca="1"/>
        <v>0.5589012510211423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1</v>
      </c>
      <c r="Z9">
        <f ca="1"/>
        <v>0.80621053222002104</v>
      </c>
      <c r="AA9">
        <f ca="1"/>
        <v>0</v>
      </c>
      <c r="AB9">
        <f ca="1"/>
        <v>0</v>
      </c>
      <c r="AD9" s="2">
        <f t="shared" ca="1" si="2"/>
        <v>45156</v>
      </c>
      <c r="AE9" s="46">
        <f t="shared" ca="1" si="3"/>
        <v>0</v>
      </c>
      <c r="AG9" s="72">
        <f t="shared" ca="1" si="7"/>
        <v>51.520801119637056</v>
      </c>
      <c r="AH9" s="72">
        <f t="shared" ca="1" si="8"/>
        <v>51.520801119637056</v>
      </c>
      <c r="AI9" s="3">
        <f t="shared" ca="1" si="9"/>
        <v>0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ca="1" si="4"/>
        <v>187</v>
      </c>
      <c r="H10" s="105">
        <f t="shared" ca="1" si="6"/>
        <v>45112</v>
      </c>
      <c r="I10" s="133">
        <f ca="1">HLOOKUP($H$4,'Met Data'!$A$2:$F$368,G10,FALSE)</f>
        <v>6.5393939393939302</v>
      </c>
      <c r="J10" s="133">
        <f ca="1">HLOOKUP($H$4,'Met Data'!$H$2:$M$368,G10,FALSE)*L10</f>
        <v>1.2030303030303</v>
      </c>
      <c r="K10" s="106">
        <f ca="1">HLOOKUP($H$4,'Met Data'!$O$2:$T$368,G10,FALSE)</f>
        <v>1.3082124240908799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45157</v>
      </c>
      <c r="Q10">
        <f ca="1"/>
        <v>52.254603297933095</v>
      </c>
      <c r="R10">
        <f ca="1"/>
        <v>0</v>
      </c>
      <c r="S10">
        <f ca="1"/>
        <v>0.19157394390934068</v>
      </c>
      <c r="T10" s="4">
        <f ca="1"/>
        <v>0.5422282343867002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1</v>
      </c>
      <c r="Z10">
        <f ca="1"/>
        <v>0.20720435219146793</v>
      </c>
      <c r="AA10">
        <f ca="1"/>
        <v>0</v>
      </c>
      <c r="AB10">
        <f ca="1"/>
        <v>0</v>
      </c>
      <c r="AD10" s="2">
        <f t="shared" ca="1" si="2"/>
        <v>45157</v>
      </c>
      <c r="AE10" s="46">
        <f t="shared" ca="1" si="3"/>
        <v>0</v>
      </c>
      <c r="AG10" s="72">
        <f t="shared" ca="1" si="7"/>
        <v>52.254603297933095</v>
      </c>
      <c r="AH10" s="72">
        <f t="shared" ca="1" si="8"/>
        <v>52.254603297933095</v>
      </c>
      <c r="AI10" s="3">
        <f t="shared" ca="1" si="9"/>
        <v>0</v>
      </c>
    </row>
    <row r="11" spans="1:37" x14ac:dyDescent="0.25">
      <c r="A11" s="14" t="s">
        <v>217</v>
      </c>
      <c r="B11" s="15">
        <f>AWC</f>
        <v>120</v>
      </c>
      <c r="D11" s="152" t="str">
        <f>ConceptDemo!C36</f>
        <v>Soil Mineral N Test Results</v>
      </c>
      <c r="E11" s="153"/>
      <c r="G11" s="3">
        <f t="shared" ca="1" si="4"/>
        <v>188</v>
      </c>
      <c r="H11" s="105">
        <f t="shared" ca="1" si="6"/>
        <v>45113</v>
      </c>
      <c r="I11" s="133">
        <f ca="1">HLOOKUP($H$4,'Met Data'!$A$2:$F$368,G11,FALSE)</f>
        <v>6.3272727272727201</v>
      </c>
      <c r="J11" s="133">
        <f ca="1">HLOOKUP($H$4,'Met Data'!$H$2:$M$368,G11,FALSE)*L11</f>
        <v>3.2515151515151501</v>
      </c>
      <c r="K11" s="106">
        <f ca="1">HLOOKUP($H$4,'Met Data'!$O$2:$T$368,G11,FALSE)</f>
        <v>1.1532462604149001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45158</v>
      </c>
      <c r="Q11">
        <f ca="1"/>
        <v>52.974342108107372</v>
      </c>
      <c r="R11">
        <f ca="1"/>
        <v>0</v>
      </c>
      <c r="S11">
        <f ca="1"/>
        <v>0.17458680374759075</v>
      </c>
      <c r="T11" s="4">
        <f ca="1"/>
        <v>0.54515200642668948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0.99506834999518978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45158</v>
      </c>
      <c r="AE11" s="46">
        <f t="shared" ca="1" si="3"/>
        <v>0</v>
      </c>
      <c r="AG11" s="72">
        <f t="shared" ca="1" si="7"/>
        <v>52.974342108107372</v>
      </c>
      <c r="AH11" s="72">
        <f t="shared" ca="1" si="8"/>
        <v>52.974342108107372</v>
      </c>
      <c r="AI11" s="3">
        <f t="shared" ca="1" si="9"/>
        <v>0</v>
      </c>
    </row>
    <row r="12" spans="1:37" ht="15.75" thickBot="1" x14ac:dyDescent="0.3">
      <c r="A12" s="14" t="s">
        <v>214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189</v>
      </c>
      <c r="H12" s="105">
        <f t="shared" ca="1" si="6"/>
        <v>45114</v>
      </c>
      <c r="I12" s="133">
        <f ca="1">HLOOKUP($H$4,'Met Data'!$A$2:$F$368,G12,FALSE)</f>
        <v>5.5742424242424198</v>
      </c>
      <c r="J12" s="133">
        <f ca="1">HLOOKUP($H$4,'Met Data'!$H$2:$M$368,G12,FALSE)*L12</f>
        <v>1.1151515151515099</v>
      </c>
      <c r="K12" s="106">
        <f ca="1">HLOOKUP($H$4,'Met Data'!$O$2:$T$368,G12,FALSE)</f>
        <v>1.1860865780805001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45159</v>
      </c>
      <c r="Q12">
        <f ca="1"/>
        <v>53.654763668612084</v>
      </c>
      <c r="R12">
        <f ca="1"/>
        <v>0</v>
      </c>
      <c r="S12">
        <f ca="1"/>
        <v>0.15310646838871222</v>
      </c>
      <c r="T12" s="4">
        <f ca="1"/>
        <v>0.52731509211599537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1</v>
      </c>
      <c r="Z12">
        <f ca="1"/>
        <v>0.46846134448063026</v>
      </c>
      <c r="AA12">
        <f ca="1"/>
        <v>0</v>
      </c>
      <c r="AB12">
        <f ca="1"/>
        <v>0</v>
      </c>
      <c r="AD12" s="2">
        <f t="shared" ca="1" si="2"/>
        <v>45159</v>
      </c>
      <c r="AE12" s="46">
        <f t="shared" ca="1" si="3"/>
        <v>0</v>
      </c>
      <c r="AG12" s="72">
        <f t="shared" ca="1" si="7"/>
        <v>53.654763668612084</v>
      </c>
      <c r="AH12" s="72">
        <f t="shared" ca="1" si="8"/>
        <v>53.654763668612084</v>
      </c>
      <c r="AI12" s="3">
        <f t="shared" ca="1" si="9"/>
        <v>0</v>
      </c>
    </row>
    <row r="13" spans="1:37" x14ac:dyDescent="0.25">
      <c r="A13" s="14" t="s">
        <v>215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190</v>
      </c>
      <c r="H13" s="105">
        <f t="shared" ca="1" si="6"/>
        <v>45115</v>
      </c>
      <c r="I13" s="133">
        <f ca="1">HLOOKUP($H$4,'Met Data'!$A$2:$F$368,G13,FALSE)</f>
        <v>5.2243939393939298</v>
      </c>
      <c r="J13" s="133">
        <f ca="1">HLOOKUP($H$4,'Met Data'!$H$2:$M$368,G13,FALSE)*L13</f>
        <v>1.7878787878787801</v>
      </c>
      <c r="K13" s="106">
        <f ca="1">HLOOKUP($H$4,'Met Data'!$O$2:$T$368,G13,FALSE)</f>
        <v>1.0756170169258299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45160</v>
      </c>
      <c r="Q13">
        <f ca="1"/>
        <v>54.340875905274316</v>
      </c>
      <c r="R13">
        <f ca="1"/>
        <v>0</v>
      </c>
      <c r="S13">
        <f ca="1"/>
        <v>0.14452220953474118</v>
      </c>
      <c r="T13" s="4">
        <f ca="1"/>
        <v>0.54159002712749282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1</v>
      </c>
      <c r="Z13">
        <f ca="1"/>
        <v>1.8541727453487624</v>
      </c>
      <c r="AA13">
        <f ca="1"/>
        <v>0</v>
      </c>
      <c r="AB13">
        <f ca="1"/>
        <v>0</v>
      </c>
      <c r="AD13" s="2">
        <f t="shared" ca="1" si="2"/>
        <v>45160</v>
      </c>
      <c r="AE13" s="46">
        <f t="shared" ca="1" si="3"/>
        <v>0</v>
      </c>
      <c r="AG13" s="72">
        <f t="shared" ca="1" si="7"/>
        <v>54.340875905274316</v>
      </c>
      <c r="AH13" s="72">
        <f t="shared" ca="1" si="8"/>
        <v>54.340875905274316</v>
      </c>
      <c r="AI13" s="3">
        <f t="shared" ca="1" si="9"/>
        <v>0</v>
      </c>
    </row>
    <row r="14" spans="1:37" ht="15.75" thickBot="1" x14ac:dyDescent="0.3">
      <c r="A14" s="14" t="s">
        <v>201</v>
      </c>
      <c r="B14" s="15" t="str">
        <f>Irrigation</f>
        <v>Some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191</v>
      </c>
      <c r="H14" s="105">
        <f t="shared" ca="1" si="6"/>
        <v>45116</v>
      </c>
      <c r="I14" s="133">
        <f ca="1">HLOOKUP($H$4,'Met Data'!$A$2:$F$368,G14,FALSE)</f>
        <v>5.4590909090909001</v>
      </c>
      <c r="J14" s="133">
        <f ca="1">HLOOKUP($H$4,'Met Data'!$H$2:$M$368,G14,FALSE)*L14</f>
        <v>1.32424242424242</v>
      </c>
      <c r="K14" s="106">
        <f ca="1">HLOOKUP($H$4,'Met Data'!$O$2:$T$368,G14,FALSE)</f>
        <v>1.1571191090080499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45161</v>
      </c>
      <c r="Q14">
        <f ca="1"/>
        <v>55.023873826672968</v>
      </c>
      <c r="R14">
        <f ca="1"/>
        <v>0</v>
      </c>
      <c r="S14">
        <f ca="1"/>
        <v>0.13378387352255586</v>
      </c>
      <c r="T14" s="4">
        <f ca="1"/>
        <v>0.54921404787609895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1</v>
      </c>
      <c r="Z14">
        <f ca="1"/>
        <v>0.21870039378976003</v>
      </c>
      <c r="AA14">
        <f ca="1"/>
        <v>0</v>
      </c>
      <c r="AB14">
        <f ca="1"/>
        <v>0</v>
      </c>
      <c r="AD14" s="2">
        <f t="shared" ca="1" si="2"/>
        <v>45161</v>
      </c>
      <c r="AE14" s="46">
        <f t="shared" ca="1" si="3"/>
        <v>0</v>
      </c>
      <c r="AG14" s="72">
        <f t="shared" ca="1" si="7"/>
        <v>55.023873826672968</v>
      </c>
      <c r="AH14" s="72">
        <f t="shared" ca="1" si="8"/>
        <v>55.023873826672968</v>
      </c>
      <c r="AI14" s="3">
        <f t="shared" ca="1" si="9"/>
        <v>0</v>
      </c>
    </row>
    <row r="15" spans="1:37" x14ac:dyDescent="0.25">
      <c r="A15" s="7" t="s">
        <v>148</v>
      </c>
      <c r="B15" s="36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192</v>
      </c>
      <c r="H15" s="105">
        <f t="shared" ca="1" si="6"/>
        <v>45117</v>
      </c>
      <c r="I15" s="133">
        <f ca="1">HLOOKUP($H$4,'Met Data'!$A$2:$F$368,G15,FALSE)</f>
        <v>5.67121212121212</v>
      </c>
      <c r="J15" s="133">
        <f ca="1">HLOOKUP($H$4,'Met Data'!$H$2:$M$368,G15,FALSE)*L15</f>
        <v>1.1303030303030299</v>
      </c>
      <c r="K15" s="106">
        <f ca="1">HLOOKUP($H$4,'Met Data'!$O$2:$T$368,G15,FALSE)</f>
        <v>1.1823583053236399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45162</v>
      </c>
      <c r="Q15">
        <f ca="1"/>
        <v>55.728369802503586</v>
      </c>
      <c r="R15">
        <f ca="1"/>
        <v>0</v>
      </c>
      <c r="S15">
        <f ca="1"/>
        <v>0.12727104456491178</v>
      </c>
      <c r="T15" s="4">
        <f ca="1"/>
        <v>0.5772249312657024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0.98678841166625075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45162</v>
      </c>
      <c r="AE15" s="46">
        <f t="shared" ca="1" si="3"/>
        <v>0</v>
      </c>
      <c r="AG15" s="72">
        <f t="shared" ca="1" si="7"/>
        <v>55.728369802503586</v>
      </c>
      <c r="AH15" s="72">
        <f t="shared" ca="1" si="8"/>
        <v>55.728369802503586</v>
      </c>
      <c r="AI15" s="3">
        <f t="shared" ca="1" si="9"/>
        <v>0</v>
      </c>
    </row>
    <row r="16" spans="1:37" x14ac:dyDescent="0.25">
      <c r="A16" s="8" t="s">
        <v>118</v>
      </c>
      <c r="B16" s="37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193</v>
      </c>
      <c r="H16" s="105">
        <f t="shared" ca="1" si="6"/>
        <v>45118</v>
      </c>
      <c r="I16" s="133">
        <f ca="1">HLOOKUP($H$4,'Met Data'!$A$2:$F$368,G16,FALSE)</f>
        <v>5.5803030303030301</v>
      </c>
      <c r="J16" s="133">
        <f ca="1">HLOOKUP($H$4,'Met Data'!$H$2:$M$368,G16,FALSE)*L16</f>
        <v>1.71818181818181</v>
      </c>
      <c r="K16" s="106">
        <f ca="1">HLOOKUP($H$4,'Met Data'!$O$2:$T$368,G16,FALSE)</f>
        <v>1.1413084648267999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45163</v>
      </c>
      <c r="Q16">
        <f ca="1"/>
        <v>56.434476266782845</v>
      </c>
      <c r="R16">
        <f ca="1"/>
        <v>0</v>
      </c>
      <c r="S16">
        <f ca="1"/>
        <v>0.11719859588991505</v>
      </c>
      <c r="T16" s="4">
        <f ca="1"/>
        <v>0.58890786838934128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0.98202446720489567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45163</v>
      </c>
      <c r="AE16" s="46">
        <f t="shared" ca="1" si="3"/>
        <v>0</v>
      </c>
      <c r="AG16" s="72">
        <f t="shared" ca="1" si="7"/>
        <v>56.434476266782845</v>
      </c>
      <c r="AH16" s="72">
        <f t="shared" ca="1" si="8"/>
        <v>56.434476266782845</v>
      </c>
      <c r="AI16" s="3">
        <f t="shared" ca="1" si="9"/>
        <v>0</v>
      </c>
    </row>
    <row r="17" spans="1:35" x14ac:dyDescent="0.25">
      <c r="A17" s="8" t="s">
        <v>119</v>
      </c>
      <c r="B17" s="37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194</v>
      </c>
      <c r="H17" s="105">
        <f t="shared" ca="1" si="6"/>
        <v>45119</v>
      </c>
      <c r="I17" s="133">
        <f ca="1">HLOOKUP($H$4,'Met Data'!$A$2:$F$368,G17,FALSE)</f>
        <v>5.8181818181818103</v>
      </c>
      <c r="J17" s="133">
        <f ca="1">HLOOKUP($H$4,'Met Data'!$H$2:$M$368,G17,FALSE)*L17</f>
        <v>1.27272727272727</v>
      </c>
      <c r="K17" s="106">
        <f ca="1">HLOOKUP($H$4,'Met Data'!$O$2:$T$368,G17,FALSE)</f>
        <v>1.2366027185060899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45164</v>
      </c>
      <c r="Q17">
        <f ca="1"/>
        <v>57.12556283285074</v>
      </c>
      <c r="R17">
        <f ca="1"/>
        <v>0</v>
      </c>
      <c r="S17">
        <f ca="1"/>
        <v>0.10571811725681224</v>
      </c>
      <c r="T17" s="4">
        <f ca="1"/>
        <v>0.5853684488110803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0.98866723685121005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45164</v>
      </c>
      <c r="AE17" s="46">
        <f t="shared" ca="1" si="3"/>
        <v>0</v>
      </c>
      <c r="AG17" s="72">
        <f t="shared" ca="1" si="7"/>
        <v>57.12556283285074</v>
      </c>
      <c r="AH17" s="72">
        <f t="shared" ca="1" si="8"/>
        <v>57.12556283285074</v>
      </c>
      <c r="AI17" s="3">
        <f t="shared" ca="1" si="9"/>
        <v>0</v>
      </c>
    </row>
    <row r="18" spans="1:35" ht="15.75" thickBot="1" x14ac:dyDescent="0.3">
      <c r="A18" s="8" t="s">
        <v>120</v>
      </c>
      <c r="B18" s="37">
        <f>PriorDressingLoss</f>
        <v>0</v>
      </c>
      <c r="D18" s="40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195</v>
      </c>
      <c r="H18" s="105">
        <f t="shared" ca="1" si="6"/>
        <v>45120</v>
      </c>
      <c r="I18" s="133">
        <f ca="1">HLOOKUP($H$4,'Met Data'!$A$2:$F$368,G18,FALSE)</f>
        <v>5.8984848484848396</v>
      </c>
      <c r="J18" s="133">
        <f ca="1">HLOOKUP($H$4,'Met Data'!$H$2:$M$368,G18,FALSE)*L18</f>
        <v>1.44545454545454</v>
      </c>
      <c r="K18" s="106">
        <f ca="1">HLOOKUP($H$4,'Met Data'!$O$2:$T$368,G18,FALSE)</f>
        <v>1.20462827119224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45165</v>
      </c>
      <c r="Q18">
        <f ca="1"/>
        <v>57.807901791905429</v>
      </c>
      <c r="R18">
        <f ca="1"/>
        <v>0</v>
      </c>
      <c r="S18">
        <f ca="1"/>
        <v>9.6319550847368568E-2</v>
      </c>
      <c r="T18" s="4">
        <f ca="1"/>
        <v>0.58601940820732157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0.99706142842436873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45165</v>
      </c>
      <c r="AE18" s="46">
        <f t="shared" ca="1" si="3"/>
        <v>0</v>
      </c>
      <c r="AG18" s="72">
        <f t="shared" ca="1" si="7"/>
        <v>57.807901791905429</v>
      </c>
      <c r="AH18" s="72">
        <f t="shared" ca="1" si="8"/>
        <v>57.807901791905429</v>
      </c>
      <c r="AI18" s="3">
        <f t="shared" ca="1" si="9"/>
        <v>0</v>
      </c>
    </row>
    <row r="19" spans="1:35" x14ac:dyDescent="0.25">
      <c r="A19" s="8" t="s">
        <v>121</v>
      </c>
      <c r="B19" s="37">
        <f>PriorMoistureContent</f>
        <v>80</v>
      </c>
      <c r="G19" s="3">
        <f t="shared" ca="1" si="4"/>
        <v>196</v>
      </c>
      <c r="H19" s="105">
        <f t="shared" ca="1" si="6"/>
        <v>45121</v>
      </c>
      <c r="I19" s="133">
        <f ca="1">HLOOKUP($H$4,'Met Data'!$A$2:$F$368,G19,FALSE)</f>
        <v>6.1590909090909003</v>
      </c>
      <c r="J19" s="133">
        <f ca="1">HLOOKUP($H$4,'Met Data'!$H$2:$M$368,G19,FALSE)*L19</f>
        <v>0.93333333333333302</v>
      </c>
      <c r="K19" s="106">
        <f ca="1">HLOOKUP($H$4,'Met Data'!$O$2:$T$368,G19,FALSE)</f>
        <v>1.08107866384151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45166</v>
      </c>
      <c r="Q19">
        <f ca="1"/>
        <v>58.503196538299676</v>
      </c>
      <c r="R19">
        <f ca="1"/>
        <v>0</v>
      </c>
      <c r="S19">
        <f ca="1"/>
        <v>8.998406943629933E-2</v>
      </c>
      <c r="T19" s="4">
        <f ca="1"/>
        <v>0.60531067695795038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0.99593393957563359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45166</v>
      </c>
      <c r="AE19" s="46">
        <f t="shared" ca="1" si="3"/>
        <v>0</v>
      </c>
      <c r="AG19" s="72">
        <f t="shared" ca="1" si="7"/>
        <v>58.503196538299676</v>
      </c>
      <c r="AH19" s="72">
        <f t="shared" ca="1" si="8"/>
        <v>58.503196538299676</v>
      </c>
      <c r="AI19" s="3">
        <f t="shared" ca="1" si="9"/>
        <v>0</v>
      </c>
    </row>
    <row r="20" spans="1:35" x14ac:dyDescent="0.25">
      <c r="A20" s="8" t="s">
        <v>122</v>
      </c>
      <c r="B20" s="39">
        <f ca="1">PriorEstablishDate</f>
        <v>45109</v>
      </c>
      <c r="G20" s="3">
        <f t="shared" ca="1" si="4"/>
        <v>197</v>
      </c>
      <c r="H20" s="105">
        <f t="shared" ca="1" si="6"/>
        <v>45122</v>
      </c>
      <c r="I20" s="133">
        <f ca="1">HLOOKUP($H$4,'Met Data'!$A$2:$F$368,G20,FALSE)</f>
        <v>5.8606060606060604</v>
      </c>
      <c r="J20" s="133">
        <f ca="1">HLOOKUP($H$4,'Met Data'!$H$2:$M$368,G20,FALSE)*L20</f>
        <v>0.95454545454545403</v>
      </c>
      <c r="K20" s="106">
        <f ca="1">HLOOKUP($H$4,'Met Data'!$O$2:$T$368,G20,FALSE)</f>
        <v>1.0543699556166799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45167</v>
      </c>
      <c r="Q20">
        <f ca="1"/>
        <v>59.164643800360395</v>
      </c>
      <c r="R20">
        <f ca="1"/>
        <v>0</v>
      </c>
      <c r="S20">
        <f ca="1"/>
        <v>7.7657762371157818E-2</v>
      </c>
      <c r="T20" s="4">
        <f ca="1"/>
        <v>0.58378949968956195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0.9979386412506609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45167</v>
      </c>
      <c r="AE20" s="46">
        <f t="shared" ca="1" si="3"/>
        <v>0</v>
      </c>
      <c r="AG20" s="72">
        <f t="shared" ca="1" si="7"/>
        <v>59.164643800360395</v>
      </c>
      <c r="AH20" s="72">
        <f t="shared" ca="1" si="8"/>
        <v>59.164643800360395</v>
      </c>
      <c r="AI20" s="3">
        <f t="shared" ca="1" si="9"/>
        <v>0</v>
      </c>
    </row>
    <row r="21" spans="1:35" x14ac:dyDescent="0.25">
      <c r="A21" s="8" t="s">
        <v>123</v>
      </c>
      <c r="B21" s="37" t="str">
        <f>PriorEstablishStage</f>
        <v>Seed</v>
      </c>
      <c r="G21" s="3">
        <f t="shared" ca="1" si="4"/>
        <v>198</v>
      </c>
      <c r="H21" s="105">
        <f t="shared" ca="1" si="6"/>
        <v>45123</v>
      </c>
      <c r="I21" s="133">
        <f ca="1">HLOOKUP($H$4,'Met Data'!$A$2:$F$368,G21,FALSE)</f>
        <v>6.3318181818181802</v>
      </c>
      <c r="J21" s="133">
        <f ca="1">HLOOKUP($H$4,'Met Data'!$H$2:$M$368,G21,FALSE)*L21</f>
        <v>1.9030303030303</v>
      </c>
      <c r="K21" s="106">
        <f ca="1">HLOOKUP($H$4,'Met Data'!$O$2:$T$368,G21,FALSE)</f>
        <v>1.0854702771695099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45168</v>
      </c>
      <c r="Q21">
        <f ca="1"/>
        <v>59.859859649620894</v>
      </c>
      <c r="R21">
        <f ca="1"/>
        <v>0</v>
      </c>
      <c r="S21">
        <f ca="1"/>
        <v>7.4601199614588443E-2</v>
      </c>
      <c r="T21" s="4">
        <f ca="1"/>
        <v>0.62061464964591162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0.99202130705807579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45168</v>
      </c>
      <c r="AE21" s="46">
        <f t="shared" ca="1" si="3"/>
        <v>0</v>
      </c>
      <c r="AG21" s="72">
        <f t="shared" ca="1" si="7"/>
        <v>59.859859649620894</v>
      </c>
      <c r="AH21" s="72">
        <f t="shared" ca="1" si="8"/>
        <v>59.859859649620894</v>
      </c>
      <c r="AI21" s="3">
        <f t="shared" ca="1" si="9"/>
        <v>0</v>
      </c>
    </row>
    <row r="22" spans="1:35" x14ac:dyDescent="0.25">
      <c r="A22" s="8" t="s">
        <v>124</v>
      </c>
      <c r="B22" s="39">
        <f ca="1">PriorHarvestDate</f>
        <v>45154</v>
      </c>
      <c r="G22" s="3">
        <f t="shared" ca="1" si="4"/>
        <v>199</v>
      </c>
      <c r="H22" s="105">
        <f t="shared" ca="1" si="6"/>
        <v>45124</v>
      </c>
      <c r="I22" s="133">
        <f ca="1">HLOOKUP($H$4,'Met Data'!$A$2:$F$368,G22,FALSE)</f>
        <v>6.4424242424242397</v>
      </c>
      <c r="J22" s="133">
        <f ca="1">HLOOKUP($H$4,'Met Data'!$H$2:$M$368,G22,FALSE)*L22</f>
        <v>2.3454545454545399</v>
      </c>
      <c r="K22" s="106">
        <f ca="1">HLOOKUP($H$4,'Met Data'!$O$2:$T$368,G22,FALSE)</f>
        <v>0.98557119798157899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45169</v>
      </c>
      <c r="Q22">
        <f ca="1"/>
        <v>60.483764748387273</v>
      </c>
      <c r="R22">
        <f ca="1"/>
        <v>0</v>
      </c>
      <c r="S22">
        <f ca="1"/>
        <v>5.9220209218402993E-2</v>
      </c>
      <c r="T22" s="4">
        <f ca="1"/>
        <v>0.56468488954797735</v>
      </c>
      <c r="U22">
        <f ca="1"/>
        <v>0</v>
      </c>
      <c r="V22">
        <f ca="1"/>
        <v>8.7748006127012594</v>
      </c>
      <c r="W22">
        <f ca="1"/>
        <v>5.7036203982558202</v>
      </c>
      <c r="X22">
        <f ca="1"/>
        <v>0</v>
      </c>
      <c r="Y22">
        <f ca="1"/>
        <v>0.98043422438007544</v>
      </c>
      <c r="Z22">
        <f ca="1"/>
        <v>0</v>
      </c>
      <c r="AA22">
        <f ca="1"/>
        <v>0</v>
      </c>
      <c r="AB22">
        <f ca="1"/>
        <v>7.4167097856789096E-3</v>
      </c>
      <c r="AD22" s="2">
        <f t="shared" ca="1" si="2"/>
        <v>45169</v>
      </c>
      <c r="AE22" s="46">
        <f t="shared" ca="1" si="3"/>
        <v>0</v>
      </c>
      <c r="AG22" s="72">
        <f t="shared" ca="1" si="7"/>
        <v>60.483764748387273</v>
      </c>
      <c r="AH22" s="72">
        <f t="shared" ca="1" si="8"/>
        <v>60.483764748387273</v>
      </c>
      <c r="AI22" s="3">
        <f t="shared" ca="1" si="9"/>
        <v>0</v>
      </c>
    </row>
    <row r="23" spans="1:35" x14ac:dyDescent="0.25">
      <c r="A23" s="8" t="s">
        <v>125</v>
      </c>
      <c r="B23" s="37" t="str">
        <f>PriorHarvestStage</f>
        <v>EarlyReproductive</v>
      </c>
      <c r="G23" s="3">
        <f t="shared" ca="1" si="4"/>
        <v>200</v>
      </c>
      <c r="H23" s="105">
        <f t="shared" ca="1" si="6"/>
        <v>45125</v>
      </c>
      <c r="I23" s="133">
        <f ca="1">HLOOKUP($H$4,'Met Data'!$A$2:$F$368,G23,FALSE)</f>
        <v>6.3242424242424198</v>
      </c>
      <c r="J23" s="133">
        <f ca="1">HLOOKUP($H$4,'Met Data'!$H$2:$M$368,G23,FALSE)*L23</f>
        <v>3.6</v>
      </c>
      <c r="K23" s="106">
        <f ca="1">HLOOKUP($H$4,'Met Data'!$O$2:$T$368,G23,FALSE)</f>
        <v>1.0101770597585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45170</v>
      </c>
      <c r="Q23">
        <f ca="1"/>
        <v>60.992393057593205</v>
      </c>
      <c r="R23">
        <f ca="1"/>
        <v>0.15632090340893301</v>
      </c>
      <c r="S23">
        <f ca="1"/>
        <v>5.8041201477240373E-2</v>
      </c>
      <c r="T23" s="4">
        <f ca="1"/>
        <v>0.60690801113762693</v>
      </c>
      <c r="U23">
        <f ca="1"/>
        <v>0</v>
      </c>
      <c r="V23">
        <f ca="1"/>
        <v>8.9311215161102009</v>
      </c>
      <c r="W23">
        <f ca="1"/>
        <v>5.8052289854716301</v>
      </c>
      <c r="X23">
        <f ca="1"/>
        <v>0</v>
      </c>
      <c r="Y23">
        <f ca="1"/>
        <v>0.9744351859045145</v>
      </c>
      <c r="Z23">
        <f ca="1"/>
        <v>0</v>
      </c>
      <c r="AA23">
        <f ca="1"/>
        <v>0</v>
      </c>
      <c r="AB23">
        <f ca="1"/>
        <v>8.2919823660703804E-3</v>
      </c>
      <c r="AD23" s="2">
        <f t="shared" ca="1" si="2"/>
        <v>45170</v>
      </c>
      <c r="AE23" s="46">
        <f t="shared" ca="1" si="3"/>
        <v>0</v>
      </c>
      <c r="AG23" s="72">
        <f t="shared" ca="1" si="7"/>
        <v>61.148713961002137</v>
      </c>
      <c r="AH23" s="72">
        <f t="shared" ca="1" si="8"/>
        <v>61.148713961002137</v>
      </c>
      <c r="AI23" s="3">
        <f t="shared" ca="1" si="9"/>
        <v>0</v>
      </c>
    </row>
    <row r="24" spans="1:35" x14ac:dyDescent="0.25">
      <c r="A24" s="8" t="s">
        <v>175</v>
      </c>
      <c r="B24" s="37" t="str">
        <f>PriorResidueRemoval</f>
        <v>None removed</v>
      </c>
      <c r="G24" s="3">
        <f t="shared" ca="1" si="4"/>
        <v>201</v>
      </c>
      <c r="H24" s="105">
        <f t="shared" ca="1" si="6"/>
        <v>45126</v>
      </c>
      <c r="I24" s="133">
        <f ca="1">HLOOKUP($H$4,'Met Data'!$A$2:$F$368,G24,FALSE)</f>
        <v>6.5333333333333297</v>
      </c>
      <c r="J24" s="133">
        <f ca="1">HLOOKUP($H$4,'Met Data'!$H$2:$M$368,G24,FALSE)*L24</f>
        <v>1.92121212121212</v>
      </c>
      <c r="K24" s="106">
        <f ca="1">HLOOKUP($H$4,'Met Data'!$O$2:$T$368,G24,FALSE)</f>
        <v>1.0019139083521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45171</v>
      </c>
      <c r="Q24">
        <f ca="1"/>
        <v>61.514934012599952</v>
      </c>
      <c r="R24">
        <f ca="1"/>
        <v>0.16743702952030201</v>
      </c>
      <c r="S24">
        <f ca="1"/>
        <v>5.4478943096785443E-2</v>
      </c>
      <c r="T24" s="4">
        <f ca="1"/>
        <v>0.63549904143026725</v>
      </c>
      <c r="U24">
        <f ca="1"/>
        <v>0</v>
      </c>
      <c r="V24">
        <f ca="1"/>
        <v>9.0985585456304996</v>
      </c>
      <c r="W24">
        <f ca="1"/>
        <v>5.9140630546598203</v>
      </c>
      <c r="X24">
        <f ca="1"/>
        <v>0</v>
      </c>
      <c r="Y24">
        <f ca="1"/>
        <v>0.96621311020351541</v>
      </c>
      <c r="Z24">
        <f ca="1"/>
        <v>0</v>
      </c>
      <c r="AA24">
        <f ca="1"/>
        <v>0</v>
      </c>
      <c r="AB24">
        <f ca="1"/>
        <v>9.3236831650742105E-3</v>
      </c>
      <c r="AD24" s="2">
        <f t="shared" ca="1" si="2"/>
        <v>45171</v>
      </c>
      <c r="AE24" s="46">
        <f t="shared" ca="1" si="3"/>
        <v>0</v>
      </c>
      <c r="AG24" s="72">
        <f t="shared" ca="1" si="7"/>
        <v>61.682371042120252</v>
      </c>
      <c r="AH24" s="72">
        <f t="shared" ca="1" si="8"/>
        <v>61.682371042120252</v>
      </c>
      <c r="AI24" s="3">
        <f t="shared" ca="1" si="9"/>
        <v>0</v>
      </c>
    </row>
    <row r="25" spans="1:35" ht="15.75" thickBot="1" x14ac:dyDescent="0.3">
      <c r="A25" s="8" t="s">
        <v>178</v>
      </c>
      <c r="B25" s="111" t="str">
        <f>PriorResidueIncorporation</f>
        <v>Full (Plough)</v>
      </c>
      <c r="G25" s="3">
        <f t="shared" ca="1" si="4"/>
        <v>202</v>
      </c>
      <c r="H25" s="105">
        <f t="shared" ca="1" si="6"/>
        <v>45127</v>
      </c>
      <c r="I25" s="133">
        <f ca="1">HLOOKUP($H$4,'Met Data'!$A$2:$F$368,G25,FALSE)</f>
        <v>6.70757575757575</v>
      </c>
      <c r="J25" s="133">
        <f ca="1">HLOOKUP($H$4,'Met Data'!$H$2:$M$368,G25,FALSE)*L25</f>
        <v>1.76969696969696</v>
      </c>
      <c r="K25" s="106">
        <f ca="1">HLOOKUP($H$4,'Met Data'!$O$2:$T$368,G25,FALSE)</f>
        <v>1.1757544824616699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45172</v>
      </c>
      <c r="Q25">
        <f ca="1"/>
        <v>62.011811771808915</v>
      </c>
      <c r="R25">
        <f ca="1"/>
        <v>0.16506109631343199</v>
      </c>
      <c r="S25">
        <f ca="1"/>
        <v>4.6821008670137998E-2</v>
      </c>
      <c r="T25" s="4">
        <f ca="1"/>
        <v>0.61511784685226012</v>
      </c>
      <c r="U25">
        <f ca="1"/>
        <v>0</v>
      </c>
      <c r="V25">
        <f ca="1"/>
        <v>9.2636196419439294</v>
      </c>
      <c r="W25">
        <f ca="1"/>
        <v>6.0213527672635498</v>
      </c>
      <c r="X25">
        <f ca="1"/>
        <v>0</v>
      </c>
      <c r="Y25">
        <f ca="1"/>
        <v>0.95791073250374226</v>
      </c>
      <c r="Z25">
        <f ca="1"/>
        <v>0</v>
      </c>
      <c r="AA25">
        <f ca="1"/>
        <v>0</v>
      </c>
      <c r="AB25">
        <f ca="1"/>
        <v>1.044356207379E-2</v>
      </c>
      <c r="AD25" s="2">
        <f t="shared" ca="1" si="2"/>
        <v>45172</v>
      </c>
      <c r="AE25" s="46">
        <f t="shared" ca="1" si="3"/>
        <v>0</v>
      </c>
      <c r="AG25" s="72">
        <f t="shared" ca="1" si="7"/>
        <v>62.176872868122345</v>
      </c>
      <c r="AH25" s="72">
        <f t="shared" ca="1" si="8"/>
        <v>62.176872868122345</v>
      </c>
      <c r="AI25" s="3">
        <f t="shared" ca="1" si="9"/>
        <v>0</v>
      </c>
    </row>
    <row r="26" spans="1:35" ht="15.75" thickBot="1" x14ac:dyDescent="0.3">
      <c r="A26" s="10" t="s">
        <v>149</v>
      </c>
      <c r="B26" s="13" t="str">
        <f>CurrentCropNameFull</f>
        <v>Cabbage Vegetable General</v>
      </c>
      <c r="G26" s="3">
        <f t="shared" ca="1" si="4"/>
        <v>203</v>
      </c>
      <c r="H26" s="105">
        <f t="shared" ca="1" si="6"/>
        <v>45128</v>
      </c>
      <c r="I26" s="133">
        <f ca="1">HLOOKUP($H$4,'Met Data'!$A$2:$F$368,G26,FALSE)</f>
        <v>6.2909090909090901</v>
      </c>
      <c r="J26" s="133">
        <f ca="1">HLOOKUP($H$4,'Met Data'!$H$2:$M$368,G26,FALSE)*L26</f>
        <v>2.1</v>
      </c>
      <c r="K26" s="106">
        <f ca="1">HLOOKUP($H$4,'Met Data'!$O$2:$T$368,G26,FALSE)</f>
        <v>1.0943315234208899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45173</v>
      </c>
      <c r="Q26">
        <f ca="1"/>
        <v>62.493006962853947</v>
      </c>
      <c r="R26">
        <f ca="1"/>
        <v>0.16752586497657301</v>
      </c>
      <c r="S26">
        <f ca="1"/>
        <v>4.1623200231589719E-2</v>
      </c>
      <c r="T26" s="4">
        <f ca="1"/>
        <v>0.60709785579001652</v>
      </c>
      <c r="U26">
        <f ca="1"/>
        <v>0</v>
      </c>
      <c r="V26">
        <f ca="1"/>
        <v>9.4311455069204992</v>
      </c>
      <c r="W26">
        <f ca="1"/>
        <v>6.1302445794983296</v>
      </c>
      <c r="X26">
        <f ca="1"/>
        <v>0</v>
      </c>
      <c r="Y26">
        <f ca="1"/>
        <v>0.94939297279690693</v>
      </c>
      <c r="Z26">
        <f ca="1"/>
        <v>0</v>
      </c>
      <c r="AA26">
        <f ca="1"/>
        <v>0</v>
      </c>
      <c r="AB26">
        <f ca="1"/>
        <v>1.1692693288651201E-2</v>
      </c>
      <c r="AD26" s="2">
        <f t="shared" ca="1" si="2"/>
        <v>45173</v>
      </c>
      <c r="AE26" s="46">
        <f t="shared" ca="1" si="3"/>
        <v>0</v>
      </c>
      <c r="AG26" s="72">
        <f t="shared" ca="1" si="7"/>
        <v>62.660532827830522</v>
      </c>
      <c r="AH26" s="72">
        <f t="shared" ca="1" si="8"/>
        <v>62.660532827830522</v>
      </c>
      <c r="AI26" s="3">
        <f t="shared" ca="1" si="9"/>
        <v>0</v>
      </c>
    </row>
    <row r="27" spans="1:35" x14ac:dyDescent="0.25">
      <c r="A27" s="11" t="s">
        <v>126</v>
      </c>
      <c r="B27" s="13">
        <f>CurrentYield_tperHa</f>
        <v>60</v>
      </c>
      <c r="G27" s="3">
        <f t="shared" ca="1" si="4"/>
        <v>204</v>
      </c>
      <c r="H27" s="105">
        <f t="shared" ca="1" si="6"/>
        <v>45129</v>
      </c>
      <c r="I27" s="133">
        <f ca="1">HLOOKUP($H$4,'Met Data'!$A$2:$F$368,G27,FALSE)</f>
        <v>6.5757575757575699</v>
      </c>
      <c r="J27" s="133">
        <f ca="1">HLOOKUP($H$4,'Met Data'!$H$2:$M$368,G27,FALSE)*L27</f>
        <v>2.55151515151515</v>
      </c>
      <c r="K27" s="106">
        <f ca="1">HLOOKUP($H$4,'Met Data'!$O$2:$T$368,G27,FALSE)</f>
        <v>1.2263410572015001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45174</v>
      </c>
      <c r="Q27">
        <f ca="1"/>
        <v>62.949600301505093</v>
      </c>
      <c r="R27">
        <f ca="1"/>
        <v>0.165714711975605</v>
      </c>
      <c r="S27">
        <f ca="1"/>
        <v>3.6137976041196458E-2</v>
      </c>
      <c r="T27" s="4">
        <f ca="1"/>
        <v>0.58617007458555448</v>
      </c>
      <c r="U27">
        <f ca="1"/>
        <v>0</v>
      </c>
      <c r="V27">
        <f ca="1"/>
        <v>9.5968602188961096</v>
      </c>
      <c r="W27">
        <f ca="1"/>
        <v>6.2379591422824703</v>
      </c>
      <c r="X27">
        <f ca="1"/>
        <v>0</v>
      </c>
      <c r="Y27">
        <f ca="1"/>
        <v>0.94139429195130719</v>
      </c>
      <c r="Z27">
        <f ca="1"/>
        <v>0</v>
      </c>
      <c r="AA27">
        <f ca="1"/>
        <v>0</v>
      </c>
      <c r="AB27">
        <f ca="1"/>
        <v>1.30483026059066E-2</v>
      </c>
      <c r="AD27" s="2">
        <f t="shared" ca="1" si="2"/>
        <v>45174</v>
      </c>
      <c r="AE27" s="46">
        <f t="shared" ca="1" si="3"/>
        <v>0</v>
      </c>
      <c r="AG27" s="72">
        <f t="shared" ca="1" si="7"/>
        <v>63.115315013480696</v>
      </c>
      <c r="AH27" s="72">
        <f t="shared" ca="1" si="8"/>
        <v>63.115315013480696</v>
      </c>
      <c r="AI27" s="3">
        <f t="shared" ca="1" si="9"/>
        <v>0</v>
      </c>
    </row>
    <row r="28" spans="1:35" x14ac:dyDescent="0.25">
      <c r="A28" s="11" t="s">
        <v>127</v>
      </c>
      <c r="B28" s="12">
        <f>CurrentFieldLoss</f>
        <v>0</v>
      </c>
      <c r="G28" s="3">
        <f t="shared" ca="1" si="4"/>
        <v>205</v>
      </c>
      <c r="H28" s="105">
        <f t="shared" ca="1" si="6"/>
        <v>45130</v>
      </c>
      <c r="I28" s="133">
        <f ca="1">HLOOKUP($H$4,'Met Data'!$A$2:$F$368,G28,FALSE)</f>
        <v>6.8424242424242401</v>
      </c>
      <c r="J28" s="133">
        <f ca="1">HLOOKUP($H$4,'Met Data'!$H$2:$M$368,G28,FALSE)*L28</f>
        <v>0.84545454545454501</v>
      </c>
      <c r="K28" s="106">
        <f ca="1">HLOOKUP($H$4,'Met Data'!$O$2:$T$368,G28,FALSE)</f>
        <v>1.3752263361541199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45175</v>
      </c>
      <c r="Q28">
        <f ca="1"/>
        <v>63.413464076596306</v>
      </c>
      <c r="R28">
        <f ca="1"/>
        <v>0.17714016112579301</v>
      </c>
      <c r="S28">
        <f ca="1"/>
        <v>3.4054923736585217E-2</v>
      </c>
      <c r="T28" s="4">
        <f ca="1"/>
        <v>0.60694901248042121</v>
      </c>
      <c r="U28">
        <f ca="1"/>
        <v>0</v>
      </c>
      <c r="V28">
        <f ca="1"/>
        <v>9.7740003800218993</v>
      </c>
      <c r="W28">
        <f ca="1"/>
        <v>6.3531002470142397</v>
      </c>
      <c r="X28">
        <f ca="1"/>
        <v>0</v>
      </c>
      <c r="Y28">
        <f ca="1"/>
        <v>0.93403533849329567</v>
      </c>
      <c r="Z28">
        <f ca="1"/>
        <v>0</v>
      </c>
      <c r="AA28">
        <f ca="1"/>
        <v>0</v>
      </c>
      <c r="AB28">
        <f ca="1"/>
        <v>1.46393090297818E-2</v>
      </c>
      <c r="AD28" s="2">
        <f t="shared" ca="1" si="2"/>
        <v>45175</v>
      </c>
      <c r="AE28" s="46">
        <f t="shared" ca="1" si="3"/>
        <v>0</v>
      </c>
      <c r="AG28" s="72">
        <f t="shared" ca="1" si="7"/>
        <v>63.590604237722097</v>
      </c>
      <c r="AH28" s="72">
        <f t="shared" ca="1" si="8"/>
        <v>63.590604237722097</v>
      </c>
      <c r="AI28" s="3">
        <f t="shared" ca="1" si="9"/>
        <v>0</v>
      </c>
    </row>
    <row r="29" spans="1:35" x14ac:dyDescent="0.25">
      <c r="A29" s="11" t="s">
        <v>128</v>
      </c>
      <c r="B29" s="12">
        <f>CurrentDressingLoss</f>
        <v>0</v>
      </c>
      <c r="G29" s="3">
        <f t="shared" ca="1" si="4"/>
        <v>206</v>
      </c>
      <c r="H29" s="105">
        <f t="shared" ca="1" si="6"/>
        <v>45131</v>
      </c>
      <c r="I29" s="133">
        <f ca="1">HLOOKUP($H$4,'Met Data'!$A$2:$F$368,G29,FALSE)</f>
        <v>6.7236363636363601</v>
      </c>
      <c r="J29" s="133">
        <f ca="1">HLOOKUP($H$4,'Met Data'!$H$2:$M$368,G29,FALSE)*L29</f>
        <v>0.62727272727272698</v>
      </c>
      <c r="K29" s="106">
        <f ca="1">HLOOKUP($H$4,'Met Data'!$O$2:$T$368,G29,FALSE)</f>
        <v>1.3244433723498701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45176</v>
      </c>
      <c r="Q29">
        <f ca="1"/>
        <v>63.861523304394851</v>
      </c>
      <c r="R29">
        <f ca="1"/>
        <v>0.18152164817105601</v>
      </c>
      <c r="S29">
        <f ca="1"/>
        <v>3.0362342037353725E-2</v>
      </c>
      <c r="T29" s="4">
        <f ca="1"/>
        <v>0.59921853393224611</v>
      </c>
      <c r="U29">
        <f ca="1"/>
        <v>0</v>
      </c>
      <c r="V29">
        <f ca="1"/>
        <v>9.9555220281929593</v>
      </c>
      <c r="W29">
        <f ca="1"/>
        <v>6.4710893183254203</v>
      </c>
      <c r="X29">
        <f ca="1"/>
        <v>0</v>
      </c>
      <c r="Y29">
        <f ca="1"/>
        <v>0.91915906798468139</v>
      </c>
      <c r="Z29">
        <f ca="1"/>
        <v>0</v>
      </c>
      <c r="AA29">
        <f ca="1"/>
        <v>0</v>
      </c>
      <c r="AB29">
        <f ca="1"/>
        <v>1.6433316286092702E-2</v>
      </c>
      <c r="AD29" s="2">
        <f t="shared" ca="1" si="2"/>
        <v>45176</v>
      </c>
      <c r="AE29" s="46">
        <f t="shared" ca="1" si="3"/>
        <v>0</v>
      </c>
      <c r="AG29" s="72">
        <f t="shared" ca="1" si="7"/>
        <v>64.043044952565907</v>
      </c>
      <c r="AH29" s="72">
        <f t="shared" ca="1" si="8"/>
        <v>64.043044952565907</v>
      </c>
      <c r="AI29" s="3">
        <f t="shared" ca="1" si="9"/>
        <v>0</v>
      </c>
    </row>
    <row r="30" spans="1:35" x14ac:dyDescent="0.25">
      <c r="A30" s="11" t="s">
        <v>129</v>
      </c>
      <c r="B30" s="12">
        <f>CurrentMoistureContent</f>
        <v>90</v>
      </c>
      <c r="G30" s="3">
        <f t="shared" ca="1" si="4"/>
        <v>207</v>
      </c>
      <c r="H30" s="105">
        <f t="shared" ca="1" si="6"/>
        <v>45132</v>
      </c>
      <c r="I30" s="133">
        <f ca="1">HLOOKUP($H$4,'Met Data'!$A$2:$F$368,G30,FALSE)</f>
        <v>6.8075757575757496</v>
      </c>
      <c r="J30" s="133">
        <f ca="1">HLOOKUP($H$4,'Met Data'!$H$2:$M$368,G30,FALSE)*L30</f>
        <v>2.63636363636363</v>
      </c>
      <c r="K30" s="106">
        <f ca="1">HLOOKUP($H$4,'Met Data'!$O$2:$T$368,G30,FALSE)</f>
        <v>1.44760057498724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45177</v>
      </c>
      <c r="Q30">
        <f ca="1"/>
        <v>64.279970979558485</v>
      </c>
      <c r="R30">
        <f ca="1"/>
        <v>0.17725027664904899</v>
      </c>
      <c r="S30">
        <f ca="1"/>
        <v>2.5954194913457795E-2</v>
      </c>
      <c r="T30" s="4">
        <f ca="1"/>
        <v>0.56974375689922252</v>
      </c>
      <c r="U30">
        <f ca="1"/>
        <v>0</v>
      </c>
      <c r="V30">
        <f ca="1"/>
        <v>10.132772304842</v>
      </c>
      <c r="W30">
        <f ca="1"/>
        <v>6.5863019981472997</v>
      </c>
      <c r="X30">
        <f ca="1"/>
        <v>0</v>
      </c>
      <c r="Y30">
        <f ca="1"/>
        <v>0.90884201003818665</v>
      </c>
      <c r="Z30">
        <f ca="1"/>
        <v>0</v>
      </c>
      <c r="AA30">
        <f ca="1"/>
        <v>0</v>
      </c>
      <c r="AB30">
        <f ca="1"/>
        <v>1.83569402050867E-2</v>
      </c>
      <c r="AD30" s="2">
        <f t="shared" ca="1" si="2"/>
        <v>45177</v>
      </c>
      <c r="AE30" s="46">
        <f t="shared" ca="1" si="3"/>
        <v>0</v>
      </c>
      <c r="AG30" s="72">
        <f t="shared" ca="1" si="7"/>
        <v>64.457221256207532</v>
      </c>
      <c r="AH30" s="72">
        <f t="shared" ca="1" si="8"/>
        <v>64.457221256207532</v>
      </c>
      <c r="AI30" s="3">
        <f t="shared" ca="1" si="9"/>
        <v>0</v>
      </c>
    </row>
    <row r="31" spans="1:35" x14ac:dyDescent="0.25">
      <c r="A31" s="11" t="s">
        <v>130</v>
      </c>
      <c r="B31" s="41">
        <f ca="1">CurrentEstablishDate</f>
        <v>45169</v>
      </c>
      <c r="G31" s="3">
        <f t="shared" ca="1" si="4"/>
        <v>208</v>
      </c>
      <c r="H31" s="105">
        <f t="shared" ca="1" si="6"/>
        <v>45133</v>
      </c>
      <c r="I31" s="133">
        <f ca="1">HLOOKUP($H$4,'Met Data'!$A$2:$F$368,G31,FALSE)</f>
        <v>6.7636363636363601</v>
      </c>
      <c r="J31" s="133">
        <f ca="1">HLOOKUP($H$4,'Met Data'!$H$2:$M$368,G31,FALSE)*L31</f>
        <v>1.49696969696969</v>
      </c>
      <c r="K31" s="106">
        <f ca="1">HLOOKUP($H$4,'Met Data'!$O$2:$T$368,G31,FALSE)</f>
        <v>1.60850212631903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45178</v>
      </c>
      <c r="Q31">
        <f ca="1"/>
        <v>64.664255093991414</v>
      </c>
      <c r="R31">
        <f ca="1"/>
        <v>0.16810331866359399</v>
      </c>
      <c r="S31">
        <f ca="1"/>
        <v>2.1735304683036027E-2</v>
      </c>
      <c r="T31" s="4">
        <f ca="1"/>
        <v>0.53065212841349785</v>
      </c>
      <c r="U31">
        <f ca="1"/>
        <v>0</v>
      </c>
      <c r="V31">
        <f ca="1"/>
        <v>10.3008756235056</v>
      </c>
      <c r="W31">
        <f ca="1"/>
        <v>6.6955691552786396</v>
      </c>
      <c r="X31">
        <f ca="1"/>
        <v>0</v>
      </c>
      <c r="Y31">
        <f ca="1"/>
        <v>0.90049726266411345</v>
      </c>
      <c r="Z31">
        <f ca="1"/>
        <v>0</v>
      </c>
      <c r="AA31">
        <f ca="1"/>
        <v>0</v>
      </c>
      <c r="AB31">
        <f ca="1"/>
        <v>2.03493629713913E-2</v>
      </c>
      <c r="AD31" s="2">
        <f t="shared" ca="1" si="2"/>
        <v>45178</v>
      </c>
      <c r="AE31" s="46">
        <f t="shared" ca="1" si="3"/>
        <v>0</v>
      </c>
      <c r="AG31" s="72">
        <f t="shared" ca="1" si="7"/>
        <v>64.832358412655012</v>
      </c>
      <c r="AH31" s="72">
        <f t="shared" ca="1" si="8"/>
        <v>64.832358412655012</v>
      </c>
      <c r="AI31" s="3">
        <f t="shared" ca="1" si="9"/>
        <v>0</v>
      </c>
    </row>
    <row r="32" spans="1:35" x14ac:dyDescent="0.25">
      <c r="A32" s="11" t="s">
        <v>131</v>
      </c>
      <c r="B32" s="12" t="str">
        <f>CurrentEstablishStage</f>
        <v>Seedling</v>
      </c>
      <c r="G32" s="3">
        <f t="shared" ca="1" si="4"/>
        <v>209</v>
      </c>
      <c r="H32" s="105">
        <f t="shared" ca="1" si="6"/>
        <v>45134</v>
      </c>
      <c r="I32" s="133">
        <f ca="1">HLOOKUP($H$4,'Met Data'!$A$2:$F$368,G32,FALSE)</f>
        <v>7.0954545454545404</v>
      </c>
      <c r="J32" s="133">
        <f ca="1">HLOOKUP($H$4,'Met Data'!$H$2:$M$368,G32,FALSE)*L32</f>
        <v>2.4303030303030302</v>
      </c>
      <c r="K32" s="106">
        <f ca="1">HLOOKUP($H$4,'Met Data'!$O$2:$T$368,G32,FALSE)</f>
        <v>1.55883335001025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45179</v>
      </c>
      <c r="Q32">
        <f ca="1"/>
        <v>65.074007751360725</v>
      </c>
      <c r="R32">
        <f ca="1"/>
        <v>0.19195801096965701</v>
      </c>
      <c r="S32">
        <f ca="1"/>
        <v>2.2018484233051347E-2</v>
      </c>
      <c r="T32" s="4">
        <f ca="1"/>
        <v>0.57969218410590773</v>
      </c>
      <c r="U32">
        <f ca="1"/>
        <v>0</v>
      </c>
      <c r="V32">
        <f ca="1"/>
        <v>10.4928336344753</v>
      </c>
      <c r="W32">
        <f ca="1"/>
        <v>6.8203418624089203</v>
      </c>
      <c r="X32">
        <f ca="1"/>
        <v>0</v>
      </c>
      <c r="Y32">
        <f ca="1"/>
        <v>0.88976356158201075</v>
      </c>
      <c r="Z32">
        <f ca="1"/>
        <v>0</v>
      </c>
      <c r="AA32">
        <f ca="1"/>
        <v>0</v>
      </c>
      <c r="AB32">
        <f ca="1"/>
        <v>2.2838727061709099E-2</v>
      </c>
      <c r="AD32" s="2">
        <f t="shared" ca="1" si="2"/>
        <v>45179</v>
      </c>
      <c r="AE32" s="46">
        <f t="shared" ca="1" si="3"/>
        <v>0</v>
      </c>
      <c r="AG32" s="72">
        <f t="shared" ca="1" si="7"/>
        <v>65.265965762330381</v>
      </c>
      <c r="AH32" s="72">
        <f t="shared" ca="1" si="8"/>
        <v>65.265965762330381</v>
      </c>
      <c r="AI32" s="3">
        <f t="shared" ca="1" si="9"/>
        <v>0</v>
      </c>
    </row>
    <row r="33" spans="1:35" x14ac:dyDescent="0.25">
      <c r="A33" s="11" t="s">
        <v>132</v>
      </c>
      <c r="B33" s="41">
        <f>CurrentHarvestDate</f>
        <v>45296</v>
      </c>
      <c r="G33" s="3">
        <f t="shared" ca="1" si="4"/>
        <v>210</v>
      </c>
      <c r="H33" s="105">
        <f t="shared" ca="1" si="6"/>
        <v>45135</v>
      </c>
      <c r="I33" s="133">
        <f ca="1">HLOOKUP($H$4,'Met Data'!$A$2:$F$368,G33,FALSE)</f>
        <v>7.0287878787878704</v>
      </c>
      <c r="J33" s="133">
        <f ca="1">HLOOKUP($H$4,'Met Data'!$H$2:$M$368,G33,FALSE)*L33</f>
        <v>0.79090909090909101</v>
      </c>
      <c r="K33" s="106">
        <f ca="1">HLOOKUP($H$4,'Met Data'!$O$2:$T$368,G33,FALSE)</f>
        <v>1.4832490994765199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45180</v>
      </c>
      <c r="Q33">
        <f ca="1"/>
        <v>65.503672923801233</v>
      </c>
      <c r="R33">
        <f ca="1"/>
        <v>0.21086011909878999</v>
      </c>
      <c r="S33">
        <f ca="1"/>
        <v>2.136255020413368E-2</v>
      </c>
      <c r="T33" s="4">
        <f ca="1"/>
        <v>0.61916274133516791</v>
      </c>
      <c r="U33">
        <f ca="1"/>
        <v>0</v>
      </c>
      <c r="V33">
        <f ca="1"/>
        <v>10.703693753574001</v>
      </c>
      <c r="W33">
        <f ca="1"/>
        <v>6.9574009398231302</v>
      </c>
      <c r="X33">
        <f ca="1"/>
        <v>0</v>
      </c>
      <c r="Y33">
        <f ca="1"/>
        <v>0.88594066763355306</v>
      </c>
      <c r="Z33">
        <f ca="1"/>
        <v>0</v>
      </c>
      <c r="AA33">
        <f ca="1"/>
        <v>0</v>
      </c>
      <c r="AB33">
        <f ca="1"/>
        <v>2.5855555004926301E-2</v>
      </c>
      <c r="AD33" s="2">
        <f t="shared" ca="1" si="2"/>
        <v>45180</v>
      </c>
      <c r="AE33" s="46">
        <f t="shared" ca="1" si="3"/>
        <v>0</v>
      </c>
      <c r="AG33" s="72">
        <f t="shared" ca="1" si="7"/>
        <v>65.71453304290003</v>
      </c>
      <c r="AH33" s="72">
        <f t="shared" ca="1" si="8"/>
        <v>65.71453304290003</v>
      </c>
      <c r="AI33" s="3">
        <f t="shared" ca="1" si="9"/>
        <v>0</v>
      </c>
    </row>
    <row r="34" spans="1:35" x14ac:dyDescent="0.25">
      <c r="A34" s="11" t="s">
        <v>133</v>
      </c>
      <c r="B34" s="12" t="str">
        <f>CurrentHarvestStage</f>
        <v>Vegetative</v>
      </c>
      <c r="G34" s="3">
        <f t="shared" ca="1" si="4"/>
        <v>211</v>
      </c>
      <c r="H34" s="105">
        <f t="shared" ca="1" si="6"/>
        <v>45136</v>
      </c>
      <c r="I34" s="133">
        <f ca="1">HLOOKUP($H$4,'Met Data'!$A$2:$F$368,G34,FALSE)</f>
        <v>7.4492424242424198</v>
      </c>
      <c r="J34" s="133">
        <f ca="1">HLOOKUP($H$4,'Met Data'!$H$2:$M$368,G34,FALSE)*L34</f>
        <v>0.79696969696969699</v>
      </c>
      <c r="K34" s="106">
        <f ca="1">HLOOKUP($H$4,'Met Data'!$O$2:$T$368,G34,FALSE)</f>
        <v>1.5379059871907199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45181</v>
      </c>
      <c r="Q34">
        <f ca="1"/>
        <v>65.917230209797594</v>
      </c>
      <c r="R34">
        <f ca="1"/>
        <v>0.21303415818695201</v>
      </c>
      <c r="S34">
        <f ca="1"/>
        <v>1.8819109935089326E-2</v>
      </c>
      <c r="T34" s="4">
        <f ca="1"/>
        <v>0.6077723342482273</v>
      </c>
      <c r="U34">
        <f ca="1"/>
        <v>0</v>
      </c>
      <c r="V34">
        <f ca="1"/>
        <v>10.916727911761001</v>
      </c>
      <c r="W34">
        <f ca="1"/>
        <v>7.09587314264465</v>
      </c>
      <c r="X34">
        <f ca="1"/>
        <v>0</v>
      </c>
      <c r="Y34">
        <f ca="1"/>
        <v>0.8782406866888014</v>
      </c>
      <c r="Z34">
        <f ca="1"/>
        <v>0</v>
      </c>
      <c r="AA34">
        <f ca="1"/>
        <v>0</v>
      </c>
      <c r="AB34">
        <f ca="1"/>
        <v>2.92262789864524E-2</v>
      </c>
      <c r="AD34" s="2">
        <f t="shared" ca="1" si="2"/>
        <v>45181</v>
      </c>
      <c r="AE34" s="46">
        <f t="shared" ca="1" si="3"/>
        <v>0</v>
      </c>
      <c r="AG34" s="72">
        <f t="shared" ca="1" si="7"/>
        <v>66.130264367984552</v>
      </c>
      <c r="AH34" s="72">
        <f t="shared" ca="1" si="8"/>
        <v>66.130264367984552</v>
      </c>
      <c r="AI34" s="3">
        <f t="shared" ca="1" si="9"/>
        <v>0</v>
      </c>
    </row>
    <row r="35" spans="1:35" x14ac:dyDescent="0.25">
      <c r="A35" s="11" t="s">
        <v>176</v>
      </c>
      <c r="B35" s="12" t="str">
        <f>CurrentResidueRemoval</f>
        <v>None removed</v>
      </c>
      <c r="G35" s="3">
        <f t="shared" ca="1" si="4"/>
        <v>212</v>
      </c>
      <c r="H35" s="105">
        <f t="shared" ca="1" si="6"/>
        <v>45137</v>
      </c>
      <c r="I35" s="133">
        <f ca="1">HLOOKUP($H$4,'Met Data'!$A$2:$F$368,G35,FALSE)</f>
        <v>6.8409090909090899</v>
      </c>
      <c r="J35" s="133">
        <f ca="1">HLOOKUP($H$4,'Met Data'!$H$2:$M$368,G35,FALSE)*L35</f>
        <v>1.59393939393939</v>
      </c>
      <c r="K35" s="106">
        <f ca="1">HLOOKUP($H$4,'Met Data'!$O$2:$T$368,G35,FALSE)</f>
        <v>1.61262260286068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45182</v>
      </c>
      <c r="Q35">
        <f ca="1"/>
        <v>66.312097148900094</v>
      </c>
      <c r="R35">
        <f ca="1"/>
        <v>0.21175355694457401</v>
      </c>
      <c r="S35">
        <f ca="1"/>
        <v>1.6411770944971839E-2</v>
      </c>
      <c r="T35" s="4">
        <f ca="1"/>
        <v>0.59020872510210232</v>
      </c>
      <c r="U35">
        <f ca="1"/>
        <v>0</v>
      </c>
      <c r="V35">
        <f ca="1"/>
        <v>11.1284814687056</v>
      </c>
      <c r="W35">
        <f ca="1"/>
        <v>7.2335129546586199</v>
      </c>
      <c r="X35">
        <f ca="1"/>
        <v>0</v>
      </c>
      <c r="Y35">
        <f ca="1"/>
        <v>0.87392596652825771</v>
      </c>
      <c r="Z35">
        <f ca="1"/>
        <v>0</v>
      </c>
      <c r="AA35">
        <f ca="1"/>
        <v>0</v>
      </c>
      <c r="AB35">
        <f ca="1"/>
        <v>3.2922203199630802E-2</v>
      </c>
      <c r="AD35" s="2">
        <f t="shared" ca="1" si="2"/>
        <v>45182</v>
      </c>
      <c r="AE35" s="46">
        <f t="shared" ca="1" si="3"/>
        <v>0</v>
      </c>
      <c r="AG35" s="72">
        <f t="shared" ca="1" si="7"/>
        <v>66.523850705844666</v>
      </c>
      <c r="AH35" s="72">
        <f t="shared" ca="1" si="8"/>
        <v>66.523850705844666</v>
      </c>
      <c r="AI35" s="3">
        <f t="shared" ca="1" si="9"/>
        <v>0</v>
      </c>
    </row>
    <row r="36" spans="1:35" ht="15.75" thickBot="1" x14ac:dyDescent="0.3">
      <c r="A36" s="11" t="s">
        <v>179</v>
      </c>
      <c r="B36" s="12" t="str">
        <f>CurrentResidueIncorporation</f>
        <v>Full (Plough)</v>
      </c>
      <c r="G36" s="3">
        <f t="shared" ca="1" si="4"/>
        <v>213</v>
      </c>
      <c r="H36" s="105">
        <f t="shared" ca="1" si="6"/>
        <v>45138</v>
      </c>
      <c r="I36" s="133">
        <f ca="1">HLOOKUP($H$4,'Met Data'!$A$2:$F$368,G36,FALSE)</f>
        <v>7.1918181818181797</v>
      </c>
      <c r="J36" s="133">
        <f ca="1">HLOOKUP($H$4,'Met Data'!$H$2:$M$368,G36,FALSE)*L36</f>
        <v>0.86060606060606004</v>
      </c>
      <c r="K36" s="106">
        <f ca="1">HLOOKUP($H$4,'Met Data'!$O$2:$T$368,G36,FALSE)</f>
        <v>1.7014054560095799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45183</v>
      </c>
      <c r="Q36">
        <f ca="1"/>
        <v>66.710444987493005</v>
      </c>
      <c r="R36">
        <f ca="1"/>
        <v>0.22680934378383499</v>
      </c>
      <c r="S36">
        <f ca="1"/>
        <v>1.5342305647622737E-2</v>
      </c>
      <c r="T36">
        <f ca="1"/>
        <v>0.60981487672913737</v>
      </c>
      <c r="U36">
        <f ca="1"/>
        <v>0</v>
      </c>
      <c r="V36">
        <f ca="1"/>
        <v>11.3552908124894</v>
      </c>
      <c r="W36">
        <f ca="1"/>
        <v>7.3809390281181102</v>
      </c>
      <c r="X36">
        <f ca="1"/>
        <v>0</v>
      </c>
      <c r="Y36">
        <f ca="1"/>
        <v>0.86241867994360399</v>
      </c>
      <c r="Z36">
        <f ca="1"/>
        <v>0</v>
      </c>
      <c r="AA36">
        <f ca="1"/>
        <v>0</v>
      </c>
      <c r="AB36">
        <f ca="1"/>
        <v>3.72907133596787E-2</v>
      </c>
      <c r="AD36" s="2">
        <f t="shared" ca="1" si="2"/>
        <v>45183</v>
      </c>
      <c r="AE36" s="46">
        <f t="shared" ca="1" si="3"/>
        <v>0</v>
      </c>
      <c r="AG36" s="72">
        <f t="shared" ca="1" si="7"/>
        <v>66.937254331276847</v>
      </c>
      <c r="AH36" s="72">
        <f t="shared" ca="1" si="8"/>
        <v>66.937254331276847</v>
      </c>
      <c r="AI36" s="3">
        <f t="shared" ca="1" si="9"/>
        <v>0</v>
      </c>
    </row>
    <row r="37" spans="1:35" x14ac:dyDescent="0.25">
      <c r="A37" s="7" t="s">
        <v>150</v>
      </c>
      <c r="B37" s="36" t="str">
        <f>FollowingCropFullName</f>
        <v>Oat Fodder General</v>
      </c>
      <c r="G37" s="3">
        <f t="shared" ca="1" si="4"/>
        <v>214</v>
      </c>
      <c r="H37" s="105">
        <f t="shared" ca="1" si="6"/>
        <v>45139</v>
      </c>
      <c r="I37" s="133">
        <f ca="1">HLOOKUP($H$4,'Met Data'!$A$2:$F$368,G37,FALSE)</f>
        <v>7.4148484848484797</v>
      </c>
      <c r="J37" s="133">
        <f ca="1">HLOOKUP($H$4,'Met Data'!$H$2:$M$368,G37,FALSE)*L37</f>
        <v>1.7787878787878699</v>
      </c>
      <c r="K37" s="106">
        <f ca="1">HLOOKUP($H$4,'Met Data'!$O$2:$T$368,G37,FALSE)</f>
        <v>1.57863389711225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45184</v>
      </c>
      <c r="Q37">
        <f ca="1"/>
        <v>67.121212325639078</v>
      </c>
      <c r="R37">
        <f ca="1"/>
        <v>0.250180066905552</v>
      </c>
      <c r="S37">
        <f ca="1"/>
        <v>1.4628389878864174E-2</v>
      </c>
      <c r="T37">
        <f ca="1"/>
        <v>0.6463190151727588</v>
      </c>
      <c r="U37">
        <f ca="1"/>
        <v>0</v>
      </c>
      <c r="V37">
        <f ca="1"/>
        <v>11.605470879395</v>
      </c>
      <c r="W37">
        <f ca="1"/>
        <v>7.5435560716067203</v>
      </c>
      <c r="X37">
        <f ca="1"/>
        <v>0</v>
      </c>
      <c r="Y37">
        <f ca="1"/>
        <v>0.84735446208514242</v>
      </c>
      <c r="Z37">
        <f ca="1"/>
        <v>0</v>
      </c>
      <c r="AA37">
        <f ca="1"/>
        <v>0</v>
      </c>
      <c r="AB37">
        <f ca="1"/>
        <v>4.2636820441027498E-2</v>
      </c>
      <c r="AD37" s="2">
        <f t="shared" ca="1" si="2"/>
        <v>45184</v>
      </c>
      <c r="AE37" s="46">
        <f t="shared" ca="1" si="3"/>
        <v>0</v>
      </c>
      <c r="AG37" s="72">
        <f t="shared" ca="1" si="7"/>
        <v>67.371392392544635</v>
      </c>
      <c r="AH37" s="72">
        <f t="shared" ca="1" si="8"/>
        <v>67.371392392544635</v>
      </c>
      <c r="AI37" s="3">
        <f t="shared" ca="1" si="9"/>
        <v>0</v>
      </c>
    </row>
    <row r="38" spans="1:35" x14ac:dyDescent="0.25">
      <c r="A38" s="8" t="s">
        <v>134</v>
      </c>
      <c r="B38" s="37">
        <f>FollowingYield_tperHa</f>
        <v>10</v>
      </c>
      <c r="G38" s="3">
        <f t="shared" ca="1" si="4"/>
        <v>215</v>
      </c>
      <c r="H38" s="105">
        <f t="shared" ca="1" si="6"/>
        <v>45140</v>
      </c>
      <c r="I38" s="133">
        <f ca="1">HLOOKUP($H$4,'Met Data'!$A$2:$F$368,G38,FALSE)</f>
        <v>7.1409090909090898</v>
      </c>
      <c r="J38" s="133">
        <f ca="1">HLOOKUP($H$4,'Met Data'!$H$2:$M$368,G38,FALSE)*L38</f>
        <v>1.47272727272727</v>
      </c>
      <c r="K38" s="106">
        <f ca="1">HLOOKUP($H$4,'Met Data'!$O$2:$T$368,G38,FALSE)</f>
        <v>1.5098843625253899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45185</v>
      </c>
      <c r="Q38">
        <f ca="1"/>
        <v>67.50181669767376</v>
      </c>
      <c r="R38">
        <f ca="1"/>
        <v>0.25121934260260997</v>
      </c>
      <c r="S38">
        <f ca="1"/>
        <v>1.2526117576728887E-2</v>
      </c>
      <c r="T38">
        <f ca="1"/>
        <v>0.61929759706056564</v>
      </c>
      <c r="U38">
        <f ca="1"/>
        <v>0</v>
      </c>
      <c r="V38">
        <f ca="1"/>
        <v>11.856690221997599</v>
      </c>
      <c r="W38">
        <f ca="1"/>
        <v>7.7068486442984199</v>
      </c>
      <c r="X38">
        <f ca="1"/>
        <v>0</v>
      </c>
      <c r="Y38">
        <f ca="1"/>
        <v>0.82762645489618525</v>
      </c>
      <c r="Z38">
        <f ca="1"/>
        <v>0</v>
      </c>
      <c r="AA38">
        <f ca="1"/>
        <v>0</v>
      </c>
      <c r="AB38">
        <f ca="1"/>
        <v>4.86021922912021E-2</v>
      </c>
      <c r="AD38" s="2">
        <f t="shared" ca="1" si="2"/>
        <v>45185</v>
      </c>
      <c r="AE38" s="46">
        <f t="shared" ca="1" si="3"/>
        <v>0</v>
      </c>
      <c r="AG38" s="72">
        <f t="shared" ca="1" si="7"/>
        <v>67.75303604027637</v>
      </c>
      <c r="AH38" s="72">
        <f t="shared" ca="1" si="8"/>
        <v>67.75303604027637</v>
      </c>
      <c r="AI38" s="3">
        <f t="shared" ca="1" si="9"/>
        <v>0</v>
      </c>
    </row>
    <row r="39" spans="1:35" x14ac:dyDescent="0.25">
      <c r="A39" s="8" t="s">
        <v>135</v>
      </c>
      <c r="B39" s="37">
        <f>FollowingFieldLoss</f>
        <v>0</v>
      </c>
      <c r="G39" s="3">
        <f t="shared" ca="1" si="4"/>
        <v>216</v>
      </c>
      <c r="H39" s="105">
        <f t="shared" ca="1" si="6"/>
        <v>45141</v>
      </c>
      <c r="I39" s="133">
        <f ca="1">HLOOKUP($H$4,'Met Data'!$A$2:$F$368,G39,FALSE)</f>
        <v>6.7681818181818096</v>
      </c>
      <c r="J39" s="133">
        <f ca="1">HLOOKUP($H$4,'Met Data'!$H$2:$M$368,G39,FALSE)*L39</f>
        <v>0.76666666666666605</v>
      </c>
      <c r="K39" s="106">
        <f ca="1">HLOOKUP($H$4,'Met Data'!$O$2:$T$368,G39,FALSE)</f>
        <v>1.28491883482887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45186</v>
      </c>
      <c r="Q39">
        <f ca="1"/>
        <v>67.841048432721905</v>
      </c>
      <c r="R39">
        <f ca="1"/>
        <v>0.24096846104019001</v>
      </c>
      <c r="S39">
        <f ca="1"/>
        <v>1.0335913674351924E-2</v>
      </c>
      <c r="T39">
        <f ca="1"/>
        <v>0.56986428241399012</v>
      </c>
      <c r="U39">
        <f ca="1"/>
        <v>0</v>
      </c>
      <c r="V39">
        <f ca="1"/>
        <v>12.0976586830378</v>
      </c>
      <c r="W39">
        <f ca="1"/>
        <v>7.8634781439745396</v>
      </c>
      <c r="X39">
        <f ca="1"/>
        <v>0</v>
      </c>
      <c r="Y39">
        <f ca="1"/>
        <v>0.81088833525683446</v>
      </c>
      <c r="Z39">
        <f ca="1"/>
        <v>0</v>
      </c>
      <c r="AA39">
        <f ca="1"/>
        <v>0</v>
      </c>
      <c r="AB39">
        <f ca="1"/>
        <v>5.4924883937079803E-2</v>
      </c>
      <c r="AD39" s="2">
        <f t="shared" ca="1" si="2"/>
        <v>45186</v>
      </c>
      <c r="AE39" s="46">
        <f t="shared" ca="1" si="3"/>
        <v>0</v>
      </c>
      <c r="AG39" s="72">
        <f t="shared" ca="1" si="7"/>
        <v>68.082016893762102</v>
      </c>
      <c r="AH39" s="72">
        <f t="shared" ca="1" si="8"/>
        <v>68.082016893762102</v>
      </c>
      <c r="AI39" s="3">
        <f t="shared" ca="1" si="9"/>
        <v>0</v>
      </c>
    </row>
    <row r="40" spans="1:35" x14ac:dyDescent="0.25">
      <c r="A40" s="8" t="s">
        <v>136</v>
      </c>
      <c r="B40" s="37">
        <f>FollowingDressingLoss</f>
        <v>0</v>
      </c>
      <c r="G40" s="3">
        <f t="shared" ca="1" si="4"/>
        <v>217</v>
      </c>
      <c r="H40" s="105">
        <f t="shared" ca="1" si="6"/>
        <v>45142</v>
      </c>
      <c r="I40" s="133">
        <f ca="1">HLOOKUP($H$4,'Met Data'!$A$2:$F$368,G40,FALSE)</f>
        <v>7.2015151515151503</v>
      </c>
      <c r="J40" s="133">
        <f ca="1">HLOOKUP($H$4,'Met Data'!$H$2:$M$368,G40,FALSE)*L40</f>
        <v>1.47272727272727</v>
      </c>
      <c r="K40" s="106">
        <f ca="1">HLOOKUP($H$4,'Met Data'!$O$2:$T$368,G40,FALSE)</f>
        <v>1.3386149785468899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45187</v>
      </c>
      <c r="Q40">
        <f ca="1"/>
        <v>68.161446209503566</v>
      </c>
      <c r="R40">
        <f ca="1"/>
        <v>0.23962885484872001</v>
      </c>
      <c r="S40">
        <f ca="1"/>
        <v>9.0325092879737362E-3</v>
      </c>
      <c r="T40">
        <f ca="1"/>
        <v>0.55099412234240086</v>
      </c>
      <c r="U40">
        <f ca="1"/>
        <v>0</v>
      </c>
      <c r="V40">
        <f ca="1"/>
        <v>12.3372875378865</v>
      </c>
      <c r="W40">
        <f ca="1"/>
        <v>8.0192368996262093</v>
      </c>
      <c r="X40">
        <f ca="1"/>
        <v>0</v>
      </c>
      <c r="Y40">
        <f ca="1"/>
        <v>0.80350815953518206</v>
      </c>
      <c r="Z40">
        <f ca="1"/>
        <v>0</v>
      </c>
      <c r="AA40">
        <f ca="1"/>
        <v>0</v>
      </c>
      <c r="AB40">
        <f ca="1"/>
        <v>6.1832046687191798E-2</v>
      </c>
      <c r="AD40" s="2">
        <f t="shared" ca="1" si="2"/>
        <v>45187</v>
      </c>
      <c r="AE40" s="46">
        <f t="shared" ca="1" si="3"/>
        <v>0</v>
      </c>
      <c r="AG40" s="72">
        <f t="shared" ca="1" si="7"/>
        <v>68.401075064352284</v>
      </c>
      <c r="AH40" s="72">
        <f t="shared" ca="1" si="8"/>
        <v>68.401075064352284</v>
      </c>
      <c r="AI40" s="3">
        <f t="shared" ca="1" si="9"/>
        <v>0</v>
      </c>
    </row>
    <row r="41" spans="1:35" x14ac:dyDescent="0.25">
      <c r="A41" s="8" t="s">
        <v>137</v>
      </c>
      <c r="B41" s="37">
        <f>FollowingMoistureLoss</f>
        <v>80</v>
      </c>
      <c r="G41" s="3">
        <f t="shared" ca="1" si="4"/>
        <v>218</v>
      </c>
      <c r="H41" s="105">
        <f t="shared" ca="1" si="6"/>
        <v>45143</v>
      </c>
      <c r="I41" s="133">
        <f ca="1">HLOOKUP($H$4,'Met Data'!$A$2:$F$368,G41,FALSE)</f>
        <v>7.3742424242424196</v>
      </c>
      <c r="J41" s="133">
        <f ca="1">HLOOKUP($H$4,'Met Data'!$H$2:$M$368,G41,FALSE)*L41</f>
        <v>1.75757575757575</v>
      </c>
      <c r="K41" s="106">
        <f ca="1">HLOOKUP($H$4,'Met Data'!$O$2:$T$368,G41,FALSE)</f>
        <v>1.55222576978494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45188</v>
      </c>
      <c r="Q41">
        <f ca="1"/>
        <v>68.481699826528626</v>
      </c>
      <c r="R41">
        <f ca="1"/>
        <v>0.25125160034487798</v>
      </c>
      <c r="S41">
        <f ca="1"/>
        <v>8.3861031817646318E-3</v>
      </c>
      <c r="T41">
        <f ca="1"/>
        <v>0.56311911418816751</v>
      </c>
      <c r="U41">
        <f ca="1"/>
        <v>0</v>
      </c>
      <c r="V41">
        <f ca="1"/>
        <v>12.5885391382314</v>
      </c>
      <c r="W41">
        <f ca="1"/>
        <v>8.1825504398503792</v>
      </c>
      <c r="X41">
        <f ca="1"/>
        <v>0</v>
      </c>
      <c r="Y41">
        <f ca="1"/>
        <v>0.79944186102816961</v>
      </c>
      <c r="Z41">
        <f ca="1"/>
        <v>0</v>
      </c>
      <c r="AA41">
        <f ca="1"/>
        <v>0</v>
      </c>
      <c r="AB41">
        <f ca="1"/>
        <v>6.9775397404415407E-2</v>
      </c>
      <c r="AD41" s="2">
        <f t="shared" ca="1" si="2"/>
        <v>45188</v>
      </c>
      <c r="AE41" s="46">
        <f t="shared" ca="1" si="3"/>
        <v>0</v>
      </c>
      <c r="AG41" s="72">
        <f t="shared" ca="1" si="7"/>
        <v>68.732951426873498</v>
      </c>
      <c r="AH41" s="72">
        <f t="shared" ca="1" si="8"/>
        <v>68.732951426873498</v>
      </c>
      <c r="AI41" s="3">
        <f t="shared" ca="1" si="9"/>
        <v>0</v>
      </c>
    </row>
    <row r="42" spans="1:35" x14ac:dyDescent="0.25">
      <c r="A42" s="8" t="s">
        <v>138</v>
      </c>
      <c r="B42" s="39">
        <f>FollowingEstablishDate</f>
        <v>45311</v>
      </c>
      <c r="G42" s="3">
        <f t="shared" ca="1" si="4"/>
        <v>219</v>
      </c>
      <c r="H42" s="105">
        <f t="shared" ca="1" si="6"/>
        <v>45144</v>
      </c>
      <c r="I42" s="133">
        <f ca="1">HLOOKUP($H$4,'Met Data'!$A$2:$F$368,G42,FALSE)</f>
        <v>7.4590909090909001</v>
      </c>
      <c r="J42" s="133">
        <f ca="1">HLOOKUP($H$4,'Met Data'!$H$2:$M$368,G42,FALSE)*L42</f>
        <v>0.60909090909090902</v>
      </c>
      <c r="K42" s="106">
        <f ca="1">HLOOKUP($H$4,'Met Data'!$O$2:$T$368,G42,FALSE)</f>
        <v>1.4979769801628799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45189</v>
      </c>
      <c r="Q42">
        <f ca="1"/>
        <v>68.780369235046919</v>
      </c>
      <c r="R42">
        <f ca="1"/>
        <v>0.246308789668852</v>
      </c>
      <c r="S42">
        <f ca="1"/>
        <v>7.241128817721698E-3</v>
      </c>
      <c r="T42">
        <f ca="1"/>
        <v>0.53773706936941135</v>
      </c>
      <c r="U42">
        <f ca="1"/>
        <v>0</v>
      </c>
      <c r="V42">
        <f ca="1"/>
        <v>12.834847927900199</v>
      </c>
      <c r="W42">
        <f ca="1"/>
        <v>8.3426511531351295</v>
      </c>
      <c r="X42">
        <f ca="1"/>
        <v>0</v>
      </c>
      <c r="Y42">
        <f ca="1"/>
        <v>0.79295739220958683</v>
      </c>
      <c r="Z42">
        <f ca="1"/>
        <v>0</v>
      </c>
      <c r="AA42">
        <f ca="1"/>
        <v>0</v>
      </c>
      <c r="AB42">
        <f ca="1"/>
        <v>7.82948924976751E-2</v>
      </c>
      <c r="AD42" s="2">
        <f t="shared" ca="1" si="2"/>
        <v>45189</v>
      </c>
      <c r="AE42" s="46">
        <f t="shared" ca="1" si="3"/>
        <v>0</v>
      </c>
      <c r="AG42" s="72">
        <f t="shared" ca="1" si="7"/>
        <v>69.026678024715764</v>
      </c>
      <c r="AH42" s="72">
        <f t="shared" ca="1" si="8"/>
        <v>69.026678024715764</v>
      </c>
      <c r="AI42" s="3">
        <f t="shared" ca="1" si="9"/>
        <v>0</v>
      </c>
    </row>
    <row r="43" spans="1:35" x14ac:dyDescent="0.25">
      <c r="A43" s="8" t="s">
        <v>139</v>
      </c>
      <c r="B43" s="37" t="str">
        <f>FollowingEstablishStage</f>
        <v>Seed</v>
      </c>
      <c r="G43" s="3">
        <f t="shared" ca="1" si="4"/>
        <v>220</v>
      </c>
      <c r="H43" s="105">
        <f t="shared" ca="1" si="6"/>
        <v>45145</v>
      </c>
      <c r="I43" s="133">
        <f ca="1">HLOOKUP($H$4,'Met Data'!$A$2:$F$368,G43,FALSE)</f>
        <v>7.5939393939393902</v>
      </c>
      <c r="J43" s="133">
        <f ca="1">HLOOKUP($H$4,'Met Data'!$H$2:$M$368,G43,FALSE)*L43</f>
        <v>3.3848484848484799</v>
      </c>
      <c r="K43" s="106">
        <f ca="1">HLOOKUP($H$4,'Met Data'!$O$2:$T$368,G43,FALSE)</f>
        <v>1.51963915749211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45190</v>
      </c>
      <c r="Q43">
        <f ca="1"/>
        <v>69.081089180740634</v>
      </c>
      <c r="R43">
        <f ca="1"/>
        <v>0.26360863581501398</v>
      </c>
      <c r="S43">
        <f ca="1"/>
        <v>6.8420256892210984E-3</v>
      </c>
      <c r="T43">
        <f ca="1"/>
        <v>0.55748655581950546</v>
      </c>
      <c r="U43">
        <f ca="1"/>
        <v>0</v>
      </c>
      <c r="V43">
        <f ca="1"/>
        <v>13.0984565637152</v>
      </c>
      <c r="W43">
        <f ca="1"/>
        <v>8.5139967664148894</v>
      </c>
      <c r="X43">
        <f ca="1"/>
        <v>0</v>
      </c>
      <c r="Y43">
        <f ca="1"/>
        <v>0.78464996291511524</v>
      </c>
      <c r="Z43">
        <f ca="1"/>
        <v>0</v>
      </c>
      <c r="AA43">
        <f ca="1"/>
        <v>0</v>
      </c>
      <c r="AB43">
        <f ca="1"/>
        <v>8.82533882305397E-2</v>
      </c>
      <c r="AD43" s="2">
        <f t="shared" ca="1" si="2"/>
        <v>45190</v>
      </c>
      <c r="AE43" s="46">
        <f t="shared" ca="1" si="3"/>
        <v>0</v>
      </c>
      <c r="AG43" s="72">
        <f t="shared" ca="1" si="7"/>
        <v>69.344697816555652</v>
      </c>
      <c r="AH43" s="72">
        <f t="shared" ca="1" si="8"/>
        <v>69.344697816555652</v>
      </c>
      <c r="AI43" s="3">
        <f t="shared" ca="1" si="9"/>
        <v>0</v>
      </c>
    </row>
    <row r="44" spans="1:35" x14ac:dyDescent="0.25">
      <c r="A44" s="8" t="s">
        <v>140</v>
      </c>
      <c r="B44" s="39">
        <f>FollowingHarvestDate</f>
        <v>45431</v>
      </c>
      <c r="G44" s="3">
        <f t="shared" ca="1" si="4"/>
        <v>221</v>
      </c>
      <c r="H44" s="105">
        <f t="shared" ca="1" si="6"/>
        <v>45146</v>
      </c>
      <c r="I44" s="133">
        <f ca="1">HLOOKUP($H$4,'Met Data'!$A$2:$F$368,G44,FALSE)</f>
        <v>7.3257575757575699</v>
      </c>
      <c r="J44" s="133">
        <f ca="1">HLOOKUP($H$4,'Met Data'!$H$2:$M$368,G44,FALSE)*L44</f>
        <v>3.2363636363636301</v>
      </c>
      <c r="K44" s="106">
        <f ca="1">HLOOKUP($H$4,'Met Data'!$O$2:$T$368,G44,FALSE)</f>
        <v>1.7182656587563401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45191</v>
      </c>
      <c r="Q44">
        <f ca="1"/>
        <v>69.361249994598396</v>
      </c>
      <c r="R44">
        <f ca="1"/>
        <v>0.25971123777275701</v>
      </c>
      <c r="S44">
        <f ca="1"/>
        <v>5.9330570273657002E-3</v>
      </c>
      <c r="T44">
        <f ca="1"/>
        <v>0.53393899460316319</v>
      </c>
      <c r="U44">
        <f ca="1"/>
        <v>0</v>
      </c>
      <c r="V44">
        <f ca="1"/>
        <v>13.358167801487999</v>
      </c>
      <c r="W44">
        <f ca="1"/>
        <v>8.6828090709671901</v>
      </c>
      <c r="X44">
        <f ca="1"/>
        <v>0</v>
      </c>
      <c r="Y44">
        <f ca="1"/>
        <v>0.77712423709509615</v>
      </c>
      <c r="Z44">
        <f ca="1"/>
        <v>0</v>
      </c>
      <c r="AA44">
        <f ca="1"/>
        <v>0</v>
      </c>
      <c r="AB44">
        <f ca="1"/>
        <v>9.8948541014204403E-2</v>
      </c>
      <c r="AD44" s="2">
        <f t="shared" ca="1" si="2"/>
        <v>45191</v>
      </c>
      <c r="AE44" s="46">
        <f t="shared" ca="1" si="3"/>
        <v>0</v>
      </c>
      <c r="AG44" s="72">
        <f t="shared" ca="1" si="7"/>
        <v>69.620961232371158</v>
      </c>
      <c r="AH44" s="72">
        <f t="shared" ca="1" si="8"/>
        <v>69.620961232371158</v>
      </c>
      <c r="AI44" s="3">
        <f t="shared" ca="1" si="9"/>
        <v>0</v>
      </c>
    </row>
    <row r="45" spans="1:35" x14ac:dyDescent="0.25">
      <c r="A45" s="8" t="s">
        <v>141</v>
      </c>
      <c r="B45" s="37" t="str">
        <f>FollowingHarvestStage</f>
        <v>EarlyReproductive</v>
      </c>
      <c r="G45" s="3">
        <f t="shared" ca="1" si="4"/>
        <v>222</v>
      </c>
      <c r="H45" s="105">
        <f t="shared" ca="1" si="6"/>
        <v>45147</v>
      </c>
      <c r="I45" s="133">
        <f ca="1">HLOOKUP($H$4,'Met Data'!$A$2:$F$368,G45,FALSE)</f>
        <v>6.6333333333333302</v>
      </c>
      <c r="J45" s="133">
        <f ca="1">HLOOKUP($H$4,'Met Data'!$H$2:$M$368,G45,FALSE)*L45</f>
        <v>1.55151515151515</v>
      </c>
      <c r="K45" s="106">
        <f ca="1">HLOOKUP($H$4,'Met Data'!$O$2:$T$368,G45,FALSE)</f>
        <v>1.45992841951307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45192</v>
      </c>
      <c r="Q45">
        <f ca="1"/>
        <v>69.622516677192223</v>
      </c>
      <c r="R45">
        <f ca="1"/>
        <v>0.25908016302386899</v>
      </c>
      <c r="S45">
        <f ca="1"/>
        <v>5.205580735620218E-3</v>
      </c>
      <c r="T45">
        <f ca="1"/>
        <v>0.51514126488207201</v>
      </c>
      <c r="U45">
        <f ca="1"/>
        <v>0</v>
      </c>
      <c r="V45">
        <f ca="1"/>
        <v>13.617247964511799</v>
      </c>
      <c r="W45">
        <f ca="1"/>
        <v>8.8512111769327007</v>
      </c>
      <c r="X45">
        <f ca="1"/>
        <v>0</v>
      </c>
      <c r="Y45">
        <f ca="1"/>
        <v>0.76527489484460631</v>
      </c>
      <c r="Z45">
        <f ca="1"/>
        <v>0</v>
      </c>
      <c r="AA45">
        <f ca="1"/>
        <v>0</v>
      </c>
      <c r="AB45">
        <f ca="1"/>
        <v>0.110520646459601</v>
      </c>
      <c r="AD45" s="2">
        <f t="shared" ca="1" si="2"/>
        <v>45192</v>
      </c>
      <c r="AE45" s="46">
        <f t="shared" ca="1" si="3"/>
        <v>0</v>
      </c>
      <c r="AG45" s="72">
        <f t="shared" ca="1" si="7"/>
        <v>69.881596840216091</v>
      </c>
      <c r="AH45" s="72">
        <f t="shared" ca="1" si="8"/>
        <v>69.881596840216091</v>
      </c>
      <c r="AI45" s="3">
        <f t="shared" ca="1" si="9"/>
        <v>0</v>
      </c>
    </row>
    <row r="46" spans="1:35" ht="15.75" thickBot="1" x14ac:dyDescent="0.3">
      <c r="A46" s="9" t="s">
        <v>177</v>
      </c>
      <c r="B46" s="38" t="str">
        <f>FollowingResidueRemoval</f>
        <v>None removed</v>
      </c>
      <c r="G46" s="3">
        <f t="shared" ca="1" si="4"/>
        <v>223</v>
      </c>
      <c r="H46" s="105">
        <f t="shared" ca="1" si="6"/>
        <v>45148</v>
      </c>
      <c r="I46" s="133">
        <f ca="1">HLOOKUP($H$4,'Met Data'!$A$2:$F$368,G46,FALSE)</f>
        <v>7.0696969696969703</v>
      </c>
      <c r="J46" s="133">
        <f ca="1">HLOOKUP($H$4,'Met Data'!$H$2:$M$368,G46,FALSE)*L46</f>
        <v>1.4545454545454499</v>
      </c>
      <c r="K46" s="106">
        <f ca="1">HLOOKUP($H$4,'Met Data'!$O$2:$T$368,G46,FALSE)</f>
        <v>1.43429877915796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45193</v>
      </c>
      <c r="Q46">
        <f ca="1"/>
        <v>69.890225155408118</v>
      </c>
      <c r="R46">
        <f ca="1"/>
        <v>0.277700491213002</v>
      </c>
      <c r="S46">
        <f ca="1"/>
        <v>4.997435425239039E-3</v>
      </c>
      <c r="T46">
        <f ca="1"/>
        <v>0.54041153400365949</v>
      </c>
      <c r="U46">
        <f ca="1"/>
        <v>0</v>
      </c>
      <c r="V46">
        <f ca="1"/>
        <v>13.894948455724901</v>
      </c>
      <c r="W46">
        <f ca="1"/>
        <v>9.0317164962211507</v>
      </c>
      <c r="X46">
        <f ca="1"/>
        <v>0</v>
      </c>
      <c r="Y46">
        <f ca="1"/>
        <v>0.76490068089525987</v>
      </c>
      <c r="Z46">
        <f ca="1"/>
        <v>0</v>
      </c>
      <c r="AA46">
        <f ca="1"/>
        <v>0</v>
      </c>
      <c r="AB46">
        <f ca="1"/>
        <v>0.12395101648510801</v>
      </c>
      <c r="AD46" s="2">
        <f t="shared" ca="1" si="2"/>
        <v>45193</v>
      </c>
      <c r="AE46" s="46">
        <f t="shared" ca="1" si="3"/>
        <v>0</v>
      </c>
      <c r="AG46" s="72">
        <f t="shared" ca="1" si="7"/>
        <v>70.167925646621114</v>
      </c>
      <c r="AH46" s="72">
        <f t="shared" ca="1" si="8"/>
        <v>70.167925646621114</v>
      </c>
      <c r="AI46" s="3">
        <f t="shared" ca="1" si="9"/>
        <v>0</v>
      </c>
    </row>
    <row r="47" spans="1:35" x14ac:dyDescent="0.25">
      <c r="A47" s="8" t="s">
        <v>180</v>
      </c>
      <c r="B47" t="str">
        <f>FollowingResidueIncorporation</f>
        <v>Full (Plough)</v>
      </c>
      <c r="G47" s="3">
        <f t="shared" ca="1" si="4"/>
        <v>224</v>
      </c>
      <c r="H47" s="105">
        <f t="shared" ca="1" si="6"/>
        <v>45149</v>
      </c>
      <c r="I47" s="133">
        <f ca="1">HLOOKUP($H$4,'Met Data'!$A$2:$F$368,G47,FALSE)</f>
        <v>7.5106060606060598</v>
      </c>
      <c r="J47" s="133">
        <f ca="1">HLOOKUP($H$4,'Met Data'!$H$2:$M$368,G47,FALSE)*L47</f>
        <v>1.6030303030302999</v>
      </c>
      <c r="K47" s="106">
        <f ca="1">HLOOKUP($H$4,'Met Data'!$O$2:$T$368,G47,FALSE)</f>
        <v>1.4617211304547399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45194</v>
      </c>
      <c r="Q47">
        <f ca="1"/>
        <v>70.142655984023662</v>
      </c>
      <c r="R47">
        <f ca="1"/>
        <v>0.26948047569313999</v>
      </c>
      <c r="S47">
        <f ca="1"/>
        <v>4.3423700790622194E-3</v>
      </c>
      <c r="T47">
        <f ca="1"/>
        <v>0.51756893422962291</v>
      </c>
      <c r="U47">
        <f ca="1"/>
        <v>0</v>
      </c>
      <c r="V47">
        <f ca="1"/>
        <v>14.164428931418</v>
      </c>
      <c r="W47">
        <f ca="1"/>
        <v>9.2068788054216899</v>
      </c>
      <c r="X47">
        <f ca="1"/>
        <v>0</v>
      </c>
      <c r="Y47">
        <f ca="1"/>
        <v>0.76804573733588533</v>
      </c>
      <c r="Z47">
        <f ca="1"/>
        <v>0</v>
      </c>
      <c r="AA47">
        <f ca="1"/>
        <v>0</v>
      </c>
      <c r="AB47">
        <f ca="1"/>
        <v>0.13801587441138399</v>
      </c>
      <c r="AD47" s="2">
        <f t="shared" ca="1" si="2"/>
        <v>45194</v>
      </c>
      <c r="AE47" s="46">
        <f t="shared" ca="1" si="3"/>
        <v>0</v>
      </c>
      <c r="AG47" s="72">
        <f t="shared" ca="1" si="7"/>
        <v>70.412136459716805</v>
      </c>
      <c r="AH47" s="72">
        <f t="shared" ca="1" si="8"/>
        <v>70.412136459716805</v>
      </c>
      <c r="AI47" s="3">
        <f t="shared" ca="1" si="9"/>
        <v>0</v>
      </c>
    </row>
    <row r="48" spans="1:35" x14ac:dyDescent="0.25">
      <c r="A48" s="14"/>
      <c r="B48" s="15"/>
      <c r="G48" s="3">
        <f t="shared" ca="1" si="4"/>
        <v>225</v>
      </c>
      <c r="H48" s="105">
        <f t="shared" ca="1" si="6"/>
        <v>45150</v>
      </c>
      <c r="I48" s="133">
        <f ca="1">HLOOKUP($H$4,'Met Data'!$A$2:$F$368,G48,FALSE)</f>
        <v>7.7378787878787803</v>
      </c>
      <c r="J48" s="133">
        <f ca="1">HLOOKUP($H$4,'Met Data'!$H$2:$M$368,G48,FALSE)*L48</f>
        <v>1.2</v>
      </c>
      <c r="K48" s="106">
        <f ca="1">HLOOKUP($H$4,'Met Data'!$O$2:$T$368,G48,FALSE)</f>
        <v>1.64327704752056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45195</v>
      </c>
      <c r="Q48">
        <f ca="1"/>
        <v>70.403333973558347</v>
      </c>
      <c r="R48">
        <f ca="1"/>
        <v>0.29804100324681199</v>
      </c>
      <c r="S48">
        <f ca="1"/>
        <v>4.2566569705681217E-3</v>
      </c>
      <c r="T48">
        <f ca="1"/>
        <v>0.55446233581091942</v>
      </c>
      <c r="U48">
        <f ca="1"/>
        <v>0</v>
      </c>
      <c r="V48">
        <f ca="1"/>
        <v>14.462469934664799</v>
      </c>
      <c r="W48">
        <f ca="1"/>
        <v>9.4006054575321194</v>
      </c>
      <c r="X48">
        <f ca="1"/>
        <v>0</v>
      </c>
      <c r="Y48">
        <f ca="1"/>
        <v>0.76024139010073477</v>
      </c>
      <c r="Z48">
        <f ca="1"/>
        <v>0</v>
      </c>
      <c r="AA48">
        <f ca="1"/>
        <v>0</v>
      </c>
      <c r="AB48">
        <f ca="1"/>
        <v>0.15476286966385899</v>
      </c>
      <c r="AD48" s="2">
        <f t="shared" ca="1" si="2"/>
        <v>45195</v>
      </c>
      <c r="AE48" s="46">
        <f t="shared" ca="1" si="3"/>
        <v>0</v>
      </c>
      <c r="AG48" s="72">
        <f t="shared" ca="1" si="7"/>
        <v>70.701374976805155</v>
      </c>
      <c r="AH48" s="72">
        <f t="shared" ca="1" si="8"/>
        <v>70.701374976805155</v>
      </c>
      <c r="AI48" s="3">
        <f t="shared" ca="1" si="9"/>
        <v>0</v>
      </c>
    </row>
    <row r="49" spans="1:35" ht="15.75" thickBot="1" x14ac:dyDescent="0.3">
      <c r="A49" s="16"/>
      <c r="B49" s="17"/>
      <c r="G49" s="3">
        <f t="shared" ca="1" si="4"/>
        <v>226</v>
      </c>
      <c r="H49" s="105">
        <f t="shared" ca="1" si="6"/>
        <v>45151</v>
      </c>
      <c r="I49" s="133">
        <f ca="1">HLOOKUP($H$4,'Met Data'!$A$2:$F$368,G49,FALSE)</f>
        <v>7.4378787878787804</v>
      </c>
      <c r="J49" s="133">
        <f ca="1">HLOOKUP($H$4,'Met Data'!$H$2:$M$368,G49,FALSE)*L49</f>
        <v>2.0151515151515098</v>
      </c>
      <c r="K49" s="106">
        <f ca="1">HLOOKUP($H$4,'Met Data'!$O$2:$T$368,G49,FALSE)</f>
        <v>1.7219137683755099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45196</v>
      </c>
      <c r="Q49">
        <f ca="1"/>
        <v>70.649912029456843</v>
      </c>
      <c r="R49">
        <f ca="1"/>
        <v>0.31020388816797301</v>
      </c>
      <c r="S49">
        <f ca="1"/>
        <v>3.8470223290620561E-3</v>
      </c>
      <c r="T49">
        <f ca="1"/>
        <v>0.55293492173740899</v>
      </c>
      <c r="U49">
        <f ca="1"/>
        <v>0</v>
      </c>
      <c r="V49">
        <f ca="1"/>
        <v>14.7726738228328</v>
      </c>
      <c r="W49">
        <f ca="1"/>
        <v>9.6022379848413006</v>
      </c>
      <c r="X49">
        <f ca="1"/>
        <v>0</v>
      </c>
      <c r="Y49">
        <f ca="1"/>
        <v>0.74316749347160393</v>
      </c>
      <c r="Z49">
        <f ca="1"/>
        <v>0</v>
      </c>
      <c r="AA49">
        <f ca="1"/>
        <v>0</v>
      </c>
      <c r="AB49">
        <f ca="1"/>
        <v>0.173514808155218</v>
      </c>
      <c r="AD49" s="2">
        <f t="shared" ca="1" si="2"/>
        <v>45196</v>
      </c>
      <c r="AE49" s="46">
        <f t="shared" ca="1" si="3"/>
        <v>0</v>
      </c>
      <c r="AG49" s="72">
        <f t="shared" ca="1" si="7"/>
        <v>70.960115917624819</v>
      </c>
      <c r="AH49" s="72">
        <f t="shared" ca="1" si="8"/>
        <v>70.960115917624819</v>
      </c>
      <c r="AI49" s="3">
        <f t="shared" ca="1" si="9"/>
        <v>0</v>
      </c>
    </row>
    <row r="50" spans="1:35" x14ac:dyDescent="0.25">
      <c r="G50" s="3">
        <f t="shared" ca="1" si="4"/>
        <v>227</v>
      </c>
      <c r="H50" s="105">
        <f t="shared" ca="1" si="6"/>
        <v>45152</v>
      </c>
      <c r="I50" s="133">
        <f ca="1">HLOOKUP($H$4,'Met Data'!$A$2:$F$368,G50,FALSE)</f>
        <v>7.3203125</v>
      </c>
      <c r="J50" s="133">
        <f ca="1">HLOOKUP($H$4,'Met Data'!$H$2:$M$368,G50,FALSE)*L50</f>
        <v>2.2093750000000001</v>
      </c>
      <c r="K50" s="106">
        <f ca="1">HLOOKUP($H$4,'Met Data'!$O$2:$T$368,G50,FALSE)</f>
        <v>1.6752410691035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45197</v>
      </c>
      <c r="Q50">
        <f ca="1"/>
        <v>70.885982985829344</v>
      </c>
      <c r="R50">
        <f ca="1"/>
        <v>0.30907991047370797</v>
      </c>
      <c r="S50">
        <f ca="1"/>
        <v>3.4184775370185239E-3</v>
      </c>
      <c r="T50">
        <f ca="1"/>
        <v>0.54173238930919276</v>
      </c>
      <c r="U50">
        <f ca="1"/>
        <v>0</v>
      </c>
      <c r="V50">
        <f ca="1"/>
        <v>15.081753733306501</v>
      </c>
      <c r="W50">
        <f ca="1"/>
        <v>9.8031399266492105</v>
      </c>
      <c r="X50">
        <f ca="1"/>
        <v>0</v>
      </c>
      <c r="Y50">
        <f ca="1"/>
        <v>0.74585127607099466</v>
      </c>
      <c r="Z50">
        <f ca="1"/>
        <v>0</v>
      </c>
      <c r="AA50">
        <f ca="1"/>
        <v>0</v>
      </c>
      <c r="AB50">
        <f ca="1"/>
        <v>0.193511994389091</v>
      </c>
      <c r="AD50" s="2">
        <f t="shared" ca="1" si="2"/>
        <v>45197</v>
      </c>
      <c r="AE50" s="46">
        <f t="shared" ca="1" si="3"/>
        <v>0</v>
      </c>
      <c r="AG50" s="72">
        <f t="shared" ca="1" si="7"/>
        <v>71.195062896303057</v>
      </c>
      <c r="AH50" s="72">
        <f t="shared" ca="1" si="8"/>
        <v>71.195062896303057</v>
      </c>
      <c r="AI50" s="3">
        <f t="shared" ca="1" si="9"/>
        <v>0</v>
      </c>
    </row>
    <row r="51" spans="1:35" x14ac:dyDescent="0.25">
      <c r="G51" s="3">
        <f t="shared" ca="1" si="4"/>
        <v>228</v>
      </c>
      <c r="H51" s="105">
        <f t="shared" ca="1" si="6"/>
        <v>45153</v>
      </c>
      <c r="I51" s="133">
        <f ca="1">HLOOKUP($H$4,'Met Data'!$A$2:$F$368,G51,FALSE)</f>
        <v>6.9593749999999996</v>
      </c>
      <c r="J51" s="133">
        <f ca="1">HLOOKUP($H$4,'Met Data'!$H$2:$M$368,G51,FALSE)*L51</f>
        <v>2.0531250000000001</v>
      </c>
      <c r="K51" s="106">
        <f ca="1">HLOOKUP($H$4,'Met Data'!$O$2:$T$368,G51,FALSE)</f>
        <v>1.6478784943890401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45198</v>
      </c>
      <c r="Q51">
        <f ca="1"/>
        <v>71.111614762648202</v>
      </c>
      <c r="R51">
        <f ca="1"/>
        <v>0.31140567030199601</v>
      </c>
      <c r="S51">
        <f ca="1"/>
        <v>3.0615337184582525E-3</v>
      </c>
      <c r="T51">
        <f ca="1"/>
        <v>0.53397591340240702</v>
      </c>
      <c r="U51">
        <f ca="1"/>
        <v>0</v>
      </c>
      <c r="V51">
        <f ca="1"/>
        <v>15.3931594036085</v>
      </c>
      <c r="W51">
        <f ca="1"/>
        <v>10.0055536123455</v>
      </c>
      <c r="X51">
        <f ca="1"/>
        <v>0</v>
      </c>
      <c r="Y51">
        <f ca="1"/>
        <v>0.74424580358833503</v>
      </c>
      <c r="Z51">
        <f ca="1"/>
        <v>0</v>
      </c>
      <c r="AA51">
        <f ca="1"/>
        <v>0</v>
      </c>
      <c r="AB51">
        <f ca="1"/>
        <v>0.214935643232046</v>
      </c>
      <c r="AD51" s="2">
        <f t="shared" ca="1" si="2"/>
        <v>45198</v>
      </c>
      <c r="AE51" s="46">
        <f t="shared" ca="1" si="3"/>
        <v>0</v>
      </c>
      <c r="AG51" s="72">
        <f t="shared" ca="1" si="7"/>
        <v>71.423020432950196</v>
      </c>
      <c r="AH51" s="72">
        <f t="shared" ca="1" si="8"/>
        <v>71.423020432950196</v>
      </c>
      <c r="AI51" s="3">
        <f t="shared" ca="1" si="9"/>
        <v>0</v>
      </c>
    </row>
    <row r="52" spans="1:35" x14ac:dyDescent="0.25">
      <c r="G52" s="3">
        <f t="shared" ca="1" si="4"/>
        <v>229</v>
      </c>
      <c r="H52" s="105">
        <f t="shared" ca="1" si="6"/>
        <v>45154</v>
      </c>
      <c r="I52" s="133">
        <f ca="1">HLOOKUP($H$4,'Met Data'!$A$2:$F$368,G52,FALSE)</f>
        <v>7.1937499999999996</v>
      </c>
      <c r="J52" s="133">
        <f ca="1">HLOOKUP($H$4,'Met Data'!$H$2:$M$368,G52,FALSE)*L52</f>
        <v>2.03125</v>
      </c>
      <c r="K52" s="106">
        <f ca="1">HLOOKUP($H$4,'Met Data'!$O$2:$T$368,G52,FALSE)</f>
        <v>1.7164445634915999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45199</v>
      </c>
      <c r="Q52">
        <f ca="1"/>
        <v>71.341783600385241</v>
      </c>
      <c r="R52">
        <f ca="1"/>
        <v>0.35519971475209799</v>
      </c>
      <c r="S52">
        <f ca="1"/>
        <v>3.0282047872823604E-3</v>
      </c>
      <c r="T52">
        <f ca="1"/>
        <v>0.58234034770186527</v>
      </c>
      <c r="U52">
        <f ca="1"/>
        <v>0</v>
      </c>
      <c r="V52">
        <f ca="1"/>
        <v>15.7483591183606</v>
      </c>
      <c r="W52">
        <f ca="1"/>
        <v>10.236433426934401</v>
      </c>
      <c r="X52">
        <f ca="1"/>
        <v>0</v>
      </c>
      <c r="Y52">
        <f ca="1"/>
        <v>0.72416529164729093</v>
      </c>
      <c r="Z52">
        <f ca="1"/>
        <v>0</v>
      </c>
      <c r="AA52">
        <f ca="1"/>
        <v>0</v>
      </c>
      <c r="AB52">
        <f ca="1"/>
        <v>0.24084251581251601</v>
      </c>
      <c r="AD52" s="2">
        <f t="shared" ca="1" si="2"/>
        <v>45199</v>
      </c>
      <c r="AE52" s="46">
        <f t="shared" ca="1" si="3"/>
        <v>0</v>
      </c>
      <c r="AG52" s="72">
        <f t="shared" ca="1" si="7"/>
        <v>71.696983315137345</v>
      </c>
      <c r="AH52" s="72">
        <f t="shared" ca="1" si="8"/>
        <v>71.696983315137345</v>
      </c>
      <c r="AI52" s="3">
        <f t="shared" ca="1" si="9"/>
        <v>0</v>
      </c>
    </row>
    <row r="53" spans="1:35" x14ac:dyDescent="0.25">
      <c r="G53" s="3">
        <f t="shared" ca="1" si="4"/>
        <v>230</v>
      </c>
      <c r="H53" s="105">
        <f t="shared" ca="1" si="6"/>
        <v>45155</v>
      </c>
      <c r="I53" s="133">
        <f ca="1">HLOOKUP($H$4,'Met Data'!$A$2:$F$368,G53,FALSE)</f>
        <v>7.7437500000000004</v>
      </c>
      <c r="J53" s="133">
        <f ca="1">HLOOKUP($H$4,'Met Data'!$H$2:$M$368,G53,FALSE)*L53</f>
        <v>2.4874999999999998</v>
      </c>
      <c r="K53" s="106">
        <f ca="1">HLOOKUP($H$4,'Met Data'!$O$2:$T$368,G53,FALSE)</f>
        <v>1.83858279668266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45200</v>
      </c>
      <c r="Q53">
        <f ca="1"/>
        <v>71.549242880081422</v>
      </c>
      <c r="R53">
        <f ca="1"/>
        <v>0.36434775919069801</v>
      </c>
      <c r="S53">
        <f ca="1"/>
        <v>2.6656248193131127E-3</v>
      </c>
      <c r="T53">
        <f ca="1"/>
        <v>0.56914141406756147</v>
      </c>
      <c r="U53">
        <f ca="1"/>
        <v>0</v>
      </c>
      <c r="V53">
        <f ca="1"/>
        <v>16.1127068775513</v>
      </c>
      <c r="W53">
        <f ca="1"/>
        <v>10.4732594704083</v>
      </c>
      <c r="X53">
        <f ca="1"/>
        <v>0</v>
      </c>
      <c r="Y53">
        <f ca="1"/>
        <v>0.70416955392717639</v>
      </c>
      <c r="Z53">
        <f ca="1"/>
        <v>0</v>
      </c>
      <c r="AA53">
        <f ca="1"/>
        <v>0</v>
      </c>
      <c r="AB53">
        <f ca="1"/>
        <v>0.26890036559918301</v>
      </c>
      <c r="AD53" s="2">
        <f t="shared" ca="1" si="2"/>
        <v>45200</v>
      </c>
      <c r="AE53" s="46">
        <f t="shared" ca="1" si="3"/>
        <v>0</v>
      </c>
      <c r="AG53" s="72">
        <f t="shared" ca="1" si="7"/>
        <v>71.913590639272115</v>
      </c>
      <c r="AH53" s="72">
        <f t="shared" ca="1" si="8"/>
        <v>71.913590639272115</v>
      </c>
      <c r="AI53" s="3">
        <f t="shared" ca="1" si="9"/>
        <v>0</v>
      </c>
    </row>
    <row r="54" spans="1:35" x14ac:dyDescent="0.25">
      <c r="G54" s="3">
        <f t="shared" ca="1" si="4"/>
        <v>231</v>
      </c>
      <c r="H54" s="105">
        <f t="shared" ca="1" si="6"/>
        <v>45156</v>
      </c>
      <c r="I54" s="133">
        <f ca="1">HLOOKUP($H$4,'Met Data'!$A$2:$F$368,G54,FALSE)</f>
        <v>7.8</v>
      </c>
      <c r="J54" s="133">
        <f ca="1">HLOOKUP($H$4,'Met Data'!$H$2:$M$368,G54,FALSE)*L54</f>
        <v>2.4656250000000002</v>
      </c>
      <c r="K54" s="106">
        <f ca="1">HLOOKUP($H$4,'Met Data'!$O$2:$T$368,G54,FALSE)</f>
        <v>1.65941446777998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45201</v>
      </c>
      <c r="Q54">
        <f ca="1"/>
        <v>71.742733050677501</v>
      </c>
      <c r="R54">
        <f ca="1"/>
        <v>0.38253892810121198</v>
      </c>
      <c r="S54">
        <f ca="1"/>
        <v>2.4218170469655202E-3</v>
      </c>
      <c r="T54">
        <f ca="1"/>
        <v>0.57360728165032193</v>
      </c>
      <c r="U54">
        <f ca="1"/>
        <v>0</v>
      </c>
      <c r="V54">
        <f ca="1"/>
        <v>16.495245805652502</v>
      </c>
      <c r="W54">
        <f ca="1"/>
        <v>10.721909773674099</v>
      </c>
      <c r="X54">
        <f ca="1"/>
        <v>0</v>
      </c>
      <c r="Y54">
        <f ca="1"/>
        <v>0.68883319239508467</v>
      </c>
      <c r="Z54">
        <f ca="1"/>
        <v>0</v>
      </c>
      <c r="AA54">
        <f ca="1"/>
        <v>0</v>
      </c>
      <c r="AB54">
        <f ca="1"/>
        <v>0.29976803008494501</v>
      </c>
      <c r="AD54" s="2">
        <f t="shared" ca="1" si="2"/>
        <v>45201</v>
      </c>
      <c r="AE54" s="46">
        <f t="shared" ca="1" si="3"/>
        <v>0</v>
      </c>
      <c r="AG54" s="72">
        <f t="shared" ca="1" si="7"/>
        <v>72.125271978778713</v>
      </c>
      <c r="AH54" s="72">
        <f t="shared" ca="1" si="8"/>
        <v>72.125271978778713</v>
      </c>
      <c r="AI54" s="3">
        <f t="shared" ca="1" si="9"/>
        <v>0</v>
      </c>
    </row>
    <row r="55" spans="1:35" x14ac:dyDescent="0.25">
      <c r="G55" s="3">
        <f t="shared" ca="1" si="4"/>
        <v>232</v>
      </c>
      <c r="H55" s="105">
        <f t="shared" ca="1" si="6"/>
        <v>45157</v>
      </c>
      <c r="I55" s="133">
        <f ca="1">HLOOKUP($H$4,'Met Data'!$A$2:$F$368,G55,FALSE)</f>
        <v>7.5171875000000004</v>
      </c>
      <c r="J55" s="133">
        <f ca="1">HLOOKUP($H$4,'Met Data'!$H$2:$M$368,G55,FALSE)*L55</f>
        <v>2.0375000000000001</v>
      </c>
      <c r="K55" s="106">
        <f ca="1">HLOOKUP($H$4,'Met Data'!$O$2:$T$368,G55,FALSE)</f>
        <v>1.8302956478085199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45202</v>
      </c>
      <c r="Q55">
        <f ca="1"/>
        <v>71.915728216621773</v>
      </c>
      <c r="R55">
        <f ca="1"/>
        <v>0.36611639808646101</v>
      </c>
      <c r="S55">
        <f ca="1"/>
        <v>2.0585353097695761E-3</v>
      </c>
      <c r="T55">
        <f ca="1"/>
        <v>0.53705302872095695</v>
      </c>
      <c r="U55">
        <f ca="1"/>
        <v>0</v>
      </c>
      <c r="V55">
        <f ca="1"/>
        <v>16.861362203738899</v>
      </c>
      <c r="W55">
        <f ca="1"/>
        <v>10.959885432430299</v>
      </c>
      <c r="X55">
        <f ca="1"/>
        <v>0</v>
      </c>
      <c r="Y55">
        <f ca="1"/>
        <v>0.69157303002527692</v>
      </c>
      <c r="Z55">
        <f ca="1"/>
        <v>0</v>
      </c>
      <c r="AA55">
        <f ca="1"/>
        <v>0</v>
      </c>
      <c r="AB55">
        <f ca="1"/>
        <v>0.33042563311856499</v>
      </c>
      <c r="AD55" s="2">
        <f t="shared" ca="1" si="2"/>
        <v>45202</v>
      </c>
      <c r="AE55" s="46">
        <f t="shared" ca="1" si="3"/>
        <v>0</v>
      </c>
      <c r="AG55" s="72">
        <f t="shared" ca="1" si="7"/>
        <v>72.281844614708234</v>
      </c>
      <c r="AH55" s="72">
        <f t="shared" ca="1" si="8"/>
        <v>72.281844614708234</v>
      </c>
      <c r="AI55" s="3">
        <f t="shared" ca="1" si="9"/>
        <v>0</v>
      </c>
    </row>
    <row r="56" spans="1:35" x14ac:dyDescent="0.25">
      <c r="G56" s="3">
        <f t="shared" ca="1" si="4"/>
        <v>233</v>
      </c>
      <c r="H56" s="105">
        <f t="shared" ca="1" si="6"/>
        <v>45158</v>
      </c>
      <c r="I56" s="133">
        <f ca="1">HLOOKUP($H$4,'Met Data'!$A$2:$F$368,G56,FALSE)</f>
        <v>7.5671875000000002</v>
      </c>
      <c r="J56" s="133">
        <f ca="1">HLOOKUP($H$4,'Met Data'!$H$2:$M$368,G56,FALSE)*L56</f>
        <v>1.278125</v>
      </c>
      <c r="K56" s="106">
        <f ca="1">HLOOKUP($H$4,'Met Data'!$O$2:$T$368,G56,FALSE)</f>
        <v>1.86992300057723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45203</v>
      </c>
      <c r="Q56">
        <f ca="1"/>
        <v>72.080100739790964</v>
      </c>
      <c r="R56">
        <f ca="1"/>
        <v>0.36444642078846501</v>
      </c>
      <c r="S56">
        <f ca="1"/>
        <v>1.8403823584396918E-3</v>
      </c>
      <c r="T56">
        <f ca="1"/>
        <v>0.52697856159922496</v>
      </c>
      <c r="U56">
        <f ca="1"/>
        <v>0</v>
      </c>
      <c r="V56">
        <f ca="1"/>
        <v>17.225808624527399</v>
      </c>
      <c r="W56">
        <f ca="1"/>
        <v>11.196775605942801</v>
      </c>
      <c r="X56">
        <f ca="1"/>
        <v>0</v>
      </c>
      <c r="Y56">
        <f ca="1"/>
        <v>0.69699833258550858</v>
      </c>
      <c r="Z56">
        <f ca="1"/>
        <v>0</v>
      </c>
      <c r="AA56">
        <f ca="1"/>
        <v>0</v>
      </c>
      <c r="AB56">
        <f ca="1"/>
        <v>0.36176991944501902</v>
      </c>
      <c r="AD56" s="2">
        <f t="shared" ca="1" si="2"/>
        <v>45203</v>
      </c>
      <c r="AE56" s="46">
        <f t="shared" ca="1" si="3"/>
        <v>0</v>
      </c>
      <c r="AG56" s="72">
        <f t="shared" ca="1" si="7"/>
        <v>72.444547160579432</v>
      </c>
      <c r="AH56" s="72">
        <f t="shared" ca="1" si="8"/>
        <v>72.444547160579432</v>
      </c>
      <c r="AI56" s="3">
        <f t="shared" ca="1" si="9"/>
        <v>0</v>
      </c>
    </row>
    <row r="57" spans="1:35" x14ac:dyDescent="0.25">
      <c r="A57" s="1"/>
      <c r="B57" s="1"/>
      <c r="G57" s="3">
        <f t="shared" ca="1" si="4"/>
        <v>234</v>
      </c>
      <c r="H57" s="105">
        <f t="shared" ca="1" si="6"/>
        <v>45159</v>
      </c>
      <c r="I57" s="133">
        <f ca="1">HLOOKUP($H$4,'Met Data'!$A$2:$F$368,G57,FALSE)</f>
        <v>7.2593750000000004</v>
      </c>
      <c r="J57" s="133">
        <f ca="1">HLOOKUP($H$4,'Met Data'!$H$2:$M$368,G57,FALSE)*L57</f>
        <v>2.7843749999999998</v>
      </c>
      <c r="K57" s="106">
        <f ca="1">HLOOKUP($H$4,'Met Data'!$O$2:$T$368,G57,FALSE)</f>
        <v>1.7326605302545099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45204</v>
      </c>
      <c r="Q57">
        <f ca="1"/>
        <v>72.228270744357715</v>
      </c>
      <c r="R57">
        <f ca="1"/>
        <v>0.36917184850219398</v>
      </c>
      <c r="S57">
        <f ca="1"/>
        <v>1.6398236254861797E-3</v>
      </c>
      <c r="T57">
        <f ca="1"/>
        <v>0.51570202944346599</v>
      </c>
      <c r="U57">
        <f ca="1"/>
        <v>0</v>
      </c>
      <c r="V57">
        <f ca="1"/>
        <v>17.594980473029601</v>
      </c>
      <c r="W57">
        <f ca="1"/>
        <v>11.436737307469199</v>
      </c>
      <c r="X57">
        <f ca="1"/>
        <v>0</v>
      </c>
      <c r="Y57">
        <f ca="1"/>
        <v>0.68654629370094045</v>
      </c>
      <c r="Z57">
        <f ca="1"/>
        <v>0</v>
      </c>
      <c r="AA57">
        <f ca="1"/>
        <v>0</v>
      </c>
      <c r="AB57">
        <f ca="1"/>
        <v>0.39408527268089699</v>
      </c>
      <c r="AD57" s="2">
        <f t="shared" ca="1" si="2"/>
        <v>45204</v>
      </c>
      <c r="AE57" s="46">
        <f t="shared" ca="1" si="3"/>
        <v>0</v>
      </c>
      <c r="AG57" s="72">
        <f t="shared" ca="1" si="7"/>
        <v>72.597442592859906</v>
      </c>
      <c r="AH57" s="72">
        <f t="shared" ca="1" si="8"/>
        <v>72.597442592859906</v>
      </c>
      <c r="AI57" s="3">
        <f t="shared" ca="1" si="9"/>
        <v>0</v>
      </c>
    </row>
    <row r="58" spans="1:35" x14ac:dyDescent="0.25">
      <c r="G58" s="3">
        <f t="shared" ca="1" si="4"/>
        <v>235</v>
      </c>
      <c r="H58" s="105">
        <f t="shared" ca="1" si="6"/>
        <v>45160</v>
      </c>
      <c r="I58" s="133">
        <f ca="1">HLOOKUP($H$4,'Met Data'!$A$2:$F$368,G58,FALSE)</f>
        <v>7.5062499999999996</v>
      </c>
      <c r="J58" s="133">
        <f ca="1">HLOOKUP($H$4,'Met Data'!$H$2:$M$368,G58,FALSE)*L58</f>
        <v>3.6281249999999998</v>
      </c>
      <c r="K58" s="106">
        <f ca="1">HLOOKUP($H$4,'Met Data'!$O$2:$T$368,G58,FALSE)</f>
        <v>1.7739522546512301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45205</v>
      </c>
      <c r="Q58">
        <f ca="1"/>
        <v>72.365628586954131</v>
      </c>
      <c r="R58">
        <f ca="1"/>
        <v>0.39765937155969799</v>
      </c>
      <c r="S58">
        <f ca="1"/>
        <v>1.5434824819260562E-3</v>
      </c>
      <c r="T58">
        <f ca="1"/>
        <v>0.53347373167419099</v>
      </c>
      <c r="U58">
        <f ca="1"/>
        <v>0</v>
      </c>
      <c r="V58">
        <f ca="1"/>
        <v>17.992639844589299</v>
      </c>
      <c r="W58">
        <f ca="1"/>
        <v>11.695215898982999</v>
      </c>
      <c r="X58">
        <f ca="1"/>
        <v>0</v>
      </c>
      <c r="Y58">
        <f ca="1"/>
        <v>0.67063157342716262</v>
      </c>
      <c r="Z58">
        <f ca="1"/>
        <v>0</v>
      </c>
      <c r="AA58">
        <f ca="1"/>
        <v>0</v>
      </c>
      <c r="AB58">
        <f ca="1"/>
        <v>0.42920075747074199</v>
      </c>
      <c r="AD58" s="2">
        <f t="shared" ca="1" si="2"/>
        <v>45205</v>
      </c>
      <c r="AE58" s="46">
        <f t="shared" ca="1" si="3"/>
        <v>0</v>
      </c>
      <c r="AG58" s="72">
        <f t="shared" ca="1" si="7"/>
        <v>72.763287958513828</v>
      </c>
      <c r="AH58" s="72">
        <f t="shared" ca="1" si="8"/>
        <v>72.763287958513828</v>
      </c>
      <c r="AI58" s="3">
        <f t="shared" ca="1" si="9"/>
        <v>0</v>
      </c>
    </row>
    <row r="59" spans="1:35" x14ac:dyDescent="0.25">
      <c r="G59" s="3">
        <f t="shared" ca="1" si="4"/>
        <v>236</v>
      </c>
      <c r="H59" s="105">
        <f t="shared" ca="1" si="6"/>
        <v>45161</v>
      </c>
      <c r="I59" s="133">
        <f ca="1">HLOOKUP($H$4,'Met Data'!$A$2:$F$368,G59,FALSE)</f>
        <v>7.6363636363636296</v>
      </c>
      <c r="J59" s="133">
        <f ca="1">HLOOKUP($H$4,'Met Data'!$H$2:$M$368,G59,FALSE)*L59</f>
        <v>2.0787878787878702</v>
      </c>
      <c r="K59" s="106">
        <f ca="1">HLOOKUP($H$4,'Met Data'!$O$2:$T$368,G59,FALSE)</f>
        <v>1.8600874849981099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45206</v>
      </c>
      <c r="Q59">
        <f ca="1"/>
        <v>72.485322700192953</v>
      </c>
      <c r="R59">
        <f ca="1"/>
        <v>0.40949156862765401</v>
      </c>
      <c r="S59">
        <f ca="1"/>
        <v>1.3869601397131697E-3</v>
      </c>
      <c r="T59">
        <f ca="1"/>
        <v>0.5277987217267639</v>
      </c>
      <c r="U59">
        <f ca="1"/>
        <v>0</v>
      </c>
      <c r="V59">
        <f ca="1"/>
        <v>18.402131413216999</v>
      </c>
      <c r="W59">
        <f ca="1"/>
        <v>11.961385418591</v>
      </c>
      <c r="X59">
        <f ca="1"/>
        <v>0</v>
      </c>
      <c r="Y59">
        <f ca="1"/>
        <v>0.65647474917624649</v>
      </c>
      <c r="Z59">
        <f ca="1"/>
        <v>0</v>
      </c>
      <c r="AA59">
        <f ca="1"/>
        <v>0</v>
      </c>
      <c r="AB59">
        <f ca="1"/>
        <v>0.46532512091903999</v>
      </c>
      <c r="AD59" s="2">
        <f t="shared" ca="1" si="2"/>
        <v>45206</v>
      </c>
      <c r="AE59" s="46">
        <f t="shared" ca="1" si="3"/>
        <v>0</v>
      </c>
      <c r="AG59" s="72">
        <f t="shared" ca="1" si="7"/>
        <v>72.89481426882061</v>
      </c>
      <c r="AH59" s="72">
        <f t="shared" ca="1" si="8"/>
        <v>72.89481426882061</v>
      </c>
      <c r="AI59" s="3">
        <f t="shared" ca="1" si="9"/>
        <v>0</v>
      </c>
    </row>
    <row r="60" spans="1:35" x14ac:dyDescent="0.25">
      <c r="G60" s="3">
        <f t="shared" ca="1" si="4"/>
        <v>237</v>
      </c>
      <c r="H60" s="105">
        <f t="shared" ca="1" si="6"/>
        <v>45162</v>
      </c>
      <c r="I60" s="133">
        <f ca="1">HLOOKUP($H$4,'Met Data'!$A$2:$F$368,G60,FALSE)</f>
        <v>8.1045454545454501</v>
      </c>
      <c r="J60" s="133">
        <f ca="1">HLOOKUP($H$4,'Met Data'!$H$2:$M$368,G60,FALSE)*L60</f>
        <v>0.324242424242424</v>
      </c>
      <c r="K60" s="106">
        <f ca="1">HLOOKUP($H$4,'Met Data'!$O$2:$T$368,G60,FALSE)</f>
        <v>1.9096330242923301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45207</v>
      </c>
      <c r="Q60">
        <f ca="1"/>
        <v>72.595935734935594</v>
      </c>
      <c r="R60">
        <f ca="1"/>
        <v>0.39117931603633599</v>
      </c>
      <c r="S60">
        <f ca="1"/>
        <v>1.2048862635683864E-3</v>
      </c>
      <c r="T60">
        <f ca="1"/>
        <v>0.50058746451542002</v>
      </c>
      <c r="U60">
        <f ca="1"/>
        <v>0</v>
      </c>
      <c r="V60">
        <f ca="1"/>
        <v>18.793310729253299</v>
      </c>
      <c r="W60">
        <f ca="1"/>
        <v>12.2156519740146</v>
      </c>
      <c r="X60">
        <f ca="1"/>
        <v>0</v>
      </c>
      <c r="Y60">
        <f ca="1"/>
        <v>0.66837191175993127</v>
      </c>
      <c r="Z60">
        <f ca="1"/>
        <v>0</v>
      </c>
      <c r="AA60">
        <f ca="1"/>
        <v>0</v>
      </c>
      <c r="AB60">
        <f ca="1"/>
        <v>0.49946047192808302</v>
      </c>
      <c r="AD60" s="2">
        <f t="shared" ca="1" si="2"/>
        <v>45207</v>
      </c>
      <c r="AE60" s="46">
        <f t="shared" ca="1" si="3"/>
        <v>0</v>
      </c>
      <c r="AG60" s="72">
        <f t="shared" ca="1" si="7"/>
        <v>72.987115050971937</v>
      </c>
      <c r="AH60" s="72">
        <f t="shared" ca="1" si="8"/>
        <v>72.987115050971937</v>
      </c>
      <c r="AI60" s="3">
        <f t="shared" ca="1" si="9"/>
        <v>0</v>
      </c>
    </row>
    <row r="61" spans="1:35" x14ac:dyDescent="0.25">
      <c r="G61" s="3">
        <f t="shared" ca="1" si="4"/>
        <v>238</v>
      </c>
      <c r="H61" s="105">
        <f t="shared" ca="1" si="6"/>
        <v>45163</v>
      </c>
      <c r="I61" s="133">
        <f ca="1">HLOOKUP($H$4,'Met Data'!$A$2:$F$368,G61,FALSE)</f>
        <v>8.2954545454545396</v>
      </c>
      <c r="J61" s="133">
        <f ca="1">HLOOKUP($H$4,'Met Data'!$H$2:$M$368,G61,FALSE)*L61</f>
        <v>1.3424242424242401</v>
      </c>
      <c r="K61" s="106">
        <f ca="1">HLOOKUP($H$4,'Met Data'!$O$2:$T$368,G61,FALSE)</f>
        <v>1.9397244182821201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45208</v>
      </c>
      <c r="Q61">
        <f ca="1"/>
        <v>72.69816950891834</v>
      </c>
      <c r="R61">
        <f ca="1"/>
        <v>0.38692619127552402</v>
      </c>
      <c r="S61">
        <f ca="1"/>
        <v>1.0771424365732111E-3</v>
      </c>
      <c r="T61">
        <f ca="1"/>
        <v>0.4880828228216974</v>
      </c>
      <c r="U61">
        <f ca="1"/>
        <v>0</v>
      </c>
      <c r="V61">
        <f ca="1"/>
        <v>19.180236920528799</v>
      </c>
      <c r="W61">
        <f ca="1"/>
        <v>12.467153998343701</v>
      </c>
      <c r="X61">
        <f ca="1"/>
        <v>0</v>
      </c>
      <c r="Y61">
        <f ca="1"/>
        <v>0.67252208672006575</v>
      </c>
      <c r="Z61">
        <f ca="1"/>
        <v>0</v>
      </c>
      <c r="AA61">
        <f ca="1"/>
        <v>0</v>
      </c>
      <c r="AB61">
        <f ca="1"/>
        <v>0.532568547527279</v>
      </c>
      <c r="AD61" s="2">
        <f t="shared" ca="1" si="2"/>
        <v>45208</v>
      </c>
      <c r="AE61" s="46">
        <f t="shared" ca="1" si="3"/>
        <v>0</v>
      </c>
      <c r="AG61" s="72">
        <f t="shared" ca="1" si="7"/>
        <v>73.085095700193861</v>
      </c>
      <c r="AH61" s="72">
        <f t="shared" ca="1" si="8"/>
        <v>73.085095700193861</v>
      </c>
      <c r="AI61" s="3">
        <f t="shared" ca="1" si="9"/>
        <v>0</v>
      </c>
    </row>
    <row r="62" spans="1:35" x14ac:dyDescent="0.25">
      <c r="G62" s="3">
        <f t="shared" ca="1" si="4"/>
        <v>239</v>
      </c>
      <c r="H62" s="105">
        <f t="shared" ca="1" si="6"/>
        <v>45164</v>
      </c>
      <c r="I62" s="133">
        <f ca="1">HLOOKUP($H$4,'Met Data'!$A$2:$F$368,G62,FALSE)</f>
        <v>8.2378787878787794</v>
      </c>
      <c r="J62" s="133">
        <f ca="1">HLOOKUP($H$4,'Met Data'!$H$2:$M$368,G62,FALSE)*L62</f>
        <v>2.47272727272727</v>
      </c>
      <c r="K62" s="106">
        <f ca="1">HLOOKUP($H$4,'Met Data'!$O$2:$T$368,G62,FALSE)</f>
        <v>1.7062659547971699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45209</v>
      </c>
      <c r="Q62">
        <f ca="1"/>
        <v>72.792374655444817</v>
      </c>
      <c r="R62">
        <f ca="1"/>
        <v>0.39193138085923401</v>
      </c>
      <c r="S62">
        <f ca="1"/>
        <v>9.8317208959741611E-4</v>
      </c>
      <c r="T62">
        <f ca="1"/>
        <v>0.48515335529611658</v>
      </c>
      <c r="U62">
        <f ca="1"/>
        <v>0</v>
      </c>
      <c r="V62">
        <f ca="1"/>
        <v>19.5721683013881</v>
      </c>
      <c r="W62">
        <f ca="1"/>
        <v>12.7219093959022</v>
      </c>
      <c r="X62">
        <f ca="1"/>
        <v>0</v>
      </c>
      <c r="Y62">
        <f ca="1"/>
        <v>0.67290764712777007</v>
      </c>
      <c r="Z62">
        <f ca="1"/>
        <v>0</v>
      </c>
      <c r="AA62">
        <f ca="1"/>
        <v>0</v>
      </c>
      <c r="AB62">
        <f ca="1"/>
        <v>0.56517770896706199</v>
      </c>
      <c r="AD62" s="2">
        <f t="shared" ca="1" si="2"/>
        <v>45209</v>
      </c>
      <c r="AE62" s="46">
        <f t="shared" ca="1" si="3"/>
        <v>0</v>
      </c>
      <c r="AG62" s="72">
        <f t="shared" ca="1" si="7"/>
        <v>73.184306036304065</v>
      </c>
      <c r="AH62" s="72">
        <f t="shared" ca="1" si="8"/>
        <v>73.184306036304051</v>
      </c>
      <c r="AI62" s="3">
        <f t="shared" ca="1" si="9"/>
        <v>0</v>
      </c>
    </row>
    <row r="63" spans="1:35" x14ac:dyDescent="0.25">
      <c r="G63" s="3">
        <f t="shared" ca="1" si="4"/>
        <v>240</v>
      </c>
      <c r="H63" s="105">
        <f t="shared" ca="1" si="6"/>
        <v>45165</v>
      </c>
      <c r="I63" s="133">
        <f ca="1">HLOOKUP($H$4,'Met Data'!$A$2:$F$368,G63,FALSE)</f>
        <v>8.2484848484848392</v>
      </c>
      <c r="J63" s="133">
        <f ca="1">HLOOKUP($H$4,'Met Data'!$H$2:$M$368,G63,FALSE)*L63</f>
        <v>2.9151515151515102</v>
      </c>
      <c r="K63" s="106">
        <f ca="1">HLOOKUP($H$4,'Met Data'!$O$2:$T$368,G63,FALSE)</f>
        <v>1.9297175584059301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45210</v>
      </c>
      <c r="Q63">
        <f ca="1"/>
        <v>72.878518970740046</v>
      </c>
      <c r="R63">
        <f ca="1"/>
        <v>0.42720203074542701</v>
      </c>
      <c r="S63">
        <f ca="1"/>
        <v>9.5211153423700658E-4</v>
      </c>
      <c r="T63">
        <f ca="1"/>
        <v>0.5123942345064374</v>
      </c>
      <c r="U63">
        <f ca="1"/>
        <v>0</v>
      </c>
      <c r="V63">
        <f ca="1"/>
        <v>19.999370332133498</v>
      </c>
      <c r="W63">
        <f ca="1"/>
        <v>12.9995907158868</v>
      </c>
      <c r="X63">
        <f ca="1"/>
        <v>0</v>
      </c>
      <c r="Y63">
        <f ca="1"/>
        <v>0.66386197586762108</v>
      </c>
      <c r="Z63">
        <f ca="1"/>
        <v>0</v>
      </c>
      <c r="AA63">
        <f ca="1"/>
        <v>0</v>
      </c>
      <c r="AB63">
        <f ca="1"/>
        <v>0.59939762022521803</v>
      </c>
      <c r="AD63" s="2">
        <f t="shared" ca="1" si="2"/>
        <v>45210</v>
      </c>
      <c r="AE63" s="46">
        <f t="shared" ca="1" si="3"/>
        <v>0</v>
      </c>
      <c r="AG63" s="72">
        <f t="shared" ca="1" si="7"/>
        <v>73.30572100148548</v>
      </c>
      <c r="AH63" s="72">
        <f t="shared" ca="1" si="8"/>
        <v>73.30572100148548</v>
      </c>
      <c r="AI63" s="3">
        <f t="shared" ca="1" si="9"/>
        <v>0</v>
      </c>
    </row>
    <row r="64" spans="1:35" x14ac:dyDescent="0.25">
      <c r="G64" s="3">
        <f t="shared" ca="1" si="4"/>
        <v>241</v>
      </c>
      <c r="H64" s="105">
        <f t="shared" ca="1" si="6"/>
        <v>45166</v>
      </c>
      <c r="I64" s="133">
        <f ca="1">HLOOKUP($H$4,'Met Data'!$A$2:$F$368,G64,FALSE)</f>
        <v>8.5593939393939298</v>
      </c>
      <c r="J64" s="133">
        <f ca="1">HLOOKUP($H$4,'Met Data'!$H$2:$M$368,G64,FALSE)*L64</f>
        <v>1.8696969696969601</v>
      </c>
      <c r="K64" s="106">
        <f ca="1">HLOOKUP($H$4,'Met Data'!$O$2:$T$368,G64,FALSE)</f>
        <v>2.0109048192884398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45211</v>
      </c>
      <c r="Q64">
        <f ca="1"/>
        <v>72.957744115673165</v>
      </c>
      <c r="R64">
        <f ca="1"/>
        <v>0.48804664417245303</v>
      </c>
      <c r="S64">
        <f ca="1"/>
        <v>9.5280641441206591E-4</v>
      </c>
      <c r="T64">
        <f ca="1"/>
        <v>0.56631898269116143</v>
      </c>
      <c r="U64">
        <f ca="1"/>
        <v>0</v>
      </c>
      <c r="V64">
        <f ca="1"/>
        <v>20.487416976305902</v>
      </c>
      <c r="W64">
        <f ca="1"/>
        <v>13.316821034598901</v>
      </c>
      <c r="X64">
        <f ca="1"/>
        <v>0</v>
      </c>
      <c r="Y64">
        <f ca="1"/>
        <v>0.65002702997022876</v>
      </c>
      <c r="Z64">
        <f ca="1"/>
        <v>0</v>
      </c>
      <c r="AA64">
        <f ca="1"/>
        <v>0</v>
      </c>
      <c r="AB64">
        <f ca="1"/>
        <v>0.63651698613433105</v>
      </c>
      <c r="AD64" s="2">
        <f t="shared" ca="1" si="2"/>
        <v>45211</v>
      </c>
      <c r="AE64" s="46">
        <f t="shared" ca="1" si="3"/>
        <v>0</v>
      </c>
      <c r="AG64" s="72">
        <f t="shared" ca="1" si="7"/>
        <v>73.445790759845622</v>
      </c>
      <c r="AH64" s="72">
        <f t="shared" ca="1" si="8"/>
        <v>73.445790759845622</v>
      </c>
      <c r="AI64" s="3">
        <f t="shared" ca="1" si="9"/>
        <v>0</v>
      </c>
    </row>
    <row r="65" spans="7:35" x14ac:dyDescent="0.25">
      <c r="G65" s="3">
        <f t="shared" ca="1" si="4"/>
        <v>242</v>
      </c>
      <c r="H65" s="105">
        <f t="shared" ca="1" si="6"/>
        <v>45167</v>
      </c>
      <c r="I65" s="133">
        <f ca="1">HLOOKUP($H$4,'Met Data'!$A$2:$F$368,G65,FALSE)</f>
        <v>8.2121212121212093</v>
      </c>
      <c r="J65" s="133">
        <f ca="1">HLOOKUP($H$4,'Met Data'!$H$2:$M$368,G65,FALSE)*L65</f>
        <v>2.1333333333333302</v>
      </c>
      <c r="K65" s="106">
        <f ca="1">HLOOKUP($H$4,'Met Data'!$O$2:$T$368,G65,FALSE)</f>
        <v>1.9004966666128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45212</v>
      </c>
      <c r="Q65">
        <f ca="1"/>
        <v>73.01974254912318</v>
      </c>
      <c r="R65">
        <f ca="1"/>
        <v>0.47559460265743397</v>
      </c>
      <c r="S65">
        <f ca="1"/>
        <v>8.2169780424870109E-4</v>
      </c>
      <c r="T65">
        <f ca="1"/>
        <v>0.53677133830319823</v>
      </c>
      <c r="U65">
        <f ca="1"/>
        <v>0</v>
      </c>
      <c r="V65">
        <f ca="1"/>
        <v>20.9630115789634</v>
      </c>
      <c r="W65">
        <f ca="1"/>
        <v>13.6259575263262</v>
      </c>
      <c r="X65">
        <f ca="1"/>
        <v>0</v>
      </c>
      <c r="Y65">
        <f ca="1"/>
        <v>0.6491615741758654</v>
      </c>
      <c r="Z65">
        <f ca="1"/>
        <v>0</v>
      </c>
      <c r="AA65">
        <f ca="1"/>
        <v>0</v>
      </c>
      <c r="AB65">
        <f ca="1"/>
        <v>0.67044084877286103</v>
      </c>
      <c r="AD65" s="2">
        <f t="shared" ca="1" si="2"/>
        <v>45212</v>
      </c>
      <c r="AE65" s="46">
        <f t="shared" ca="1" si="3"/>
        <v>0</v>
      </c>
      <c r="AG65" s="72">
        <f t="shared" ca="1" si="7"/>
        <v>73.495337151780618</v>
      </c>
      <c r="AH65" s="72">
        <f t="shared" ca="1" si="8"/>
        <v>73.495337151780618</v>
      </c>
      <c r="AI65" s="3">
        <f t="shared" ca="1" si="9"/>
        <v>0</v>
      </c>
    </row>
    <row r="66" spans="7:35" x14ac:dyDescent="0.25">
      <c r="G66" s="3">
        <f t="shared" ca="1" si="4"/>
        <v>243</v>
      </c>
      <c r="H66" s="105">
        <f t="shared" ca="1" si="6"/>
        <v>45168</v>
      </c>
      <c r="I66" s="133">
        <f ca="1">HLOOKUP($H$4,'Met Data'!$A$2:$F$368,G66,FALSE)</f>
        <v>8.8015151515151508</v>
      </c>
      <c r="J66" s="133">
        <f ca="1">HLOOKUP($H$4,'Met Data'!$H$2:$M$368,G66,FALSE)*L66</f>
        <v>1.3060606060605999</v>
      </c>
      <c r="K66" s="106">
        <f ca="1">HLOOKUP($H$4,'Met Data'!$O$2:$T$368,G66,FALSE)</f>
        <v>2.0203052831425601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45213</v>
      </c>
      <c r="Q66">
        <f ca="1"/>
        <v>73.060671248621617</v>
      </c>
      <c r="R66">
        <f ca="1"/>
        <v>0.47070612984838101</v>
      </c>
      <c r="S66">
        <f ca="1"/>
        <v>7.1189960947268781E-4</v>
      </c>
      <c r="T66">
        <f ca="1"/>
        <v>0.51092292973734443</v>
      </c>
      <c r="U66">
        <f ca="1"/>
        <v>0</v>
      </c>
      <c r="V66">
        <f ca="1"/>
        <v>21.433717708811699</v>
      </c>
      <c r="W66">
        <f ca="1"/>
        <v>13.9319165107276</v>
      </c>
      <c r="X66">
        <f ca="1"/>
        <v>0</v>
      </c>
      <c r="Y66">
        <f ca="1"/>
        <v>0.63747179430153289</v>
      </c>
      <c r="Z66">
        <f ca="1"/>
        <v>0</v>
      </c>
      <c r="AA66">
        <f ca="1"/>
        <v>0</v>
      </c>
      <c r="AB66">
        <f ca="1"/>
        <v>0.701694018789212</v>
      </c>
      <c r="AD66" s="2">
        <f t="shared" ca="1" si="2"/>
        <v>45213</v>
      </c>
      <c r="AE66" s="46">
        <f t="shared" ca="1" si="3"/>
        <v>0</v>
      </c>
      <c r="AG66" s="72">
        <f t="shared" ca="1" si="7"/>
        <v>73.531377378469998</v>
      </c>
      <c r="AH66" s="72">
        <f t="shared" ca="1" si="8"/>
        <v>73.531377378469998</v>
      </c>
      <c r="AI66" s="3">
        <f t="shared" ca="1" si="9"/>
        <v>0</v>
      </c>
    </row>
    <row r="67" spans="7:35" x14ac:dyDescent="0.25">
      <c r="G67" s="3">
        <f t="shared" ca="1" si="4"/>
        <v>244</v>
      </c>
      <c r="H67" s="105">
        <f t="shared" ca="1" si="6"/>
        <v>45169</v>
      </c>
      <c r="I67" s="133">
        <f ca="1">HLOOKUP($H$4,'Met Data'!$A$2:$F$368,G67,FALSE)</f>
        <v>7.8968181818181797</v>
      </c>
      <c r="J67" s="133">
        <f ca="1">HLOOKUP($H$4,'Met Data'!$H$2:$M$368,G67,FALSE)*L67</f>
        <v>0.73030303030303001</v>
      </c>
      <c r="K67" s="106">
        <f ca="1">HLOOKUP($H$4,'Met Data'!$O$2:$T$368,G67,FALSE)</f>
        <v>2.13768236411026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45214</v>
      </c>
      <c r="Q67">
        <f ca="1"/>
        <v>73.079398342199738</v>
      </c>
      <c r="R67">
        <f ca="1"/>
        <v>0.46912015654552502</v>
      </c>
      <c r="S67">
        <f ca="1"/>
        <v>6.1929328687968324E-4</v>
      </c>
      <c r="T67">
        <f ca="1"/>
        <v>0.48722795683678027</v>
      </c>
      <c r="U67">
        <f ca="1"/>
        <v>0</v>
      </c>
      <c r="V67">
        <f ca="1"/>
        <v>21.902837865357299</v>
      </c>
      <c r="W67">
        <f ca="1"/>
        <v>14.2368446124822</v>
      </c>
      <c r="X67">
        <f ca="1"/>
        <v>0</v>
      </c>
      <c r="Y67">
        <f ca="1"/>
        <v>0.62082540794578756</v>
      </c>
      <c r="Z67">
        <f ca="1"/>
        <v>0</v>
      </c>
      <c r="AA67">
        <f ca="1"/>
        <v>0</v>
      </c>
      <c r="AB67">
        <f ca="1"/>
        <v>0.73048667512099597</v>
      </c>
      <c r="AD67" s="2">
        <f t="shared" ca="1" si="2"/>
        <v>45214</v>
      </c>
      <c r="AE67" s="46">
        <f t="shared" ca="1" si="3"/>
        <v>0</v>
      </c>
      <c r="AG67" s="72">
        <f t="shared" ca="1" si="7"/>
        <v>73.548518498745267</v>
      </c>
      <c r="AH67" s="72">
        <f t="shared" ca="1" si="8"/>
        <v>73.548518498745267</v>
      </c>
      <c r="AI67" s="3">
        <f t="shared" ca="1" si="9"/>
        <v>0</v>
      </c>
    </row>
    <row r="68" spans="7:35" x14ac:dyDescent="0.25">
      <c r="G68" s="3">
        <f t="shared" ca="1" si="4"/>
        <v>245</v>
      </c>
      <c r="H68" s="105">
        <f t="shared" ca="1" si="6"/>
        <v>45170</v>
      </c>
      <c r="I68" s="133">
        <f ca="1">HLOOKUP($H$4,'Met Data'!$A$2:$F$368,G68,FALSE)</f>
        <v>8.5848484848484805</v>
      </c>
      <c r="J68" s="133">
        <f ca="1">HLOOKUP($H$4,'Met Data'!$H$2:$M$368,G68,FALSE)*L68</f>
        <v>1.66363636363636</v>
      </c>
      <c r="K68" s="106">
        <f ca="1">HLOOKUP($H$4,'Met Data'!$O$2:$T$368,G68,FALSE)</f>
        <v>2.4306848632987301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45215</v>
      </c>
      <c r="Q68">
        <f ca="1"/>
        <v>73.07652379913678</v>
      </c>
      <c r="R68">
        <f ca="1"/>
        <v>0.50403499288634601</v>
      </c>
      <c r="S68">
        <f ca="1"/>
        <v>5.8006102361151139E-4</v>
      </c>
      <c r="T68">
        <f ca="1"/>
        <v>0.50058038879977018</v>
      </c>
      <c r="U68">
        <f ca="1"/>
        <v>0</v>
      </c>
      <c r="V68">
        <f ca="1"/>
        <v>22.406872858243599</v>
      </c>
      <c r="W68">
        <f ca="1"/>
        <v>14.564467357858399</v>
      </c>
      <c r="X68">
        <f ca="1"/>
        <v>0</v>
      </c>
      <c r="Y68">
        <f ca="1"/>
        <v>0.60124657561162065</v>
      </c>
      <c r="Z68">
        <f ca="1"/>
        <v>0</v>
      </c>
      <c r="AA68">
        <f ca="1"/>
        <v>0</v>
      </c>
      <c r="AB68">
        <f ca="1"/>
        <v>0.75881078846724404</v>
      </c>
      <c r="AD68" s="2">
        <f t="shared" ca="1" si="2"/>
        <v>45215</v>
      </c>
      <c r="AE68" s="46">
        <f t="shared" ca="1" si="3"/>
        <v>0</v>
      </c>
      <c r="AG68" s="72">
        <f t="shared" ca="1" si="7"/>
        <v>73.580558792023126</v>
      </c>
      <c r="AH68" s="72">
        <f t="shared" ca="1" si="8"/>
        <v>73.580558792023126</v>
      </c>
      <c r="AI68" s="3">
        <f t="shared" ca="1" si="9"/>
        <v>0</v>
      </c>
    </row>
    <row r="69" spans="7:35" x14ac:dyDescent="0.25">
      <c r="G69" s="3">
        <f t="shared" ca="1" si="4"/>
        <v>246</v>
      </c>
      <c r="H69" s="105">
        <f t="shared" ca="1" si="6"/>
        <v>45171</v>
      </c>
      <c r="I69" s="133">
        <f ca="1">HLOOKUP($H$4,'Met Data'!$A$2:$F$368,G69,FALSE)</f>
        <v>9.0333333333333297</v>
      </c>
      <c r="J69" s="133">
        <f ca="1">HLOOKUP($H$4,'Met Data'!$H$2:$M$368,G69,FALSE)*L69</f>
        <v>1.2393939393939299</v>
      </c>
      <c r="K69" s="106">
        <f ca="1">HLOOKUP($H$4,'Met Data'!$O$2:$T$368,G69,FALSE)</f>
        <v>2.2838857553046599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45216</v>
      </c>
      <c r="Q69">
        <f ca="1"/>
        <v>73.051827623788768</v>
      </c>
      <c r="R69">
        <f ca="1"/>
        <v>0.55129822659320704</v>
      </c>
      <c r="S69">
        <f ca="1"/>
        <v>5.5276127329308459E-4</v>
      </c>
      <c r="T69">
        <f ca="1"/>
        <v>0.52604928997189926</v>
      </c>
      <c r="U69">
        <f ca="1"/>
        <v>0</v>
      </c>
      <c r="V69">
        <f ca="1"/>
        <v>22.958171084836799</v>
      </c>
      <c r="W69">
        <f ca="1"/>
        <v>14.922811205143899</v>
      </c>
      <c r="X69">
        <f ca="1"/>
        <v>0</v>
      </c>
      <c r="Y69">
        <f ca="1"/>
        <v>0.58361454988776151</v>
      </c>
      <c r="Z69">
        <f ca="1"/>
        <v>0</v>
      </c>
      <c r="AA69">
        <f ca="1"/>
        <v>0</v>
      </c>
      <c r="AB69">
        <f ca="1"/>
        <v>0.78677908613529501</v>
      </c>
      <c r="AD69" s="2">
        <f t="shared" ca="1" si="2"/>
        <v>45216</v>
      </c>
      <c r="AE69" s="46">
        <f t="shared" ca="1" si="3"/>
        <v>0</v>
      </c>
      <c r="AG69" s="72">
        <f t="shared" ca="1" si="7"/>
        <v>73.603125850381971</v>
      </c>
      <c r="AH69" s="72">
        <f t="shared" ca="1" si="8"/>
        <v>73.603125850381971</v>
      </c>
      <c r="AI69" s="3">
        <f t="shared" ca="1" si="9"/>
        <v>0</v>
      </c>
    </row>
    <row r="70" spans="7:35" x14ac:dyDescent="0.25">
      <c r="G70" s="3">
        <f t="shared" ca="1" si="4"/>
        <v>247</v>
      </c>
      <c r="H70" s="105">
        <f t="shared" ca="1" si="6"/>
        <v>45172</v>
      </c>
      <c r="I70" s="133">
        <f ca="1">HLOOKUP($H$4,'Met Data'!$A$2:$F$368,G70,FALSE)</f>
        <v>8.7469696969696908</v>
      </c>
      <c r="J70" s="133">
        <f ca="1">HLOOKUP($H$4,'Met Data'!$H$2:$M$368,G70,FALSE)*L70</f>
        <v>1.06969696969696</v>
      </c>
      <c r="K70" s="106">
        <f ca="1">HLOOKUP($H$4,'Met Data'!$O$2:$T$368,G70,FALSE)</f>
        <v>2.13744572746974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45217</v>
      </c>
      <c r="Q70">
        <f ca="1"/>
        <v>72.998096754402255</v>
      </c>
      <c r="R70">
        <f ca="1"/>
        <v>0.53533892671587702</v>
      </c>
      <c r="S70">
        <f ca="1"/>
        <v>4.5996301015768754E-4</v>
      </c>
      <c r="T70">
        <f ca="1"/>
        <v>0.48114809431921562</v>
      </c>
      <c r="U70">
        <f ca="1"/>
        <v>0</v>
      </c>
      <c r="V70">
        <f ca="1"/>
        <v>23.493510011552701</v>
      </c>
      <c r="W70">
        <f ca="1"/>
        <v>15.2707815075093</v>
      </c>
      <c r="X70">
        <f ca="1"/>
        <v>0</v>
      </c>
      <c r="Y70">
        <f ca="1"/>
        <v>0.55916281741083329</v>
      </c>
      <c r="Z70">
        <f ca="1"/>
        <v>0</v>
      </c>
      <c r="AA70">
        <f ca="1"/>
        <v>0</v>
      </c>
      <c r="AB70">
        <f ca="1"/>
        <v>0.81107464539541996</v>
      </c>
      <c r="AD70" s="2">
        <f t="shared" ref="AD70:AD133" ca="1" si="12">IFERROR(P70,$AD$4)</f>
        <v>45217</v>
      </c>
      <c r="AE70" s="46">
        <f t="shared" ref="AE70:AE133" ca="1" si="13">IFERROR(U70,0)</f>
        <v>0</v>
      </c>
      <c r="AG70" s="72">
        <f t="shared" ca="1" si="7"/>
        <v>73.533435681118135</v>
      </c>
      <c r="AH70" s="72">
        <f t="shared" ca="1" si="8"/>
        <v>73.533435681118135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248</v>
      </c>
      <c r="H71" s="105">
        <f t="shared" ca="1" si="6"/>
        <v>45173</v>
      </c>
      <c r="I71" s="133">
        <f ca="1">HLOOKUP($H$4,'Met Data'!$A$2:$F$368,G71,FALSE)</f>
        <v>8.7227272727272709</v>
      </c>
      <c r="J71" s="133">
        <f ca="1">HLOOKUP($H$4,'Met Data'!$H$2:$M$368,G71,FALSE)*L71</f>
        <v>1.0878787878787799</v>
      </c>
      <c r="K71" s="106">
        <f ca="1">HLOOKUP($H$4,'Met Data'!$O$2:$T$368,G71,FALSE)</f>
        <v>2.20158976988608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45218</v>
      </c>
      <c r="Q71">
        <f ca="1"/>
        <v>72.923675446725085</v>
      </c>
      <c r="R71">
        <f ca="1"/>
        <v>0.54578775761808596</v>
      </c>
      <c r="S71">
        <f ca="1"/>
        <v>4.1255931829860661E-4</v>
      </c>
      <c r="T71">
        <f ca="1"/>
        <v>0.47095389062262971</v>
      </c>
      <c r="U71">
        <f ca="1"/>
        <v>0</v>
      </c>
      <c r="V71">
        <f ca="1"/>
        <v>24.039297769170801</v>
      </c>
      <c r="W71">
        <f ca="1"/>
        <v>15.625543549961</v>
      </c>
      <c r="X71">
        <f ca="1"/>
        <v>0</v>
      </c>
      <c r="Y71">
        <f ca="1"/>
        <v>0.54506345355766728</v>
      </c>
      <c r="Z71">
        <f ca="1"/>
        <v>0</v>
      </c>
      <c r="AA71">
        <f ca="1"/>
        <v>0</v>
      </c>
      <c r="AB71">
        <f ca="1"/>
        <v>0.83313637036927002</v>
      </c>
      <c r="AD71" s="2">
        <f t="shared" ca="1" si="12"/>
        <v>45218</v>
      </c>
      <c r="AE71" s="46">
        <f t="shared" ca="1" si="13"/>
        <v>0</v>
      </c>
      <c r="AG71" s="72">
        <f t="shared" ca="1" si="7"/>
        <v>73.469463204343171</v>
      </c>
      <c r="AH71" s="72">
        <f t="shared" ca="1" si="8"/>
        <v>73.469463204343171</v>
      </c>
      <c r="AI71" s="3">
        <f t="shared" ca="1" si="9"/>
        <v>0</v>
      </c>
    </row>
    <row r="72" spans="7:35" x14ac:dyDescent="0.25">
      <c r="G72" s="3">
        <f t="shared" ca="1" si="14"/>
        <v>249</v>
      </c>
      <c r="H72" s="105">
        <f t="shared" ref="H72:H135" ca="1" si="16">H71+1</f>
        <v>45174</v>
      </c>
      <c r="I72" s="133">
        <f ca="1">HLOOKUP($H$4,'Met Data'!$A$2:$F$368,G72,FALSE)</f>
        <v>8.4803030303030305</v>
      </c>
      <c r="J72" s="133">
        <f ca="1">HLOOKUP($H$4,'Met Data'!$H$2:$M$368,G72,FALSE)*L72</f>
        <v>0.95151515151515098</v>
      </c>
      <c r="K72" s="106">
        <f ca="1">HLOOKUP($H$4,'Met Data'!$O$2:$T$368,G72,FALSE)</f>
        <v>2.0118416889679498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45219</v>
      </c>
      <c r="Q72">
        <f ca="1"/>
        <v>72.82060923418797</v>
      </c>
      <c r="R72">
        <f ca="1"/>
        <v>0.56082205584782197</v>
      </c>
      <c r="S72">
        <f ca="1"/>
        <v>3.649053289573523E-4</v>
      </c>
      <c r="T72">
        <f ca="1"/>
        <v>0.45739093798175179</v>
      </c>
      <c r="U72">
        <f ca="1"/>
        <v>0</v>
      </c>
      <c r="V72">
        <f ca="1"/>
        <v>24.600119825018599</v>
      </c>
      <c r="W72">
        <f ca="1"/>
        <v>15.9900778862621</v>
      </c>
      <c r="X72">
        <f ca="1"/>
        <v>0</v>
      </c>
      <c r="Y72">
        <f ca="1"/>
        <v>0.51863449793544902</v>
      </c>
      <c r="Z72">
        <f ca="1"/>
        <v>0</v>
      </c>
      <c r="AA72">
        <f ca="1"/>
        <v>0</v>
      </c>
      <c r="AB72">
        <f ca="1"/>
        <v>0.85319042133340295</v>
      </c>
      <c r="AD72" s="2">
        <f t="shared" ca="1" si="12"/>
        <v>45219</v>
      </c>
      <c r="AE72" s="46">
        <f t="shared" ca="1" si="13"/>
        <v>0</v>
      </c>
      <c r="AG72" s="72">
        <f t="shared" ref="AG72:AG135" ca="1" si="17">Q71+S72+T72+U72</f>
        <v>73.381431290035792</v>
      </c>
      <c r="AH72" s="72">
        <f t="shared" ref="AH72:AH135" ca="1" si="18">Q72+R72+X72</f>
        <v>73.381431290035792</v>
      </c>
      <c r="AI72" s="3">
        <f t="shared" ref="AI72:AI135" ca="1" si="19">AH72-AG72</f>
        <v>0</v>
      </c>
    </row>
    <row r="73" spans="7:35" x14ac:dyDescent="0.25">
      <c r="G73" s="3">
        <f t="shared" ca="1" si="14"/>
        <v>250</v>
      </c>
      <c r="H73" s="105">
        <f t="shared" ca="1" si="16"/>
        <v>45175</v>
      </c>
      <c r="I73" s="133">
        <f ca="1">HLOOKUP($H$4,'Met Data'!$A$2:$F$368,G73,FALSE)</f>
        <v>8.9078125000000004</v>
      </c>
      <c r="J73" s="133">
        <f ca="1">HLOOKUP($H$4,'Met Data'!$H$2:$M$368,G73,FALSE)*L73</f>
        <v>1.4151515151515099</v>
      </c>
      <c r="K73" s="106">
        <f ca="1">HLOOKUP($H$4,'Met Data'!$O$2:$T$368,G73,FALSE)</f>
        <v>2.43907717587116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45220</v>
      </c>
      <c r="Q73">
        <f ca="1"/>
        <v>72.681738641689009</v>
      </c>
      <c r="R73">
        <f ca="1"/>
        <v>0.62716077138556503</v>
      </c>
      <c r="S73">
        <f ca="1"/>
        <v>3.5177642175463581E-4</v>
      </c>
      <c r="T73">
        <f ca="1"/>
        <v>0.48793840246484749</v>
      </c>
      <c r="U73">
        <f ca="1"/>
        <v>0</v>
      </c>
      <c r="V73">
        <f ca="1"/>
        <v>25.227280596404199</v>
      </c>
      <c r="W73">
        <f ca="1"/>
        <v>16.3977323876627</v>
      </c>
      <c r="X73">
        <f ca="1"/>
        <v>0</v>
      </c>
      <c r="Y73">
        <f ca="1"/>
        <v>0.49297482949808924</v>
      </c>
      <c r="Z73">
        <f ca="1"/>
        <v>0</v>
      </c>
      <c r="AA73">
        <f ca="1"/>
        <v>0</v>
      </c>
      <c r="AB73">
        <f ca="1"/>
        <v>0.87278395018805499</v>
      </c>
      <c r="AD73" s="2">
        <f t="shared" ca="1" si="12"/>
        <v>45220</v>
      </c>
      <c r="AE73" s="46">
        <f t="shared" ca="1" si="13"/>
        <v>0</v>
      </c>
      <c r="AG73" s="72">
        <f t="shared" ca="1" si="17"/>
        <v>73.30889941307457</v>
      </c>
      <c r="AH73" s="72">
        <f t="shared" ca="1" si="18"/>
        <v>73.30889941307457</v>
      </c>
      <c r="AI73" s="3">
        <f t="shared" ca="1" si="19"/>
        <v>0</v>
      </c>
    </row>
    <row r="74" spans="7:35" x14ac:dyDescent="0.25">
      <c r="G74" s="3">
        <f t="shared" ca="1" si="14"/>
        <v>251</v>
      </c>
      <c r="H74" s="105">
        <f t="shared" ca="1" si="16"/>
        <v>45176</v>
      </c>
      <c r="I74" s="133">
        <f ca="1">HLOOKUP($H$4,'Met Data'!$A$2:$F$368,G74,FALSE)</f>
        <v>8.9656249999999993</v>
      </c>
      <c r="J74" s="133">
        <f ca="1">HLOOKUP($H$4,'Met Data'!$H$2:$M$368,G74,FALSE)*L74</f>
        <v>0.51818181818181797</v>
      </c>
      <c r="K74" s="106">
        <f ca="1">HLOOKUP($H$4,'Met Data'!$O$2:$T$368,G74,FALSE)</f>
        <v>2.4631446914892501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45221</v>
      </c>
      <c r="Q74">
        <f ca="1"/>
        <v>72.524871561500376</v>
      </c>
      <c r="R74">
        <f ca="1"/>
        <v>0.58718503381560805</v>
      </c>
      <c r="S74">
        <f ca="1"/>
        <v>2.8475305020189099E-4</v>
      </c>
      <c r="T74">
        <f ca="1"/>
        <v>0.43003320057678673</v>
      </c>
      <c r="U74">
        <f ca="1"/>
        <v>0</v>
      </c>
      <c r="V74">
        <f ca="1"/>
        <v>25.8144656302198</v>
      </c>
      <c r="W74">
        <f ca="1"/>
        <v>16.779402659642901</v>
      </c>
      <c r="X74">
        <f ca="1"/>
        <v>0</v>
      </c>
      <c r="Y74">
        <f ca="1"/>
        <v>0.4713575179436536</v>
      </c>
      <c r="Z74">
        <f ca="1"/>
        <v>0</v>
      </c>
      <c r="AA74">
        <f ca="1"/>
        <v>0</v>
      </c>
      <c r="AB74">
        <f ca="1"/>
        <v>0.88871506071986905</v>
      </c>
      <c r="AD74" s="2">
        <f t="shared" ca="1" si="12"/>
        <v>45221</v>
      </c>
      <c r="AE74" s="46">
        <f t="shared" ca="1" si="13"/>
        <v>0</v>
      </c>
      <c r="AG74" s="72">
        <f t="shared" ca="1" si="17"/>
        <v>73.112056595315991</v>
      </c>
      <c r="AH74" s="72">
        <f t="shared" ca="1" si="18"/>
        <v>73.112056595315991</v>
      </c>
      <c r="AI74" s="3">
        <f t="shared" ca="1" si="19"/>
        <v>0</v>
      </c>
    </row>
    <row r="75" spans="7:35" x14ac:dyDescent="0.25">
      <c r="G75" s="3">
        <f t="shared" ca="1" si="14"/>
        <v>252</v>
      </c>
      <c r="H75" s="105">
        <f t="shared" ca="1" si="16"/>
        <v>45177</v>
      </c>
      <c r="I75" s="133">
        <f ca="1">HLOOKUP($H$4,'Met Data'!$A$2:$F$368,G75,FALSE)</f>
        <v>8.6015625</v>
      </c>
      <c r="J75" s="133">
        <f ca="1">HLOOKUP($H$4,'Met Data'!$H$2:$M$368,G75,FALSE)*L75</f>
        <v>1.0757575757575699</v>
      </c>
      <c r="K75" s="106">
        <f ca="1">HLOOKUP($H$4,'Met Data'!$O$2:$T$368,G75,FALSE)</f>
        <v>2.5132482169425701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45222</v>
      </c>
      <c r="Q75">
        <f ca="1"/>
        <v>72.346797746234643</v>
      </c>
      <c r="R75">
        <f ca="1"/>
        <v>0.59673795330078505</v>
      </c>
      <c r="S75">
        <f ca="1"/>
        <v>2.5533106438149837E-4</v>
      </c>
      <c r="T75">
        <f ca="1"/>
        <v>0.41840880697067284</v>
      </c>
      <c r="U75">
        <f ca="1"/>
        <v>0</v>
      </c>
      <c r="V75">
        <f ca="1"/>
        <v>26.411203583520599</v>
      </c>
      <c r="W75">
        <f ca="1"/>
        <v>17.167282329288401</v>
      </c>
      <c r="X75">
        <f ca="1"/>
        <v>0</v>
      </c>
      <c r="Y75">
        <f ca="1"/>
        <v>0.45481437028204347</v>
      </c>
      <c r="Z75">
        <f ca="1"/>
        <v>0</v>
      </c>
      <c r="AA75">
        <f ca="1"/>
        <v>0</v>
      </c>
      <c r="AB75">
        <f ca="1"/>
        <v>0.90280021503994301</v>
      </c>
      <c r="AD75" s="2">
        <f t="shared" ca="1" si="12"/>
        <v>45222</v>
      </c>
      <c r="AE75" s="46">
        <f t="shared" ca="1" si="13"/>
        <v>0</v>
      </c>
      <c r="AG75" s="72">
        <f t="shared" ca="1" si="17"/>
        <v>72.943535699535431</v>
      </c>
      <c r="AH75" s="72">
        <f t="shared" ca="1" si="18"/>
        <v>72.943535699535431</v>
      </c>
      <c r="AI75" s="3">
        <f t="shared" ca="1" si="19"/>
        <v>0</v>
      </c>
    </row>
    <row r="76" spans="7:35" x14ac:dyDescent="0.25">
      <c r="G76" s="3">
        <f t="shared" ca="1" si="14"/>
        <v>253</v>
      </c>
      <c r="H76" s="105">
        <f t="shared" ca="1" si="16"/>
        <v>45178</v>
      </c>
      <c r="I76" s="133">
        <f ca="1">HLOOKUP($H$4,'Met Data'!$A$2:$F$368,G76,FALSE)</f>
        <v>8.0227272727272698</v>
      </c>
      <c r="J76" s="133">
        <f ca="1">HLOOKUP($H$4,'Met Data'!$H$2:$M$368,G76,FALSE)*L76</f>
        <v>1.0878787878787799</v>
      </c>
      <c r="K76" s="106">
        <f ca="1">HLOOKUP($H$4,'Met Data'!$O$2:$T$368,G76,FALSE)</f>
        <v>2.2941202547295898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45223</v>
      </c>
      <c r="Q76">
        <f ca="1"/>
        <v>72.141965140846636</v>
      </c>
      <c r="R76">
        <f ca="1"/>
        <v>0.61360628985853405</v>
      </c>
      <c r="S76">
        <f ca="1"/>
        <v>2.2818386282777323E-4</v>
      </c>
      <c r="T76">
        <f ca="1"/>
        <v>0.40854550060769684</v>
      </c>
      <c r="U76">
        <f ca="1"/>
        <v>0</v>
      </c>
      <c r="V76">
        <f ca="1"/>
        <v>27.024809873379098</v>
      </c>
      <c r="W76">
        <f ca="1"/>
        <v>17.566126417696399</v>
      </c>
      <c r="X76">
        <f ca="1"/>
        <v>0</v>
      </c>
      <c r="Y76">
        <f ca="1"/>
        <v>0.43103734195295107</v>
      </c>
      <c r="Z76">
        <f ca="1"/>
        <v>0</v>
      </c>
      <c r="AA76">
        <f ca="1"/>
        <v>0</v>
      </c>
      <c r="AB76">
        <f ca="1"/>
        <v>0.91534658514394696</v>
      </c>
      <c r="AD76" s="2">
        <f t="shared" ca="1" si="12"/>
        <v>45223</v>
      </c>
      <c r="AE76" s="46">
        <f t="shared" ca="1" si="13"/>
        <v>0</v>
      </c>
      <c r="AG76" s="72">
        <f t="shared" ca="1" si="17"/>
        <v>72.755571430705174</v>
      </c>
      <c r="AH76" s="72">
        <f t="shared" ca="1" si="18"/>
        <v>72.755571430705174</v>
      </c>
      <c r="AI76" s="3">
        <f t="shared" ca="1" si="19"/>
        <v>0</v>
      </c>
    </row>
    <row r="77" spans="7:35" x14ac:dyDescent="0.25">
      <c r="G77" s="3">
        <f t="shared" ca="1" si="14"/>
        <v>254</v>
      </c>
      <c r="H77" s="105">
        <f t="shared" ca="1" si="16"/>
        <v>45179</v>
      </c>
      <c r="I77" s="133">
        <f ca="1">HLOOKUP($H$4,'Met Data'!$A$2:$F$368,G77,FALSE)</f>
        <v>9.0060606060606005</v>
      </c>
      <c r="J77" s="133">
        <f ca="1">HLOOKUP($H$4,'Met Data'!$H$2:$M$368,G77,FALSE)*L77</f>
        <v>1.08181818181818</v>
      </c>
      <c r="K77" s="106">
        <f ca="1">HLOOKUP($H$4,'Met Data'!$O$2:$T$368,G77,FALSE)</f>
        <v>2.6251015131954198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45224</v>
      </c>
      <c r="Q77">
        <f ca="1"/>
        <v>71.904381668463898</v>
      </c>
      <c r="R77">
        <f ca="1"/>
        <v>0.63874409950120303</v>
      </c>
      <c r="S77">
        <f ca="1"/>
        <v>2.0304298936014311E-4</v>
      </c>
      <c r="T77">
        <f ca="1"/>
        <v>0.40095758412911015</v>
      </c>
      <c r="U77">
        <f ca="1"/>
        <v>0</v>
      </c>
      <c r="V77">
        <f ca="1"/>
        <v>27.663553972880301</v>
      </c>
      <c r="W77">
        <f ca="1"/>
        <v>17.9813100823722</v>
      </c>
      <c r="X77">
        <f ca="1"/>
        <v>0</v>
      </c>
      <c r="Y77">
        <f ca="1"/>
        <v>0.40061536724683122</v>
      </c>
      <c r="Z77">
        <f ca="1"/>
        <v>0</v>
      </c>
      <c r="AA77">
        <f ca="1"/>
        <v>0</v>
      </c>
      <c r="AB77">
        <f ca="1"/>
        <v>0.92659739306514799</v>
      </c>
      <c r="AD77" s="2">
        <f t="shared" ca="1" si="12"/>
        <v>45224</v>
      </c>
      <c r="AE77" s="46">
        <f t="shared" ca="1" si="13"/>
        <v>0</v>
      </c>
      <c r="AG77" s="72">
        <f t="shared" ca="1" si="17"/>
        <v>72.543125767965108</v>
      </c>
      <c r="AH77" s="72">
        <f t="shared" ca="1" si="18"/>
        <v>72.543125767965108</v>
      </c>
      <c r="AI77" s="3">
        <f t="shared" ca="1" si="19"/>
        <v>0</v>
      </c>
    </row>
    <row r="78" spans="7:35" x14ac:dyDescent="0.25">
      <c r="G78" s="3">
        <f t="shared" ca="1" si="14"/>
        <v>255</v>
      </c>
      <c r="H78" s="105">
        <f t="shared" ca="1" si="16"/>
        <v>45180</v>
      </c>
      <c r="I78" s="133">
        <f ca="1">HLOOKUP($H$4,'Met Data'!$A$2:$F$368,G78,FALSE)</f>
        <v>9.7090909090909001</v>
      </c>
      <c r="J78" s="133">
        <f ca="1">HLOOKUP($H$4,'Met Data'!$H$2:$M$368,G78,FALSE)*L78</f>
        <v>2.0393939393939302</v>
      </c>
      <c r="K78" s="106">
        <f ca="1">HLOOKUP($H$4,'Met Data'!$O$2:$T$368,G78,FALSE)</f>
        <v>2.7986809667616899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45225</v>
      </c>
      <c r="Q78">
        <f ca="1"/>
        <v>71.915584882586899</v>
      </c>
      <c r="R78">
        <f ca="1"/>
        <v>0.71175287722650904</v>
      </c>
      <c r="S78">
        <f ca="1"/>
        <v>4.0360691215413682E-4</v>
      </c>
      <c r="T78">
        <f ca="1"/>
        <v>0.72255248443736275</v>
      </c>
      <c r="U78">
        <f ca="1"/>
        <v>0</v>
      </c>
      <c r="V78">
        <f ca="1"/>
        <v>28.375306850106799</v>
      </c>
      <c r="W78">
        <f ca="1"/>
        <v>18.443949452569399</v>
      </c>
      <c r="X78">
        <f ca="1"/>
        <v>0</v>
      </c>
      <c r="Y78">
        <f ca="1"/>
        <v>0.7752613636940533</v>
      </c>
      <c r="Z78">
        <f ca="1"/>
        <v>0</v>
      </c>
      <c r="AA78">
        <f ca="1"/>
        <v>48</v>
      </c>
      <c r="AB78">
        <f ca="1"/>
        <v>0.93727247119559898</v>
      </c>
      <c r="AD78" s="2">
        <f t="shared" ca="1" si="12"/>
        <v>45225</v>
      </c>
      <c r="AE78" s="46">
        <f t="shared" ca="1" si="13"/>
        <v>0</v>
      </c>
      <c r="AG78" s="72">
        <f t="shared" ca="1" si="17"/>
        <v>72.627337759813415</v>
      </c>
      <c r="AH78" s="72">
        <f t="shared" ca="1" si="18"/>
        <v>72.627337759813415</v>
      </c>
      <c r="AI78" s="3">
        <f t="shared" ca="1" si="19"/>
        <v>0</v>
      </c>
    </row>
    <row r="79" spans="7:35" x14ac:dyDescent="0.25">
      <c r="G79" s="3">
        <f t="shared" ca="1" si="14"/>
        <v>256</v>
      </c>
      <c r="H79" s="105">
        <f t="shared" ca="1" si="16"/>
        <v>45181</v>
      </c>
      <c r="I79" s="133">
        <f ca="1">HLOOKUP($H$4,'Met Data'!$A$2:$F$368,G79,FALSE)</f>
        <v>9.6212121212121193</v>
      </c>
      <c r="J79" s="133">
        <f ca="1">HLOOKUP($H$4,'Met Data'!$H$2:$M$368,G79,FALSE)*L79</f>
        <v>1.4424242424242399</v>
      </c>
      <c r="K79" s="106">
        <f ca="1">HLOOKUP($H$4,'Met Data'!$O$2:$T$368,G79,FALSE)</f>
        <v>2.6610711999077199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45226</v>
      </c>
      <c r="Q79">
        <f ca="1"/>
        <v>71.889591197348679</v>
      </c>
      <c r="R79">
        <f ca="1"/>
        <v>0.701278543600662</v>
      </c>
      <c r="S79">
        <f ca="1"/>
        <v>3.3359518923307654E-4</v>
      </c>
      <c r="T79">
        <f ca="1"/>
        <v>0.67495126317320997</v>
      </c>
      <c r="U79">
        <f ca="1"/>
        <v>0</v>
      </c>
      <c r="V79">
        <f ca="1"/>
        <v>29.0765853937075</v>
      </c>
      <c r="W79">
        <f ca="1"/>
        <v>18.899780505909899</v>
      </c>
      <c r="X79">
        <f ca="1"/>
        <v>0</v>
      </c>
      <c r="Y79">
        <f ca="1"/>
        <v>0.75629216158945922</v>
      </c>
      <c r="Z79">
        <f ca="1"/>
        <v>0</v>
      </c>
      <c r="AA79">
        <f ca="1"/>
        <v>0</v>
      </c>
      <c r="AB79">
        <f ca="1"/>
        <v>0.94616398332373597</v>
      </c>
      <c r="AD79" s="2">
        <f t="shared" ca="1" si="12"/>
        <v>45226</v>
      </c>
      <c r="AE79" s="46">
        <f t="shared" ca="1" si="13"/>
        <v>0</v>
      </c>
      <c r="AG79" s="72">
        <f t="shared" ca="1" si="17"/>
        <v>72.590869740949344</v>
      </c>
      <c r="AH79" s="72">
        <f t="shared" ca="1" si="18"/>
        <v>72.590869740949344</v>
      </c>
      <c r="AI79" s="3">
        <f t="shared" ca="1" si="19"/>
        <v>0</v>
      </c>
    </row>
    <row r="80" spans="7:35" x14ac:dyDescent="0.25">
      <c r="G80" s="3">
        <f t="shared" ca="1" si="14"/>
        <v>257</v>
      </c>
      <c r="H80" s="105">
        <f t="shared" ca="1" si="16"/>
        <v>45182</v>
      </c>
      <c r="I80" s="133">
        <f ca="1">HLOOKUP($H$4,'Met Data'!$A$2:$F$368,G80,FALSE)</f>
        <v>9.3833333333333293</v>
      </c>
      <c r="J80" s="133">
        <f ca="1">HLOOKUP($H$4,'Met Data'!$H$2:$M$368,G80,FALSE)*L80</f>
        <v>1.5181818181818101</v>
      </c>
      <c r="K80" s="106">
        <f ca="1">HLOOKUP($H$4,'Met Data'!$O$2:$T$368,G80,FALSE)</f>
        <v>2.3076791368567799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45227</v>
      </c>
      <c r="Q80">
        <f ca="1"/>
        <v>71.831511154923589</v>
      </c>
      <c r="R80">
        <f ca="1"/>
        <v>0.75450449748470705</v>
      </c>
      <c r="S80">
        <f ca="1"/>
        <v>3.0316515188667515E-4</v>
      </c>
      <c r="T80">
        <f ca="1"/>
        <v>0.69612128990772593</v>
      </c>
      <c r="U80">
        <f ca="1"/>
        <v>0</v>
      </c>
      <c r="V80">
        <f ca="1"/>
        <v>29.8310898911922</v>
      </c>
      <c r="W80">
        <f ca="1"/>
        <v>19.3902084292749</v>
      </c>
      <c r="X80">
        <f ca="1"/>
        <v>0</v>
      </c>
      <c r="Y80">
        <f ca="1"/>
        <v>0.73681198113952984</v>
      </c>
      <c r="Z80">
        <f ca="1"/>
        <v>0</v>
      </c>
      <c r="AA80">
        <f ca="1"/>
        <v>0</v>
      </c>
      <c r="AB80">
        <f ca="1"/>
        <v>0.95422020650159101</v>
      </c>
      <c r="AD80" s="2">
        <f t="shared" ca="1" si="12"/>
        <v>45227</v>
      </c>
      <c r="AE80" s="46">
        <f t="shared" ca="1" si="13"/>
        <v>0</v>
      </c>
      <c r="AG80" s="72">
        <f t="shared" ca="1" si="17"/>
        <v>72.586015652408292</v>
      </c>
      <c r="AH80" s="72">
        <f t="shared" ca="1" si="18"/>
        <v>72.586015652408292</v>
      </c>
      <c r="AI80" s="3">
        <f t="shared" ca="1" si="19"/>
        <v>0</v>
      </c>
    </row>
    <row r="81" spans="7:35" x14ac:dyDescent="0.25">
      <c r="G81" s="3">
        <f t="shared" ca="1" si="14"/>
        <v>258</v>
      </c>
      <c r="H81" s="105">
        <f t="shared" ca="1" si="16"/>
        <v>45183</v>
      </c>
      <c r="I81" s="133">
        <f ca="1">HLOOKUP($H$4,'Met Data'!$A$2:$F$368,G81,FALSE)</f>
        <v>9.8590909090909093</v>
      </c>
      <c r="J81" s="133">
        <f ca="1">HLOOKUP($H$4,'Met Data'!$H$2:$M$368,G81,FALSE)*L81</f>
        <v>1.0060606060606001</v>
      </c>
      <c r="K81" s="106">
        <f ca="1">HLOOKUP($H$4,'Met Data'!$O$2:$T$368,G81,FALSE)</f>
        <v>2.7166636421386499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45228</v>
      </c>
      <c r="Q81">
        <f ca="1"/>
        <v>71.733801695489419</v>
      </c>
      <c r="R81">
        <f ca="1"/>
        <v>0.78376381629760095</v>
      </c>
      <c r="S81">
        <f ca="1"/>
        <v>2.6333980153115516E-4</v>
      </c>
      <c r="T81">
        <f ca="1"/>
        <v>0.68579101706190171</v>
      </c>
      <c r="U81">
        <f ca="1"/>
        <v>0</v>
      </c>
      <c r="V81">
        <f ca="1"/>
        <v>30.6148537074898</v>
      </c>
      <c r="W81">
        <f ca="1"/>
        <v>19.899654909868399</v>
      </c>
      <c r="X81">
        <f ca="1"/>
        <v>0</v>
      </c>
      <c r="Y81">
        <f ca="1"/>
        <v>0.71327508266259287</v>
      </c>
      <c r="Z81">
        <f ca="1"/>
        <v>0</v>
      </c>
      <c r="AA81">
        <f ca="1"/>
        <v>0</v>
      </c>
      <c r="AB81">
        <f ca="1"/>
        <v>0.96121003062070398</v>
      </c>
      <c r="AD81" s="2">
        <f t="shared" ca="1" si="12"/>
        <v>45228</v>
      </c>
      <c r="AE81" s="46">
        <f t="shared" ca="1" si="13"/>
        <v>0</v>
      </c>
      <c r="AG81" s="72">
        <f t="shared" ca="1" si="17"/>
        <v>72.517565511787026</v>
      </c>
      <c r="AH81" s="72">
        <f t="shared" ca="1" si="18"/>
        <v>72.517565511787026</v>
      </c>
      <c r="AI81" s="3">
        <f t="shared" ca="1" si="19"/>
        <v>0</v>
      </c>
    </row>
    <row r="82" spans="7:35" x14ac:dyDescent="0.25">
      <c r="G82" s="3">
        <f t="shared" ca="1" si="14"/>
        <v>259</v>
      </c>
      <c r="H82" s="105">
        <f t="shared" ca="1" si="16"/>
        <v>45184</v>
      </c>
      <c r="I82" s="133">
        <f ca="1">HLOOKUP($H$4,'Met Data'!$A$2:$F$368,G82,FALSE)</f>
        <v>10.654545454545399</v>
      </c>
      <c r="J82" s="133">
        <f ca="1">HLOOKUP($H$4,'Met Data'!$H$2:$M$368,G82,FALSE)*L82</f>
        <v>0.69090909090909003</v>
      </c>
      <c r="K82" s="106">
        <f ca="1">HLOOKUP($H$4,'Met Data'!$O$2:$T$368,G82,FALSE)</f>
        <v>2.8776450917507499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45229</v>
      </c>
      <c r="Q82">
        <f ca="1"/>
        <v>71.597717396167013</v>
      </c>
      <c r="R82">
        <f ca="1"/>
        <v>0.78185692615077995</v>
      </c>
      <c r="S82">
        <f ca="1"/>
        <v>2.2026096449040107E-4</v>
      </c>
      <c r="T82">
        <f ca="1"/>
        <v>0.64555236586387188</v>
      </c>
      <c r="U82">
        <f ca="1"/>
        <v>0</v>
      </c>
      <c r="V82">
        <f ca="1"/>
        <v>31.396710633640598</v>
      </c>
      <c r="W82">
        <f ca="1"/>
        <v>20.407861911866402</v>
      </c>
      <c r="X82">
        <f ca="1"/>
        <v>0</v>
      </c>
      <c r="Y82">
        <f ca="1"/>
        <v>0.69053546029246826</v>
      </c>
      <c r="Z82">
        <f ca="1"/>
        <v>0</v>
      </c>
      <c r="AA82">
        <f ca="1"/>
        <v>0</v>
      </c>
      <c r="AB82">
        <f ca="1"/>
        <v>0.96702664058307097</v>
      </c>
      <c r="AD82" s="2">
        <f t="shared" ca="1" si="12"/>
        <v>45229</v>
      </c>
      <c r="AE82" s="46">
        <f t="shared" ca="1" si="13"/>
        <v>0</v>
      </c>
      <c r="AG82" s="72">
        <f t="shared" ca="1" si="17"/>
        <v>72.379574322317794</v>
      </c>
      <c r="AH82" s="72">
        <f t="shared" ca="1" si="18"/>
        <v>72.379574322317794</v>
      </c>
      <c r="AI82" s="3">
        <f t="shared" ca="1" si="19"/>
        <v>0</v>
      </c>
    </row>
    <row r="83" spans="7:35" x14ac:dyDescent="0.25">
      <c r="G83" s="3">
        <f t="shared" ca="1" si="14"/>
        <v>260</v>
      </c>
      <c r="H83" s="105">
        <f t="shared" ca="1" si="16"/>
        <v>45185</v>
      </c>
      <c r="I83" s="133">
        <f ca="1">HLOOKUP($H$4,'Met Data'!$A$2:$F$368,G83,FALSE)</f>
        <v>10.4757575757575</v>
      </c>
      <c r="J83" s="133">
        <f ca="1">HLOOKUP($H$4,'Met Data'!$H$2:$M$368,G83,FALSE)*L83</f>
        <v>0.112121212121212</v>
      </c>
      <c r="K83" s="106">
        <f ca="1">HLOOKUP($H$4,'Met Data'!$O$2:$T$368,G83,FALSE)</f>
        <v>2.9007479200825799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45230</v>
      </c>
      <c r="Q83">
        <f ca="1"/>
        <v>71.415714362493205</v>
      </c>
      <c r="R83">
        <f ca="1"/>
        <v>0.79657918178003195</v>
      </c>
      <c r="S83">
        <f ca="1"/>
        <v>1.864587104991521E-4</v>
      </c>
      <c r="T83">
        <f ca="1"/>
        <v>0.61438968939572292</v>
      </c>
      <c r="U83">
        <f ca="1"/>
        <v>0</v>
      </c>
      <c r="V83">
        <f ca="1"/>
        <v>32.193289815420599</v>
      </c>
      <c r="W83">
        <f ca="1"/>
        <v>20.9256383800234</v>
      </c>
      <c r="X83">
        <f ca="1"/>
        <v>0</v>
      </c>
      <c r="Y83">
        <f ca="1"/>
        <v>0.65741391336460053</v>
      </c>
      <c r="Z83">
        <f ca="1"/>
        <v>0</v>
      </c>
      <c r="AA83">
        <f ca="1"/>
        <v>0</v>
      </c>
      <c r="AB83">
        <f ca="1"/>
        <v>0.97197483873683799</v>
      </c>
      <c r="AD83" s="2">
        <f t="shared" ca="1" si="12"/>
        <v>45230</v>
      </c>
      <c r="AE83" s="46">
        <f t="shared" ca="1" si="13"/>
        <v>0</v>
      </c>
      <c r="AG83" s="72">
        <f t="shared" ca="1" si="17"/>
        <v>72.212293544273237</v>
      </c>
      <c r="AH83" s="72">
        <f t="shared" ca="1" si="18"/>
        <v>72.212293544273237</v>
      </c>
      <c r="AI83" s="3">
        <f t="shared" ca="1" si="19"/>
        <v>0</v>
      </c>
    </row>
    <row r="84" spans="7:35" x14ac:dyDescent="0.25">
      <c r="G84" s="3">
        <f t="shared" ca="1" si="14"/>
        <v>261</v>
      </c>
      <c r="H84" s="105">
        <f t="shared" ca="1" si="16"/>
        <v>45186</v>
      </c>
      <c r="I84" s="133">
        <f ca="1">HLOOKUP($H$4,'Met Data'!$A$2:$F$368,G84,FALSE)</f>
        <v>9.8469696969696905</v>
      </c>
      <c r="J84" s="133">
        <f ca="1">HLOOKUP($H$4,'Met Data'!$H$2:$M$368,G84,FALSE)*L84</f>
        <v>0.26969696969696899</v>
      </c>
      <c r="K84" s="106">
        <f ca="1">HLOOKUP($H$4,'Met Data'!$O$2:$T$368,G84,FALSE)</f>
        <v>2.7216431909543002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45231</v>
      </c>
      <c r="Q84">
        <f ca="1"/>
        <v>71.182968158951056</v>
      </c>
      <c r="R84">
        <f ca="1"/>
        <v>0.85602327563668001</v>
      </c>
      <c r="S84">
        <f ca="1"/>
        <v>1.6753911785260937E-4</v>
      </c>
      <c r="T84">
        <f ca="1"/>
        <v>0.62310953297667726</v>
      </c>
      <c r="U84">
        <f ca="1"/>
        <v>0</v>
      </c>
      <c r="V84">
        <f ca="1"/>
        <v>33.0493130910573</v>
      </c>
      <c r="W84">
        <f ca="1"/>
        <v>21.4820535091872</v>
      </c>
      <c r="X84">
        <f ca="1"/>
        <v>0</v>
      </c>
      <c r="Y84">
        <f ca="1"/>
        <v>0.62618438740897309</v>
      </c>
      <c r="Z84">
        <f ca="1"/>
        <v>0</v>
      </c>
      <c r="AA84">
        <f ca="1"/>
        <v>0</v>
      </c>
      <c r="AB84">
        <f ca="1"/>
        <v>0.97639026430057196</v>
      </c>
      <c r="AD84" s="2">
        <f t="shared" ca="1" si="12"/>
        <v>45231</v>
      </c>
      <c r="AE84" s="46">
        <f t="shared" ca="1" si="13"/>
        <v>0</v>
      </c>
      <c r="AG84" s="72">
        <f t="shared" ca="1" si="17"/>
        <v>72.038991434587729</v>
      </c>
      <c r="AH84" s="72">
        <f t="shared" ca="1" si="18"/>
        <v>72.038991434587729</v>
      </c>
      <c r="AI84" s="3">
        <f t="shared" ca="1" si="19"/>
        <v>0</v>
      </c>
    </row>
    <row r="85" spans="7:35" x14ac:dyDescent="0.25">
      <c r="G85" s="3">
        <f t="shared" ca="1" si="14"/>
        <v>262</v>
      </c>
      <c r="H85" s="105">
        <f t="shared" ca="1" si="16"/>
        <v>45187</v>
      </c>
      <c r="I85" s="133">
        <f ca="1">HLOOKUP($H$4,'Met Data'!$A$2:$F$368,G85,FALSE)</f>
        <v>9.6045454545454501</v>
      </c>
      <c r="J85" s="133">
        <f ca="1">HLOOKUP($H$4,'Met Data'!$H$2:$M$368,G85,FALSE)*L85</f>
        <v>1.3212121212121199</v>
      </c>
      <c r="K85" s="106">
        <f ca="1">HLOOKUP($H$4,'Met Data'!$O$2:$T$368,G85,FALSE)</f>
        <v>2.6828140641286899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45232</v>
      </c>
      <c r="Q85">
        <f ca="1"/>
        <v>70.919746677939557</v>
      </c>
      <c r="R85">
        <f ca="1"/>
        <v>0.83214147177792297</v>
      </c>
      <c r="S85">
        <f ca="1"/>
        <v>1.3766503276252761E-4</v>
      </c>
      <c r="T85">
        <f ca="1"/>
        <v>0.56878232573365561</v>
      </c>
      <c r="U85">
        <f ca="1"/>
        <v>0</v>
      </c>
      <c r="V85">
        <f ca="1"/>
        <v>33.881454562835202</v>
      </c>
      <c r="W85">
        <f ca="1"/>
        <v>22.022945465842898</v>
      </c>
      <c r="X85">
        <f ca="1"/>
        <v>0</v>
      </c>
      <c r="Y85">
        <f ca="1"/>
        <v>0.60283380428611699</v>
      </c>
      <c r="Z85">
        <f ca="1"/>
        <v>0</v>
      </c>
      <c r="AA85">
        <f ca="1"/>
        <v>0</v>
      </c>
      <c r="AB85">
        <f ca="1"/>
        <v>0.97994993916610096</v>
      </c>
      <c r="AD85" s="2">
        <f t="shared" ca="1" si="12"/>
        <v>45232</v>
      </c>
      <c r="AE85" s="46">
        <f t="shared" ca="1" si="13"/>
        <v>0</v>
      </c>
      <c r="AG85" s="72">
        <f t="shared" ca="1" si="17"/>
        <v>71.751888149717473</v>
      </c>
      <c r="AH85" s="72">
        <f t="shared" ca="1" si="18"/>
        <v>71.751888149717473</v>
      </c>
      <c r="AI85" s="3">
        <f t="shared" ca="1" si="19"/>
        <v>0</v>
      </c>
    </row>
    <row r="86" spans="7:35" x14ac:dyDescent="0.25">
      <c r="G86" s="3">
        <f t="shared" ca="1" si="14"/>
        <v>263</v>
      </c>
      <c r="H86" s="105">
        <f t="shared" ca="1" si="16"/>
        <v>45188</v>
      </c>
      <c r="I86" s="133">
        <f ca="1">HLOOKUP($H$4,'Met Data'!$A$2:$F$368,G86,FALSE)</f>
        <v>9.8772727272727199</v>
      </c>
      <c r="J86" s="133">
        <f ca="1">HLOOKUP($H$4,'Met Data'!$H$2:$M$368,G86,FALSE)*L86</f>
        <v>1.83636363636363</v>
      </c>
      <c r="K86" s="106">
        <f ca="1">HLOOKUP($H$4,'Met Data'!$O$2:$T$368,G86,FALSE)</f>
        <v>2.84418375617479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45233</v>
      </c>
      <c r="Q86">
        <f ca="1"/>
        <v>70.609669147632985</v>
      </c>
      <c r="R86">
        <f ca="1"/>
        <v>0.86527836166786898</v>
      </c>
      <c r="S86">
        <f ca="1"/>
        <v>1.2023638915019101E-4</v>
      </c>
      <c r="T86">
        <f ca="1"/>
        <v>0.55508059497215601</v>
      </c>
      <c r="U86">
        <f ca="1"/>
        <v>0</v>
      </c>
      <c r="V86">
        <f ca="1"/>
        <v>34.7467329245031</v>
      </c>
      <c r="W86">
        <f ca="1"/>
        <v>22.585376400927</v>
      </c>
      <c r="X86">
        <f ca="1"/>
        <v>0</v>
      </c>
      <c r="Y86">
        <f ca="1"/>
        <v>0.57088417268010683</v>
      </c>
      <c r="Z86">
        <f ca="1"/>
        <v>0</v>
      </c>
      <c r="AA86">
        <f ca="1"/>
        <v>0</v>
      </c>
      <c r="AB86">
        <f ca="1"/>
        <v>0.98302702636027806</v>
      </c>
      <c r="AD86" s="2">
        <f t="shared" ca="1" si="12"/>
        <v>45233</v>
      </c>
      <c r="AE86" s="46">
        <f t="shared" ca="1" si="13"/>
        <v>0</v>
      </c>
      <c r="AG86" s="72">
        <f t="shared" ca="1" si="17"/>
        <v>71.474947509300861</v>
      </c>
      <c r="AH86" s="72">
        <f t="shared" ca="1" si="18"/>
        <v>71.474947509300847</v>
      </c>
      <c r="AI86" s="3">
        <f t="shared" ca="1" si="19"/>
        <v>0</v>
      </c>
    </row>
    <row r="87" spans="7:35" x14ac:dyDescent="0.25">
      <c r="G87" s="3">
        <f t="shared" ca="1" si="14"/>
        <v>264</v>
      </c>
      <c r="H87" s="105">
        <f t="shared" ca="1" si="16"/>
        <v>45189</v>
      </c>
      <c r="I87" s="133">
        <f ca="1">HLOOKUP($H$4,'Met Data'!$A$2:$F$368,G87,FALSE)</f>
        <v>9.4984848484848392</v>
      </c>
      <c r="J87" s="133">
        <f ca="1">HLOOKUP($H$4,'Met Data'!$H$2:$M$368,G87,FALSE)*L87</f>
        <v>1.47272727272727</v>
      </c>
      <c r="K87" s="106">
        <f ca="1">HLOOKUP($H$4,'Met Data'!$O$2:$T$368,G87,FALSE)</f>
        <v>2.76130603025703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45234</v>
      </c>
      <c r="Q87">
        <f ca="1"/>
        <v>70.255848988708976</v>
      </c>
      <c r="R87">
        <f ca="1"/>
        <v>0.88948659870550295</v>
      </c>
      <c r="S87">
        <f ca="1"/>
        <v>1.041238001916103E-4</v>
      </c>
      <c r="T87">
        <f ca="1"/>
        <v>0.53556231598130777</v>
      </c>
      <c r="U87">
        <f ca="1"/>
        <v>0</v>
      </c>
      <c r="V87">
        <f ca="1"/>
        <v>35.636219523208602</v>
      </c>
      <c r="W87">
        <f ca="1"/>
        <v>23.163542690085599</v>
      </c>
      <c r="X87">
        <f ca="1"/>
        <v>0</v>
      </c>
      <c r="Y87">
        <f ca="1"/>
        <v>0.54021695635285716</v>
      </c>
      <c r="Z87">
        <f ca="1"/>
        <v>0</v>
      </c>
      <c r="AA87">
        <f ca="1"/>
        <v>0</v>
      </c>
      <c r="AB87">
        <f ca="1"/>
        <v>0.98564918225989495</v>
      </c>
      <c r="AD87" s="2">
        <f t="shared" ca="1" si="12"/>
        <v>45234</v>
      </c>
      <c r="AE87" s="46">
        <f t="shared" ca="1" si="13"/>
        <v>0</v>
      </c>
      <c r="AG87" s="72">
        <f t="shared" ca="1" si="17"/>
        <v>71.145335587414479</v>
      </c>
      <c r="AH87" s="72">
        <f t="shared" ca="1" si="18"/>
        <v>71.145335587414479</v>
      </c>
      <c r="AI87" s="3">
        <f t="shared" ca="1" si="19"/>
        <v>0</v>
      </c>
    </row>
    <row r="88" spans="7:35" x14ac:dyDescent="0.25">
      <c r="G88" s="3">
        <f t="shared" ca="1" si="14"/>
        <v>265</v>
      </c>
      <c r="H88" s="105">
        <f t="shared" ca="1" si="16"/>
        <v>45190</v>
      </c>
      <c r="I88" s="133">
        <f ca="1">HLOOKUP($H$4,'Met Data'!$A$2:$F$368,G88,FALSE)</f>
        <v>9.9712121212121207</v>
      </c>
      <c r="J88" s="133">
        <f ca="1">HLOOKUP($H$4,'Met Data'!$H$2:$M$368,G88,FALSE)*L88</f>
        <v>1.39090909090909</v>
      </c>
      <c r="K88" s="106">
        <f ca="1">HLOOKUP($H$4,'Met Data'!$O$2:$T$368,G88,FALSE)</f>
        <v>2.9434337638791899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45235</v>
      </c>
      <c r="Q88">
        <f ca="1"/>
        <v>69.86836835944213</v>
      </c>
      <c r="R88">
        <f ca="1"/>
        <v>0.89816859638108304</v>
      </c>
      <c r="S88">
        <f ca="1"/>
        <v>8.9809714859423874E-5</v>
      </c>
      <c r="T88">
        <f ca="1"/>
        <v>0.51059815739936676</v>
      </c>
      <c r="U88">
        <f ca="1"/>
        <v>0</v>
      </c>
      <c r="V88">
        <f ca="1"/>
        <v>36.5343881195897</v>
      </c>
      <c r="W88">
        <f ca="1"/>
        <v>23.747352277733299</v>
      </c>
      <c r="X88">
        <f ca="1"/>
        <v>0</v>
      </c>
      <c r="Y88">
        <f ca="1"/>
        <v>0.51573746394037279</v>
      </c>
      <c r="Z88">
        <f ca="1"/>
        <v>0</v>
      </c>
      <c r="AA88">
        <f ca="1"/>
        <v>0</v>
      </c>
      <c r="AB88">
        <f ca="1"/>
        <v>0.98784410433091996</v>
      </c>
      <c r="AD88" s="2">
        <f t="shared" ca="1" si="12"/>
        <v>45235</v>
      </c>
      <c r="AE88" s="46">
        <f t="shared" ca="1" si="13"/>
        <v>0</v>
      </c>
      <c r="AG88" s="72">
        <f t="shared" ca="1" si="17"/>
        <v>70.766536955823213</v>
      </c>
      <c r="AH88" s="72">
        <f t="shared" ca="1" si="18"/>
        <v>70.766536955823213</v>
      </c>
      <c r="AI88" s="3">
        <f t="shared" ca="1" si="19"/>
        <v>0</v>
      </c>
    </row>
    <row r="89" spans="7:35" x14ac:dyDescent="0.25">
      <c r="G89" s="3">
        <f t="shared" ca="1" si="14"/>
        <v>266</v>
      </c>
      <c r="H89" s="105">
        <f t="shared" ca="1" si="16"/>
        <v>45191</v>
      </c>
      <c r="I89" s="133">
        <f ca="1">HLOOKUP($H$4,'Met Data'!$A$2:$F$368,G89,FALSE)</f>
        <v>9.6348484848484794</v>
      </c>
      <c r="J89" s="133">
        <f ca="1">HLOOKUP($H$4,'Met Data'!$H$2:$M$368,G89,FALSE)*L89</f>
        <v>1.4060606060606</v>
      </c>
      <c r="K89" s="106">
        <f ca="1">HLOOKUP($H$4,'Met Data'!$O$2:$T$368,G89,FALSE)</f>
        <v>2.8650949205126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45236</v>
      </c>
      <c r="Q89">
        <f ca="1"/>
        <v>69.458832980241553</v>
      </c>
      <c r="R89">
        <f ca="1"/>
        <v>0.880981196724548</v>
      </c>
      <c r="S89">
        <f ca="1"/>
        <v>7.5460587562966189E-5</v>
      </c>
      <c r="T89">
        <f ca="1"/>
        <v>0.47137035693640722</v>
      </c>
      <c r="U89">
        <f ca="1"/>
        <v>0</v>
      </c>
      <c r="V89">
        <f ca="1"/>
        <v>37.415369316314198</v>
      </c>
      <c r="W89">
        <f ca="1"/>
        <v>24.319990055604201</v>
      </c>
      <c r="X89">
        <f ca="1"/>
        <v>0</v>
      </c>
      <c r="Y89">
        <f ca="1"/>
        <v>0.49078907102186287</v>
      </c>
      <c r="Z89">
        <f ca="1"/>
        <v>0</v>
      </c>
      <c r="AA89">
        <f ca="1"/>
        <v>0</v>
      </c>
      <c r="AB89">
        <f ca="1"/>
        <v>0.98963664310553501</v>
      </c>
      <c r="AD89" s="2">
        <f t="shared" ca="1" si="12"/>
        <v>45236</v>
      </c>
      <c r="AE89" s="46">
        <f t="shared" ca="1" si="13"/>
        <v>0</v>
      </c>
      <c r="AG89" s="72">
        <f t="shared" ca="1" si="17"/>
        <v>70.339814176966101</v>
      </c>
      <c r="AH89" s="72">
        <f t="shared" ca="1" si="18"/>
        <v>70.339814176966101</v>
      </c>
      <c r="AI89" s="3">
        <f t="shared" ca="1" si="19"/>
        <v>0</v>
      </c>
    </row>
    <row r="90" spans="7:35" x14ac:dyDescent="0.25">
      <c r="G90" s="3">
        <f t="shared" ca="1" si="14"/>
        <v>267</v>
      </c>
      <c r="H90" s="105">
        <f t="shared" ca="1" si="16"/>
        <v>45192</v>
      </c>
      <c r="I90" s="133">
        <f ca="1">HLOOKUP($H$4,'Met Data'!$A$2:$F$368,G90,FALSE)</f>
        <v>9.4318181818181799</v>
      </c>
      <c r="J90" s="133">
        <f ca="1">HLOOKUP($H$4,'Met Data'!$H$2:$M$368,G90,FALSE)*L90</f>
        <v>0.86060606060606004</v>
      </c>
      <c r="K90" s="106">
        <f ca="1">HLOOKUP($H$4,'Met Data'!$O$2:$T$368,G90,FALSE)</f>
        <v>2.84690777824148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45237</v>
      </c>
      <c r="Q90">
        <f ca="1"/>
        <v>69.010815510820606</v>
      </c>
      <c r="R90">
        <f ca="1"/>
        <v>0.92129439552843495</v>
      </c>
      <c r="S90">
        <f ca="1"/>
        <v>6.9180538133123794E-5</v>
      </c>
      <c r="T90">
        <f ca="1"/>
        <v>0.47320774556935208</v>
      </c>
      <c r="U90">
        <f ca="1"/>
        <v>0</v>
      </c>
      <c r="V90">
        <f ca="1"/>
        <v>38.336663711842597</v>
      </c>
      <c r="W90">
        <f ca="1"/>
        <v>24.918831412697699</v>
      </c>
      <c r="X90">
        <f ca="1"/>
        <v>0</v>
      </c>
      <c r="Y90">
        <f ca="1"/>
        <v>0.4742549476157723</v>
      </c>
      <c r="Z90">
        <f ca="1"/>
        <v>0</v>
      </c>
      <c r="AA90">
        <f ca="1"/>
        <v>0</v>
      </c>
      <c r="AB90">
        <f ca="1"/>
        <v>0.99119958941435504</v>
      </c>
      <c r="AD90" s="2">
        <f t="shared" ca="1" si="12"/>
        <v>45237</v>
      </c>
      <c r="AE90" s="46">
        <f t="shared" ca="1" si="13"/>
        <v>0</v>
      </c>
      <c r="AG90" s="72">
        <f t="shared" ca="1" si="17"/>
        <v>69.932109906349041</v>
      </c>
      <c r="AH90" s="72">
        <f t="shared" ca="1" si="18"/>
        <v>69.932109906349041</v>
      </c>
      <c r="AI90" s="3">
        <f t="shared" ca="1" si="19"/>
        <v>0</v>
      </c>
    </row>
    <row r="91" spans="7:35" x14ac:dyDescent="0.25">
      <c r="G91" s="3">
        <f t="shared" ca="1" si="14"/>
        <v>268</v>
      </c>
      <c r="H91" s="105">
        <f t="shared" ca="1" si="16"/>
        <v>45193</v>
      </c>
      <c r="I91" s="133">
        <f ca="1">HLOOKUP($H$4,'Met Data'!$A$2:$F$368,G91,FALSE)</f>
        <v>9.9181818181818109</v>
      </c>
      <c r="J91" s="133">
        <f ca="1">HLOOKUP($H$4,'Met Data'!$H$2:$M$368,G91,FALSE)*L91</f>
        <v>2.1454545454545402</v>
      </c>
      <c r="K91" s="106">
        <f ca="1">HLOOKUP($H$4,'Met Data'!$O$2:$T$368,G91,FALSE)</f>
        <v>2.75735755546836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45238</v>
      </c>
      <c r="Q91">
        <f ca="1"/>
        <v>68.527981609310785</v>
      </c>
      <c r="R91">
        <f ca="1"/>
        <v>0.93777581932892695</v>
      </c>
      <c r="S91">
        <f ca="1"/>
        <v>6.0352218423466469E-5</v>
      </c>
      <c r="T91">
        <f ca="1"/>
        <v>0.4548815656006811</v>
      </c>
      <c r="U91">
        <f ca="1"/>
        <v>0</v>
      </c>
      <c r="V91">
        <f ca="1"/>
        <v>39.274439531171602</v>
      </c>
      <c r="W91">
        <f ca="1"/>
        <v>25.528385695261498</v>
      </c>
      <c r="X91">
        <f ca="1"/>
        <v>0</v>
      </c>
      <c r="Y91">
        <f ca="1"/>
        <v>0.44767036053275139</v>
      </c>
      <c r="Z91">
        <f ca="1"/>
        <v>0</v>
      </c>
      <c r="AA91">
        <f ca="1"/>
        <v>0</v>
      </c>
      <c r="AB91">
        <f ca="1"/>
        <v>0.99252321227499196</v>
      </c>
      <c r="AD91" s="2">
        <f t="shared" ca="1" si="12"/>
        <v>45238</v>
      </c>
      <c r="AE91" s="46">
        <f t="shared" ca="1" si="13"/>
        <v>0</v>
      </c>
      <c r="AG91" s="72">
        <f t="shared" ca="1" si="17"/>
        <v>69.465757428639719</v>
      </c>
      <c r="AH91" s="72">
        <f t="shared" ca="1" si="18"/>
        <v>69.465757428639719</v>
      </c>
      <c r="AI91" s="3">
        <f t="shared" ca="1" si="19"/>
        <v>0</v>
      </c>
    </row>
    <row r="92" spans="7:35" x14ac:dyDescent="0.25">
      <c r="G92" s="3">
        <f t="shared" ca="1" si="14"/>
        <v>269</v>
      </c>
      <c r="H92" s="105">
        <f t="shared" ca="1" si="16"/>
        <v>45194</v>
      </c>
      <c r="I92" s="133">
        <f ca="1">HLOOKUP($H$4,'Met Data'!$A$2:$F$368,G92,FALSE)</f>
        <v>9.4424242424242397</v>
      </c>
      <c r="J92" s="133">
        <f ca="1">HLOOKUP($H$4,'Met Data'!$H$2:$M$368,G92,FALSE)*L92</f>
        <v>2.4363636363636298</v>
      </c>
      <c r="K92" s="106">
        <f ca="1">HLOOKUP($H$4,'Met Data'!$O$2:$T$368,G92,FALSE)</f>
        <v>2.5822558734868299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45239</v>
      </c>
      <c r="Q92">
        <f ca="1"/>
        <v>67.998144704395372</v>
      </c>
      <c r="R92">
        <f ca="1"/>
        <v>0.979462610583269</v>
      </c>
      <c r="S92">
        <f ca="1"/>
        <v>5.3900913383206616E-5</v>
      </c>
      <c r="T92">
        <f ca="1"/>
        <v>0.44957180475446373</v>
      </c>
      <c r="U92">
        <f ca="1"/>
        <v>0</v>
      </c>
      <c r="V92">
        <f ca="1"/>
        <v>40.2539021417548</v>
      </c>
      <c r="W92">
        <f ca="1"/>
        <v>26.1650363921406</v>
      </c>
      <c r="X92">
        <f ca="1"/>
        <v>0</v>
      </c>
      <c r="Y92">
        <f ca="1"/>
        <v>0.41969269052529956</v>
      </c>
      <c r="Z92">
        <f ca="1"/>
        <v>0</v>
      </c>
      <c r="AA92">
        <f ca="1"/>
        <v>0</v>
      </c>
      <c r="AB92">
        <f ca="1"/>
        <v>0.99367128337069499</v>
      </c>
      <c r="AD92" s="2">
        <f t="shared" ca="1" si="12"/>
        <v>45239</v>
      </c>
      <c r="AE92" s="46">
        <f t="shared" ca="1" si="13"/>
        <v>0</v>
      </c>
      <c r="AG92" s="72">
        <f t="shared" ca="1" si="17"/>
        <v>68.977607314978641</v>
      </c>
      <c r="AH92" s="72">
        <f t="shared" ca="1" si="18"/>
        <v>68.977607314978641</v>
      </c>
      <c r="AI92" s="3">
        <f t="shared" ca="1" si="19"/>
        <v>0</v>
      </c>
    </row>
    <row r="93" spans="7:35" x14ac:dyDescent="0.25">
      <c r="G93" s="3">
        <f t="shared" ca="1" si="14"/>
        <v>270</v>
      </c>
      <c r="H93" s="105">
        <f t="shared" ca="1" si="16"/>
        <v>45195</v>
      </c>
      <c r="I93" s="133">
        <f ca="1">HLOOKUP($H$4,'Met Data'!$A$2:$F$368,G93,FALSE)</f>
        <v>10.2424242424242</v>
      </c>
      <c r="J93" s="133">
        <f ca="1">HLOOKUP($H$4,'Met Data'!$H$2:$M$368,G93,FALSE)*L93</f>
        <v>1.5363636363636299</v>
      </c>
      <c r="K93" s="106">
        <f ca="1">HLOOKUP($H$4,'Met Data'!$O$2:$T$368,G93,FALSE)</f>
        <v>3.0759435950739098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45240</v>
      </c>
      <c r="Q93">
        <f ca="1"/>
        <v>67.703970982842449</v>
      </c>
      <c r="R93">
        <f ca="1"/>
        <v>1.1217176233364201</v>
      </c>
      <c r="S93">
        <f ca="1"/>
        <v>1.0506918763355315E-4</v>
      </c>
      <c r="T93">
        <f ca="1"/>
        <v>0.8274388325958586</v>
      </c>
      <c r="U93">
        <f ca="1"/>
        <v>0</v>
      </c>
      <c r="V93">
        <f ca="1"/>
        <v>41.375619765091301</v>
      </c>
      <c r="W93">
        <f ca="1"/>
        <v>26.8941528473093</v>
      </c>
      <c r="X93">
        <f ca="1"/>
        <v>0</v>
      </c>
      <c r="Y93">
        <f ca="1"/>
        <v>0.78194635558186953</v>
      </c>
      <c r="Z93">
        <f ca="1"/>
        <v>0</v>
      </c>
      <c r="AA93">
        <f ca="1"/>
        <v>48</v>
      </c>
      <c r="AB93">
        <f ca="1"/>
        <v>0.99474889835022595</v>
      </c>
      <c r="AD93" s="2">
        <f t="shared" ca="1" si="12"/>
        <v>45240</v>
      </c>
      <c r="AE93" s="46">
        <f t="shared" ca="1" si="13"/>
        <v>0</v>
      </c>
      <c r="AG93" s="72">
        <f t="shared" ca="1" si="17"/>
        <v>68.825688606178872</v>
      </c>
      <c r="AH93" s="72">
        <f t="shared" ca="1" si="18"/>
        <v>68.825688606178872</v>
      </c>
      <c r="AI93" s="3">
        <f t="shared" ca="1" si="19"/>
        <v>0</v>
      </c>
    </row>
    <row r="94" spans="7:35" x14ac:dyDescent="0.25">
      <c r="G94" s="3">
        <f t="shared" ca="1" si="14"/>
        <v>271</v>
      </c>
      <c r="H94" s="105">
        <f t="shared" ca="1" si="16"/>
        <v>45196</v>
      </c>
      <c r="I94" s="133">
        <f ca="1">HLOOKUP($H$4,'Met Data'!$A$2:$F$368,G94,FALSE)</f>
        <v>10.445454545454499</v>
      </c>
      <c r="J94" s="133">
        <f ca="1">HLOOKUP($H$4,'Met Data'!$H$2:$M$368,G94,FALSE)*L94</f>
        <v>0.384848484848484</v>
      </c>
      <c r="K94" s="106">
        <f ca="1">HLOOKUP($H$4,'Met Data'!$O$2:$T$368,G94,FALSE)</f>
        <v>3.0351526425456301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45241</v>
      </c>
      <c r="Q94">
        <f ca="1"/>
        <v>67.356550886413999</v>
      </c>
      <c r="R94">
        <f ca="1"/>
        <v>1.0952237586631</v>
      </c>
      <c r="S94">
        <f ca="1"/>
        <v>8.2983651716646159E-5</v>
      </c>
      <c r="T94">
        <f ca="1"/>
        <v>0.74772067858292013</v>
      </c>
      <c r="U94">
        <f ca="1"/>
        <v>0</v>
      </c>
      <c r="V94">
        <f ca="1"/>
        <v>42.470843523754397</v>
      </c>
      <c r="W94">
        <f ca="1"/>
        <v>27.606048290440299</v>
      </c>
      <c r="X94">
        <f ca="1"/>
        <v>0</v>
      </c>
      <c r="Y94">
        <f ca="1"/>
        <v>0.7487808107790912</v>
      </c>
      <c r="Z94">
        <f ca="1"/>
        <v>0</v>
      </c>
      <c r="AA94">
        <f ca="1"/>
        <v>0</v>
      </c>
      <c r="AB94">
        <f ca="1"/>
        <v>0.99560536013100398</v>
      </c>
      <c r="AD94" s="2">
        <f t="shared" ca="1" si="12"/>
        <v>45241</v>
      </c>
      <c r="AE94" s="46">
        <f t="shared" ca="1" si="13"/>
        <v>0</v>
      </c>
      <c r="AG94" s="72">
        <f t="shared" ca="1" si="17"/>
        <v>68.451774645077094</v>
      </c>
      <c r="AH94" s="72">
        <f t="shared" ca="1" si="18"/>
        <v>68.451774645077094</v>
      </c>
      <c r="AI94" s="3">
        <f t="shared" ca="1" si="19"/>
        <v>0</v>
      </c>
    </row>
    <row r="95" spans="7:35" x14ac:dyDescent="0.25">
      <c r="G95" s="3">
        <f t="shared" ca="1" si="14"/>
        <v>272</v>
      </c>
      <c r="H95" s="105">
        <f t="shared" ca="1" si="16"/>
        <v>45197</v>
      </c>
      <c r="I95" s="133">
        <f ca="1">HLOOKUP($H$4,'Met Data'!$A$2:$F$368,G95,FALSE)</f>
        <v>10.198484848484799</v>
      </c>
      <c r="J95" s="133">
        <f ca="1">HLOOKUP($H$4,'Met Data'!$H$2:$M$368,G95,FALSE)*L95</f>
        <v>2.6393939393939299</v>
      </c>
      <c r="K95" s="106">
        <f ca="1">HLOOKUP($H$4,'Met Data'!$O$2:$T$368,G95,FALSE)</f>
        <v>2.92273242129352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45242</v>
      </c>
      <c r="Q95">
        <f ca="1"/>
        <v>66.971898119676155</v>
      </c>
      <c r="R95">
        <f ca="1"/>
        <v>1.0917707833064401</v>
      </c>
      <c r="S95">
        <f ca="1"/>
        <v>6.9113472196350801E-5</v>
      </c>
      <c r="T95">
        <f ca="1"/>
        <v>0.70704890309640211</v>
      </c>
      <c r="U95">
        <f ca="1"/>
        <v>0</v>
      </c>
      <c r="V95">
        <f ca="1"/>
        <v>43.562614307060798</v>
      </c>
      <c r="W95">
        <f ca="1"/>
        <v>28.3156992995895</v>
      </c>
      <c r="X95">
        <f ca="1"/>
        <v>0</v>
      </c>
      <c r="Y95">
        <f ca="1"/>
        <v>0.72990988431195014</v>
      </c>
      <c r="Z95">
        <f ca="1"/>
        <v>0</v>
      </c>
      <c r="AA95">
        <f ca="1"/>
        <v>0</v>
      </c>
      <c r="AB95">
        <f ca="1"/>
        <v>0.99630552300903097</v>
      </c>
      <c r="AD95" s="2">
        <f t="shared" ca="1" si="12"/>
        <v>45242</v>
      </c>
      <c r="AE95" s="46">
        <f t="shared" ca="1" si="13"/>
        <v>0</v>
      </c>
      <c r="AG95" s="72">
        <f t="shared" ca="1" si="17"/>
        <v>68.063668902982599</v>
      </c>
      <c r="AH95" s="72">
        <f t="shared" ca="1" si="18"/>
        <v>68.063668902982599</v>
      </c>
      <c r="AI95" s="3">
        <f t="shared" ca="1" si="19"/>
        <v>0</v>
      </c>
    </row>
    <row r="96" spans="7:35" x14ac:dyDescent="0.25">
      <c r="G96" s="3">
        <f t="shared" ca="1" si="14"/>
        <v>273</v>
      </c>
      <c r="H96" s="105">
        <f t="shared" ca="1" si="16"/>
        <v>45198</v>
      </c>
      <c r="I96" s="133">
        <f ca="1">HLOOKUP($H$4,'Met Data'!$A$2:$F$368,G96,FALSE)</f>
        <v>10.072727272727199</v>
      </c>
      <c r="J96" s="133">
        <f ca="1">HLOOKUP($H$4,'Met Data'!$H$2:$M$368,G96,FALSE)*L96</f>
        <v>2.21515151515151</v>
      </c>
      <c r="K96" s="106">
        <f ca="1">HLOOKUP($H$4,'Met Data'!$O$2:$T$368,G96,FALSE)</f>
        <v>3.0079671587405801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45243</v>
      </c>
      <c r="Q96">
        <f ca="1"/>
        <v>66.561081620987338</v>
      </c>
      <c r="R96">
        <f ca="1"/>
        <v>1.0421496591338799</v>
      </c>
      <c r="S96">
        <f ca="1"/>
        <v>5.4955270598087332E-5</v>
      </c>
      <c r="T96">
        <f ca="1"/>
        <v>0.63127820517446853</v>
      </c>
      <c r="U96">
        <f ca="1"/>
        <v>0</v>
      </c>
      <c r="V96">
        <f ca="1"/>
        <v>44.604763966194703</v>
      </c>
      <c r="W96">
        <f ca="1"/>
        <v>28.993096578026499</v>
      </c>
      <c r="X96">
        <f ca="1"/>
        <v>0</v>
      </c>
      <c r="Y96">
        <f ca="1"/>
        <v>0.70357249634618313</v>
      </c>
      <c r="Z96">
        <f ca="1"/>
        <v>0</v>
      </c>
      <c r="AA96">
        <f ca="1"/>
        <v>0</v>
      </c>
      <c r="AB96">
        <f ca="1"/>
        <v>0.99685852174423994</v>
      </c>
      <c r="AD96" s="2">
        <f t="shared" ca="1" si="12"/>
        <v>45243</v>
      </c>
      <c r="AE96" s="46">
        <f t="shared" ca="1" si="13"/>
        <v>0</v>
      </c>
      <c r="AG96" s="72">
        <f t="shared" ca="1" si="17"/>
        <v>67.603231280121221</v>
      </c>
      <c r="AH96" s="72">
        <f t="shared" ca="1" si="18"/>
        <v>67.603231280121221</v>
      </c>
      <c r="AI96" s="3">
        <f t="shared" ca="1" si="19"/>
        <v>0</v>
      </c>
    </row>
    <row r="97" spans="7:35" x14ac:dyDescent="0.25">
      <c r="G97" s="3">
        <f t="shared" ca="1" si="14"/>
        <v>274</v>
      </c>
      <c r="H97" s="105">
        <f t="shared" ca="1" si="16"/>
        <v>45199</v>
      </c>
      <c r="I97" s="133">
        <f ca="1">HLOOKUP($H$4,'Met Data'!$A$2:$F$368,G97,FALSE)</f>
        <v>11.2515151515151</v>
      </c>
      <c r="J97" s="133">
        <f ca="1">HLOOKUP($H$4,'Met Data'!$H$2:$M$368,G97,FALSE)*L97</f>
        <v>0.33939393939393903</v>
      </c>
      <c r="K97" s="106">
        <f ca="1">HLOOKUP($H$4,'Met Data'!$O$2:$T$368,G97,FALSE)</f>
        <v>3.4114061949116499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45244</v>
      </c>
      <c r="Q97">
        <f ca="1"/>
        <v>66.080507324851041</v>
      </c>
      <c r="R97">
        <f ca="1"/>
        <v>1.1140918418957599</v>
      </c>
      <c r="S97">
        <f ca="1"/>
        <v>4.8830623529583812E-5</v>
      </c>
      <c r="T97">
        <f ca="1"/>
        <v>0.63346871513592762</v>
      </c>
      <c r="U97">
        <f ca="1"/>
        <v>0</v>
      </c>
      <c r="V97">
        <f ca="1"/>
        <v>45.718855808090403</v>
      </c>
      <c r="W97">
        <f ca="1"/>
        <v>29.717256275258801</v>
      </c>
      <c r="X97">
        <f ca="1"/>
        <v>0</v>
      </c>
      <c r="Y97">
        <f ca="1"/>
        <v>0.66763281196649393</v>
      </c>
      <c r="Z97">
        <f ca="1"/>
        <v>0</v>
      </c>
      <c r="AA97">
        <f ca="1"/>
        <v>0</v>
      </c>
      <c r="AB97">
        <f ca="1"/>
        <v>0.99734887568823005</v>
      </c>
      <c r="AD97" s="2">
        <f t="shared" ca="1" si="12"/>
        <v>45244</v>
      </c>
      <c r="AE97" s="46">
        <f t="shared" ca="1" si="13"/>
        <v>0</v>
      </c>
      <c r="AG97" s="72">
        <f t="shared" ca="1" si="17"/>
        <v>67.194599166746798</v>
      </c>
      <c r="AH97" s="72">
        <f t="shared" ca="1" si="18"/>
        <v>67.194599166746798</v>
      </c>
      <c r="AI97" s="3">
        <f t="shared" ca="1" si="19"/>
        <v>0</v>
      </c>
    </row>
    <row r="98" spans="7:35" x14ac:dyDescent="0.25">
      <c r="G98" s="3">
        <f t="shared" ca="1" si="14"/>
        <v>275</v>
      </c>
      <c r="H98" s="105">
        <f t="shared" ca="1" si="16"/>
        <v>45200</v>
      </c>
      <c r="I98" s="133">
        <f ca="1">HLOOKUP($H$4,'Met Data'!$A$2:$F$368,G98,FALSE)</f>
        <v>11.2893939393939</v>
      </c>
      <c r="J98" s="133">
        <f ca="1">HLOOKUP($H$4,'Met Data'!$H$2:$M$368,G98,FALSE)*L98</f>
        <v>0.36060606060605999</v>
      </c>
      <c r="K98" s="106">
        <f ca="1">HLOOKUP($H$4,'Met Data'!$O$2:$T$368,G98,FALSE)</f>
        <v>3.4573036102364698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45245</v>
      </c>
      <c r="Q98">
        <f ca="1"/>
        <v>65.528648535892657</v>
      </c>
      <c r="R98">
        <f ca="1"/>
        <v>1.1774680192958999</v>
      </c>
      <c r="S98">
        <f ca="1"/>
        <v>4.2630293395017845E-5</v>
      </c>
      <c r="T98">
        <f ca="1"/>
        <v>0.62556660004413067</v>
      </c>
      <c r="U98">
        <f ca="1"/>
        <v>0</v>
      </c>
      <c r="V98">
        <f ca="1"/>
        <v>46.896323827386297</v>
      </c>
      <c r="W98">
        <f ca="1"/>
        <v>30.4826104878011</v>
      </c>
      <c r="X98">
        <f ca="1"/>
        <v>0</v>
      </c>
      <c r="Y98">
        <f ca="1"/>
        <v>0.62953051114225977</v>
      </c>
      <c r="Z98">
        <f ca="1"/>
        <v>0</v>
      </c>
      <c r="AA98">
        <f ca="1"/>
        <v>0</v>
      </c>
      <c r="AB98">
        <f ca="1"/>
        <v>0.99777553845566902</v>
      </c>
      <c r="AD98" s="2">
        <f t="shared" ca="1" si="12"/>
        <v>45245</v>
      </c>
      <c r="AE98" s="46">
        <f t="shared" ca="1" si="13"/>
        <v>0</v>
      </c>
      <c r="AG98" s="72">
        <f t="shared" ca="1" si="17"/>
        <v>66.706116555188558</v>
      </c>
      <c r="AH98" s="72">
        <f t="shared" ca="1" si="18"/>
        <v>66.706116555188558</v>
      </c>
      <c r="AI98" s="3">
        <f t="shared" ca="1" si="19"/>
        <v>0</v>
      </c>
    </row>
    <row r="99" spans="7:35" x14ac:dyDescent="0.25">
      <c r="G99" s="3">
        <f t="shared" ca="1" si="14"/>
        <v>276</v>
      </c>
      <c r="H99" s="105">
        <f t="shared" ca="1" si="16"/>
        <v>45201</v>
      </c>
      <c r="I99" s="133">
        <f ca="1">HLOOKUP($H$4,'Met Data'!$A$2:$F$368,G99,FALSE)</f>
        <v>11.590909090908999</v>
      </c>
      <c r="J99" s="133">
        <f ca="1">HLOOKUP($H$4,'Met Data'!$H$2:$M$368,G99,FALSE)*L99</f>
        <v>0.86969696969696897</v>
      </c>
      <c r="K99" s="106">
        <f ca="1">HLOOKUP($H$4,'Met Data'!$O$2:$T$368,G99,FALSE)</f>
        <v>3.4181246576745901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45246</v>
      </c>
      <c r="Q99">
        <f ca="1"/>
        <v>64.916478608239146</v>
      </c>
      <c r="R99">
        <f ca="1"/>
        <v>1.2353620550233699</v>
      </c>
      <c r="S99">
        <f ca="1"/>
        <v>3.7713039800557811E-5</v>
      </c>
      <c r="T99">
        <f ca="1"/>
        <v>0.62315441433006658</v>
      </c>
      <c r="U99">
        <f ca="1"/>
        <v>0</v>
      </c>
      <c r="V99">
        <f ca="1"/>
        <v>48.131685882409698</v>
      </c>
      <c r="W99">
        <f ca="1"/>
        <v>31.2855958235663</v>
      </c>
      <c r="X99">
        <f ca="1"/>
        <v>0</v>
      </c>
      <c r="Y99">
        <f ca="1"/>
        <v>0.60445640847742799</v>
      </c>
      <c r="Z99">
        <f ca="1"/>
        <v>0</v>
      </c>
      <c r="AA99">
        <f ca="1"/>
        <v>0</v>
      </c>
      <c r="AB99">
        <f ca="1"/>
        <v>0.99814196304061997</v>
      </c>
      <c r="AD99" s="2">
        <f t="shared" ca="1" si="12"/>
        <v>45246</v>
      </c>
      <c r="AE99" s="46">
        <f t="shared" ca="1" si="13"/>
        <v>0</v>
      </c>
      <c r="AG99" s="72">
        <f t="shared" ca="1" si="17"/>
        <v>66.151840663262519</v>
      </c>
      <c r="AH99" s="72">
        <f t="shared" ca="1" si="18"/>
        <v>66.151840663262519</v>
      </c>
      <c r="AI99" s="3">
        <f t="shared" ca="1" si="19"/>
        <v>0</v>
      </c>
    </row>
    <row r="100" spans="7:35" x14ac:dyDescent="0.25">
      <c r="G100" s="3">
        <f t="shared" ca="1" si="14"/>
        <v>277</v>
      </c>
      <c r="H100" s="105">
        <f t="shared" ca="1" si="16"/>
        <v>45202</v>
      </c>
      <c r="I100" s="133">
        <f ca="1">HLOOKUP($H$4,'Met Data'!$A$2:$F$368,G100,FALSE)</f>
        <v>10.8530303030303</v>
      </c>
      <c r="J100" s="133">
        <f ca="1">HLOOKUP($H$4,'Met Data'!$H$2:$M$368,G100,FALSE)*L100</f>
        <v>2.9272727272727201</v>
      </c>
      <c r="K100" s="106">
        <f ca="1">HLOOKUP($H$4,'Met Data'!$O$2:$T$368,G100,FALSE)</f>
        <v>3.28237222726839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45247</v>
      </c>
      <c r="Q100">
        <f ca="1"/>
        <v>64.291801405901211</v>
      </c>
      <c r="R100">
        <f ca="1"/>
        <v>1.18265012988871</v>
      </c>
      <c r="S100">
        <f ca="1"/>
        <v>3.0456578846990489E-5</v>
      </c>
      <c r="T100">
        <f ca="1"/>
        <v>0.55794247097193417</v>
      </c>
      <c r="U100">
        <f ca="1"/>
        <v>0</v>
      </c>
      <c r="V100">
        <f ca="1"/>
        <v>49.314336012298398</v>
      </c>
      <c r="W100">
        <f ca="1"/>
        <v>32.054318407994003</v>
      </c>
      <c r="X100">
        <f ca="1"/>
        <v>0</v>
      </c>
      <c r="Y100">
        <f ca="1"/>
        <v>0.57929016738862815</v>
      </c>
      <c r="Z100">
        <f ca="1"/>
        <v>0</v>
      </c>
      <c r="AA100">
        <f ca="1"/>
        <v>0</v>
      </c>
      <c r="AB100">
        <f ca="1"/>
        <v>0.99843018589703303</v>
      </c>
      <c r="AD100" s="2">
        <f t="shared" ca="1" si="12"/>
        <v>45247</v>
      </c>
      <c r="AE100" s="46">
        <f t="shared" ca="1" si="13"/>
        <v>0</v>
      </c>
      <c r="AG100" s="72">
        <f t="shared" ca="1" si="17"/>
        <v>65.474451535789925</v>
      </c>
      <c r="AH100" s="72">
        <f t="shared" ca="1" si="18"/>
        <v>65.474451535789925</v>
      </c>
      <c r="AI100" s="3">
        <f t="shared" ca="1" si="19"/>
        <v>0</v>
      </c>
    </row>
    <row r="101" spans="7:35" x14ac:dyDescent="0.25">
      <c r="G101" s="3">
        <f t="shared" ca="1" si="14"/>
        <v>278</v>
      </c>
      <c r="H101" s="105">
        <f t="shared" ca="1" si="16"/>
        <v>45203</v>
      </c>
      <c r="I101" s="133">
        <f ca="1">HLOOKUP($H$4,'Met Data'!$A$2:$F$368,G101,FALSE)</f>
        <v>10.580303030303</v>
      </c>
      <c r="J101" s="133">
        <f ca="1">HLOOKUP($H$4,'Met Data'!$H$2:$M$368,G101,FALSE)*L101</f>
        <v>3.0151515151515098</v>
      </c>
      <c r="K101" s="106">
        <f ca="1">HLOOKUP($H$4,'Met Data'!$O$2:$T$368,G101,FALSE)</f>
        <v>2.9435441276045902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45248</v>
      </c>
      <c r="Q101">
        <f ca="1"/>
        <v>63.655808326815318</v>
      </c>
      <c r="R101">
        <f ca="1"/>
        <v>1.1582407408581299</v>
      </c>
      <c r="S101">
        <f ca="1"/>
        <v>2.5944347071051045E-5</v>
      </c>
      <c r="T101">
        <f ca="1"/>
        <v>0.52222171742517032</v>
      </c>
      <c r="U101">
        <f ca="1"/>
        <v>0</v>
      </c>
      <c r="V101">
        <f ca="1"/>
        <v>50.472576753156503</v>
      </c>
      <c r="W101">
        <f ca="1"/>
        <v>32.807174889551703</v>
      </c>
      <c r="X101">
        <f ca="1"/>
        <v>0</v>
      </c>
      <c r="Y101">
        <f ca="1"/>
        <v>0.56522860895612592</v>
      </c>
      <c r="Z101">
        <f ca="1"/>
        <v>0</v>
      </c>
      <c r="AA101">
        <f ca="1"/>
        <v>0</v>
      </c>
      <c r="AB101">
        <f ca="1"/>
        <v>0.99866455388370401</v>
      </c>
      <c r="AD101" s="2">
        <f t="shared" ca="1" si="12"/>
        <v>45248</v>
      </c>
      <c r="AE101" s="46">
        <f t="shared" ca="1" si="13"/>
        <v>0</v>
      </c>
      <c r="AG101" s="72">
        <f t="shared" ca="1" si="17"/>
        <v>64.814049067673452</v>
      </c>
      <c r="AH101" s="72">
        <f t="shared" ca="1" si="18"/>
        <v>64.814049067673452</v>
      </c>
      <c r="AI101" s="3">
        <f t="shared" ca="1" si="19"/>
        <v>0</v>
      </c>
    </row>
    <row r="102" spans="7:35" x14ac:dyDescent="0.25">
      <c r="G102" s="3">
        <f t="shared" ca="1" si="14"/>
        <v>279</v>
      </c>
      <c r="H102" s="105">
        <f t="shared" ca="1" si="16"/>
        <v>45204</v>
      </c>
      <c r="I102" s="133">
        <f ca="1">HLOOKUP($H$4,'Met Data'!$A$2:$F$368,G102,FALSE)</f>
        <v>10.5</v>
      </c>
      <c r="J102" s="133">
        <f ca="1">HLOOKUP($H$4,'Met Data'!$H$2:$M$368,G102,FALSE)*L102</f>
        <v>1.5060606060606001</v>
      </c>
      <c r="K102" s="106">
        <f ca="1">HLOOKUP($H$4,'Met Data'!$O$2:$T$368,G102,FALSE)</f>
        <v>3.3810413875387701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45249</v>
      </c>
      <c r="Q102">
        <f ca="1"/>
        <v>62.998508577964522</v>
      </c>
      <c r="R102">
        <f ca="1"/>
        <v>1.16242679223523</v>
      </c>
      <c r="S102">
        <f ca="1"/>
        <v>2.2916902948526393E-5</v>
      </c>
      <c r="T102">
        <f ca="1"/>
        <v>0.50510412648147873</v>
      </c>
      <c r="U102">
        <f ca="1"/>
        <v>0</v>
      </c>
      <c r="V102">
        <f ca="1"/>
        <v>51.635003545391797</v>
      </c>
      <c r="W102">
        <f ca="1"/>
        <v>33.562752304504599</v>
      </c>
      <c r="X102">
        <f ca="1"/>
        <v>0</v>
      </c>
      <c r="Y102">
        <f ca="1"/>
        <v>0.55414100744809525</v>
      </c>
      <c r="Z102">
        <f ca="1"/>
        <v>0</v>
      </c>
      <c r="AA102">
        <f ca="1"/>
        <v>0</v>
      </c>
      <c r="AB102">
        <f ca="1"/>
        <v>0.998860927376097</v>
      </c>
      <c r="AD102" s="2">
        <f t="shared" ca="1" si="12"/>
        <v>45249</v>
      </c>
      <c r="AE102" s="46">
        <f t="shared" ca="1" si="13"/>
        <v>0</v>
      </c>
      <c r="AG102" s="72">
        <f t="shared" ca="1" si="17"/>
        <v>64.160935370199752</v>
      </c>
      <c r="AH102" s="72">
        <f t="shared" ca="1" si="18"/>
        <v>64.160935370199752</v>
      </c>
      <c r="AI102" s="3">
        <f t="shared" ca="1" si="19"/>
        <v>0</v>
      </c>
    </row>
    <row r="103" spans="7:35" x14ac:dyDescent="0.25">
      <c r="G103" s="3">
        <f t="shared" ca="1" si="14"/>
        <v>280</v>
      </c>
      <c r="H103" s="105">
        <f t="shared" ca="1" si="16"/>
        <v>45205</v>
      </c>
      <c r="I103" s="133">
        <f ca="1">HLOOKUP($H$4,'Met Data'!$A$2:$F$368,G103,FALSE)</f>
        <v>11.0757575757575</v>
      </c>
      <c r="J103" s="133">
        <f ca="1">HLOOKUP($H$4,'Met Data'!$H$2:$M$368,G103,FALSE)*L103</f>
        <v>0.86666666666666603</v>
      </c>
      <c r="K103" s="106">
        <f ca="1">HLOOKUP($H$4,'Met Data'!$O$2:$T$368,G103,FALSE)</f>
        <v>3.3814368699018198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45250</v>
      </c>
      <c r="Q103">
        <f ca="1"/>
        <v>62.253741939718203</v>
      </c>
      <c r="R103">
        <f ca="1"/>
        <v>1.27358131754403</v>
      </c>
      <c r="S103">
        <f ca="1"/>
        <v>2.1558483452812413E-5</v>
      </c>
      <c r="T103">
        <f ca="1"/>
        <v>0.52879312081425422</v>
      </c>
      <c r="U103">
        <f ca="1"/>
        <v>0</v>
      </c>
      <c r="V103">
        <f ca="1"/>
        <v>52.908584862935797</v>
      </c>
      <c r="W103">
        <f ca="1"/>
        <v>34.3905801609083</v>
      </c>
      <c r="X103">
        <f ca="1"/>
        <v>0</v>
      </c>
      <c r="Y103">
        <f ca="1"/>
        <v>0.52849293886234605</v>
      </c>
      <c r="Z103">
        <f ca="1"/>
        <v>0</v>
      </c>
      <c r="AA103">
        <f ca="1"/>
        <v>0</v>
      </c>
      <c r="AB103">
        <f ca="1"/>
        <v>0.99903969330474196</v>
      </c>
      <c r="AD103" s="2">
        <f t="shared" ca="1" si="12"/>
        <v>45250</v>
      </c>
      <c r="AE103" s="46">
        <f t="shared" ca="1" si="13"/>
        <v>0</v>
      </c>
      <c r="AG103" s="72">
        <f t="shared" ca="1" si="17"/>
        <v>63.527323257262232</v>
      </c>
      <c r="AH103" s="72">
        <f t="shared" ca="1" si="18"/>
        <v>63.527323257262232</v>
      </c>
      <c r="AI103" s="3">
        <f t="shared" ca="1" si="19"/>
        <v>0</v>
      </c>
    </row>
    <row r="104" spans="7:35" x14ac:dyDescent="0.25">
      <c r="G104" s="3">
        <f t="shared" ca="1" si="14"/>
        <v>281</v>
      </c>
      <c r="H104" s="105">
        <f t="shared" ca="1" si="16"/>
        <v>45206</v>
      </c>
      <c r="I104" s="133">
        <f ca="1">HLOOKUP($H$4,'Met Data'!$A$2:$F$368,G104,FALSE)</f>
        <v>11.1621212121212</v>
      </c>
      <c r="J104" s="133">
        <f ca="1">HLOOKUP($H$4,'Met Data'!$H$2:$M$368,G104,FALSE)*L104</f>
        <v>1.1424242424242399</v>
      </c>
      <c r="K104" s="106">
        <f ca="1">HLOOKUP($H$4,'Met Data'!$O$2:$T$368,G104,FALSE)</f>
        <v>3.44855016002714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45251</v>
      </c>
      <c r="Q104">
        <f ca="1"/>
        <v>61.478533633234392</v>
      </c>
      <c r="R104">
        <f ca="1"/>
        <v>1.29231690460315</v>
      </c>
      <c r="S104">
        <f ca="1"/>
        <v>1.9229426533132431E-5</v>
      </c>
      <c r="T104">
        <f ca="1"/>
        <v>0.5170893686928002</v>
      </c>
      <c r="U104">
        <f ca="1"/>
        <v>0</v>
      </c>
      <c r="V104">
        <f ca="1"/>
        <v>54.200901767539001</v>
      </c>
      <c r="W104">
        <f ca="1"/>
        <v>35.230586148900301</v>
      </c>
      <c r="X104">
        <f ca="1"/>
        <v>0</v>
      </c>
      <c r="Y104">
        <f ca="1"/>
        <v>0.51735033095516836</v>
      </c>
      <c r="Z104">
        <f ca="1"/>
        <v>0</v>
      </c>
      <c r="AA104">
        <f ca="1"/>
        <v>0</v>
      </c>
      <c r="AB104">
        <f ca="1"/>
        <v>0.99918951098009301</v>
      </c>
      <c r="AD104" s="2">
        <f t="shared" ca="1" si="12"/>
        <v>45251</v>
      </c>
      <c r="AE104" s="46">
        <f t="shared" ca="1" si="13"/>
        <v>0</v>
      </c>
      <c r="AG104" s="72">
        <f t="shared" ca="1" si="17"/>
        <v>62.770850537837539</v>
      </c>
      <c r="AH104" s="72">
        <f t="shared" ca="1" si="18"/>
        <v>62.770850537837539</v>
      </c>
      <c r="AI104" s="3">
        <f t="shared" ca="1" si="19"/>
        <v>0</v>
      </c>
    </row>
    <row r="105" spans="7:35" x14ac:dyDescent="0.25">
      <c r="G105" s="3">
        <f t="shared" ca="1" si="14"/>
        <v>282</v>
      </c>
      <c r="H105" s="105">
        <f t="shared" ca="1" si="16"/>
        <v>45207</v>
      </c>
      <c r="I105" s="133">
        <f ca="1">HLOOKUP($H$4,'Met Data'!$A$2:$F$368,G105,FALSE)</f>
        <v>10.442424242424201</v>
      </c>
      <c r="J105" s="133">
        <f ca="1">HLOOKUP($H$4,'Met Data'!$H$2:$M$368,G105,FALSE)*L105</f>
        <v>3.97272727272727</v>
      </c>
      <c r="K105" s="106">
        <f ca="1">HLOOKUP($H$4,'Met Data'!$O$2:$T$368,G105,FALSE)</f>
        <v>3.0735601882933201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45252</v>
      </c>
      <c r="Q105">
        <f ca="1"/>
        <v>60.700581001104652</v>
      </c>
      <c r="R105">
        <f ca="1"/>
        <v>1.2484796616337701</v>
      </c>
      <c r="S105">
        <f ca="1"/>
        <v>1.5945900003345464E-5</v>
      </c>
      <c r="T105">
        <f ca="1"/>
        <v>0.47051108360403304</v>
      </c>
      <c r="U105">
        <f ca="1"/>
        <v>0</v>
      </c>
      <c r="V105">
        <f ca="1"/>
        <v>55.449381429172703</v>
      </c>
      <c r="W105">
        <f ca="1"/>
        <v>36.042097928962299</v>
      </c>
      <c r="X105">
        <f ca="1"/>
        <v>0</v>
      </c>
      <c r="Y105">
        <f ca="1"/>
        <v>0.49292176880178745</v>
      </c>
      <c r="Z105">
        <f ca="1"/>
        <v>0</v>
      </c>
      <c r="AA105">
        <f ca="1"/>
        <v>0</v>
      </c>
      <c r="AB105">
        <f ca="1"/>
        <v>0.999309735867277</v>
      </c>
      <c r="AD105" s="2">
        <f t="shared" ca="1" si="12"/>
        <v>45252</v>
      </c>
      <c r="AE105" s="46">
        <f t="shared" ca="1" si="13"/>
        <v>0</v>
      </c>
      <c r="AG105" s="72">
        <f t="shared" ca="1" si="17"/>
        <v>61.949060662738425</v>
      </c>
      <c r="AH105" s="72">
        <f t="shared" ca="1" si="18"/>
        <v>61.949060662738425</v>
      </c>
      <c r="AI105" s="3">
        <f t="shared" ca="1" si="19"/>
        <v>0</v>
      </c>
    </row>
    <row r="106" spans="7:35" x14ac:dyDescent="0.25">
      <c r="G106" s="3">
        <f t="shared" ca="1" si="14"/>
        <v>283</v>
      </c>
      <c r="H106" s="105">
        <f t="shared" ca="1" si="16"/>
        <v>45208</v>
      </c>
      <c r="I106" s="133">
        <f ca="1">HLOOKUP($H$4,'Met Data'!$A$2:$F$368,G106,FALSE)</f>
        <v>10.1257575757575</v>
      </c>
      <c r="J106" s="133">
        <f ca="1">HLOOKUP($H$4,'Met Data'!$H$2:$M$368,G106,FALSE)*L106</f>
        <v>2.9363636363636298</v>
      </c>
      <c r="K106" s="106">
        <f ca="1">HLOOKUP($H$4,'Met Data'!$O$2:$T$368,G106,FALSE)</f>
        <v>2.8856583502815898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45253</v>
      </c>
      <c r="Q106">
        <f ca="1"/>
        <v>59.79424724402736</v>
      </c>
      <c r="R106">
        <f ca="1"/>
        <v>1.41424215045107</v>
      </c>
      <c r="S106">
        <f ca="1"/>
        <v>1.531800801657512E-5</v>
      </c>
      <c r="T106">
        <f ca="1"/>
        <v>0.5078930753657539</v>
      </c>
      <c r="U106">
        <f ca="1"/>
        <v>0</v>
      </c>
      <c r="V106">
        <f ca="1"/>
        <v>56.863623579623798</v>
      </c>
      <c r="W106">
        <f ca="1"/>
        <v>36.961355326755502</v>
      </c>
      <c r="X106">
        <f ca="1"/>
        <v>0</v>
      </c>
      <c r="Y106">
        <f ca="1"/>
        <v>0.46021692072320547</v>
      </c>
      <c r="Z106">
        <f ca="1"/>
        <v>0</v>
      </c>
      <c r="AA106">
        <f ca="1"/>
        <v>0</v>
      </c>
      <c r="AB106">
        <f ca="1"/>
        <v>0.99942237514005705</v>
      </c>
      <c r="AD106" s="2">
        <f t="shared" ca="1" si="12"/>
        <v>45253</v>
      </c>
      <c r="AE106" s="46">
        <f t="shared" ca="1" si="13"/>
        <v>0</v>
      </c>
      <c r="AG106" s="72">
        <f t="shared" ca="1" si="17"/>
        <v>61.208489394478427</v>
      </c>
      <c r="AH106" s="72">
        <f t="shared" ca="1" si="18"/>
        <v>61.208489394478434</v>
      </c>
      <c r="AI106" s="3">
        <f t="shared" ca="1" si="19"/>
        <v>0</v>
      </c>
    </row>
    <row r="107" spans="7:35" x14ac:dyDescent="0.25">
      <c r="G107" s="3">
        <f t="shared" ca="1" si="14"/>
        <v>284</v>
      </c>
      <c r="H107" s="105">
        <f t="shared" ca="1" si="16"/>
        <v>45209</v>
      </c>
      <c r="I107" s="133">
        <f ca="1">HLOOKUP($H$4,'Met Data'!$A$2:$F$368,G107,FALSE)</f>
        <v>10.0590909090909</v>
      </c>
      <c r="J107" s="133">
        <f ca="1">HLOOKUP($H$4,'Met Data'!$H$2:$M$368,G107,FALSE)*L107</f>
        <v>2.5939393939393902</v>
      </c>
      <c r="K107" s="106">
        <f ca="1">HLOOKUP($H$4,'Met Data'!$O$2:$T$368,G107,FALSE)</f>
        <v>2.97068142496583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45254</v>
      </c>
      <c r="Q107">
        <f ca="1"/>
        <v>58.817777491642175</v>
      </c>
      <c r="R107">
        <f ca="1"/>
        <v>1.47639495168855</v>
      </c>
      <c r="S107">
        <f ca="1"/>
        <v>1.3472559761815122E-5</v>
      </c>
      <c r="T107">
        <f ca="1"/>
        <v>0.49991172674359446</v>
      </c>
      <c r="U107">
        <f ca="1"/>
        <v>0</v>
      </c>
      <c r="V107">
        <f ca="1"/>
        <v>58.340018531312403</v>
      </c>
      <c r="W107">
        <f ca="1"/>
        <v>37.921012045353002</v>
      </c>
      <c r="X107">
        <f ca="1"/>
        <v>0</v>
      </c>
      <c r="Y107">
        <f ca="1"/>
        <v>0.42856895501022491</v>
      </c>
      <c r="Z107">
        <f ca="1"/>
        <v>0</v>
      </c>
      <c r="AA107">
        <f ca="1"/>
        <v>0</v>
      </c>
      <c r="AB107">
        <f ca="1"/>
        <v>0.99951846808550004</v>
      </c>
      <c r="AD107" s="2">
        <f t="shared" ca="1" si="12"/>
        <v>45254</v>
      </c>
      <c r="AE107" s="46">
        <f t="shared" ca="1" si="13"/>
        <v>0</v>
      </c>
      <c r="AG107" s="72">
        <f t="shared" ca="1" si="17"/>
        <v>60.294172443330723</v>
      </c>
      <c r="AH107" s="72">
        <f t="shared" ca="1" si="18"/>
        <v>60.294172443330723</v>
      </c>
      <c r="AI107" s="3">
        <f t="shared" ca="1" si="19"/>
        <v>0</v>
      </c>
    </row>
    <row r="108" spans="7:35" x14ac:dyDescent="0.25">
      <c r="G108" s="3">
        <f t="shared" ca="1" si="14"/>
        <v>285</v>
      </c>
      <c r="H108" s="105">
        <f t="shared" ca="1" si="16"/>
        <v>45210</v>
      </c>
      <c r="I108" s="133">
        <f ca="1">HLOOKUP($H$4,'Met Data'!$A$2:$F$368,G108,FALSE)</f>
        <v>10.7469696969696</v>
      </c>
      <c r="J108" s="133">
        <f ca="1">HLOOKUP($H$4,'Met Data'!$H$2:$M$368,G108,FALSE)*L108</f>
        <v>1.8181818181818099</v>
      </c>
      <c r="K108" s="106">
        <f ca="1">HLOOKUP($H$4,'Met Data'!$O$2:$T$368,G108,FALSE)</f>
        <v>3.3415142660940802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45255</v>
      </c>
      <c r="Q108">
        <f ca="1"/>
        <v>57.778163211129161</v>
      </c>
      <c r="R108">
        <f ca="1"/>
        <v>1.54550765629122</v>
      </c>
      <c r="S108">
        <f ca="1"/>
        <v>1.2424112372200012E-5</v>
      </c>
      <c r="T108">
        <f ca="1"/>
        <v>0.50588095166583635</v>
      </c>
      <c r="U108">
        <f ca="1"/>
        <v>0</v>
      </c>
      <c r="V108">
        <f ca="1"/>
        <v>59.885526187603602</v>
      </c>
      <c r="W108">
        <f ca="1"/>
        <v>38.9255920219423</v>
      </c>
      <c r="X108">
        <f ca="1"/>
        <v>0</v>
      </c>
      <c r="Y108">
        <f ca="1"/>
        <v>0.41578289122519563</v>
      </c>
      <c r="Z108">
        <f ca="1"/>
        <v>0</v>
      </c>
      <c r="AA108">
        <f ca="1"/>
        <v>0</v>
      </c>
      <c r="AB108">
        <f ca="1"/>
        <v>0.99960031041333997</v>
      </c>
      <c r="AD108" s="2">
        <f t="shared" ca="1" si="12"/>
        <v>45255</v>
      </c>
      <c r="AE108" s="46">
        <f t="shared" ca="1" si="13"/>
        <v>0</v>
      </c>
      <c r="AG108" s="72">
        <f t="shared" ca="1" si="17"/>
        <v>59.323670867420383</v>
      </c>
      <c r="AH108" s="72">
        <f t="shared" ca="1" si="18"/>
        <v>59.323670867420383</v>
      </c>
      <c r="AI108" s="3">
        <f t="shared" ca="1" si="19"/>
        <v>0</v>
      </c>
    </row>
    <row r="109" spans="7:35" x14ac:dyDescent="0.25">
      <c r="G109" s="3">
        <f t="shared" ca="1" si="14"/>
        <v>286</v>
      </c>
      <c r="H109" s="105">
        <f t="shared" ca="1" si="16"/>
        <v>45211</v>
      </c>
      <c r="I109" s="133">
        <f ca="1">HLOOKUP($H$4,'Met Data'!$A$2:$F$368,G109,FALSE)</f>
        <v>12.012121212121199</v>
      </c>
      <c r="J109" s="133">
        <f ca="1">HLOOKUP($H$4,'Met Data'!$H$2:$M$368,G109,FALSE)*L109</f>
        <v>1.7393939393939299</v>
      </c>
      <c r="K109" s="106">
        <f ca="1">HLOOKUP($H$4,'Met Data'!$O$2:$T$368,G109,FALSE)</f>
        <v>3.8727634784268798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45256</v>
      </c>
      <c r="Q109">
        <f ca="1"/>
        <v>57.041243528887151</v>
      </c>
      <c r="R109">
        <f ca="1"/>
        <v>1.54767408051524</v>
      </c>
      <c r="S109">
        <f ca="1"/>
        <v>2.1541405826727505E-5</v>
      </c>
      <c r="T109">
        <f ca="1"/>
        <v>0.8107328568674026</v>
      </c>
      <c r="U109">
        <f ca="1"/>
        <v>0</v>
      </c>
      <c r="V109">
        <f ca="1"/>
        <v>61.433200268118803</v>
      </c>
      <c r="W109">
        <f ca="1"/>
        <v>39.931580174277201</v>
      </c>
      <c r="X109">
        <f ca="1"/>
        <v>0</v>
      </c>
      <c r="Y109">
        <f ca="1"/>
        <v>0.79226213321078265</v>
      </c>
      <c r="Z109">
        <f ca="1"/>
        <v>0</v>
      </c>
      <c r="AA109">
        <f ca="1"/>
        <v>48</v>
      </c>
      <c r="AB109">
        <f ca="1"/>
        <v>0.99966697568521901</v>
      </c>
      <c r="AD109" s="2">
        <f t="shared" ca="1" si="12"/>
        <v>45256</v>
      </c>
      <c r="AE109" s="46">
        <f t="shared" ca="1" si="13"/>
        <v>0</v>
      </c>
      <c r="AG109" s="72">
        <f t="shared" ca="1" si="17"/>
        <v>58.588917609402394</v>
      </c>
      <c r="AH109" s="72">
        <f t="shared" ca="1" si="18"/>
        <v>58.588917609402394</v>
      </c>
      <c r="AI109" s="3">
        <f t="shared" ca="1" si="19"/>
        <v>0</v>
      </c>
    </row>
    <row r="110" spans="7:35" x14ac:dyDescent="0.25">
      <c r="G110" s="3">
        <f t="shared" ca="1" si="14"/>
        <v>287</v>
      </c>
      <c r="H110" s="105">
        <f t="shared" ca="1" si="16"/>
        <v>45212</v>
      </c>
      <c r="I110" s="133">
        <f ca="1">HLOOKUP($H$4,'Met Data'!$A$2:$F$368,G110,FALSE)</f>
        <v>11.445454545454499</v>
      </c>
      <c r="J110" s="133">
        <f ca="1">HLOOKUP($H$4,'Met Data'!$H$2:$M$368,G110,FALSE)*L110</f>
        <v>3.22727272727272</v>
      </c>
      <c r="K110" s="106">
        <f ca="1">HLOOKUP($H$4,'Met Data'!$O$2:$T$368,G110,FALSE)</f>
        <v>3.7654187532628201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45257</v>
      </c>
      <c r="Q110">
        <f ca="1"/>
        <v>56.252541938550969</v>
      </c>
      <c r="R110">
        <f ca="1"/>
        <v>1.54565407930886</v>
      </c>
      <c r="S110">
        <f ca="1"/>
        <v>1.753453496841746E-5</v>
      </c>
      <c r="T110">
        <f ca="1"/>
        <v>0.75693495443771142</v>
      </c>
      <c r="U110">
        <f ca="1"/>
        <v>0</v>
      </c>
      <c r="V110">
        <f ca="1"/>
        <v>62.978854347427699</v>
      </c>
      <c r="W110">
        <f ca="1"/>
        <v>40.936255325828</v>
      </c>
      <c r="X110">
        <f ca="1"/>
        <v>0</v>
      </c>
      <c r="Y110">
        <f ca="1"/>
        <v>0.76053766437941284</v>
      </c>
      <c r="Z110">
        <f ca="1"/>
        <v>0</v>
      </c>
      <c r="AA110">
        <f ca="1"/>
        <v>0</v>
      </c>
      <c r="AB110">
        <f ca="1"/>
        <v>0.99972138140454803</v>
      </c>
      <c r="AD110" s="2">
        <f t="shared" ca="1" si="12"/>
        <v>45257</v>
      </c>
      <c r="AE110" s="46">
        <f t="shared" ca="1" si="13"/>
        <v>0</v>
      </c>
      <c r="AG110" s="72">
        <f t="shared" ca="1" si="17"/>
        <v>57.79819601785983</v>
      </c>
      <c r="AH110" s="72">
        <f t="shared" ca="1" si="18"/>
        <v>57.79819601785983</v>
      </c>
      <c r="AI110" s="3">
        <f t="shared" ca="1" si="19"/>
        <v>0</v>
      </c>
    </row>
    <row r="111" spans="7:35" x14ac:dyDescent="0.25">
      <c r="G111" s="3">
        <f t="shared" ca="1" si="14"/>
        <v>288</v>
      </c>
      <c r="H111" s="105">
        <f t="shared" ca="1" si="16"/>
        <v>45213</v>
      </c>
      <c r="I111" s="133">
        <f ca="1">HLOOKUP($H$4,'Met Data'!$A$2:$F$368,G111,FALSE)</f>
        <v>11.0863636363636</v>
      </c>
      <c r="J111" s="133">
        <f ca="1">HLOOKUP($H$4,'Met Data'!$H$2:$M$368,G111,FALSE)*L111</f>
        <v>1.8060606060605999</v>
      </c>
      <c r="K111" s="106">
        <f ca="1">HLOOKUP($H$4,'Met Data'!$O$2:$T$368,G111,FALSE)</f>
        <v>3.5839169020731898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45258</v>
      </c>
      <c r="Q111">
        <f ca="1"/>
        <v>55.4268137940957</v>
      </c>
      <c r="R111">
        <f ca="1"/>
        <v>1.55385067207845</v>
      </c>
      <c r="S111">
        <f ca="1"/>
        <v>1.4807604272153129E-5</v>
      </c>
      <c r="T111">
        <f ca="1"/>
        <v>0.72810772001890478</v>
      </c>
      <c r="U111">
        <f ca="1"/>
        <v>0</v>
      </c>
      <c r="V111">
        <f ca="1"/>
        <v>64.532705019506096</v>
      </c>
      <c r="W111">
        <f ca="1"/>
        <v>41.946258262679002</v>
      </c>
      <c r="X111">
        <f ca="1"/>
        <v>0</v>
      </c>
      <c r="Y111">
        <f ca="1"/>
        <v>0.74498851988205961</v>
      </c>
      <c r="Z111">
        <f ca="1"/>
        <v>0</v>
      </c>
      <c r="AA111">
        <f ca="1"/>
        <v>0</v>
      </c>
      <c r="AB111">
        <f ca="1"/>
        <v>0.99976625629962301</v>
      </c>
      <c r="AD111" s="2">
        <f t="shared" ca="1" si="12"/>
        <v>45258</v>
      </c>
      <c r="AE111" s="46">
        <f t="shared" ca="1" si="13"/>
        <v>0</v>
      </c>
      <c r="AG111" s="72">
        <f t="shared" ca="1" si="17"/>
        <v>56.980664466174147</v>
      </c>
      <c r="AH111" s="72">
        <f t="shared" ca="1" si="18"/>
        <v>56.980664466174147</v>
      </c>
      <c r="AI111" s="3">
        <f t="shared" ca="1" si="19"/>
        <v>0</v>
      </c>
    </row>
    <row r="112" spans="7:35" x14ac:dyDescent="0.25">
      <c r="G112" s="3">
        <f t="shared" ca="1" si="14"/>
        <v>289</v>
      </c>
      <c r="H112" s="105">
        <f t="shared" ca="1" si="16"/>
        <v>45214</v>
      </c>
      <c r="I112" s="133">
        <f ca="1">HLOOKUP($H$4,'Met Data'!$A$2:$F$368,G112,FALSE)</f>
        <v>10.820454545454499</v>
      </c>
      <c r="J112" s="133">
        <f ca="1">HLOOKUP($H$4,'Met Data'!$H$2:$M$368,G112,FALSE)*L112</f>
        <v>1.17272727272727</v>
      </c>
      <c r="K112" s="106">
        <f ca="1">HLOOKUP($H$4,'Met Data'!$O$2:$T$368,G112,FALSE)</f>
        <v>3.5135934353686902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45259</v>
      </c>
      <c r="Q112">
        <f ca="1"/>
        <v>54.559230492357976</v>
      </c>
      <c r="R112">
        <f ca="1"/>
        <v>1.55121046767282</v>
      </c>
      <c r="S112">
        <f ca="1"/>
        <v>1.2263759744968835E-5</v>
      </c>
      <c r="T112">
        <f ca="1"/>
        <v>0.68361490217535237</v>
      </c>
      <c r="U112">
        <f ca="1"/>
        <v>0</v>
      </c>
      <c r="V112">
        <f ca="1"/>
        <v>66.083915487178899</v>
      </c>
      <c r="W112">
        <f ca="1"/>
        <v>42.954545066666299</v>
      </c>
      <c r="X112">
        <f ca="1"/>
        <v>0</v>
      </c>
      <c r="Y112">
        <f ca="1"/>
        <v>0.7166793019645965</v>
      </c>
      <c r="Z112">
        <f ca="1"/>
        <v>0</v>
      </c>
      <c r="AA112">
        <f ca="1"/>
        <v>0</v>
      </c>
      <c r="AB112">
        <f ca="1"/>
        <v>0.99980315326573599</v>
      </c>
      <c r="AD112" s="2">
        <f t="shared" ca="1" si="12"/>
        <v>45259</v>
      </c>
      <c r="AE112" s="46">
        <f t="shared" ca="1" si="13"/>
        <v>0</v>
      </c>
      <c r="AG112" s="72">
        <f t="shared" ca="1" si="17"/>
        <v>56.110440960030793</v>
      </c>
      <c r="AH112" s="72">
        <f t="shared" ca="1" si="18"/>
        <v>56.110440960030793</v>
      </c>
      <c r="AI112" s="3">
        <f t="shared" ca="1" si="19"/>
        <v>0</v>
      </c>
    </row>
    <row r="113" spans="7:35" x14ac:dyDescent="0.25">
      <c r="G113" s="3">
        <f t="shared" ca="1" si="14"/>
        <v>290</v>
      </c>
      <c r="H113" s="105">
        <f t="shared" ca="1" si="16"/>
        <v>45215</v>
      </c>
      <c r="I113" s="133">
        <f ca="1">HLOOKUP($H$4,'Met Data'!$A$2:$F$368,G113,FALSE)</f>
        <v>11.382575757575699</v>
      </c>
      <c r="J113" s="133">
        <f ca="1">HLOOKUP($H$4,'Met Data'!$H$2:$M$368,G113,FALSE)*L113</f>
        <v>0.98181818181818103</v>
      </c>
      <c r="K113" s="106">
        <f ca="1">HLOOKUP($H$4,'Met Data'!$O$2:$T$368,G113,FALSE)</f>
        <v>3.66659887182134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45260</v>
      </c>
      <c r="Q113">
        <f ca="1"/>
        <v>53.614051360566165</v>
      </c>
      <c r="R113">
        <f ca="1"/>
        <v>1.63287629554696</v>
      </c>
      <c r="S113">
        <f ca="1"/>
        <v>1.0865101190012453E-5</v>
      </c>
      <c r="T113">
        <f ca="1"/>
        <v>0.68768629865396047</v>
      </c>
      <c r="U113">
        <f ca="1"/>
        <v>0</v>
      </c>
      <c r="V113">
        <f ca="1"/>
        <v>67.716791782725906</v>
      </c>
      <c r="W113">
        <f ca="1"/>
        <v>44.015914658771798</v>
      </c>
      <c r="X113">
        <f ca="1"/>
        <v>0</v>
      </c>
      <c r="Y113">
        <f ca="1"/>
        <v>0.69380495691896304</v>
      </c>
      <c r="Z113">
        <f ca="1"/>
        <v>0</v>
      </c>
      <c r="AA113">
        <f ca="1"/>
        <v>0</v>
      </c>
      <c r="AB113">
        <f ca="1"/>
        <v>0.99983512333120195</v>
      </c>
      <c r="AD113" s="2">
        <f t="shared" ca="1" si="12"/>
        <v>45260</v>
      </c>
      <c r="AE113" s="46">
        <f t="shared" ca="1" si="13"/>
        <v>0</v>
      </c>
      <c r="AG113" s="72">
        <f t="shared" ca="1" si="17"/>
        <v>55.246927656113122</v>
      </c>
      <c r="AH113" s="72">
        <f t="shared" ca="1" si="18"/>
        <v>55.246927656113122</v>
      </c>
      <c r="AI113" s="3">
        <f t="shared" ca="1" si="19"/>
        <v>0</v>
      </c>
    </row>
    <row r="114" spans="7:35" x14ac:dyDescent="0.25">
      <c r="G114" s="3">
        <f t="shared" ca="1" si="14"/>
        <v>291</v>
      </c>
      <c r="H114" s="105">
        <f t="shared" ca="1" si="16"/>
        <v>45216</v>
      </c>
      <c r="I114" s="133">
        <f ca="1">HLOOKUP($H$4,'Met Data'!$A$2:$F$368,G114,FALSE)</f>
        <v>12.1743939393939</v>
      </c>
      <c r="J114" s="133">
        <f ca="1">HLOOKUP($H$4,'Met Data'!$H$2:$M$368,G114,FALSE)*L114</f>
        <v>1.93030303030303</v>
      </c>
      <c r="K114" s="106">
        <f ca="1">HLOOKUP($H$4,'Met Data'!$O$2:$T$368,G114,FALSE)</f>
        <v>4.4221266913625099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45261</v>
      </c>
      <c r="Q114">
        <f ca="1"/>
        <v>52.542716026480669</v>
      </c>
      <c r="R114">
        <f ca="1"/>
        <v>1.7891018789705699</v>
      </c>
      <c r="S114">
        <f ca="1"/>
        <v>9.8772906322595446E-6</v>
      </c>
      <c r="T114">
        <f ca="1"/>
        <v>0.71775666759444134</v>
      </c>
      <c r="U114">
        <f ca="1"/>
        <v>0</v>
      </c>
      <c r="V114">
        <f ca="1"/>
        <v>69.505893661696504</v>
      </c>
      <c r="W114">
        <f ca="1"/>
        <v>45.178830880102701</v>
      </c>
      <c r="X114">
        <f ca="1"/>
        <v>0</v>
      </c>
      <c r="Y114">
        <f ca="1"/>
        <v>0.66258730302439905</v>
      </c>
      <c r="Z114">
        <f ca="1"/>
        <v>0</v>
      </c>
      <c r="AA114">
        <f ca="1"/>
        <v>0</v>
      </c>
      <c r="AB114">
        <f ca="1"/>
        <v>0.99986367225773598</v>
      </c>
      <c r="AD114" s="2">
        <f t="shared" ca="1" si="12"/>
        <v>45261</v>
      </c>
      <c r="AE114" s="46">
        <f t="shared" ca="1" si="13"/>
        <v>0</v>
      </c>
      <c r="AG114" s="72">
        <f t="shared" ca="1" si="17"/>
        <v>54.331817905451238</v>
      </c>
      <c r="AH114" s="72">
        <f t="shared" ca="1" si="18"/>
        <v>54.331817905451238</v>
      </c>
      <c r="AI114" s="3">
        <f t="shared" ca="1" si="19"/>
        <v>0</v>
      </c>
    </row>
    <row r="115" spans="7:35" x14ac:dyDescent="0.25">
      <c r="G115" s="3">
        <f t="shared" ca="1" si="14"/>
        <v>292</v>
      </c>
      <c r="H115" s="105">
        <f t="shared" ca="1" si="16"/>
        <v>45217</v>
      </c>
      <c r="I115" s="133">
        <f ca="1">HLOOKUP($H$4,'Met Data'!$A$2:$F$368,G115,FALSE)</f>
        <v>11.5590909090909</v>
      </c>
      <c r="J115" s="133">
        <f ca="1">HLOOKUP($H$4,'Met Data'!$H$2:$M$368,G115,FALSE)*L115</f>
        <v>0.9</v>
      </c>
      <c r="K115" s="106">
        <f ca="1">HLOOKUP($H$4,'Met Data'!$O$2:$T$368,G115,FALSE)</f>
        <v>4.1615819400289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45262</v>
      </c>
      <c r="Q115">
        <f ca="1"/>
        <v>51.384646018173797</v>
      </c>
      <c r="R115">
        <f ca="1"/>
        <v>1.8621366071720999</v>
      </c>
      <c r="S115">
        <f ca="1"/>
        <v>8.478258044108973E-6</v>
      </c>
      <c r="T115">
        <f ca="1"/>
        <v>0.7040581206071781</v>
      </c>
      <c r="U115">
        <f ca="1"/>
        <v>0</v>
      </c>
      <c r="V115">
        <f ca="1"/>
        <v>71.368030268868594</v>
      </c>
      <c r="W115">
        <f ca="1"/>
        <v>46.389219674764597</v>
      </c>
      <c r="X115">
        <f ca="1"/>
        <v>0</v>
      </c>
      <c r="Y115">
        <f ca="1"/>
        <v>0.63137025918201528</v>
      </c>
      <c r="Z115">
        <f ca="1"/>
        <v>0</v>
      </c>
      <c r="AA115">
        <f ca="1"/>
        <v>0</v>
      </c>
      <c r="AB115">
        <f ca="1"/>
        <v>0.999887671355979</v>
      </c>
      <c r="AD115" s="2">
        <f t="shared" ca="1" si="12"/>
        <v>45262</v>
      </c>
      <c r="AE115" s="46">
        <f t="shared" ca="1" si="13"/>
        <v>0</v>
      </c>
      <c r="AG115" s="72">
        <f t="shared" ca="1" si="17"/>
        <v>53.246782625345894</v>
      </c>
      <c r="AH115" s="72">
        <f t="shared" ca="1" si="18"/>
        <v>53.246782625345894</v>
      </c>
      <c r="AI115" s="3">
        <f t="shared" ca="1" si="19"/>
        <v>0</v>
      </c>
    </row>
    <row r="116" spans="7:35" x14ac:dyDescent="0.25">
      <c r="G116" s="3">
        <f t="shared" ca="1" si="14"/>
        <v>293</v>
      </c>
      <c r="H116" s="105">
        <f t="shared" ca="1" si="16"/>
        <v>45218</v>
      </c>
      <c r="I116" s="133">
        <f ca="1">HLOOKUP($H$4,'Met Data'!$A$2:$F$368,G116,FALSE)</f>
        <v>11.530303030302999</v>
      </c>
      <c r="J116" s="133">
        <f ca="1">HLOOKUP($H$4,'Met Data'!$H$2:$M$368,G116,FALSE)*L116</f>
        <v>2.16363636363636</v>
      </c>
      <c r="K116" s="106">
        <f ca="1">HLOOKUP($H$4,'Met Data'!$O$2:$T$368,G116,FALSE)</f>
        <v>4.1616928735003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45263</v>
      </c>
      <c r="Q116">
        <f ca="1"/>
        <v>50.108731851835891</v>
      </c>
      <c r="R116">
        <f ca="1"/>
        <v>1.9865436753883301</v>
      </c>
      <c r="S116">
        <f ca="1"/>
        <v>7.4477875569163324E-6</v>
      </c>
      <c r="T116">
        <f ca="1"/>
        <v>0.71062206126286764</v>
      </c>
      <c r="U116">
        <f ca="1"/>
        <v>0</v>
      </c>
      <c r="V116">
        <f ca="1"/>
        <v>73.354573944256899</v>
      </c>
      <c r="W116">
        <f ca="1"/>
        <v>47.680473063767003</v>
      </c>
      <c r="X116">
        <f ca="1"/>
        <v>0</v>
      </c>
      <c r="Y116">
        <f ca="1"/>
        <v>0.59865655858757705</v>
      </c>
      <c r="Z116">
        <f ca="1"/>
        <v>0</v>
      </c>
      <c r="AA116">
        <f ca="1"/>
        <v>0</v>
      </c>
      <c r="AB116">
        <f ca="1"/>
        <v>0.99990821962453302</v>
      </c>
      <c r="AD116" s="2">
        <f t="shared" ca="1" si="12"/>
        <v>45263</v>
      </c>
      <c r="AE116" s="46">
        <f t="shared" ca="1" si="13"/>
        <v>0</v>
      </c>
      <c r="AG116" s="72">
        <f t="shared" ca="1" si="17"/>
        <v>52.095275527224224</v>
      </c>
      <c r="AH116" s="72">
        <f t="shared" ca="1" si="18"/>
        <v>52.095275527224224</v>
      </c>
      <c r="AI116" s="3">
        <f t="shared" ca="1" si="19"/>
        <v>0</v>
      </c>
    </row>
    <row r="117" spans="7:35" x14ac:dyDescent="0.25">
      <c r="G117" s="3">
        <f t="shared" ca="1" si="14"/>
        <v>294</v>
      </c>
      <c r="H117" s="105">
        <f t="shared" ca="1" si="16"/>
        <v>45219</v>
      </c>
      <c r="I117" s="133">
        <f ca="1">HLOOKUP($H$4,'Met Data'!$A$2:$F$368,G117,FALSE)</f>
        <v>11.592424242424199</v>
      </c>
      <c r="J117" s="133">
        <f ca="1">HLOOKUP($H$4,'Met Data'!$H$2:$M$368,G117,FALSE)*L117</f>
        <v>0.68787878787878698</v>
      </c>
      <c r="K117" s="106">
        <f ca="1">HLOOKUP($H$4,'Met Data'!$O$2:$T$368,G117,FALSE)</f>
        <v>4.1355638104854497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45264</v>
      </c>
      <c r="Q117">
        <f ca="1"/>
        <v>48.788304150541158</v>
      </c>
      <c r="R117">
        <f ca="1"/>
        <v>1.97536383526783</v>
      </c>
      <c r="S117">
        <f ca="1"/>
        <v>6.0628204936556081E-6</v>
      </c>
      <c r="T117">
        <f ca="1"/>
        <v>0.65493007115260016</v>
      </c>
      <c r="U117">
        <f ca="1"/>
        <v>0</v>
      </c>
      <c r="V117">
        <f ca="1"/>
        <v>75.329937779524698</v>
      </c>
      <c r="W117">
        <f ca="1"/>
        <v>48.964459556691097</v>
      </c>
      <c r="X117">
        <f ca="1"/>
        <v>0</v>
      </c>
      <c r="Y117">
        <f ca="1"/>
        <v>0.56351507913083787</v>
      </c>
      <c r="Z117">
        <f ca="1"/>
        <v>0</v>
      </c>
      <c r="AA117">
        <f ca="1"/>
        <v>0</v>
      </c>
      <c r="AB117">
        <f ca="1"/>
        <v>0.99992459297911596</v>
      </c>
      <c r="AD117" s="2">
        <f t="shared" ca="1" si="12"/>
        <v>45264</v>
      </c>
      <c r="AE117" s="46">
        <f t="shared" ca="1" si="13"/>
        <v>0</v>
      </c>
      <c r="AG117" s="72">
        <f t="shared" ca="1" si="17"/>
        <v>50.763667985808986</v>
      </c>
      <c r="AH117" s="72">
        <f t="shared" ca="1" si="18"/>
        <v>50.763667985808986</v>
      </c>
      <c r="AI117" s="3">
        <f t="shared" ca="1" si="19"/>
        <v>0</v>
      </c>
    </row>
    <row r="118" spans="7:35" x14ac:dyDescent="0.25">
      <c r="G118" s="3">
        <f t="shared" ca="1" si="14"/>
        <v>295</v>
      </c>
      <c r="H118" s="105">
        <f t="shared" ca="1" si="16"/>
        <v>45220</v>
      </c>
      <c r="I118" s="133">
        <f ca="1">HLOOKUP($H$4,'Met Data'!$A$2:$F$368,G118,FALSE)</f>
        <v>12.6712121212121</v>
      </c>
      <c r="J118" s="133">
        <f ca="1">HLOOKUP($H$4,'Met Data'!$H$2:$M$368,G118,FALSE)*L118</f>
        <v>0.91515151515151505</v>
      </c>
      <c r="K118" s="106">
        <f ca="1">HLOOKUP($H$4,'Met Data'!$O$2:$T$368,G118,FALSE)</f>
        <v>4.2548689124348202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45265</v>
      </c>
      <c r="Q118">
        <f ca="1"/>
        <v>47.411341988760171</v>
      </c>
      <c r="R118">
        <f ca="1"/>
        <v>2.00463854969016</v>
      </c>
      <c r="S118">
        <f ca="1"/>
        <v>5.1644280031072743E-6</v>
      </c>
      <c r="T118">
        <f ca="1"/>
        <v>0.62767122348117033</v>
      </c>
      <c r="U118">
        <f ca="1"/>
        <v>0</v>
      </c>
      <c r="V118">
        <f ca="1"/>
        <v>77.334576329214897</v>
      </c>
      <c r="W118">
        <f ca="1"/>
        <v>50.267474613989698</v>
      </c>
      <c r="X118">
        <f ca="1"/>
        <v>0</v>
      </c>
      <c r="Y118">
        <f ca="1"/>
        <v>0.5378554469997171</v>
      </c>
      <c r="Z118">
        <f ca="1"/>
        <v>0</v>
      </c>
      <c r="AA118">
        <f ca="1"/>
        <v>0</v>
      </c>
      <c r="AB118">
        <f ca="1"/>
        <v>0.99993796313458505</v>
      </c>
      <c r="AD118" s="2">
        <f t="shared" ca="1" si="12"/>
        <v>45265</v>
      </c>
      <c r="AE118" s="46">
        <f t="shared" ca="1" si="13"/>
        <v>0</v>
      </c>
      <c r="AG118" s="72">
        <f t="shared" ca="1" si="17"/>
        <v>49.415980538450334</v>
      </c>
      <c r="AH118" s="72">
        <f t="shared" ca="1" si="18"/>
        <v>49.415980538450327</v>
      </c>
      <c r="AI118" s="3">
        <f t="shared" ca="1" si="19"/>
        <v>0</v>
      </c>
    </row>
    <row r="119" spans="7:35" x14ac:dyDescent="0.25">
      <c r="G119" s="3">
        <f t="shared" ca="1" si="14"/>
        <v>296</v>
      </c>
      <c r="H119" s="105">
        <f t="shared" ca="1" si="16"/>
        <v>45221</v>
      </c>
      <c r="I119" s="133">
        <f ca="1">HLOOKUP($H$4,'Met Data'!$A$2:$F$368,G119,FALSE)</f>
        <v>11.5966666666666</v>
      </c>
      <c r="J119" s="133">
        <f ca="1">HLOOKUP($H$4,'Met Data'!$H$2:$M$368,G119,FALSE)*L119</f>
        <v>1.0757575757575699</v>
      </c>
      <c r="K119" s="106">
        <f ca="1">HLOOKUP($H$4,'Met Data'!$O$2:$T$368,G119,FALSE)</f>
        <v>3.8892850116651498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45266</v>
      </c>
      <c r="Q119">
        <f ca="1"/>
        <v>46.028902220743056</v>
      </c>
      <c r="R119">
        <f ca="1"/>
        <v>1.9640432097909</v>
      </c>
      <c r="S119">
        <f ca="1"/>
        <v>4.3173734800106886E-6</v>
      </c>
      <c r="T119">
        <f ca="1"/>
        <v>0.58159912440030503</v>
      </c>
      <c r="U119">
        <f ca="1"/>
        <v>0</v>
      </c>
      <c r="V119">
        <f ca="1"/>
        <v>79.298619539005799</v>
      </c>
      <c r="W119">
        <f ca="1"/>
        <v>51.544102700353797</v>
      </c>
      <c r="X119">
        <f ca="1"/>
        <v>0</v>
      </c>
      <c r="Y119">
        <f ca="1"/>
        <v>0.51841486751593169</v>
      </c>
      <c r="Z119">
        <f ca="1"/>
        <v>0</v>
      </c>
      <c r="AA119">
        <f ca="1"/>
        <v>0</v>
      </c>
      <c r="AB119">
        <f ca="1"/>
        <v>0.99994855915506098</v>
      </c>
      <c r="AD119" s="2">
        <f t="shared" ca="1" si="12"/>
        <v>45266</v>
      </c>
      <c r="AE119" s="46">
        <f t="shared" ca="1" si="13"/>
        <v>0</v>
      </c>
      <c r="AG119" s="72">
        <f t="shared" ca="1" si="17"/>
        <v>47.992945430533958</v>
      </c>
      <c r="AH119" s="72">
        <f t="shared" ca="1" si="18"/>
        <v>47.992945430533958</v>
      </c>
      <c r="AI119" s="3">
        <f t="shared" ca="1" si="19"/>
        <v>0</v>
      </c>
    </row>
    <row r="120" spans="7:35" x14ac:dyDescent="0.25">
      <c r="G120" s="3">
        <f t="shared" ca="1" si="14"/>
        <v>297</v>
      </c>
      <c r="H120" s="105">
        <f t="shared" ca="1" si="16"/>
        <v>45222</v>
      </c>
      <c r="I120" s="133">
        <f ca="1">HLOOKUP($H$4,'Met Data'!$A$2:$F$368,G120,FALSE)</f>
        <v>11.5331818181818</v>
      </c>
      <c r="J120" s="133">
        <f ca="1">HLOOKUP($H$4,'Met Data'!$H$2:$M$368,G120,FALSE)*L120</f>
        <v>1.5757575757575699</v>
      </c>
      <c r="K120" s="106">
        <f ca="1">HLOOKUP($H$4,'Met Data'!$O$2:$T$368,G120,FALSE)</f>
        <v>3.7538214127918499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45267</v>
      </c>
      <c r="Q120">
        <f ca="1"/>
        <v>44.534519206021969</v>
      </c>
      <c r="R120">
        <f ca="1"/>
        <v>2.0782809591055802</v>
      </c>
      <c r="S120">
        <f ca="1"/>
        <v>3.8372102104707079E-6</v>
      </c>
      <c r="T120">
        <f ca="1"/>
        <v>0.58389410717427792</v>
      </c>
      <c r="U120">
        <f ca="1"/>
        <v>0</v>
      </c>
      <c r="V120">
        <f ca="1"/>
        <v>81.376900498111397</v>
      </c>
      <c r="W120">
        <f ca="1"/>
        <v>52.894985323772403</v>
      </c>
      <c r="X120">
        <f ca="1"/>
        <v>0</v>
      </c>
      <c r="Y120">
        <f ca="1"/>
        <v>0.48782183816085656</v>
      </c>
      <c r="Z120">
        <f ca="1"/>
        <v>0</v>
      </c>
      <c r="AA120">
        <f ca="1"/>
        <v>0</v>
      </c>
      <c r="AB120">
        <f ca="1"/>
        <v>0.99995763812274197</v>
      </c>
      <c r="AD120" s="2">
        <f t="shared" ca="1" si="12"/>
        <v>45267</v>
      </c>
      <c r="AE120" s="46">
        <f t="shared" ca="1" si="13"/>
        <v>0</v>
      </c>
      <c r="AG120" s="72">
        <f t="shared" ca="1" si="17"/>
        <v>46.612800165127545</v>
      </c>
      <c r="AH120" s="72">
        <f t="shared" ca="1" si="18"/>
        <v>46.612800165127553</v>
      </c>
      <c r="AI120" s="3">
        <f t="shared" ca="1" si="19"/>
        <v>0</v>
      </c>
    </row>
    <row r="121" spans="7:35" x14ac:dyDescent="0.25">
      <c r="G121" s="3">
        <f t="shared" ca="1" si="14"/>
        <v>298</v>
      </c>
      <c r="H121" s="105">
        <f t="shared" ca="1" si="16"/>
        <v>45223</v>
      </c>
      <c r="I121" s="133">
        <f ca="1">HLOOKUP($H$4,'Met Data'!$A$2:$F$368,G121,FALSE)</f>
        <v>11.6060606060606</v>
      </c>
      <c r="J121" s="133">
        <f ca="1">HLOOKUP($H$4,'Met Data'!$H$2:$M$368,G121,FALSE)*L121</f>
        <v>0.95454545454545403</v>
      </c>
      <c r="K121" s="106">
        <f ca="1">HLOOKUP($H$4,'Met Data'!$O$2:$T$368,G121,FALSE)</f>
        <v>3.9920282440950898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45268</v>
      </c>
      <c r="Q121">
        <f ca="1"/>
        <v>42.979788818364497</v>
      </c>
      <c r="R121">
        <f ca="1"/>
        <v>2.1286260416904201</v>
      </c>
      <c r="S121">
        <f ca="1"/>
        <v>3.3977340318454481E-6</v>
      </c>
      <c r="T121">
        <f ca="1"/>
        <v>0.57389225629891238</v>
      </c>
      <c r="U121">
        <f ca="1"/>
        <v>0</v>
      </c>
      <c r="V121">
        <f ca="1"/>
        <v>83.505526539801807</v>
      </c>
      <c r="W121">
        <f ca="1"/>
        <v>54.278592250871199</v>
      </c>
      <c r="X121">
        <f ca="1"/>
        <v>0</v>
      </c>
      <c r="Y121">
        <f ca="1"/>
        <v>0.47141734560774784</v>
      </c>
      <c r="Z121">
        <f ca="1"/>
        <v>0</v>
      </c>
      <c r="AA121">
        <f ca="1"/>
        <v>0</v>
      </c>
      <c r="AB121">
        <f ca="1"/>
        <v>0.99996513760510697</v>
      </c>
      <c r="AD121" s="2">
        <f t="shared" ca="1" si="12"/>
        <v>45268</v>
      </c>
      <c r="AE121" s="46">
        <f t="shared" ca="1" si="13"/>
        <v>0</v>
      </c>
      <c r="AG121" s="72">
        <f t="shared" ca="1" si="17"/>
        <v>45.108414860054914</v>
      </c>
      <c r="AH121" s="72">
        <f t="shared" ca="1" si="18"/>
        <v>45.108414860054914</v>
      </c>
      <c r="AI121" s="3">
        <f t="shared" ca="1" si="19"/>
        <v>0</v>
      </c>
    </row>
    <row r="122" spans="7:35" x14ac:dyDescent="0.25">
      <c r="G122" s="3">
        <f t="shared" ca="1" si="14"/>
        <v>299</v>
      </c>
      <c r="H122" s="105">
        <f t="shared" ca="1" si="16"/>
        <v>45224</v>
      </c>
      <c r="I122" s="133">
        <f ca="1">HLOOKUP($H$4,'Met Data'!$A$2:$F$368,G122,FALSE)</f>
        <v>11.821212121212101</v>
      </c>
      <c r="J122" s="133">
        <f ca="1">HLOOKUP($H$4,'Met Data'!$H$2:$M$368,G122,FALSE)*L122</f>
        <v>0.13030303030303</v>
      </c>
      <c r="K122" s="106">
        <f ca="1">HLOOKUP($H$4,'Met Data'!$O$2:$T$368,G122,FALSE)</f>
        <v>3.94572673133468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45269</v>
      </c>
      <c r="Q122">
        <f ca="1"/>
        <v>41.423107053126898</v>
      </c>
      <c r="R122">
        <f ca="1"/>
        <v>2.0747238958191199</v>
      </c>
      <c r="S122">
        <f ca="1"/>
        <v>2.7457295737272259E-6</v>
      </c>
      <c r="T122">
        <f ca="1"/>
        <v>0.51803938485194934</v>
      </c>
      <c r="U122">
        <f ca="1"/>
        <v>0</v>
      </c>
      <c r="V122">
        <f ca="1"/>
        <v>85.580250435620897</v>
      </c>
      <c r="W122">
        <f ca="1"/>
        <v>55.627162783153601</v>
      </c>
      <c r="X122">
        <f ca="1"/>
        <v>0</v>
      </c>
      <c r="Y122">
        <f ca="1"/>
        <v>0.43533798992789313</v>
      </c>
      <c r="Z122">
        <f ca="1"/>
        <v>0</v>
      </c>
      <c r="AA122">
        <f ca="1"/>
        <v>0</v>
      </c>
      <c r="AB122">
        <f ca="1"/>
        <v>0.99997105959077404</v>
      </c>
      <c r="AD122" s="2">
        <f t="shared" ca="1" si="12"/>
        <v>45269</v>
      </c>
      <c r="AE122" s="46">
        <f t="shared" ca="1" si="13"/>
        <v>0</v>
      </c>
      <c r="AG122" s="72">
        <f t="shared" ca="1" si="17"/>
        <v>43.497830948946017</v>
      </c>
      <c r="AH122" s="72">
        <f t="shared" ca="1" si="18"/>
        <v>43.497830948946017</v>
      </c>
      <c r="AI122" s="3">
        <f t="shared" ca="1" si="19"/>
        <v>0</v>
      </c>
    </row>
    <row r="123" spans="7:35" x14ac:dyDescent="0.25">
      <c r="G123" s="3">
        <f t="shared" ca="1" si="14"/>
        <v>300</v>
      </c>
      <c r="H123" s="105">
        <f t="shared" ca="1" si="16"/>
        <v>45225</v>
      </c>
      <c r="I123" s="133">
        <f ca="1">HLOOKUP($H$4,'Met Data'!$A$2:$F$368,G123,FALSE)</f>
        <v>12.8742424242424</v>
      </c>
      <c r="J123" s="133">
        <f ca="1">HLOOKUP($H$4,'Met Data'!$H$2:$M$368,G123,FALSE)*L123</f>
        <v>1.03939393939393</v>
      </c>
      <c r="K123" s="106">
        <f ca="1">HLOOKUP($H$4,'Met Data'!$O$2:$T$368,G123,FALSE)</f>
        <v>4.24133991088486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45270</v>
      </c>
      <c r="Q123">
        <f ca="1"/>
        <v>39.731621429077414</v>
      </c>
      <c r="R123">
        <f ca="1"/>
        <v>2.2195985808065002</v>
      </c>
      <c r="S123">
        <f ca="1"/>
        <v>2.4772864422815039E-6</v>
      </c>
      <c r="T123">
        <f ca="1"/>
        <v>0.5281104794705721</v>
      </c>
      <c r="U123">
        <f ca="1"/>
        <v>0</v>
      </c>
      <c r="V123">
        <f ca="1"/>
        <v>87.799849016427402</v>
      </c>
      <c r="W123">
        <f ca="1"/>
        <v>57.069901860677803</v>
      </c>
      <c r="X123">
        <f ca="1"/>
        <v>0</v>
      </c>
      <c r="Y123">
        <f ca="1"/>
        <v>0.4044533346658587</v>
      </c>
      <c r="Z123">
        <f ca="1"/>
        <v>0</v>
      </c>
      <c r="AA123">
        <f ca="1"/>
        <v>0</v>
      </c>
      <c r="AB123">
        <f ca="1"/>
        <v>0.999976193944351</v>
      </c>
      <c r="AD123" s="2">
        <f t="shared" ca="1" si="12"/>
        <v>45270</v>
      </c>
      <c r="AE123" s="46">
        <f t="shared" ca="1" si="13"/>
        <v>0</v>
      </c>
      <c r="AG123" s="72">
        <f t="shared" ca="1" si="17"/>
        <v>41.951220009883912</v>
      </c>
      <c r="AH123" s="72">
        <f t="shared" ca="1" si="18"/>
        <v>41.951220009883912</v>
      </c>
      <c r="AI123" s="3">
        <f t="shared" ca="1" si="19"/>
        <v>0</v>
      </c>
    </row>
    <row r="124" spans="7:35" x14ac:dyDescent="0.25">
      <c r="G124" s="3">
        <f t="shared" ca="1" si="14"/>
        <v>301</v>
      </c>
      <c r="H124" s="105">
        <f t="shared" ca="1" si="16"/>
        <v>45226</v>
      </c>
      <c r="I124" s="133">
        <f ca="1">HLOOKUP($H$4,'Met Data'!$A$2:$F$368,G124,FALSE)</f>
        <v>12.3921212121212</v>
      </c>
      <c r="J124" s="133">
        <f ca="1">HLOOKUP($H$4,'Met Data'!$H$2:$M$368,G124,FALSE)*L124</f>
        <v>1.66060606060606</v>
      </c>
      <c r="K124" s="106">
        <f ca="1">HLOOKUP($H$4,'Met Data'!$O$2:$T$368,G124,FALSE)</f>
        <v>3.98512648995679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45271</v>
      </c>
      <c r="Q124">
        <f ca="1"/>
        <v>38.234730369578358</v>
      </c>
      <c r="R124">
        <f ca="1"/>
        <v>2.4218590499660699</v>
      </c>
      <c r="S124">
        <f ca="1"/>
        <v>4.6515554859830451E-6</v>
      </c>
      <c r="T124">
        <f ca="1"/>
        <v>0.92496333891153493</v>
      </c>
      <c r="U124">
        <f ca="1"/>
        <v>0</v>
      </c>
      <c r="V124">
        <f ca="1"/>
        <v>90.221708066393504</v>
      </c>
      <c r="W124">
        <f ca="1"/>
        <v>58.644110243155801</v>
      </c>
      <c r="X124">
        <f ca="1"/>
        <v>0</v>
      </c>
      <c r="Y124">
        <f ca="1"/>
        <v>0.76585109227570025</v>
      </c>
      <c r="Z124">
        <f ca="1"/>
        <v>0</v>
      </c>
      <c r="AA124">
        <f ca="1"/>
        <v>48</v>
      </c>
      <c r="AB124">
        <f ca="1"/>
        <v>0.99998067950533198</v>
      </c>
      <c r="AD124" s="2">
        <f t="shared" ca="1" si="12"/>
        <v>45271</v>
      </c>
      <c r="AE124" s="46">
        <f t="shared" ca="1" si="13"/>
        <v>0</v>
      </c>
      <c r="AG124" s="72">
        <f t="shared" ca="1" si="17"/>
        <v>40.656589419544432</v>
      </c>
      <c r="AH124" s="72">
        <f t="shared" ca="1" si="18"/>
        <v>40.656589419544432</v>
      </c>
      <c r="AI124" s="3">
        <f t="shared" ca="1" si="19"/>
        <v>0</v>
      </c>
    </row>
    <row r="125" spans="7:35" x14ac:dyDescent="0.25">
      <c r="G125" s="3">
        <f t="shared" ca="1" si="14"/>
        <v>302</v>
      </c>
      <c r="H125" s="105">
        <f t="shared" ca="1" si="16"/>
        <v>45227</v>
      </c>
      <c r="I125" s="133">
        <f ca="1">HLOOKUP($H$4,'Met Data'!$A$2:$F$368,G125,FALSE)</f>
        <v>13.0242424242424</v>
      </c>
      <c r="J125" s="133">
        <f ca="1">HLOOKUP($H$4,'Met Data'!$H$2:$M$368,G125,FALSE)*L125</f>
        <v>1.6848484848484799</v>
      </c>
      <c r="K125" s="106">
        <f ca="1">HLOOKUP($H$4,'Met Data'!$O$2:$T$368,G125,FALSE)</f>
        <v>4.06785476536513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45272</v>
      </c>
      <c r="Q125">
        <f ca="1"/>
        <v>36.588815108112463</v>
      </c>
      <c r="R125">
        <f ca="1"/>
        <v>2.5804972379872599</v>
      </c>
      <c r="S125">
        <f ca="1"/>
        <v>3.9595099707669929E-6</v>
      </c>
      <c r="T125">
        <f ca="1"/>
        <v>0.9345780170114002</v>
      </c>
      <c r="U125">
        <f ca="1"/>
        <v>0</v>
      </c>
      <c r="V125">
        <f ca="1"/>
        <v>92.802205304380806</v>
      </c>
      <c r="W125">
        <f ca="1"/>
        <v>60.321433447847497</v>
      </c>
      <c r="X125">
        <f ca="1"/>
        <v>0</v>
      </c>
      <c r="Y125">
        <f ca="1"/>
        <v>0.7322785104705023</v>
      </c>
      <c r="Z125">
        <f ca="1"/>
        <v>0</v>
      </c>
      <c r="AA125">
        <f ca="1"/>
        <v>0</v>
      </c>
      <c r="AB125">
        <f ca="1"/>
        <v>0.99998446022493903</v>
      </c>
      <c r="AD125" s="2">
        <f t="shared" ca="1" si="12"/>
        <v>45272</v>
      </c>
      <c r="AE125" s="46">
        <f t="shared" ca="1" si="13"/>
        <v>0</v>
      </c>
      <c r="AG125" s="72">
        <f t="shared" ca="1" si="17"/>
        <v>39.169312346099723</v>
      </c>
      <c r="AH125" s="72">
        <f t="shared" ca="1" si="18"/>
        <v>39.169312346099723</v>
      </c>
      <c r="AI125" s="3">
        <f t="shared" ca="1" si="19"/>
        <v>0</v>
      </c>
    </row>
    <row r="126" spans="7:35" x14ac:dyDescent="0.25">
      <c r="G126" s="3">
        <f t="shared" ca="1" si="14"/>
        <v>303</v>
      </c>
      <c r="H126" s="105">
        <f t="shared" ca="1" si="16"/>
        <v>45228</v>
      </c>
      <c r="I126" s="133">
        <f ca="1">HLOOKUP($H$4,'Met Data'!$A$2:$F$368,G126,FALSE)</f>
        <v>13.2075757575757</v>
      </c>
      <c r="J126" s="133">
        <f ca="1">HLOOKUP($H$4,'Met Data'!$H$2:$M$368,G126,FALSE)*L126</f>
        <v>1</v>
      </c>
      <c r="K126" s="106">
        <f ca="1">HLOOKUP($H$4,'Met Data'!$O$2:$T$368,G126,FALSE)</f>
        <v>3.8638743234578601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45273</v>
      </c>
      <c r="Q126">
        <f ca="1"/>
        <v>34.953375922489343</v>
      </c>
      <c r="R126">
        <f ca="1"/>
        <v>2.4748924685575999</v>
      </c>
      <c r="S126">
        <f ca="1"/>
        <v>3.0881312402558916E-6</v>
      </c>
      <c r="T126">
        <f ca="1"/>
        <v>0.8394501948032379</v>
      </c>
      <c r="U126">
        <f ca="1"/>
        <v>0</v>
      </c>
      <c r="V126">
        <f ca="1"/>
        <v>95.277097772938404</v>
      </c>
      <c r="W126">
        <f ca="1"/>
        <v>61.9301135524099</v>
      </c>
      <c r="X126">
        <f ca="1"/>
        <v>0</v>
      </c>
      <c r="Y126">
        <f ca="1"/>
        <v>0.71199484473823171</v>
      </c>
      <c r="Z126">
        <f ca="1"/>
        <v>0</v>
      </c>
      <c r="AA126">
        <f ca="1"/>
        <v>0</v>
      </c>
      <c r="AB126">
        <f ca="1"/>
        <v>0.99998733509707705</v>
      </c>
      <c r="AD126" s="2">
        <f t="shared" ca="1" si="12"/>
        <v>45273</v>
      </c>
      <c r="AE126" s="46">
        <f t="shared" ca="1" si="13"/>
        <v>0</v>
      </c>
      <c r="AG126" s="72">
        <f t="shared" ca="1" si="17"/>
        <v>37.428268391046942</v>
      </c>
      <c r="AH126" s="72">
        <f t="shared" ca="1" si="18"/>
        <v>37.428268391046942</v>
      </c>
      <c r="AI126" s="3">
        <f t="shared" ca="1" si="19"/>
        <v>0</v>
      </c>
    </row>
    <row r="127" spans="7:35" x14ac:dyDescent="0.25">
      <c r="G127" s="3">
        <f t="shared" ca="1" si="14"/>
        <v>304</v>
      </c>
      <c r="H127" s="105">
        <f t="shared" ca="1" si="16"/>
        <v>45229</v>
      </c>
      <c r="I127" s="133">
        <f ca="1">HLOOKUP($H$4,'Met Data'!$A$2:$F$368,G127,FALSE)</f>
        <v>12.865151515151499</v>
      </c>
      <c r="J127" s="133">
        <f ca="1">HLOOKUP($H$4,'Met Data'!$H$2:$M$368,G127,FALSE)*L127</f>
        <v>1.44848484848484</v>
      </c>
      <c r="K127" s="106">
        <f ca="1">HLOOKUP($H$4,'Met Data'!$O$2:$T$368,G127,FALSE)</f>
        <v>4.2171092806571897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45274</v>
      </c>
      <c r="Q127">
        <f ca="1"/>
        <v>33.303675055537305</v>
      </c>
      <c r="R127">
        <f ca="1"/>
        <v>2.4058423579573001</v>
      </c>
      <c r="S127">
        <f ca="1"/>
        <v>2.4305440196262991E-6</v>
      </c>
      <c r="T127">
        <f ca="1"/>
        <v>0.75613906046123891</v>
      </c>
      <c r="U127">
        <f ca="1"/>
        <v>0</v>
      </c>
      <c r="V127">
        <f ca="1"/>
        <v>97.682940130895702</v>
      </c>
      <c r="W127">
        <f ca="1"/>
        <v>63.493911085082203</v>
      </c>
      <c r="X127">
        <f ca="1"/>
        <v>0</v>
      </c>
      <c r="Y127">
        <f ca="1"/>
        <v>0.67819698254279381</v>
      </c>
      <c r="Z127">
        <f ca="1"/>
        <v>0</v>
      </c>
      <c r="AA127">
        <f ca="1"/>
        <v>0</v>
      </c>
      <c r="AB127">
        <f ca="1"/>
        <v>0.99998957954208201</v>
      </c>
      <c r="AD127" s="2">
        <f t="shared" ca="1" si="12"/>
        <v>45274</v>
      </c>
      <c r="AE127" s="46">
        <f t="shared" ca="1" si="13"/>
        <v>0</v>
      </c>
      <c r="AG127" s="72">
        <f t="shared" ca="1" si="17"/>
        <v>35.709517413494602</v>
      </c>
      <c r="AH127" s="72">
        <f t="shared" ca="1" si="18"/>
        <v>35.709517413494602</v>
      </c>
      <c r="AI127" s="3">
        <f t="shared" ca="1" si="19"/>
        <v>0</v>
      </c>
    </row>
    <row r="128" spans="7:35" x14ac:dyDescent="0.25">
      <c r="G128" s="3">
        <f t="shared" ca="1" si="14"/>
        <v>305</v>
      </c>
      <c r="H128" s="105">
        <f t="shared" ca="1" si="16"/>
        <v>45230</v>
      </c>
      <c r="I128" s="133">
        <f ca="1">HLOOKUP($H$4,'Met Data'!$A$2:$F$368,G128,FALSE)</f>
        <v>12.8045454545454</v>
      </c>
      <c r="J128" s="133">
        <f ca="1">HLOOKUP($H$4,'Met Data'!$H$2:$M$368,G128,FALSE)*L128</f>
        <v>0.38787878787878699</v>
      </c>
      <c r="K128" s="106">
        <f ca="1">HLOOKUP($H$4,'Met Data'!$O$2:$T$368,G128,FALSE)</f>
        <v>4.4006301765887699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45275</v>
      </c>
      <c r="Q128">
        <f ca="1"/>
        <v>31.457170283315406</v>
      </c>
      <c r="R128">
        <f ca="1"/>
        <v>2.6345756172795101</v>
      </c>
      <c r="S128">
        <f ca="1"/>
        <v>2.1701716546839853E-6</v>
      </c>
      <c r="T128">
        <f ca="1"/>
        <v>0.78806867488595334</v>
      </c>
      <c r="U128">
        <f ca="1"/>
        <v>0</v>
      </c>
      <c r="V128">
        <f ca="1"/>
        <v>100.317515748175</v>
      </c>
      <c r="W128">
        <f ca="1"/>
        <v>65.206385236313807</v>
      </c>
      <c r="X128">
        <f ca="1"/>
        <v>0</v>
      </c>
      <c r="Y128">
        <f ca="1"/>
        <v>0.64143414901518492</v>
      </c>
      <c r="Z128">
        <f ca="1"/>
        <v>0</v>
      </c>
      <c r="AA128">
        <f ca="1"/>
        <v>0</v>
      </c>
      <c r="AB128">
        <f ca="1"/>
        <v>0.99999154953898906</v>
      </c>
      <c r="AD128" s="2">
        <f t="shared" ca="1" si="12"/>
        <v>45275</v>
      </c>
      <c r="AE128" s="46">
        <f t="shared" ca="1" si="13"/>
        <v>0</v>
      </c>
      <c r="AG128" s="72">
        <f t="shared" ca="1" si="17"/>
        <v>34.091745900594915</v>
      </c>
      <c r="AH128" s="72">
        <f t="shared" ca="1" si="18"/>
        <v>34.091745900594915</v>
      </c>
      <c r="AI128" s="3">
        <f t="shared" ca="1" si="19"/>
        <v>0</v>
      </c>
    </row>
    <row r="129" spans="7:35" x14ac:dyDescent="0.25">
      <c r="G129" s="3">
        <f t="shared" ca="1" si="14"/>
        <v>306</v>
      </c>
      <c r="H129" s="105">
        <f t="shared" ca="1" si="16"/>
        <v>45231</v>
      </c>
      <c r="I129" s="133">
        <f ca="1">HLOOKUP($H$4,'Met Data'!$A$2:$F$368,G129,FALSE)</f>
        <v>13.4363636363636</v>
      </c>
      <c r="J129" s="133">
        <f ca="1">HLOOKUP($H$4,'Met Data'!$H$2:$M$368,G129,FALSE)*L129</f>
        <v>0.82121212121212095</v>
      </c>
      <c r="K129" s="106">
        <f ca="1">HLOOKUP($H$4,'Met Data'!$O$2:$T$368,G129,FALSE)</f>
        <v>4.6060103377193604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45276</v>
      </c>
      <c r="Q129">
        <f ca="1"/>
        <v>78.383731518547961</v>
      </c>
      <c r="R129">
        <f ca="1"/>
        <v>2.6117611999527401</v>
      </c>
      <c r="S129">
        <f ca="1"/>
        <v>1.786492574795896E-6</v>
      </c>
      <c r="T129">
        <f ca="1"/>
        <v>0.73832064869271075</v>
      </c>
      <c r="U129">
        <f ca="1"/>
        <v>61</v>
      </c>
      <c r="V129">
        <f ca="1"/>
        <v>102.92927694812801</v>
      </c>
      <c r="W129">
        <f ca="1"/>
        <v>66.904030016283102</v>
      </c>
      <c r="X129">
        <f ca="1"/>
        <v>12.199999999999998</v>
      </c>
      <c r="Y129">
        <f ca="1"/>
        <v>0.61925898596344886</v>
      </c>
      <c r="Z129">
        <f ca="1"/>
        <v>0</v>
      </c>
      <c r="AA129">
        <f ca="1"/>
        <v>0</v>
      </c>
      <c r="AB129">
        <f ca="1"/>
        <v>0.99999310742196101</v>
      </c>
      <c r="AD129" s="2">
        <f t="shared" ca="1" si="12"/>
        <v>45276</v>
      </c>
      <c r="AE129" s="46">
        <f t="shared" ca="1" si="13"/>
        <v>61</v>
      </c>
      <c r="AG129" s="72">
        <f t="shared" ca="1" si="17"/>
        <v>93.195492718500702</v>
      </c>
      <c r="AH129" s="72">
        <f t="shared" ca="1" si="18"/>
        <v>93.195492718500702</v>
      </c>
      <c r="AI129" s="3">
        <f t="shared" ca="1" si="19"/>
        <v>0</v>
      </c>
    </row>
    <row r="130" spans="7:35" x14ac:dyDescent="0.25">
      <c r="G130" s="3">
        <f t="shared" ca="1" si="14"/>
        <v>307</v>
      </c>
      <c r="H130" s="105">
        <f t="shared" ca="1" si="16"/>
        <v>45232</v>
      </c>
      <c r="I130" s="133">
        <f ca="1">HLOOKUP($H$4,'Met Data'!$A$2:$F$368,G130,FALSE)</f>
        <v>12.756060606060601</v>
      </c>
      <c r="J130" s="133">
        <f ca="1">HLOOKUP($H$4,'Met Data'!$H$2:$M$368,G130,FALSE)*L130</f>
        <v>1.5727272727272701</v>
      </c>
      <c r="K130" s="106">
        <f ca="1">HLOOKUP($H$4,'Met Data'!$O$2:$T$368,G130,FALSE)</f>
        <v>4.4078340774843401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45277</v>
      </c>
      <c r="Q130">
        <f ca="1"/>
        <v>76.47796008560023</v>
      </c>
      <c r="R130">
        <f ca="1"/>
        <v>2.6067269875773902</v>
      </c>
      <c r="S130">
        <f ca="1"/>
        <v>1.4988405397333918E-6</v>
      </c>
      <c r="T130">
        <f ca="1"/>
        <v>0.70095405578911396</v>
      </c>
      <c r="U130">
        <f ca="1"/>
        <v>0</v>
      </c>
      <c r="V130">
        <f ca="1"/>
        <v>105.536003935705</v>
      </c>
      <c r="W130">
        <f ca="1"/>
        <v>68.598402558208406</v>
      </c>
      <c r="X130">
        <f ca="1"/>
        <v>0</v>
      </c>
      <c r="Y130">
        <f ca="1"/>
        <v>0.59955922687437679</v>
      </c>
      <c r="Z130">
        <f ca="1"/>
        <v>0</v>
      </c>
      <c r="AA130">
        <f ca="1"/>
        <v>0</v>
      </c>
      <c r="AB130">
        <f ca="1"/>
        <v>0.99999435496295896</v>
      </c>
      <c r="AD130" s="2">
        <f t="shared" ca="1" si="12"/>
        <v>45277</v>
      </c>
      <c r="AE130" s="46">
        <f t="shared" ca="1" si="13"/>
        <v>0</v>
      </c>
      <c r="AG130" s="72">
        <f t="shared" ca="1" si="17"/>
        <v>79.084687073177619</v>
      </c>
      <c r="AH130" s="72">
        <f t="shared" ca="1" si="18"/>
        <v>79.084687073177619</v>
      </c>
      <c r="AI130" s="3">
        <f t="shared" ca="1" si="19"/>
        <v>0</v>
      </c>
    </row>
    <row r="131" spans="7:35" x14ac:dyDescent="0.25">
      <c r="G131" s="3">
        <f t="shared" ca="1" si="14"/>
        <v>308</v>
      </c>
      <c r="H131" s="105">
        <f t="shared" ca="1" si="16"/>
        <v>45233</v>
      </c>
      <c r="I131" s="133">
        <f ca="1">HLOOKUP($H$4,'Met Data'!$A$2:$F$368,G131,FALSE)</f>
        <v>12.960606060606001</v>
      </c>
      <c r="J131" s="133">
        <f ca="1">HLOOKUP($H$4,'Met Data'!$H$2:$M$368,G131,FALSE)*L131</f>
        <v>0.86969696969696897</v>
      </c>
      <c r="K131" s="106">
        <f ca="1">HLOOKUP($H$4,'Met Data'!$O$2:$T$368,G131,FALSE)</f>
        <v>4.7355757109775203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45278</v>
      </c>
      <c r="Q131">
        <f ca="1"/>
        <v>74.471320101845748</v>
      </c>
      <c r="R131">
        <f ca="1"/>
        <v>2.6979777509885801</v>
      </c>
      <c r="S131">
        <f ca="1"/>
        <v>1.2980588910123097E-6</v>
      </c>
      <c r="T131">
        <f ca="1"/>
        <v>0.69133646917521152</v>
      </c>
      <c r="U131">
        <f ca="1"/>
        <v>0</v>
      </c>
      <c r="V131">
        <f ca="1"/>
        <v>108.23398168669399</v>
      </c>
      <c r="W131">
        <f ca="1"/>
        <v>70.352088096350997</v>
      </c>
      <c r="X131">
        <f ca="1"/>
        <v>0</v>
      </c>
      <c r="Y131">
        <f ca="1"/>
        <v>0.57374875600588848</v>
      </c>
      <c r="Z131">
        <f ca="1"/>
        <v>0</v>
      </c>
      <c r="AA131">
        <f ca="1"/>
        <v>0</v>
      </c>
      <c r="AB131">
        <f ca="1"/>
        <v>0.99999539190735398</v>
      </c>
      <c r="AD131" s="2">
        <f t="shared" ca="1" si="12"/>
        <v>45278</v>
      </c>
      <c r="AE131" s="46">
        <f t="shared" ca="1" si="13"/>
        <v>0</v>
      </c>
      <c r="AG131" s="72">
        <f t="shared" ca="1" si="17"/>
        <v>77.169297852834333</v>
      </c>
      <c r="AH131" s="72">
        <f t="shared" ca="1" si="18"/>
        <v>77.169297852834333</v>
      </c>
      <c r="AI131" s="3">
        <f t="shared" ca="1" si="19"/>
        <v>0</v>
      </c>
    </row>
    <row r="132" spans="7:35" x14ac:dyDescent="0.25">
      <c r="G132" s="3">
        <f t="shared" ca="1" si="14"/>
        <v>309</v>
      </c>
      <c r="H132" s="105">
        <f t="shared" ca="1" si="16"/>
        <v>45234</v>
      </c>
      <c r="I132" s="133">
        <f ca="1">HLOOKUP($H$4,'Met Data'!$A$2:$F$368,G132,FALSE)</f>
        <v>13.0166666666666</v>
      </c>
      <c r="J132" s="133">
        <f ca="1">HLOOKUP($H$4,'Met Data'!$H$2:$M$368,G132,FALSE)*L132</f>
        <v>0.972727272727272</v>
      </c>
      <c r="K132" s="106">
        <f ca="1">HLOOKUP($H$4,'Met Data'!$O$2:$T$368,G132,FALSE)</f>
        <v>4.6816234323257397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45279</v>
      </c>
      <c r="Q132">
        <f ca="1"/>
        <v>72.388617179557613</v>
      </c>
      <c r="R132">
        <f ca="1"/>
        <v>2.7513849761238598</v>
      </c>
      <c r="S132">
        <f ca="1"/>
        <v>1.1074988983636073E-6</v>
      </c>
      <c r="T132">
        <f ca="1"/>
        <v>0.6686809463368294</v>
      </c>
      <c r="U132">
        <f ca="1"/>
        <v>0</v>
      </c>
      <c r="V132">
        <f ca="1"/>
        <v>110.985366662818</v>
      </c>
      <c r="W132">
        <f ca="1"/>
        <v>72.140488330831502</v>
      </c>
      <c r="X132">
        <f ca="1"/>
        <v>0</v>
      </c>
      <c r="Y132">
        <f ca="1"/>
        <v>0.54702597599883174</v>
      </c>
      <c r="Z132">
        <f ca="1"/>
        <v>0</v>
      </c>
      <c r="AA132">
        <f ca="1"/>
        <v>0</v>
      </c>
      <c r="AB132">
        <f ca="1"/>
        <v>0.999996239718138</v>
      </c>
      <c r="AD132" s="2">
        <f t="shared" ca="1" si="12"/>
        <v>45279</v>
      </c>
      <c r="AE132" s="46">
        <f t="shared" ca="1" si="13"/>
        <v>0</v>
      </c>
      <c r="AG132" s="72">
        <f t="shared" ca="1" si="17"/>
        <v>75.140002155681486</v>
      </c>
      <c r="AH132" s="72">
        <f t="shared" ca="1" si="18"/>
        <v>75.140002155681472</v>
      </c>
      <c r="AI132" s="3">
        <f t="shared" ca="1" si="19"/>
        <v>0</v>
      </c>
    </row>
    <row r="133" spans="7:35" x14ac:dyDescent="0.25">
      <c r="G133" s="3">
        <f t="shared" ca="1" si="14"/>
        <v>310</v>
      </c>
      <c r="H133" s="105">
        <f t="shared" ca="1" si="16"/>
        <v>45235</v>
      </c>
      <c r="I133" s="133">
        <f ca="1">HLOOKUP($H$4,'Met Data'!$A$2:$F$368,G133,FALSE)</f>
        <v>12.8439393939393</v>
      </c>
      <c r="J133" s="133">
        <f ca="1">HLOOKUP($H$4,'Met Data'!$H$2:$M$368,G133,FALSE)*L133</f>
        <v>1.7090909090908999</v>
      </c>
      <c r="K133" s="106">
        <f ca="1">HLOOKUP($H$4,'Met Data'!$O$2:$T$368,G133,FALSE)</f>
        <v>4.6727463269062399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45280</v>
      </c>
      <c r="Q133">
        <f ca="1"/>
        <v>70.294783118782163</v>
      </c>
      <c r="R133">
        <f ca="1"/>
        <v>2.73846583589116</v>
      </c>
      <c r="S133">
        <f ca="1"/>
        <v>9.6099180411854259E-7</v>
      </c>
      <c r="T133">
        <f ca="1"/>
        <v>0.6446308141239</v>
      </c>
      <c r="U133">
        <f ca="1"/>
        <v>0</v>
      </c>
      <c r="V133">
        <f ca="1"/>
        <v>113.723832498709</v>
      </c>
      <c r="W133">
        <f ca="1"/>
        <v>73.920491124160804</v>
      </c>
      <c r="X133">
        <f ca="1"/>
        <v>0</v>
      </c>
      <c r="Y133">
        <f ca="1"/>
        <v>0.54028031015633615</v>
      </c>
      <c r="Z133">
        <f ca="1"/>
        <v>0</v>
      </c>
      <c r="AA133">
        <f ca="1"/>
        <v>0</v>
      </c>
      <c r="AB133">
        <f ca="1"/>
        <v>0.99999691793805701</v>
      </c>
      <c r="AD133" s="2">
        <f t="shared" ca="1" si="12"/>
        <v>45280</v>
      </c>
      <c r="AE133" s="46">
        <f t="shared" ca="1" si="13"/>
        <v>0</v>
      </c>
      <c r="AG133" s="72">
        <f t="shared" ca="1" si="17"/>
        <v>73.033248954673311</v>
      </c>
      <c r="AH133" s="72">
        <f t="shared" ca="1" si="18"/>
        <v>73.033248954673326</v>
      </c>
      <c r="AI133" s="3">
        <f t="shared" ca="1" si="19"/>
        <v>0</v>
      </c>
    </row>
    <row r="134" spans="7:35" x14ac:dyDescent="0.25">
      <c r="G134" s="3">
        <f t="shared" ca="1" si="14"/>
        <v>311</v>
      </c>
      <c r="H134" s="105">
        <f t="shared" ca="1" si="16"/>
        <v>45236</v>
      </c>
      <c r="I134" s="133">
        <f ca="1">HLOOKUP($H$4,'Met Data'!$A$2:$F$368,G134,FALSE)</f>
        <v>12.319696969696899</v>
      </c>
      <c r="J134" s="133">
        <f ca="1">HLOOKUP($H$4,'Met Data'!$H$2:$M$368,G134,FALSE)*L134</f>
        <v>1.2030303030303</v>
      </c>
      <c r="K134" s="106">
        <f ca="1">HLOOKUP($H$4,'Met Data'!$O$2:$T$368,G134,FALSE)</f>
        <v>4.2180058763468802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45281</v>
      </c>
      <c r="Q134">
        <f ca="1"/>
        <v>68.162116409588265</v>
      </c>
      <c r="R134">
        <f ca="1"/>
        <v>2.74828008692519</v>
      </c>
      <c r="S134">
        <f ca="1"/>
        <v>8.1952685918507487E-7</v>
      </c>
      <c r="T134">
        <f ca="1"/>
        <v>0.61561255820443062</v>
      </c>
      <c r="U134">
        <f ca="1"/>
        <v>0</v>
      </c>
      <c r="V134">
        <f ca="1"/>
        <v>116.47211258563399</v>
      </c>
      <c r="W134">
        <f ca="1"/>
        <v>75.7068731806621</v>
      </c>
      <c r="X134">
        <f ca="1"/>
        <v>0</v>
      </c>
      <c r="Y134">
        <f ca="1"/>
        <v>0.51778335171470258</v>
      </c>
      <c r="Z134">
        <f ca="1"/>
        <v>0</v>
      </c>
      <c r="AA134">
        <f ca="1"/>
        <v>0</v>
      </c>
      <c r="AB134">
        <f ca="1"/>
        <v>0.99999746730504202</v>
      </c>
      <c r="AD134" s="2">
        <f t="shared" ref="AD134:AD197" ca="1" si="22">IFERROR(P134,$AD$4)</f>
        <v>45281</v>
      </c>
      <c r="AE134" s="46">
        <f t="shared" ref="AE134:AE197" ca="1" si="23">IFERROR(U134,0)</f>
        <v>0</v>
      </c>
      <c r="AG134" s="72">
        <f t="shared" ca="1" si="17"/>
        <v>70.910396496513457</v>
      </c>
      <c r="AH134" s="72">
        <f t="shared" ca="1" si="18"/>
        <v>70.910396496513457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312</v>
      </c>
      <c r="H135" s="105">
        <f t="shared" ca="1" si="16"/>
        <v>45237</v>
      </c>
      <c r="I135" s="133">
        <f ca="1">HLOOKUP($H$4,'Met Data'!$A$2:$F$368,G135,FALSE)</f>
        <v>12.6025757575757</v>
      </c>
      <c r="J135" s="133">
        <f ca="1">HLOOKUP($H$4,'Met Data'!$H$2:$M$368,G135,FALSE)*L135</f>
        <v>2.3060606060605999</v>
      </c>
      <c r="K135" s="106">
        <f ca="1">HLOOKUP($H$4,'Met Data'!$O$2:$T$368,G135,FALSE)</f>
        <v>4.3094672807614902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45282</v>
      </c>
      <c r="Q135">
        <f ca="1"/>
        <v>65.918341882326899</v>
      </c>
      <c r="R135">
        <f ca="1"/>
        <v>2.8548435250762099</v>
      </c>
      <c r="S135">
        <f ca="1"/>
        <v>7.210415753558846E-7</v>
      </c>
      <c r="T135">
        <f ca="1"/>
        <v>0.61106827677327369</v>
      </c>
      <c r="U135">
        <f ca="1"/>
        <v>0</v>
      </c>
      <c r="V135">
        <f ca="1"/>
        <v>119.32695611071</v>
      </c>
      <c r="W135">
        <f ca="1"/>
        <v>77.562521471961702</v>
      </c>
      <c r="X135">
        <f ca="1"/>
        <v>0</v>
      </c>
      <c r="Y135">
        <f ca="1"/>
        <v>0.49156164965474158</v>
      </c>
      <c r="Z135">
        <f ca="1"/>
        <v>0</v>
      </c>
      <c r="AA135">
        <f ca="1"/>
        <v>0</v>
      </c>
      <c r="AB135">
        <f ca="1"/>
        <v>0.999997927693551</v>
      </c>
      <c r="AD135" s="2">
        <f t="shared" ca="1" si="22"/>
        <v>45282</v>
      </c>
      <c r="AE135" s="46">
        <f t="shared" ca="1" si="23"/>
        <v>0</v>
      </c>
      <c r="AG135" s="72">
        <f t="shared" ca="1" si="17"/>
        <v>68.773185407403105</v>
      </c>
      <c r="AH135" s="72">
        <f t="shared" ca="1" si="18"/>
        <v>68.773185407403105</v>
      </c>
      <c r="AI135" s="3">
        <f t="shared" ca="1" si="19"/>
        <v>0</v>
      </c>
    </row>
    <row r="136" spans="7:35" x14ac:dyDescent="0.25">
      <c r="G136" s="3">
        <f t="shared" ca="1" si="24"/>
        <v>313</v>
      </c>
      <c r="H136" s="105">
        <f t="shared" ref="H136:H199" ca="1" si="26">H135+1</f>
        <v>45238</v>
      </c>
      <c r="I136" s="133">
        <f ca="1">HLOOKUP($H$4,'Met Data'!$A$2:$F$368,G136,FALSE)</f>
        <v>12.547121212121199</v>
      </c>
      <c r="J136" s="133">
        <f ca="1">HLOOKUP($H$4,'Met Data'!$H$2:$M$368,G136,FALSE)*L136</f>
        <v>0.92727272727272703</v>
      </c>
      <c r="K136" s="106">
        <f ca="1">HLOOKUP($H$4,'Met Data'!$O$2:$T$368,G136,FALSE)</f>
        <v>4.1336721636417497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45283</v>
      </c>
      <c r="Q136">
        <f ca="1"/>
        <v>63.638160868935678</v>
      </c>
      <c r="R136">
        <f ca="1"/>
        <v>2.8602209682458</v>
      </c>
      <c r="S136">
        <f ca="1"/>
        <v>6.1203211507649857E-7</v>
      </c>
      <c r="T136">
        <f ca="1"/>
        <v>0.58003934282245961</v>
      </c>
      <c r="U136">
        <f ca="1"/>
        <v>0</v>
      </c>
      <c r="V136">
        <f ca="1"/>
        <v>122.187177078956</v>
      </c>
      <c r="W136">
        <f ca="1"/>
        <v>79.421665101321494</v>
      </c>
      <c r="X136">
        <f ca="1"/>
        <v>0</v>
      </c>
      <c r="Y136">
        <f ca="1"/>
        <v>0.46522656387774419</v>
      </c>
      <c r="Z136">
        <f ca="1"/>
        <v>0</v>
      </c>
      <c r="AA136">
        <f ca="1"/>
        <v>0</v>
      </c>
      <c r="AB136">
        <f ca="1"/>
        <v>0.99999829960897202</v>
      </c>
      <c r="AD136" s="2">
        <f t="shared" ca="1" si="22"/>
        <v>45283</v>
      </c>
      <c r="AE136" s="46">
        <f t="shared" ca="1" si="23"/>
        <v>0</v>
      </c>
      <c r="AG136" s="72">
        <f t="shared" ref="AG136:AG199" ca="1" si="27">Q135+S136+T136+U136</f>
        <v>66.498381837181469</v>
      </c>
      <c r="AH136" s="72">
        <f t="shared" ref="AH136:AH199" ca="1" si="28">Q136+R136+X136</f>
        <v>66.498381837181483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314</v>
      </c>
      <c r="H137" s="105">
        <f t="shared" ca="1" si="26"/>
        <v>45239</v>
      </c>
      <c r="I137" s="133">
        <f ca="1">HLOOKUP($H$4,'Met Data'!$A$2:$F$368,G137,FALSE)</f>
        <v>12.8168181818181</v>
      </c>
      <c r="J137" s="133">
        <f ca="1">HLOOKUP($H$4,'Met Data'!$H$2:$M$368,G137,FALSE)*L137</f>
        <v>1.0212121212121199</v>
      </c>
      <c r="K137" s="106">
        <f ca="1">HLOOKUP($H$4,'Met Data'!$O$2:$T$368,G137,FALSE)</f>
        <v>4.3938915359457704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45284</v>
      </c>
      <c r="Q137">
        <f ca="1"/>
        <v>61.18865721282306</v>
      </c>
      <c r="R137">
        <f ca="1"/>
        <v>3.0304369310058101</v>
      </c>
      <c r="S137">
        <f ca="1"/>
        <v>5.3443114125670849E-7</v>
      </c>
      <c r="T137">
        <f ca="1"/>
        <v>0.58093274046205245</v>
      </c>
      <c r="U137">
        <f ca="1"/>
        <v>0</v>
      </c>
      <c r="V137">
        <f ca="1"/>
        <v>125.21761400996201</v>
      </c>
      <c r="W137">
        <f ca="1"/>
        <v>81.391449106475207</v>
      </c>
      <c r="X137">
        <f ca="1"/>
        <v>0</v>
      </c>
      <c r="Y137">
        <f ca="1"/>
        <v>0.42542200060842433</v>
      </c>
      <c r="Z137">
        <f ca="1"/>
        <v>0</v>
      </c>
      <c r="AA137">
        <f ca="1"/>
        <v>0</v>
      </c>
      <c r="AB137">
        <f ca="1"/>
        <v>0.99999861654934497</v>
      </c>
      <c r="AD137" s="2">
        <f t="shared" ca="1" si="22"/>
        <v>45284</v>
      </c>
      <c r="AE137" s="46">
        <f t="shared" ca="1" si="23"/>
        <v>0</v>
      </c>
      <c r="AG137" s="72">
        <f t="shared" ca="1" si="27"/>
        <v>64.219094143828869</v>
      </c>
      <c r="AH137" s="72">
        <f t="shared" ca="1" si="28"/>
        <v>64.219094143828869</v>
      </c>
      <c r="AI137" s="3">
        <f t="shared" ca="1" si="29"/>
        <v>0</v>
      </c>
    </row>
    <row r="138" spans="7:35" x14ac:dyDescent="0.25">
      <c r="G138" s="3">
        <f t="shared" ca="1" si="24"/>
        <v>315</v>
      </c>
      <c r="H138" s="105">
        <f t="shared" ca="1" si="26"/>
        <v>45240</v>
      </c>
      <c r="I138" s="133">
        <f ca="1">HLOOKUP($H$4,'Met Data'!$A$2:$F$368,G138,FALSE)</f>
        <v>14.334848484848401</v>
      </c>
      <c r="J138" s="133">
        <f ca="1">HLOOKUP($H$4,'Met Data'!$H$2:$M$368,G138,FALSE)*L138</f>
        <v>0.51818181818181797</v>
      </c>
      <c r="K138" s="106">
        <f ca="1">HLOOKUP($H$4,'Met Data'!$O$2:$T$368,G138,FALSE)</f>
        <v>5.1862560436492702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45285</v>
      </c>
      <c r="Q138">
        <f ca="1"/>
        <v>59.044045208017302</v>
      </c>
      <c r="R138">
        <f ca="1"/>
        <v>3.0887957432790198</v>
      </c>
      <c r="S138">
        <f ca="1"/>
        <v>9.1576436972646787E-7</v>
      </c>
      <c r="T138">
        <f ca="1"/>
        <v>0.94418282270888787</v>
      </c>
      <c r="U138">
        <f ca="1"/>
        <v>0</v>
      </c>
      <c r="V138">
        <f ca="1"/>
        <v>128.30640975324101</v>
      </c>
      <c r="W138">
        <f ca="1"/>
        <v>83.399166339606595</v>
      </c>
      <c r="X138">
        <f ca="1"/>
        <v>0</v>
      </c>
      <c r="Y138">
        <f ca="1"/>
        <v>0.79012725339878642</v>
      </c>
      <c r="Z138">
        <f ca="1"/>
        <v>0</v>
      </c>
      <c r="AA138">
        <f ca="1"/>
        <v>48</v>
      </c>
      <c r="AB138">
        <f ca="1"/>
        <v>0.99999887517359998</v>
      </c>
      <c r="AD138" s="2">
        <f t="shared" ca="1" si="22"/>
        <v>45285</v>
      </c>
      <c r="AE138" s="46">
        <f t="shared" ca="1" si="23"/>
        <v>0</v>
      </c>
      <c r="AG138" s="72">
        <f t="shared" ca="1" si="27"/>
        <v>62.132840951296316</v>
      </c>
      <c r="AH138" s="72">
        <f t="shared" ca="1" si="28"/>
        <v>62.132840951296323</v>
      </c>
      <c r="AI138" s="3">
        <f t="shared" ca="1" si="29"/>
        <v>0</v>
      </c>
    </row>
    <row r="139" spans="7:35" x14ac:dyDescent="0.25">
      <c r="G139" s="3">
        <f t="shared" ca="1" si="24"/>
        <v>316</v>
      </c>
      <c r="H139" s="105">
        <f t="shared" ca="1" si="26"/>
        <v>45241</v>
      </c>
      <c r="I139" s="133">
        <f ca="1">HLOOKUP($H$4,'Met Data'!$A$2:$F$368,G139,FALSE)</f>
        <v>13.660606060606</v>
      </c>
      <c r="J139" s="133">
        <f ca="1">HLOOKUP($H$4,'Met Data'!$H$2:$M$368,G139,FALSE)*L139</f>
        <v>0.90606060606060601</v>
      </c>
      <c r="K139" s="106">
        <f ca="1">HLOOKUP($H$4,'Met Data'!$O$2:$T$368,G139,FALSE)</f>
        <v>4.8906124961293598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45286</v>
      </c>
      <c r="Q139">
        <f ca="1"/>
        <v>56.89394802050704</v>
      </c>
      <c r="R139">
        <f ca="1"/>
        <v>3.0040644700158898</v>
      </c>
      <c r="S139">
        <f ca="1"/>
        <v>7.1255304533775491E-7</v>
      </c>
      <c r="T139">
        <f ca="1"/>
        <v>0.85396656995258158</v>
      </c>
      <c r="U139">
        <f ca="1"/>
        <v>0</v>
      </c>
      <c r="V139">
        <f ca="1"/>
        <v>131.31047422325699</v>
      </c>
      <c r="W139">
        <f ca="1"/>
        <v>85.351808245116899</v>
      </c>
      <c r="X139">
        <f ca="1"/>
        <v>0</v>
      </c>
      <c r="Y139">
        <f ca="1"/>
        <v>0.75483946505090282</v>
      </c>
      <c r="Z139">
        <f ca="1"/>
        <v>0</v>
      </c>
      <c r="AA139">
        <f ca="1"/>
        <v>0</v>
      </c>
      <c r="AB139">
        <f ca="1"/>
        <v>0.999999077466731</v>
      </c>
      <c r="AD139" s="2">
        <f t="shared" ca="1" si="22"/>
        <v>45286</v>
      </c>
      <c r="AE139" s="46">
        <f t="shared" ca="1" si="23"/>
        <v>0</v>
      </c>
      <c r="AG139" s="72">
        <f t="shared" ca="1" si="27"/>
        <v>59.89801249052293</v>
      </c>
      <c r="AH139" s="72">
        <f t="shared" ca="1" si="28"/>
        <v>59.89801249052293</v>
      </c>
      <c r="AI139" s="3">
        <f t="shared" ca="1" si="29"/>
        <v>0</v>
      </c>
    </row>
    <row r="140" spans="7:35" x14ac:dyDescent="0.25">
      <c r="G140" s="3">
        <f t="shared" ca="1" si="24"/>
        <v>317</v>
      </c>
      <c r="H140" s="105">
        <f t="shared" ca="1" si="26"/>
        <v>45242</v>
      </c>
      <c r="I140" s="133">
        <f ca="1">HLOOKUP($H$4,'Met Data'!$A$2:$F$368,G140,FALSE)</f>
        <v>13.3045454545454</v>
      </c>
      <c r="J140" s="133">
        <f ca="1">HLOOKUP($H$4,'Met Data'!$H$2:$M$368,G140,FALSE)*L140</f>
        <v>2.2575757575757498</v>
      </c>
      <c r="K140" s="106">
        <f ca="1">HLOOKUP($H$4,'Met Data'!$O$2:$T$368,G140,FALSE)</f>
        <v>4.5262878878537398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45287</v>
      </c>
      <c r="Q140">
        <f ca="1"/>
        <v>54.423706382716105</v>
      </c>
      <c r="R140">
        <f ca="1"/>
        <v>3.4053803456846201</v>
      </c>
      <c r="S140">
        <f ca="1"/>
        <v>6.5161399256715523E-7</v>
      </c>
      <c r="T140">
        <f ca="1"/>
        <v>0.93513805627970015</v>
      </c>
      <c r="U140">
        <f ca="1"/>
        <v>0</v>
      </c>
      <c r="V140">
        <f ca="1"/>
        <v>134.71585456894101</v>
      </c>
      <c r="W140">
        <f ca="1"/>
        <v>87.565305469811904</v>
      </c>
      <c r="X140">
        <f ca="1"/>
        <v>0</v>
      </c>
      <c r="Y140">
        <f ca="1"/>
        <v>0.71650098327902245</v>
      </c>
      <c r="Z140">
        <f ca="1"/>
        <v>0</v>
      </c>
      <c r="AA140">
        <f ca="1"/>
        <v>0</v>
      </c>
      <c r="AB140">
        <f ca="1"/>
        <v>0.99999926065509803</v>
      </c>
      <c r="AD140" s="2">
        <f t="shared" ca="1" si="22"/>
        <v>45287</v>
      </c>
      <c r="AE140" s="46">
        <f t="shared" ca="1" si="23"/>
        <v>0</v>
      </c>
      <c r="AG140" s="72">
        <f t="shared" ca="1" si="27"/>
        <v>57.829086728400732</v>
      </c>
      <c r="AH140" s="72">
        <f t="shared" ca="1" si="28"/>
        <v>57.829086728400725</v>
      </c>
      <c r="AI140" s="3">
        <f t="shared" ca="1" si="29"/>
        <v>0</v>
      </c>
    </row>
    <row r="141" spans="7:35" x14ac:dyDescent="0.25">
      <c r="G141" s="3">
        <f t="shared" ca="1" si="24"/>
        <v>318</v>
      </c>
      <c r="H141" s="105">
        <f t="shared" ca="1" si="26"/>
        <v>45243</v>
      </c>
      <c r="I141" s="133">
        <f ca="1">HLOOKUP($H$4,'Met Data'!$A$2:$F$368,G141,FALSE)</f>
        <v>12.422727272727199</v>
      </c>
      <c r="J141" s="133">
        <f ca="1">HLOOKUP($H$4,'Met Data'!$H$2:$M$368,G141,FALSE)*L141</f>
        <v>1.1818181818181801</v>
      </c>
      <c r="K141" s="106">
        <f ca="1">HLOOKUP($H$4,'Met Data'!$O$2:$T$368,G141,FALSE)</f>
        <v>4.3459922348738003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45288</v>
      </c>
      <c r="Q141">
        <f ca="1"/>
        <v>51.838751932450663</v>
      </c>
      <c r="R141">
        <f ca="1"/>
        <v>3.50869121210218</v>
      </c>
      <c r="S141">
        <f ca="1"/>
        <v>5.4642932577149607E-7</v>
      </c>
      <c r="T141">
        <f ca="1"/>
        <v>0.92373621540740458</v>
      </c>
      <c r="U141">
        <f ca="1"/>
        <v>0</v>
      </c>
      <c r="V141">
        <f ca="1"/>
        <v>138.22454578104399</v>
      </c>
      <c r="W141">
        <f ca="1"/>
        <v>89.8459547576783</v>
      </c>
      <c r="X141">
        <f ca="1"/>
        <v>0</v>
      </c>
      <c r="Y141">
        <f ca="1"/>
        <v>0.69306117698373559</v>
      </c>
      <c r="Z141">
        <f ca="1"/>
        <v>0</v>
      </c>
      <c r="AA141">
        <f ca="1"/>
        <v>0</v>
      </c>
      <c r="AB141">
        <f ca="1"/>
        <v>0.99999940934591003</v>
      </c>
      <c r="AD141" s="2">
        <f t="shared" ca="1" si="22"/>
        <v>45288</v>
      </c>
      <c r="AE141" s="46">
        <f t="shared" ca="1" si="23"/>
        <v>0</v>
      </c>
      <c r="AG141" s="72">
        <f t="shared" ca="1" si="27"/>
        <v>55.347443144552834</v>
      </c>
      <c r="AH141" s="72">
        <f t="shared" ca="1" si="28"/>
        <v>55.347443144552841</v>
      </c>
      <c r="AI141" s="3">
        <f t="shared" ca="1" si="29"/>
        <v>0</v>
      </c>
    </row>
    <row r="142" spans="7:35" x14ac:dyDescent="0.25">
      <c r="G142" s="3">
        <f t="shared" ca="1" si="24"/>
        <v>319</v>
      </c>
      <c r="H142" s="105">
        <f t="shared" ca="1" si="26"/>
        <v>45244</v>
      </c>
      <c r="I142" s="133">
        <f ca="1">HLOOKUP($H$4,'Met Data'!$A$2:$F$368,G142,FALSE)</f>
        <v>12.9954545454545</v>
      </c>
      <c r="J142" s="133">
        <f ca="1">HLOOKUP($H$4,'Met Data'!$H$2:$M$368,G142,FALSE)*L142</f>
        <v>0.324242424242424</v>
      </c>
      <c r="K142" s="106">
        <f ca="1">HLOOKUP($H$4,'Met Data'!$O$2:$T$368,G142,FALSE)</f>
        <v>4.6406514807717096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45289</v>
      </c>
      <c r="Q142">
        <f ca="1"/>
        <v>49.353871561226534</v>
      </c>
      <c r="R142">
        <f ca="1"/>
        <v>3.2804047259438098</v>
      </c>
      <c r="S142">
        <f ca="1"/>
        <v>4.1160205397254321E-7</v>
      </c>
      <c r="T142">
        <f ca="1"/>
        <v>0.79552394311762975</v>
      </c>
      <c r="U142">
        <f ca="1"/>
        <v>0</v>
      </c>
      <c r="V142">
        <f ca="1"/>
        <v>141.504950506987</v>
      </c>
      <c r="W142">
        <f ca="1"/>
        <v>91.978217829541805</v>
      </c>
      <c r="X142">
        <f ca="1"/>
        <v>0</v>
      </c>
      <c r="Y142">
        <f ca="1"/>
        <v>0.66084680457053369</v>
      </c>
      <c r="Z142">
        <f ca="1"/>
        <v>0</v>
      </c>
      <c r="AA142">
        <f ca="1"/>
        <v>0</v>
      </c>
      <c r="AB142">
        <f ca="1"/>
        <v>0.99999951972558498</v>
      </c>
      <c r="AD142" s="2">
        <f t="shared" ca="1" si="22"/>
        <v>45289</v>
      </c>
      <c r="AE142" s="46">
        <f t="shared" ca="1" si="23"/>
        <v>0</v>
      </c>
      <c r="AG142" s="72">
        <f t="shared" ca="1" si="27"/>
        <v>52.634276287170344</v>
      </c>
      <c r="AH142" s="72">
        <f t="shared" ca="1" si="28"/>
        <v>52.634276287170344</v>
      </c>
      <c r="AI142" s="3">
        <f t="shared" ca="1" si="29"/>
        <v>0</v>
      </c>
    </row>
    <row r="143" spans="7:35" x14ac:dyDescent="0.25">
      <c r="G143" s="3">
        <f t="shared" ca="1" si="24"/>
        <v>320</v>
      </c>
      <c r="H143" s="105">
        <f t="shared" ca="1" si="26"/>
        <v>45245</v>
      </c>
      <c r="I143" s="133">
        <f ca="1">HLOOKUP($H$4,'Met Data'!$A$2:$F$368,G143,FALSE)</f>
        <v>13.430303030303</v>
      </c>
      <c r="J143" s="133">
        <f ca="1">HLOOKUP($H$4,'Met Data'!$H$2:$M$368,G143,FALSE)*L143</f>
        <v>0.469696969696969</v>
      </c>
      <c r="K143" s="106">
        <f ca="1">HLOOKUP($H$4,'Met Data'!$O$2:$T$368,G143,FALSE)</f>
        <v>5.0457035491188602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45290</v>
      </c>
      <c r="Q143">
        <f ca="1"/>
        <v>46.724323705267068</v>
      </c>
      <c r="R143">
        <f ca="1"/>
        <v>3.4398318190788202</v>
      </c>
      <c r="S143">
        <f ca="1"/>
        <v>3.6184676931271615E-7</v>
      </c>
      <c r="T143">
        <f ca="1"/>
        <v>0.8102836012725837</v>
      </c>
      <c r="U143">
        <f ca="1"/>
        <v>0</v>
      </c>
      <c r="V143">
        <f ca="1"/>
        <v>144.94478232606599</v>
      </c>
      <c r="W143">
        <f ca="1"/>
        <v>94.214108511942996</v>
      </c>
      <c r="X143">
        <f ca="1"/>
        <v>0</v>
      </c>
      <c r="Y143">
        <f ca="1"/>
        <v>0.64218076224570109</v>
      </c>
      <c r="Z143">
        <f ca="1"/>
        <v>0</v>
      </c>
      <c r="AA143">
        <f ca="1"/>
        <v>0</v>
      </c>
      <c r="AB143">
        <f ca="1"/>
        <v>0.99999961223247302</v>
      </c>
      <c r="AD143" s="2">
        <f t="shared" ca="1" si="22"/>
        <v>45290</v>
      </c>
      <c r="AE143" s="46">
        <f t="shared" ca="1" si="23"/>
        <v>0</v>
      </c>
      <c r="AG143" s="72">
        <f t="shared" ca="1" si="27"/>
        <v>50.16415552434588</v>
      </c>
      <c r="AH143" s="72">
        <f t="shared" ca="1" si="28"/>
        <v>50.164155524345887</v>
      </c>
      <c r="AI143" s="3">
        <f t="shared" ca="1" si="29"/>
        <v>0</v>
      </c>
    </row>
    <row r="144" spans="7:35" x14ac:dyDescent="0.25">
      <c r="G144" s="3">
        <f t="shared" ca="1" si="24"/>
        <v>321</v>
      </c>
      <c r="H144" s="105">
        <f t="shared" ca="1" si="26"/>
        <v>45246</v>
      </c>
      <c r="I144" s="133">
        <f ca="1">HLOOKUP($H$4,'Met Data'!$A$2:$F$368,G144,FALSE)</f>
        <v>13.7712121212121</v>
      </c>
      <c r="J144" s="133">
        <f ca="1">HLOOKUP($H$4,'Met Data'!$H$2:$M$368,G144,FALSE)*L144</f>
        <v>1.79696969696969</v>
      </c>
      <c r="K144" s="106">
        <f ca="1">HLOOKUP($H$4,'Met Data'!$O$2:$T$368,G144,FALSE)</f>
        <v>4.8091723913410096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45291</v>
      </c>
      <c r="Q144">
        <f ca="1"/>
        <v>44.087000056211906</v>
      </c>
      <c r="R144">
        <f ca="1"/>
        <v>3.3787049998581198</v>
      </c>
      <c r="S144">
        <f ca="1"/>
        <v>2.8915800580162986E-7</v>
      </c>
      <c r="T144">
        <f ca="1"/>
        <v>0.74138106164495077</v>
      </c>
      <c r="U144">
        <f ca="1"/>
        <v>0</v>
      </c>
      <c r="V144">
        <f ca="1"/>
        <v>148.32348732592399</v>
      </c>
      <c r="W144">
        <f ca="1"/>
        <v>96.410266761850806</v>
      </c>
      <c r="X144">
        <f ca="1"/>
        <v>0</v>
      </c>
      <c r="Y144">
        <f ca="1"/>
        <v>0.60574030973830528</v>
      </c>
      <c r="Z144">
        <f ca="1"/>
        <v>0</v>
      </c>
      <c r="AA144">
        <f ca="1"/>
        <v>0</v>
      </c>
      <c r="AB144">
        <f ca="1"/>
        <v>0.99999968485155699</v>
      </c>
      <c r="AD144" s="2">
        <f t="shared" ca="1" si="22"/>
        <v>45291</v>
      </c>
      <c r="AE144" s="46">
        <f t="shared" ca="1" si="23"/>
        <v>0</v>
      </c>
      <c r="AG144" s="72">
        <f t="shared" ca="1" si="27"/>
        <v>47.465705056070021</v>
      </c>
      <c r="AH144" s="72">
        <f t="shared" ca="1" si="28"/>
        <v>47.465705056070028</v>
      </c>
      <c r="AI144" s="3">
        <f t="shared" ca="1" si="29"/>
        <v>0</v>
      </c>
    </row>
    <row r="145" spans="7:35" x14ac:dyDescent="0.25">
      <c r="G145" s="3">
        <f t="shared" ca="1" si="24"/>
        <v>322</v>
      </c>
      <c r="H145" s="105">
        <f t="shared" ca="1" si="26"/>
        <v>45247</v>
      </c>
      <c r="I145" s="133">
        <f ca="1">HLOOKUP($H$4,'Met Data'!$A$2:$F$368,G145,FALSE)</f>
        <v>12.8924242424242</v>
      </c>
      <c r="J145" s="133">
        <f ca="1">HLOOKUP($H$4,'Met Data'!$H$2:$M$368,G145,FALSE)*L145</f>
        <v>1.46969696969696</v>
      </c>
      <c r="K145" s="106">
        <f ca="1">HLOOKUP($H$4,'Met Data'!$O$2:$T$368,G145,FALSE)</f>
        <v>4.4924353878463998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45292</v>
      </c>
      <c r="Q145">
        <f ca="1"/>
        <v>41.311142232110413</v>
      </c>
      <c r="R145">
        <f ca="1"/>
        <v>3.4971751807660501</v>
      </c>
      <c r="S145">
        <f ca="1"/>
        <v>2.4359211268583687E-7</v>
      </c>
      <c r="T145">
        <f ca="1"/>
        <v>0.7213171130724515</v>
      </c>
      <c r="U145">
        <f ca="1"/>
        <v>0</v>
      </c>
      <c r="V145">
        <f ca="1"/>
        <v>151.82066250669001</v>
      </c>
      <c r="W145">
        <f ca="1"/>
        <v>98.683430629348706</v>
      </c>
      <c r="X145">
        <f ca="1"/>
        <v>0</v>
      </c>
      <c r="Y145">
        <f ca="1"/>
        <v>0.56429886870677248</v>
      </c>
      <c r="Z145">
        <f ca="1"/>
        <v>0</v>
      </c>
      <c r="AA145">
        <f ca="1"/>
        <v>0</v>
      </c>
      <c r="AB145">
        <f ca="1"/>
        <v>0.99999974503096001</v>
      </c>
      <c r="AD145" s="2">
        <f t="shared" ca="1" si="22"/>
        <v>45292</v>
      </c>
      <c r="AE145" s="46">
        <f t="shared" ca="1" si="23"/>
        <v>0</v>
      </c>
      <c r="AG145" s="72">
        <f t="shared" ca="1" si="27"/>
        <v>44.80831741287647</v>
      </c>
      <c r="AH145" s="72">
        <f t="shared" ca="1" si="28"/>
        <v>44.808317412876463</v>
      </c>
      <c r="AI145" s="3">
        <f t="shared" ca="1" si="29"/>
        <v>0</v>
      </c>
    </row>
    <row r="146" spans="7:35" x14ac:dyDescent="0.25">
      <c r="G146" s="3">
        <f t="shared" ca="1" si="24"/>
        <v>323</v>
      </c>
      <c r="H146" s="105">
        <f t="shared" ca="1" si="26"/>
        <v>45248</v>
      </c>
      <c r="I146" s="133">
        <f ca="1">HLOOKUP($H$4,'Met Data'!$A$2:$F$368,G146,FALSE)</f>
        <v>12.363636363636299</v>
      </c>
      <c r="J146" s="133">
        <f ca="1">HLOOKUP($H$4,'Met Data'!$H$2:$M$368,G146,FALSE)*L146</f>
        <v>2.6151515151515099</v>
      </c>
      <c r="K146" s="106">
        <f ca="1">HLOOKUP($H$4,'Met Data'!$O$2:$T$368,G146,FALSE)</f>
        <v>4.3049572040258504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45293</v>
      </c>
      <c r="Q146">
        <f ca="1"/>
        <v>38.300265439112835</v>
      </c>
      <c r="R146">
        <f ca="1"/>
        <v>3.7570649668907401</v>
      </c>
      <c r="S146">
        <f ca="1"/>
        <v>2.168157846108447E-7</v>
      </c>
      <c r="T146">
        <f ca="1"/>
        <v>0.74618795707737096</v>
      </c>
      <c r="U146">
        <f ca="1"/>
        <v>0</v>
      </c>
      <c r="V146">
        <f ca="1"/>
        <v>155.57772747358101</v>
      </c>
      <c r="W146">
        <f ca="1"/>
        <v>101.125522857828</v>
      </c>
      <c r="X146">
        <f ca="1"/>
        <v>0</v>
      </c>
      <c r="Y146">
        <f ca="1"/>
        <v>0.53182693983194462</v>
      </c>
      <c r="Z146">
        <f ca="1"/>
        <v>0</v>
      </c>
      <c r="AA146">
        <f ca="1"/>
        <v>0</v>
      </c>
      <c r="AB146">
        <f ca="1"/>
        <v>0.99999979635182801</v>
      </c>
      <c r="AD146" s="2">
        <f t="shared" ca="1" si="22"/>
        <v>45293</v>
      </c>
      <c r="AE146" s="46">
        <f t="shared" ca="1" si="23"/>
        <v>0</v>
      </c>
      <c r="AG146" s="72">
        <f t="shared" ca="1" si="27"/>
        <v>42.057330406003565</v>
      </c>
      <c r="AH146" s="72">
        <f t="shared" ca="1" si="28"/>
        <v>42.057330406003572</v>
      </c>
      <c r="AI146" s="3">
        <f t="shared" ca="1" si="29"/>
        <v>0</v>
      </c>
    </row>
    <row r="147" spans="7:35" x14ac:dyDescent="0.25">
      <c r="G147" s="3">
        <f t="shared" ca="1" si="24"/>
        <v>324</v>
      </c>
      <c r="H147" s="105">
        <f t="shared" ca="1" si="26"/>
        <v>45249</v>
      </c>
      <c r="I147" s="133">
        <f ca="1">HLOOKUP($H$4,'Met Data'!$A$2:$F$368,G147,FALSE)</f>
        <v>12.159090909090899</v>
      </c>
      <c r="J147" s="133">
        <f ca="1">HLOOKUP($H$4,'Met Data'!$H$2:$M$368,G147,FALSE)*L147</f>
        <v>2.7848484848484798</v>
      </c>
      <c r="K147" s="106">
        <f ca="1">HLOOKUP($H$4,'Met Data'!$O$2:$T$368,G147,FALSE)</f>
        <v>4.1173997511743199</v>
      </c>
      <c r="L147">
        <f t="shared" ca="1" si="20"/>
        <v>1</v>
      </c>
      <c r="N147" t="b">
        <f t="shared" ca="1" si="25"/>
        <v>1</v>
      </c>
      <c r="O147" t="b">
        <f t="shared" ca="1" si="21"/>
        <v>1</v>
      </c>
      <c r="P147" s="2">
        <f ca="1"/>
        <v>45294</v>
      </c>
      <c r="Q147">
        <f ca="1"/>
        <v>35.27459327251151</v>
      </c>
      <c r="R147">
        <f ca="1"/>
        <v>3.7271424408582701</v>
      </c>
      <c r="S147">
        <f ca="1"/>
        <v>1.7980447001603896E-7</v>
      </c>
      <c r="T147">
        <f ca="1"/>
        <v>0.7014700944524731</v>
      </c>
      <c r="U147">
        <f ca="1"/>
        <v>0</v>
      </c>
      <c r="V147">
        <f ca="1"/>
        <v>159.304869914439</v>
      </c>
      <c r="W147">
        <f ca="1"/>
        <v>103.548165444386</v>
      </c>
      <c r="X147">
        <f ca="1"/>
        <v>0</v>
      </c>
      <c r="Y147">
        <f ca="1"/>
        <v>0.50555111001895725</v>
      </c>
      <c r="Z147">
        <f ca="1"/>
        <v>0</v>
      </c>
      <c r="AA147">
        <f ca="1"/>
        <v>0</v>
      </c>
      <c r="AB147">
        <f ca="1"/>
        <v>0.99999983659851599</v>
      </c>
      <c r="AD147" s="2">
        <f t="shared" ca="1" si="22"/>
        <v>45294</v>
      </c>
      <c r="AE147" s="46">
        <f t="shared" ca="1" si="23"/>
        <v>0</v>
      </c>
      <c r="AG147" s="72">
        <f t="shared" ca="1" si="27"/>
        <v>39.001735713369783</v>
      </c>
      <c r="AH147" s="72">
        <f t="shared" ca="1" si="28"/>
        <v>39.001735713369783</v>
      </c>
      <c r="AI147" s="3">
        <f t="shared" ca="1" si="29"/>
        <v>0</v>
      </c>
    </row>
    <row r="148" spans="7:35" x14ac:dyDescent="0.25">
      <c r="G148" s="3">
        <f t="shared" ca="1" si="24"/>
        <v>325</v>
      </c>
      <c r="H148" s="105">
        <f t="shared" ca="1" si="26"/>
        <v>45250</v>
      </c>
      <c r="I148" s="133">
        <f ca="1">HLOOKUP($H$4,'Met Data'!$A$2:$F$368,G148,FALSE)</f>
        <v>13.048484848484801</v>
      </c>
      <c r="J148" s="133">
        <f ca="1">HLOOKUP($H$4,'Met Data'!$H$2:$M$368,G148,FALSE)*L148</f>
        <v>1.49696969696969</v>
      </c>
      <c r="K148" s="106">
        <f ca="1">HLOOKUP($H$4,'Met Data'!$O$2:$T$368,G148,FALSE)</f>
        <v>4.5766974923540298</v>
      </c>
      <c r="L148">
        <f t="shared" ca="1" si="20"/>
        <v>1</v>
      </c>
      <c r="N148" t="b">
        <f t="shared" ca="1" si="25"/>
        <v>1</v>
      </c>
      <c r="O148" t="b">
        <f t="shared" ca="1" si="21"/>
        <v>1</v>
      </c>
      <c r="P148" s="2">
        <f ca="1"/>
        <v>45295</v>
      </c>
      <c r="Q148">
        <f ca="1"/>
        <v>32.362319925996871</v>
      </c>
      <c r="R148">
        <f ca="1"/>
        <v>3.5370429505672401</v>
      </c>
      <c r="S148">
        <f ca="1"/>
        <v>1.4390827662025212E-7</v>
      </c>
      <c r="T148">
        <f ca="1"/>
        <v>0.62476946014433132</v>
      </c>
      <c r="U148">
        <f ca="1"/>
        <v>0</v>
      </c>
      <c r="V148">
        <f ca="1"/>
        <v>162.841912865007</v>
      </c>
      <c r="W148">
        <f ca="1"/>
        <v>105.84724336225401</v>
      </c>
      <c r="X148">
        <f ca="1"/>
        <v>0</v>
      </c>
      <c r="Y148">
        <f ca="1"/>
        <v>0.48027980808079662</v>
      </c>
      <c r="Z148">
        <f ca="1"/>
        <v>0</v>
      </c>
      <c r="AA148">
        <f ca="1"/>
        <v>0</v>
      </c>
      <c r="AB148">
        <f ca="1"/>
        <v>0.99999986709379096</v>
      </c>
      <c r="AD148" s="2">
        <f t="shared" ca="1" si="22"/>
        <v>45295</v>
      </c>
      <c r="AE148" s="46">
        <f t="shared" ca="1" si="23"/>
        <v>0</v>
      </c>
      <c r="AG148" s="72">
        <f t="shared" ca="1" si="27"/>
        <v>35.899362876564112</v>
      </c>
      <c r="AH148" s="72">
        <f t="shared" ca="1" si="28"/>
        <v>35.899362876564112</v>
      </c>
      <c r="AI148" s="3">
        <f t="shared" ca="1" si="29"/>
        <v>0</v>
      </c>
    </row>
    <row r="149" spans="7:35" x14ac:dyDescent="0.25">
      <c r="G149" s="3">
        <f t="shared" ca="1" si="24"/>
        <v>326</v>
      </c>
      <c r="H149" s="105">
        <f t="shared" ca="1" si="26"/>
        <v>45251</v>
      </c>
      <c r="I149" s="133">
        <f ca="1">HLOOKUP($H$4,'Met Data'!$A$2:$F$368,G149,FALSE)</f>
        <v>12.9621212121212</v>
      </c>
      <c r="J149" s="133">
        <f ca="1">HLOOKUP($H$4,'Met Data'!$H$2:$M$368,G149,FALSE)*L149</f>
        <v>2.8727272727272699</v>
      </c>
      <c r="K149" s="106">
        <f ca="1">HLOOKUP($H$4,'Met Data'!$O$2:$T$368,G149,FALSE)</f>
        <v>4.2114496325231201</v>
      </c>
      <c r="L149">
        <f t="shared" ca="1" si="20"/>
        <v>1</v>
      </c>
      <c r="N149" t="b">
        <f t="shared" ca="1" si="25"/>
        <v>0</v>
      </c>
      <c r="O149" t="b">
        <f t="shared" ca="1" si="21"/>
        <v>1</v>
      </c>
      <c r="P149" s="2">
        <f ca="1"/>
        <v>45296</v>
      </c>
      <c r="Q149">
        <f ca="1"/>
        <v>29.33948129721832</v>
      </c>
      <c r="R149">
        <f ca="1"/>
        <v>3.63714532541744</v>
      </c>
      <c r="S149">
        <f ca="1"/>
        <v>1.2480701375838852E-7</v>
      </c>
      <c r="T149">
        <f ca="1"/>
        <v>0.61430657183187265</v>
      </c>
      <c r="U149">
        <f ca="1"/>
        <v>0</v>
      </c>
      <c r="V149">
        <f ca="1"/>
        <v>166.47905819042401</v>
      </c>
      <c r="W149">
        <f ca="1"/>
        <v>108.21138782377599</v>
      </c>
      <c r="X149">
        <f ca="1"/>
        <v>0</v>
      </c>
      <c r="Y149">
        <f ca="1"/>
        <v>0.45036915975623065</v>
      </c>
      <c r="Z149">
        <f ca="1"/>
        <v>0</v>
      </c>
      <c r="AA149">
        <f ca="1"/>
        <v>0</v>
      </c>
      <c r="AB149">
        <f ca="1"/>
        <v>0.99999989228437103</v>
      </c>
      <c r="AD149" s="2">
        <f t="shared" ca="1" si="22"/>
        <v>45296</v>
      </c>
      <c r="AE149" s="46">
        <f t="shared" ca="1" si="23"/>
        <v>0</v>
      </c>
      <c r="AG149" s="72">
        <f t="shared" ca="1" si="27"/>
        <v>32.976626622635763</v>
      </c>
      <c r="AH149" s="72">
        <f t="shared" ca="1" si="28"/>
        <v>32.976626622635763</v>
      </c>
      <c r="AI149" s="3">
        <f t="shared" ca="1" si="29"/>
        <v>0</v>
      </c>
    </row>
    <row r="150" spans="7:35" x14ac:dyDescent="0.25">
      <c r="G150" s="3">
        <f t="shared" ca="1" si="24"/>
        <v>327</v>
      </c>
      <c r="H150" s="105">
        <f t="shared" ca="1" si="26"/>
        <v>45252</v>
      </c>
      <c r="I150" s="133">
        <f ca="1">HLOOKUP($H$4,'Met Data'!$A$2:$F$368,G150,FALSE)</f>
        <v>12.268749999999899</v>
      </c>
      <c r="J150" s="133">
        <f ca="1">HLOOKUP($H$4,'Met Data'!$H$2:$M$368,G150,FALSE)*L150</f>
        <v>1.4437500000000001</v>
      </c>
      <c r="K150" s="106">
        <f ca="1">HLOOKUP($H$4,'Met Data'!$O$2:$T$368,G150,FALSE)</f>
        <v>4.3766355597309001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45297</v>
      </c>
      <c r="Q150">
        <f ca="1"/>
        <v>34.872039171835624</v>
      </c>
      <c r="R150">
        <f ca="1"/>
        <v>0</v>
      </c>
      <c r="S150">
        <f ca="1"/>
        <v>4.9232256334256617</v>
      </c>
      <c r="T150">
        <f ca="1"/>
        <v>0.60933224119164453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0.43475452508137996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45297</v>
      </c>
      <c r="AE150" s="46">
        <f t="shared" ca="1" si="23"/>
        <v>0</v>
      </c>
      <c r="AG150" s="72">
        <f t="shared" ca="1" si="27"/>
        <v>34.872039171835624</v>
      </c>
      <c r="AH150" s="72">
        <f t="shared" ca="1" si="28"/>
        <v>34.872039171835624</v>
      </c>
      <c r="AI150" s="3">
        <f t="shared" ca="1" si="29"/>
        <v>0</v>
      </c>
    </row>
    <row r="151" spans="7:35" x14ac:dyDescent="0.25">
      <c r="G151" s="3">
        <f t="shared" ca="1" si="24"/>
        <v>328</v>
      </c>
      <c r="H151" s="105">
        <f t="shared" ca="1" si="26"/>
        <v>45253</v>
      </c>
      <c r="I151" s="133">
        <f ca="1">HLOOKUP($H$4,'Met Data'!$A$2:$F$368,G151,FALSE)</f>
        <v>13.610937499999901</v>
      </c>
      <c r="J151" s="133">
        <f ca="1">HLOOKUP($H$4,'Met Data'!$H$2:$M$368,G151,FALSE)*L151</f>
        <v>0.90937499999999905</v>
      </c>
      <c r="K151" s="106">
        <f ca="1">HLOOKUP($H$4,'Met Data'!$O$2:$T$368,G151,FALSE)</f>
        <v>4.8353730549956699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45298</v>
      </c>
      <c r="Q151">
        <f ca="1"/>
        <v>40.238271029487194</v>
      </c>
      <c r="R151">
        <f ca="1"/>
        <v>0</v>
      </c>
      <c r="S151">
        <f ca="1"/>
        <v>4.7071766595319584</v>
      </c>
      <c r="T151">
        <f ca="1"/>
        <v>0.65905519811960889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0.42271818527178179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45298</v>
      </c>
      <c r="AE151" s="46">
        <f t="shared" ca="1" si="23"/>
        <v>0</v>
      </c>
      <c r="AG151" s="72">
        <f t="shared" ca="1" si="27"/>
        <v>40.238271029487194</v>
      </c>
      <c r="AH151" s="72">
        <f t="shared" ca="1" si="28"/>
        <v>40.238271029487194</v>
      </c>
      <c r="AI151" s="3">
        <f t="shared" ca="1" si="29"/>
        <v>0</v>
      </c>
    </row>
    <row r="152" spans="7:35" x14ac:dyDescent="0.25">
      <c r="G152" s="3">
        <f t="shared" ca="1" si="24"/>
        <v>329</v>
      </c>
      <c r="H152" s="105">
        <f t="shared" ca="1" si="26"/>
        <v>45254</v>
      </c>
      <c r="I152" s="133">
        <f ca="1">HLOOKUP($H$4,'Met Data'!$A$2:$F$368,G152,FALSE)</f>
        <v>13.9</v>
      </c>
      <c r="J152" s="133">
        <f ca="1">HLOOKUP($H$4,'Met Data'!$H$2:$M$368,G152,FALSE)*L152</f>
        <v>1.096875</v>
      </c>
      <c r="K152" s="106">
        <f ca="1">HLOOKUP($H$4,'Met Data'!$O$2:$T$368,G152,FALSE)</f>
        <v>4.8959034423889598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45299</v>
      </c>
      <c r="Q152">
        <f ca="1"/>
        <v>45.098444649840673</v>
      </c>
      <c r="R152">
        <f ca="1"/>
        <v>0</v>
      </c>
      <c r="S152">
        <f ca="1"/>
        <v>4.2161261450653988</v>
      </c>
      <c r="T152">
        <f ca="1"/>
        <v>0.64404747528808248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0.42238641956155831</v>
      </c>
      <c r="Z152">
        <f ca="1"/>
        <v>0</v>
      </c>
      <c r="AA152">
        <f ca="1"/>
        <v>0</v>
      </c>
      <c r="AB152">
        <f ca="1"/>
        <v>0</v>
      </c>
      <c r="AD152" s="2">
        <f t="shared" ca="1" si="22"/>
        <v>45299</v>
      </c>
      <c r="AE152" s="46">
        <f t="shared" ca="1" si="23"/>
        <v>0</v>
      </c>
      <c r="AG152" s="72">
        <f t="shared" ca="1" si="27"/>
        <v>45.09844464984068</v>
      </c>
      <c r="AH152" s="72">
        <f t="shared" ca="1" si="28"/>
        <v>45.098444649840673</v>
      </c>
      <c r="AI152" s="3">
        <f t="shared" ca="1" si="29"/>
        <v>0</v>
      </c>
    </row>
    <row r="153" spans="7:35" x14ac:dyDescent="0.25">
      <c r="G153" s="3">
        <f t="shared" ca="1" si="24"/>
        <v>330</v>
      </c>
      <c r="H153" s="105">
        <f t="shared" ca="1" si="26"/>
        <v>45255</v>
      </c>
      <c r="I153" s="133">
        <f ca="1">HLOOKUP($H$4,'Met Data'!$A$2:$F$368,G153,FALSE)</f>
        <v>14.229687499999899</v>
      </c>
      <c r="J153" s="133">
        <f ca="1">HLOOKUP($H$4,'Met Data'!$H$2:$M$368,G153,FALSE)*L153</f>
        <v>2.9937499999999999</v>
      </c>
      <c r="K153" s="106">
        <f ca="1">HLOOKUP($H$4,'Met Data'!$O$2:$T$368,G153,FALSE)</f>
        <v>4.5291120809301404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45300</v>
      </c>
      <c r="Q153">
        <f ca="1"/>
        <v>49.250454839338218</v>
      </c>
      <c r="R153">
        <f ca="1"/>
        <v>0</v>
      </c>
      <c r="S153">
        <f ca="1"/>
        <v>3.5594003528975424</v>
      </c>
      <c r="T153">
        <f ca="1"/>
        <v>0.592609836599998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0.41184726520092962</v>
      </c>
      <c r="Z153">
        <f ca="1"/>
        <v>0</v>
      </c>
      <c r="AA153">
        <f ca="1"/>
        <v>0</v>
      </c>
      <c r="AB153">
        <f ca="1"/>
        <v>0</v>
      </c>
      <c r="AD153" s="2">
        <f t="shared" ca="1" si="22"/>
        <v>45300</v>
      </c>
      <c r="AE153" s="46">
        <f t="shared" ca="1" si="23"/>
        <v>0</v>
      </c>
      <c r="AG153" s="72">
        <f t="shared" ca="1" si="27"/>
        <v>49.250454839338211</v>
      </c>
      <c r="AH153" s="72">
        <f t="shared" ca="1" si="28"/>
        <v>49.250454839338218</v>
      </c>
      <c r="AI153" s="3">
        <f t="shared" ca="1" si="29"/>
        <v>0</v>
      </c>
    </row>
    <row r="154" spans="7:35" x14ac:dyDescent="0.25">
      <c r="G154" s="3">
        <f t="shared" ca="1" si="24"/>
        <v>331</v>
      </c>
      <c r="H154" s="105">
        <f t="shared" ca="1" si="26"/>
        <v>45256</v>
      </c>
      <c r="I154" s="133">
        <f ca="1">HLOOKUP($H$4,'Met Data'!$A$2:$F$368,G154,FALSE)</f>
        <v>13.9375</v>
      </c>
      <c r="J154" s="133">
        <f ca="1">HLOOKUP($H$4,'Met Data'!$H$2:$M$368,G154,FALSE)*L154</f>
        <v>1.871875</v>
      </c>
      <c r="K154" s="106">
        <f ca="1">HLOOKUP($H$4,'Met Data'!$O$2:$T$368,G154,FALSE)</f>
        <v>4.6952794682709396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45301</v>
      </c>
      <c r="Q154">
        <f ca="1"/>
        <v>53.091134307858574</v>
      </c>
      <c r="R154">
        <f ca="1"/>
        <v>0</v>
      </c>
      <c r="S154">
        <f ca="1"/>
        <v>3.2584054125666952</v>
      </c>
      <c r="T154">
        <f ca="1"/>
        <v>0.58227405595366089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0.41807529107534364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45301</v>
      </c>
      <c r="AE154" s="46">
        <f t="shared" ca="1" si="23"/>
        <v>0</v>
      </c>
      <c r="AG154" s="72">
        <f t="shared" ca="1" si="27"/>
        <v>53.091134307858574</v>
      </c>
      <c r="AH154" s="72">
        <f t="shared" ca="1" si="28"/>
        <v>53.091134307858574</v>
      </c>
      <c r="AI154" s="3">
        <f t="shared" ca="1" si="29"/>
        <v>0</v>
      </c>
    </row>
    <row r="155" spans="7:35" x14ac:dyDescent="0.25">
      <c r="G155" s="3">
        <f t="shared" ca="1" si="24"/>
        <v>332</v>
      </c>
      <c r="H155" s="105">
        <f t="shared" ca="1" si="26"/>
        <v>45257</v>
      </c>
      <c r="I155" s="133">
        <f ca="1">HLOOKUP($H$4,'Met Data'!$A$2:$F$368,G155,FALSE)</f>
        <v>13.6234375</v>
      </c>
      <c r="J155" s="133">
        <f ca="1">HLOOKUP($H$4,'Met Data'!$H$2:$M$368,G155,FALSE)*L155</f>
        <v>0.89375000000000004</v>
      </c>
      <c r="K155" s="106">
        <f ca="1">HLOOKUP($H$4,'Met Data'!$O$2:$T$368,G155,FALSE)</f>
        <v>4.7009583495068297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45302</v>
      </c>
      <c r="Q155">
        <f ca="1"/>
        <v>56.783562663843455</v>
      </c>
      <c r="R155">
        <f ca="1"/>
        <v>0</v>
      </c>
      <c r="S155">
        <f ca="1"/>
        <v>3.090722787410467</v>
      </c>
      <c r="T155">
        <f ca="1"/>
        <v>0.60170556857441204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0.42148618255288212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45302</v>
      </c>
      <c r="AE155" s="46">
        <f t="shared" ca="1" si="23"/>
        <v>0</v>
      </c>
      <c r="AG155" s="72">
        <f t="shared" ca="1" si="27"/>
        <v>56.783562663843448</v>
      </c>
      <c r="AH155" s="72">
        <f t="shared" ca="1" si="28"/>
        <v>56.783562663843455</v>
      </c>
      <c r="AI155" s="3">
        <f t="shared" ca="1" si="29"/>
        <v>0</v>
      </c>
    </row>
    <row r="156" spans="7:35" x14ac:dyDescent="0.25">
      <c r="G156" s="3">
        <f t="shared" ca="1" si="24"/>
        <v>333</v>
      </c>
      <c r="H156" s="105">
        <f t="shared" ca="1" si="26"/>
        <v>45258</v>
      </c>
      <c r="I156" s="133">
        <f ca="1">HLOOKUP($H$4,'Met Data'!$A$2:$F$368,G156,FALSE)</f>
        <v>13.4125</v>
      </c>
      <c r="J156" s="133">
        <f ca="1">HLOOKUP($H$4,'Met Data'!$H$2:$M$368,G156,FALSE)*L156</f>
        <v>2.8031250000000001</v>
      </c>
      <c r="K156" s="106">
        <f ca="1">HLOOKUP($H$4,'Met Data'!$O$2:$T$368,G156,FALSE)</f>
        <v>4.6692836926226899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45303</v>
      </c>
      <c r="Q156">
        <f ca="1"/>
        <v>60.358232223678733</v>
      </c>
      <c r="R156">
        <f ca="1"/>
        <v>0</v>
      </c>
      <c r="S156">
        <f ca="1"/>
        <v>2.9484507269359392</v>
      </c>
      <c r="T156">
        <f ca="1"/>
        <v>0.62621883289934333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0.42726611267735687</v>
      </c>
      <c r="Z156">
        <f ca="1"/>
        <v>0</v>
      </c>
      <c r="AA156">
        <f ca="1"/>
        <v>0</v>
      </c>
      <c r="AB156">
        <f ca="1"/>
        <v>0</v>
      </c>
      <c r="AD156" s="2">
        <f t="shared" ca="1" si="22"/>
        <v>45303</v>
      </c>
      <c r="AE156" s="46">
        <f t="shared" ca="1" si="23"/>
        <v>0</v>
      </c>
      <c r="AG156" s="72">
        <f t="shared" ca="1" si="27"/>
        <v>60.358232223678733</v>
      </c>
      <c r="AH156" s="72">
        <f t="shared" ca="1" si="28"/>
        <v>60.358232223678733</v>
      </c>
      <c r="AI156" s="3">
        <f t="shared" ca="1" si="29"/>
        <v>0</v>
      </c>
    </row>
    <row r="157" spans="7:35" x14ac:dyDescent="0.25">
      <c r="G157" s="3">
        <f t="shared" ca="1" si="24"/>
        <v>334</v>
      </c>
      <c r="H157" s="105">
        <f t="shared" ca="1" si="26"/>
        <v>45259</v>
      </c>
      <c r="I157" s="133">
        <f ca="1">HLOOKUP($H$4,'Met Data'!$A$2:$F$368,G157,FALSE)</f>
        <v>13.120312499999899</v>
      </c>
      <c r="J157" s="133">
        <f ca="1">HLOOKUP($H$4,'Met Data'!$H$2:$M$368,G157,FALSE)*L157</f>
        <v>1.125</v>
      </c>
      <c r="K157" s="106">
        <f ca="1">HLOOKUP($H$4,'Met Data'!$O$2:$T$368,G157,FALSE)</f>
        <v>4.5223331629764099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45304</v>
      </c>
      <c r="Q157">
        <f ca="1"/>
        <v>63.662211700176421</v>
      </c>
      <c r="R157">
        <f ca="1"/>
        <v>0</v>
      </c>
      <c r="S157">
        <f ca="1"/>
        <v>2.6755455022281378</v>
      </c>
      <c r="T157">
        <f ca="1"/>
        <v>0.62843397426954983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0.41969126928762152</v>
      </c>
      <c r="Z157">
        <f ca="1"/>
        <v>0</v>
      </c>
      <c r="AA157">
        <f ca="1"/>
        <v>0</v>
      </c>
      <c r="AB157">
        <f ca="1"/>
        <v>0</v>
      </c>
      <c r="AD157" s="2">
        <f t="shared" ca="1" si="22"/>
        <v>45304</v>
      </c>
      <c r="AE157" s="46">
        <f t="shared" ca="1" si="23"/>
        <v>0</v>
      </c>
      <c r="AG157" s="72">
        <f t="shared" ca="1" si="27"/>
        <v>63.662211700176421</v>
      </c>
      <c r="AH157" s="72">
        <f t="shared" ca="1" si="28"/>
        <v>63.662211700176421</v>
      </c>
      <c r="AI157" s="3">
        <f t="shared" ca="1" si="29"/>
        <v>0</v>
      </c>
    </row>
    <row r="158" spans="7:35" x14ac:dyDescent="0.25">
      <c r="G158" s="3">
        <f t="shared" ca="1" si="24"/>
        <v>335</v>
      </c>
      <c r="H158" s="105">
        <f t="shared" ca="1" si="26"/>
        <v>45260</v>
      </c>
      <c r="I158" s="133">
        <f ca="1">HLOOKUP($H$4,'Met Data'!$A$2:$F$368,G158,FALSE)</f>
        <v>13.534375000000001</v>
      </c>
      <c r="J158" s="133">
        <f ca="1">HLOOKUP($H$4,'Met Data'!$H$2:$M$368,G158,FALSE)*L158</f>
        <v>1.659375</v>
      </c>
      <c r="K158" s="106">
        <f ca="1">HLOOKUP($H$4,'Met Data'!$O$2:$T$368,G158,FALSE)</f>
        <v>4.4045021528656898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45305</v>
      </c>
      <c r="Q158">
        <f ca="1"/>
        <v>66.667179762205137</v>
      </c>
      <c r="R158">
        <f ca="1"/>
        <v>0</v>
      </c>
      <c r="S158">
        <f ca="1"/>
        <v>2.3850570233627035</v>
      </c>
      <c r="T158">
        <f ca="1"/>
        <v>0.61991103866600439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0.40866745722596465</v>
      </c>
      <c r="Z158">
        <f ca="1"/>
        <v>0</v>
      </c>
      <c r="AA158">
        <f ca="1"/>
        <v>0</v>
      </c>
      <c r="AB158">
        <f ca="1"/>
        <v>0</v>
      </c>
      <c r="AD158" s="2">
        <f t="shared" ca="1" si="22"/>
        <v>45305</v>
      </c>
      <c r="AE158" s="46">
        <f t="shared" ca="1" si="23"/>
        <v>0</v>
      </c>
      <c r="AG158" s="72">
        <f t="shared" ca="1" si="27"/>
        <v>66.667179762205123</v>
      </c>
      <c r="AH158" s="72">
        <f t="shared" ca="1" si="28"/>
        <v>66.667179762205137</v>
      </c>
      <c r="AI158" s="3">
        <f t="shared" ca="1" si="29"/>
        <v>0</v>
      </c>
    </row>
    <row r="159" spans="7:35" x14ac:dyDescent="0.25">
      <c r="G159" s="3">
        <f t="shared" ca="1" si="24"/>
        <v>336</v>
      </c>
      <c r="H159" s="105">
        <f t="shared" ca="1" si="26"/>
        <v>45261</v>
      </c>
      <c r="I159" s="133">
        <f ca="1">HLOOKUP($H$4,'Met Data'!$A$2:$F$368,G159,FALSE)</f>
        <v>14.5196969696969</v>
      </c>
      <c r="J159" s="133">
        <f ca="1">HLOOKUP($H$4,'Met Data'!$H$2:$M$368,G159,FALSE)*L159</f>
        <v>1.1545454545454501</v>
      </c>
      <c r="K159" s="106">
        <f ca="1">HLOOKUP($H$4,'Met Data'!$O$2:$T$368,G159,FALSE)</f>
        <v>4.9008684982534403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45306</v>
      </c>
      <c r="Q159">
        <f ca="1"/>
        <v>72.142414671721895</v>
      </c>
      <c r="R159">
        <f ca="1"/>
        <v>0</v>
      </c>
      <c r="S159">
        <f ca="1"/>
        <v>4.3989613284435913</v>
      </c>
      <c r="T159">
        <f ca="1"/>
        <v>1.0762735810731765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0.79787244071207464</v>
      </c>
      <c r="Z159">
        <f ca="1"/>
        <v>0</v>
      </c>
      <c r="AA159">
        <f ca="1"/>
        <v>48</v>
      </c>
      <c r="AB159">
        <f ca="1"/>
        <v>0</v>
      </c>
      <c r="AD159" s="2">
        <f t="shared" ca="1" si="22"/>
        <v>45306</v>
      </c>
      <c r="AE159" s="46">
        <f t="shared" ca="1" si="23"/>
        <v>0</v>
      </c>
      <c r="AG159" s="72">
        <f t="shared" ca="1" si="27"/>
        <v>72.142414671721909</v>
      </c>
      <c r="AH159" s="72">
        <f t="shared" ca="1" si="28"/>
        <v>72.142414671721895</v>
      </c>
      <c r="AI159" s="3">
        <f t="shared" ca="1" si="29"/>
        <v>0</v>
      </c>
    </row>
    <row r="160" spans="7:35" x14ac:dyDescent="0.25">
      <c r="G160" s="3">
        <f t="shared" ca="1" si="24"/>
        <v>337</v>
      </c>
      <c r="H160" s="105">
        <f t="shared" ca="1" si="26"/>
        <v>45262</v>
      </c>
      <c r="I160" s="133">
        <f ca="1">HLOOKUP($H$4,'Met Data'!$A$2:$F$368,G160,FALSE)</f>
        <v>14.7863636363636</v>
      </c>
      <c r="J160" s="133">
        <f ca="1">HLOOKUP($H$4,'Met Data'!$H$2:$M$368,G160,FALSE)*L160</f>
        <v>0.68484848484848404</v>
      </c>
      <c r="K160" s="106">
        <f ca="1">HLOOKUP($H$4,'Met Data'!$O$2:$T$368,G160,FALSE)</f>
        <v>4.4310616880942204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45307</v>
      </c>
      <c r="Q160">
        <f ca="1"/>
        <v>76.558259275882349</v>
      </c>
      <c r="R160">
        <f ca="1"/>
        <v>0</v>
      </c>
      <c r="S160">
        <f ca="1"/>
        <v>3.4223994720239301</v>
      </c>
      <c r="T160">
        <f ca="1"/>
        <v>0.99344513213651686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0.76671829662100321</v>
      </c>
      <c r="Z160">
        <f ca="1"/>
        <v>0</v>
      </c>
      <c r="AA160">
        <f ca="1"/>
        <v>0</v>
      </c>
      <c r="AB160">
        <f ca="1"/>
        <v>0</v>
      </c>
      <c r="AD160" s="2">
        <f t="shared" ca="1" si="22"/>
        <v>45307</v>
      </c>
      <c r="AE160" s="46">
        <f t="shared" ca="1" si="23"/>
        <v>0</v>
      </c>
      <c r="AG160" s="72">
        <f t="shared" ca="1" si="27"/>
        <v>76.558259275882335</v>
      </c>
      <c r="AH160" s="72">
        <f t="shared" ca="1" si="28"/>
        <v>76.558259275882349</v>
      </c>
      <c r="AI160" s="3">
        <f t="shared" ca="1" si="29"/>
        <v>0</v>
      </c>
    </row>
    <row r="161" spans="7:35" x14ac:dyDescent="0.25">
      <c r="G161" s="3">
        <f t="shared" ca="1" si="24"/>
        <v>338</v>
      </c>
      <c r="H161" s="105">
        <f t="shared" ca="1" si="26"/>
        <v>45263</v>
      </c>
      <c r="I161" s="133">
        <f ca="1">HLOOKUP($H$4,'Met Data'!$A$2:$F$368,G161,FALSE)</f>
        <v>15.427272727272699</v>
      </c>
      <c r="J161" s="133">
        <f ca="1">HLOOKUP($H$4,'Met Data'!$H$2:$M$368,G161,FALSE)*L161</f>
        <v>0.94242424242424205</v>
      </c>
      <c r="K161" s="106">
        <f ca="1">HLOOKUP($H$4,'Met Data'!$O$2:$T$368,G161,FALSE)</f>
        <v>4.8682330205678701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45308</v>
      </c>
      <c r="Q161">
        <f ca="1"/>
        <v>80.27079933100751</v>
      </c>
      <c r="R161">
        <f ca="1"/>
        <v>0</v>
      </c>
      <c r="S161">
        <f ca="1"/>
        <v>2.7645467328252042</v>
      </c>
      <c r="T161">
        <f ca="1"/>
        <v>0.94799332229995525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0.73743701979281029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45308</v>
      </c>
      <c r="AE161" s="46">
        <f t="shared" ca="1" si="23"/>
        <v>0</v>
      </c>
      <c r="AG161" s="72">
        <f t="shared" ca="1" si="27"/>
        <v>80.27079933100751</v>
      </c>
      <c r="AH161" s="72">
        <f t="shared" ca="1" si="28"/>
        <v>80.27079933100751</v>
      </c>
      <c r="AI161" s="3">
        <f t="shared" ca="1" si="29"/>
        <v>0</v>
      </c>
    </row>
    <row r="162" spans="7:35" x14ac:dyDescent="0.25">
      <c r="G162" s="3">
        <f t="shared" ca="1" si="24"/>
        <v>339</v>
      </c>
      <c r="H162" s="105">
        <f t="shared" ca="1" si="26"/>
        <v>45264</v>
      </c>
      <c r="I162" s="133">
        <f ca="1">HLOOKUP($H$4,'Met Data'!$A$2:$F$368,G162,FALSE)</f>
        <v>15.004545454545401</v>
      </c>
      <c r="J162" s="133">
        <f ca="1">HLOOKUP($H$4,'Met Data'!$H$2:$M$368,G162,FALSE)*L162</f>
        <v>0.98787878787878702</v>
      </c>
      <c r="K162" s="106">
        <f ca="1">HLOOKUP($H$4,'Met Data'!$O$2:$T$368,G162,FALSE)</f>
        <v>5.2050138478161401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45309</v>
      </c>
      <c r="Q162">
        <f ca="1"/>
        <v>83.691160767189643</v>
      </c>
      <c r="R162">
        <f ca="1"/>
        <v>0</v>
      </c>
      <c r="S162">
        <f ca="1"/>
        <v>2.4310970720289804</v>
      </c>
      <c r="T162">
        <f ca="1"/>
        <v>0.98926436415314734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0.73562927942765954</v>
      </c>
      <c r="Z162">
        <f ca="1"/>
        <v>0</v>
      </c>
      <c r="AA162">
        <f ca="1"/>
        <v>0</v>
      </c>
      <c r="AB162">
        <f ca="1"/>
        <v>0</v>
      </c>
      <c r="AD162" s="2">
        <f t="shared" ca="1" si="22"/>
        <v>45309</v>
      </c>
      <c r="AE162" s="46">
        <f t="shared" ca="1" si="23"/>
        <v>0</v>
      </c>
      <c r="AG162" s="72">
        <f t="shared" ca="1" si="27"/>
        <v>83.691160767189629</v>
      </c>
      <c r="AH162" s="72">
        <f t="shared" ca="1" si="28"/>
        <v>83.691160767189643</v>
      </c>
      <c r="AI162" s="3">
        <f t="shared" ca="1" si="29"/>
        <v>0</v>
      </c>
    </row>
    <row r="163" spans="7:35" x14ac:dyDescent="0.25">
      <c r="G163" s="3">
        <f t="shared" ca="1" si="24"/>
        <v>340</v>
      </c>
      <c r="H163" s="105">
        <f t="shared" ca="1" si="26"/>
        <v>45265</v>
      </c>
      <c r="I163" s="133">
        <f ca="1">HLOOKUP($H$4,'Met Data'!$A$2:$F$368,G163,FALSE)</f>
        <v>14.903030303030301</v>
      </c>
      <c r="J163" s="133">
        <f ca="1">HLOOKUP($H$4,'Met Data'!$H$2:$M$368,G163,FALSE)*L163</f>
        <v>1.5848484848484801</v>
      </c>
      <c r="K163" s="106">
        <f ca="1">HLOOKUP($H$4,'Met Data'!$O$2:$T$368,G163,FALSE)</f>
        <v>4.6641306366413202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45310</v>
      </c>
      <c r="Q163">
        <f ca="1"/>
        <v>86.592599833431819</v>
      </c>
      <c r="R163">
        <f ca="1"/>
        <v>0</v>
      </c>
      <c r="S163">
        <f ca="1"/>
        <v>1.9621398956775624</v>
      </c>
      <c r="T163">
        <f ca="1"/>
        <v>0.9392991705646202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0.71096525220139362</v>
      </c>
      <c r="Z163">
        <f ca="1"/>
        <v>0</v>
      </c>
      <c r="AA163">
        <f ca="1"/>
        <v>0</v>
      </c>
      <c r="AB163">
        <f ca="1"/>
        <v>0</v>
      </c>
      <c r="AD163" s="2">
        <f t="shared" ca="1" si="22"/>
        <v>45310</v>
      </c>
      <c r="AE163" s="46">
        <f t="shared" ca="1" si="23"/>
        <v>0</v>
      </c>
      <c r="AG163" s="72">
        <f t="shared" ca="1" si="27"/>
        <v>86.592599833431834</v>
      </c>
      <c r="AH163" s="72">
        <f t="shared" ca="1" si="28"/>
        <v>86.592599833431819</v>
      </c>
      <c r="AI163" s="3">
        <f t="shared" ca="1" si="29"/>
        <v>0</v>
      </c>
    </row>
    <row r="164" spans="7:35" x14ac:dyDescent="0.25">
      <c r="G164" s="3">
        <f t="shared" ca="1" si="24"/>
        <v>341</v>
      </c>
      <c r="H164" s="105">
        <f t="shared" ca="1" si="26"/>
        <v>45266</v>
      </c>
      <c r="I164" s="133">
        <f ca="1">HLOOKUP($H$4,'Met Data'!$A$2:$F$368,G164,FALSE)</f>
        <v>14.301515151515099</v>
      </c>
      <c r="J164" s="133">
        <f ca="1">HLOOKUP($H$4,'Met Data'!$H$2:$M$368,G164,FALSE)*L164</f>
        <v>1.8545454545454501</v>
      </c>
      <c r="K164" s="106">
        <f ca="1">HLOOKUP($H$4,'Met Data'!$O$2:$T$368,G164,FALSE)</f>
        <v>4.1875145428280103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45311</v>
      </c>
      <c r="Q164">
        <f ca="1"/>
        <v>88.920891600847654</v>
      </c>
      <c r="R164">
        <f ca="1"/>
        <v>0</v>
      </c>
      <c r="S164">
        <f ca="1"/>
        <v>1.5014822749064256</v>
      </c>
      <c r="T164">
        <f ca="1"/>
        <v>0.82680949250942049</v>
      </c>
      <c r="U164">
        <f ca="1"/>
        <v>0</v>
      </c>
      <c r="V164">
        <f ca="1"/>
        <v>0.71645737716021196</v>
      </c>
      <c r="W164">
        <f ca="1"/>
        <v>0.65542582280952699</v>
      </c>
      <c r="X164">
        <f ca="1"/>
        <v>0</v>
      </c>
      <c r="Y164">
        <f ca="1"/>
        <v>0.68127096602406823</v>
      </c>
      <c r="Z164">
        <f ca="1"/>
        <v>0</v>
      </c>
      <c r="AA164">
        <f ca="1"/>
        <v>0</v>
      </c>
      <c r="AB164">
        <f ca="1"/>
        <v>7.8362416651362593E-3</v>
      </c>
      <c r="AD164" s="2">
        <f t="shared" ca="1" si="22"/>
        <v>45311</v>
      </c>
      <c r="AE164" s="46">
        <f t="shared" ca="1" si="23"/>
        <v>0</v>
      </c>
      <c r="AG164" s="72">
        <f t="shared" ca="1" si="27"/>
        <v>88.920891600847668</v>
      </c>
      <c r="AH164" s="72">
        <f t="shared" ca="1" si="28"/>
        <v>88.920891600847654</v>
      </c>
      <c r="AI164" s="3">
        <f t="shared" ca="1" si="29"/>
        <v>0</v>
      </c>
    </row>
    <row r="165" spans="7:35" x14ac:dyDescent="0.25">
      <c r="G165" s="3">
        <f t="shared" ca="1" si="24"/>
        <v>342</v>
      </c>
      <c r="H165" s="105">
        <f t="shared" ca="1" si="26"/>
        <v>45267</v>
      </c>
      <c r="I165" s="133">
        <f ca="1">HLOOKUP($H$4,'Met Data'!$A$2:$F$368,G165,FALSE)</f>
        <v>14.8272727272727</v>
      </c>
      <c r="J165" s="133">
        <f ca="1">HLOOKUP($H$4,'Met Data'!$H$2:$M$368,G165,FALSE)*L165</f>
        <v>1.1151515151515099</v>
      </c>
      <c r="K165" s="106">
        <f ca="1">HLOOKUP($H$4,'Met Data'!$O$2:$T$368,G165,FALSE)</f>
        <v>4.78641268464904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45312</v>
      </c>
      <c r="Q165">
        <f ca="1"/>
        <v>91.153171294312045</v>
      </c>
      <c r="R165">
        <f ca="1"/>
        <v>4.0253499724799698E-2</v>
      </c>
      <c r="S165">
        <f ca="1"/>
        <v>1.3735533604041636</v>
      </c>
      <c r="T165">
        <f ca="1"/>
        <v>0.89897983278503146</v>
      </c>
      <c r="U165">
        <f ca="1"/>
        <v>0</v>
      </c>
      <c r="V165">
        <f ca="1"/>
        <v>0.75671087688501104</v>
      </c>
      <c r="W165">
        <f ca="1"/>
        <v>0.69225032070591797</v>
      </c>
      <c r="X165">
        <f ca="1"/>
        <v>0</v>
      </c>
      <c r="Y165">
        <f ca="1"/>
        <v>0.65351002161939453</v>
      </c>
      <c r="Z165">
        <f ca="1"/>
        <v>0</v>
      </c>
      <c r="AA165">
        <f ca="1"/>
        <v>0</v>
      </c>
      <c r="AB165">
        <f ca="1"/>
        <v>9.3135917467180394E-3</v>
      </c>
      <c r="AD165" s="2">
        <f t="shared" ca="1" si="22"/>
        <v>45312</v>
      </c>
      <c r="AE165" s="46">
        <f t="shared" ca="1" si="23"/>
        <v>0</v>
      </c>
      <c r="AG165" s="72">
        <f t="shared" ca="1" si="27"/>
        <v>91.193424794036844</v>
      </c>
      <c r="AH165" s="72">
        <f t="shared" ca="1" si="28"/>
        <v>91.193424794036844</v>
      </c>
      <c r="AI165" s="3">
        <f t="shared" ca="1" si="29"/>
        <v>0</v>
      </c>
    </row>
    <row r="166" spans="7:35" x14ac:dyDescent="0.25">
      <c r="G166" s="3">
        <f t="shared" ca="1" si="24"/>
        <v>343</v>
      </c>
      <c r="H166" s="105">
        <f t="shared" ca="1" si="26"/>
        <v>45268</v>
      </c>
      <c r="I166" s="133">
        <f ca="1">HLOOKUP($H$4,'Met Data'!$A$2:$F$368,G166,FALSE)</f>
        <v>14.8772727272727</v>
      </c>
      <c r="J166" s="133">
        <f ca="1">HLOOKUP($H$4,'Met Data'!$H$2:$M$368,G166,FALSE)*L166</f>
        <v>2.8242424242424198</v>
      </c>
      <c r="K166" s="106">
        <f ca="1">HLOOKUP($H$4,'Met Data'!$O$2:$T$368,G166,FALSE)</f>
        <v>4.7928671108875296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45313</v>
      </c>
      <c r="Q166">
        <f ca="1"/>
        <v>93.255977262004677</v>
      </c>
      <c r="R166">
        <f ca="1"/>
        <v>4.4406578372728801E-2</v>
      </c>
      <c r="S166">
        <f ca="1"/>
        <v>1.2114901702804681</v>
      </c>
      <c r="T166">
        <f ca="1"/>
        <v>0.93572237578488293</v>
      </c>
      <c r="U166">
        <f ca="1"/>
        <v>0</v>
      </c>
      <c r="V166">
        <f ca="1"/>
        <v>0.80111745525774003</v>
      </c>
      <c r="W166">
        <f ca="1"/>
        <v>0.73287411647652501</v>
      </c>
      <c r="X166">
        <f ca="1"/>
        <v>0</v>
      </c>
      <c r="Y166">
        <f ca="1"/>
        <v>0.63952245173147626</v>
      </c>
      <c r="Z166">
        <f ca="1"/>
        <v>0</v>
      </c>
      <c r="AA166">
        <f ca="1"/>
        <v>0</v>
      </c>
      <c r="AB166">
        <f ca="1"/>
        <v>1.11513897244283E-2</v>
      </c>
      <c r="AD166" s="2">
        <f t="shared" ca="1" si="22"/>
        <v>45313</v>
      </c>
      <c r="AE166" s="46">
        <f t="shared" ca="1" si="23"/>
        <v>0</v>
      </c>
      <c r="AG166" s="72">
        <f t="shared" ca="1" si="27"/>
        <v>93.300383840377393</v>
      </c>
      <c r="AH166" s="72">
        <f t="shared" ca="1" si="28"/>
        <v>93.300383840377407</v>
      </c>
      <c r="AI166" s="3">
        <f t="shared" ca="1" si="29"/>
        <v>0</v>
      </c>
    </row>
    <row r="167" spans="7:35" x14ac:dyDescent="0.25">
      <c r="G167" s="3">
        <f t="shared" ca="1" si="24"/>
        <v>344</v>
      </c>
      <c r="H167" s="105">
        <f t="shared" ca="1" si="26"/>
        <v>45269</v>
      </c>
      <c r="I167" s="133">
        <f ca="1">HLOOKUP($H$4,'Met Data'!$A$2:$F$368,G167,FALSE)</f>
        <v>14.215151515151501</v>
      </c>
      <c r="J167" s="133">
        <f ca="1">HLOOKUP($H$4,'Met Data'!$H$2:$M$368,G167,FALSE)*L167</f>
        <v>0.49393939393939301</v>
      </c>
      <c r="K167" s="106">
        <f ca="1">HLOOKUP($H$4,'Met Data'!$O$2:$T$368,G167,FALSE)</f>
        <v>4.8235358630714096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45314</v>
      </c>
      <c r="Q167">
        <f ca="1"/>
        <v>94.996629179474553</v>
      </c>
      <c r="R167">
        <f ca="1"/>
        <v>4.4114475649652797E-2</v>
      </c>
      <c r="S167">
        <f ca="1"/>
        <v>0.94709040590795146</v>
      </c>
      <c r="T167">
        <f ca="1"/>
        <v>0.83767598721157954</v>
      </c>
      <c r="U167">
        <f ca="1"/>
        <v>0</v>
      </c>
      <c r="V167">
        <f ca="1"/>
        <v>0.84523193090739301</v>
      </c>
      <c r="W167">
        <f ca="1"/>
        <v>0.77323069234861497</v>
      </c>
      <c r="X167">
        <f ca="1"/>
        <v>0</v>
      </c>
      <c r="Y167">
        <f ca="1"/>
        <v>0.61776956082889078</v>
      </c>
      <c r="Z167">
        <f ca="1"/>
        <v>0</v>
      </c>
      <c r="AA167">
        <f ca="1"/>
        <v>0</v>
      </c>
      <c r="AB167">
        <f ca="1"/>
        <v>1.32065541258337E-2</v>
      </c>
      <c r="AD167" s="2">
        <f t="shared" ca="1" si="22"/>
        <v>45314</v>
      </c>
      <c r="AE167" s="46">
        <f t="shared" ca="1" si="23"/>
        <v>0</v>
      </c>
      <c r="AG167" s="72">
        <f t="shared" ca="1" si="27"/>
        <v>95.040743655124217</v>
      </c>
      <c r="AH167" s="72">
        <f t="shared" ca="1" si="28"/>
        <v>95.040743655124203</v>
      </c>
      <c r="AI167" s="3">
        <f t="shared" ca="1" si="29"/>
        <v>0</v>
      </c>
    </row>
    <row r="168" spans="7:35" x14ac:dyDescent="0.25">
      <c r="G168" s="3">
        <f t="shared" ca="1" si="24"/>
        <v>345</v>
      </c>
      <c r="H168" s="105">
        <f t="shared" ca="1" si="26"/>
        <v>45270</v>
      </c>
      <c r="I168" s="133">
        <f ca="1">HLOOKUP($H$4,'Met Data'!$A$2:$F$368,G168,FALSE)</f>
        <v>14.9121212121212</v>
      </c>
      <c r="J168" s="133">
        <f ca="1">HLOOKUP($H$4,'Met Data'!$H$2:$M$368,G168,FALSE)*L168</f>
        <v>0.67878787878787805</v>
      </c>
      <c r="K168" s="106">
        <f ca="1">HLOOKUP($H$4,'Met Data'!$O$2:$T$368,G168,FALSE)</f>
        <v>4.3850054551207398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45315</v>
      </c>
      <c r="Q168">
        <f ca="1"/>
        <v>96.546494876747303</v>
      </c>
      <c r="R168">
        <f ca="1"/>
        <v>4.5538110034687898E-2</v>
      </c>
      <c r="S168">
        <f ca="1"/>
        <v>0.79337991071446234</v>
      </c>
      <c r="T168">
        <f ca="1"/>
        <v>0.80202389659296847</v>
      </c>
      <c r="U168">
        <f ca="1"/>
        <v>0</v>
      </c>
      <c r="V168">
        <f ca="1"/>
        <v>0.89077004094208101</v>
      </c>
      <c r="W168">
        <f ca="1"/>
        <v>0.81488963004701498</v>
      </c>
      <c r="X168">
        <f ca="1"/>
        <v>0</v>
      </c>
      <c r="Y168">
        <f ca="1"/>
        <v>0.6050357547837012</v>
      </c>
      <c r="Z168">
        <f ca="1"/>
        <v>0</v>
      </c>
      <c r="AA168">
        <f ca="1"/>
        <v>0</v>
      </c>
      <c r="AB168">
        <f ca="1"/>
        <v>1.5582232534636101E-2</v>
      </c>
      <c r="AD168" s="2">
        <f t="shared" ca="1" si="22"/>
        <v>45315</v>
      </c>
      <c r="AE168" s="46">
        <f t="shared" ca="1" si="23"/>
        <v>0</v>
      </c>
      <c r="AG168" s="72">
        <f t="shared" ca="1" si="27"/>
        <v>96.592032986781987</v>
      </c>
      <c r="AH168" s="72">
        <f t="shared" ca="1" si="28"/>
        <v>96.592032986781987</v>
      </c>
      <c r="AI168" s="3">
        <f t="shared" ca="1" si="29"/>
        <v>0</v>
      </c>
    </row>
    <row r="169" spans="7:35" x14ac:dyDescent="0.25">
      <c r="G169" s="3">
        <f t="shared" ca="1" si="24"/>
        <v>346</v>
      </c>
      <c r="H169" s="105">
        <f t="shared" ca="1" si="26"/>
        <v>45271</v>
      </c>
      <c r="I169" s="133">
        <f ca="1">HLOOKUP($H$4,'Met Data'!$A$2:$F$368,G169,FALSE)</f>
        <v>15.940909090909001</v>
      </c>
      <c r="J169" s="133">
        <f ca="1">HLOOKUP($H$4,'Met Data'!$H$2:$M$368,G169,FALSE)*L169</f>
        <v>0.221212121212121</v>
      </c>
      <c r="K169" s="106">
        <f ca="1">HLOOKUP($H$4,'Met Data'!$O$2:$T$368,G169,FALSE)</f>
        <v>5.2714081938624204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45316</v>
      </c>
      <c r="Q169">
        <f ca="1"/>
        <v>97.957244270949687</v>
      </c>
      <c r="R169">
        <f ca="1"/>
        <v>4.7517191583095898E-2</v>
      </c>
      <c r="S169">
        <f ca="1"/>
        <v>0.6772782263913405</v>
      </c>
      <c r="T169">
        <f ca="1"/>
        <v>0.78098835939414335</v>
      </c>
      <c r="U169">
        <f ca="1"/>
        <v>0</v>
      </c>
      <c r="V169">
        <f ca="1"/>
        <v>0.93828723252517698</v>
      </c>
      <c r="W169">
        <f ca="1"/>
        <v>0.85835906086562497</v>
      </c>
      <c r="X169">
        <f ca="1"/>
        <v>0</v>
      </c>
      <c r="Y169">
        <f ca="1"/>
        <v>0.59339540757898812</v>
      </c>
      <c r="Z169">
        <f ca="1"/>
        <v>0</v>
      </c>
      <c r="AA169">
        <f ca="1"/>
        <v>0</v>
      </c>
      <c r="AB169">
        <f ca="1"/>
        <v>1.8351933202138501E-2</v>
      </c>
      <c r="AD169" s="2">
        <f t="shared" ca="1" si="22"/>
        <v>45316</v>
      </c>
      <c r="AE169" s="46">
        <f t="shared" ca="1" si="23"/>
        <v>0</v>
      </c>
      <c r="AG169" s="72">
        <f t="shared" ca="1" si="27"/>
        <v>98.004761462532784</v>
      </c>
      <c r="AH169" s="72">
        <f t="shared" ca="1" si="28"/>
        <v>98.004761462532784</v>
      </c>
      <c r="AI169" s="3">
        <f t="shared" ca="1" si="29"/>
        <v>0</v>
      </c>
    </row>
    <row r="170" spans="7:35" x14ac:dyDescent="0.25">
      <c r="G170" s="3">
        <f t="shared" ca="1" si="24"/>
        <v>347</v>
      </c>
      <c r="H170" s="105">
        <f t="shared" ca="1" si="26"/>
        <v>45272</v>
      </c>
      <c r="I170" s="133">
        <f ca="1">HLOOKUP($H$4,'Met Data'!$A$2:$F$368,G170,FALSE)</f>
        <v>16.6272727272727</v>
      </c>
      <c r="J170" s="133">
        <f ca="1">HLOOKUP($H$4,'Met Data'!$H$2:$M$368,G170,FALSE)*L170</f>
        <v>1.21818181818181</v>
      </c>
      <c r="K170" s="106">
        <f ca="1">HLOOKUP($H$4,'Met Data'!$O$2:$T$368,G170,FALSE)</f>
        <v>5.2469107263269903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45317</v>
      </c>
      <c r="Q170">
        <f ca="1"/>
        <v>99.228412619004786</v>
      </c>
      <c r="R170">
        <f ca="1"/>
        <v>4.9185357876062298E-2</v>
      </c>
      <c r="S170">
        <f ca="1"/>
        <v>0.57149340332619192</v>
      </c>
      <c r="T170">
        <f ca="1"/>
        <v>0.74886030260495939</v>
      </c>
      <c r="U170">
        <f ca="1"/>
        <v>0</v>
      </c>
      <c r="V170">
        <f ca="1"/>
        <v>0.98747259040123903</v>
      </c>
      <c r="W170">
        <f ca="1"/>
        <v>0.90335455492261496</v>
      </c>
      <c r="X170">
        <f ca="1"/>
        <v>0</v>
      </c>
      <c r="Y170">
        <f ca="1"/>
        <v>0.57726522441271766</v>
      </c>
      <c r="Z170">
        <f ca="1"/>
        <v>0</v>
      </c>
      <c r="AA170">
        <f ca="1"/>
        <v>0</v>
      </c>
      <c r="AB170">
        <f ca="1"/>
        <v>2.1548359634934199E-2</v>
      </c>
      <c r="AD170" s="2">
        <f t="shared" ca="1" si="22"/>
        <v>45317</v>
      </c>
      <c r="AE170" s="46">
        <f t="shared" ca="1" si="23"/>
        <v>0</v>
      </c>
      <c r="AG170" s="72">
        <f t="shared" ca="1" si="27"/>
        <v>99.277597976880827</v>
      </c>
      <c r="AH170" s="72">
        <f t="shared" ca="1" si="28"/>
        <v>99.277597976880841</v>
      </c>
      <c r="AI170" s="3">
        <f t="shared" ca="1" si="29"/>
        <v>0</v>
      </c>
    </row>
    <row r="171" spans="7:35" x14ac:dyDescent="0.25">
      <c r="G171" s="3">
        <f t="shared" ca="1" si="24"/>
        <v>348</v>
      </c>
      <c r="H171" s="105">
        <f t="shared" ca="1" si="26"/>
        <v>45273</v>
      </c>
      <c r="I171" s="133">
        <f ca="1">HLOOKUP($H$4,'Met Data'!$A$2:$F$368,G171,FALSE)</f>
        <v>15.6196969696969</v>
      </c>
      <c r="J171" s="133">
        <f ca="1">HLOOKUP($H$4,'Met Data'!$H$2:$M$368,G171,FALSE)*L171</f>
        <v>2.59696969696969</v>
      </c>
      <c r="K171" s="106">
        <f ca="1">HLOOKUP($H$4,'Met Data'!$O$2:$T$368,G171,FALSE)</f>
        <v>5.0310266433765403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45318</v>
      </c>
      <c r="Q171">
        <f ca="1"/>
        <v>100.41468986510912</v>
      </c>
      <c r="R171">
        <f ca="1"/>
        <v>5.1364076351588697E-2</v>
      </c>
      <c r="S171">
        <f ca="1"/>
        <v>0.4993057784552028</v>
      </c>
      <c r="T171">
        <f ca="1"/>
        <v>0.73833554400072809</v>
      </c>
      <c r="U171">
        <f ca="1"/>
        <v>0</v>
      </c>
      <c r="V171">
        <f ca="1"/>
        <v>1.0388366667528299</v>
      </c>
      <c r="W171">
        <f ca="1"/>
        <v>0.95034317291832704</v>
      </c>
      <c r="X171">
        <f ca="1"/>
        <v>0</v>
      </c>
      <c r="Y171">
        <f ca="1"/>
        <v>0.5726754079943176</v>
      </c>
      <c r="Z171">
        <f ca="1"/>
        <v>0</v>
      </c>
      <c r="AA171">
        <f ca="1"/>
        <v>0</v>
      </c>
      <c r="AB171">
        <f ca="1"/>
        <v>2.5262258150336701E-2</v>
      </c>
      <c r="AD171" s="2">
        <f t="shared" ca="1" si="22"/>
        <v>45318</v>
      </c>
      <c r="AE171" s="46">
        <f t="shared" ca="1" si="23"/>
        <v>0</v>
      </c>
      <c r="AG171" s="72">
        <f t="shared" ca="1" si="27"/>
        <v>100.46605394146073</v>
      </c>
      <c r="AH171" s="72">
        <f t="shared" ca="1" si="28"/>
        <v>100.46605394146071</v>
      </c>
      <c r="AI171" s="3">
        <f t="shared" ca="1" si="29"/>
        <v>0</v>
      </c>
    </row>
    <row r="172" spans="7:35" x14ac:dyDescent="0.25">
      <c r="G172" s="3">
        <f t="shared" ca="1" si="24"/>
        <v>349</v>
      </c>
      <c r="H172" s="105">
        <f t="shared" ca="1" si="26"/>
        <v>45274</v>
      </c>
      <c r="I172" s="133">
        <f ca="1">HLOOKUP($H$4,'Met Data'!$A$2:$F$368,G172,FALSE)</f>
        <v>14.8939393939393</v>
      </c>
      <c r="J172" s="133">
        <f ca="1">HLOOKUP($H$4,'Met Data'!$H$2:$M$368,G172,FALSE)*L172</f>
        <v>1.05151515151515</v>
      </c>
      <c r="K172" s="106">
        <f ca="1">HLOOKUP($H$4,'Met Data'!$O$2:$T$368,G172,FALSE)</f>
        <v>5.1072739426404103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45319</v>
      </c>
      <c r="Q172">
        <f ca="1"/>
        <v>101.57264998558867</v>
      </c>
      <c r="R172">
        <f ca="1"/>
        <v>5.63689768049047E-2</v>
      </c>
      <c r="S172">
        <f ca="1"/>
        <v>0.44982292792252015</v>
      </c>
      <c r="T172">
        <f ca="1"/>
        <v>0.76450616936194526</v>
      </c>
      <c r="U172">
        <f ca="1"/>
        <v>0</v>
      </c>
      <c r="V172">
        <f ca="1"/>
        <v>1.09520564355773</v>
      </c>
      <c r="W172">
        <f ca="1"/>
        <v>1.0019103479954099</v>
      </c>
      <c r="X172">
        <f ca="1"/>
        <v>0</v>
      </c>
      <c r="Y172">
        <f ca="1"/>
        <v>0.55687925113146131</v>
      </c>
      <c r="Z172">
        <f ca="1"/>
        <v>0</v>
      </c>
      <c r="AA172">
        <f ca="1"/>
        <v>0</v>
      </c>
      <c r="AB172">
        <f ca="1"/>
        <v>2.9801361745862499E-2</v>
      </c>
      <c r="AD172" s="2">
        <f t="shared" ca="1" si="22"/>
        <v>45319</v>
      </c>
      <c r="AE172" s="46">
        <f t="shared" ca="1" si="23"/>
        <v>0</v>
      </c>
      <c r="AG172" s="72">
        <f t="shared" ca="1" si="27"/>
        <v>101.6290189623936</v>
      </c>
      <c r="AH172" s="72">
        <f t="shared" ca="1" si="28"/>
        <v>101.62901896239357</v>
      </c>
      <c r="AI172" s="3">
        <f t="shared" ca="1" si="29"/>
        <v>0</v>
      </c>
    </row>
    <row r="173" spans="7:35" x14ac:dyDescent="0.25">
      <c r="G173" s="3">
        <f t="shared" ca="1" si="24"/>
        <v>350</v>
      </c>
      <c r="H173" s="105">
        <f t="shared" ca="1" si="26"/>
        <v>45275</v>
      </c>
      <c r="I173" s="133">
        <f ca="1">HLOOKUP($H$4,'Met Data'!$A$2:$F$368,G173,FALSE)</f>
        <v>16</v>
      </c>
      <c r="J173" s="133">
        <f ca="1">HLOOKUP($H$4,'Met Data'!$H$2:$M$368,G173,FALSE)*L173</f>
        <v>1.04242424242424</v>
      </c>
      <c r="K173" s="106">
        <f ca="1">HLOOKUP($H$4,'Met Data'!$O$2:$T$368,G173,FALSE)</f>
        <v>5.4539790972000102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45320</v>
      </c>
      <c r="Q173">
        <f ca="1"/>
        <v>102.66838889448528</v>
      </c>
      <c r="R173">
        <f ca="1"/>
        <v>6.0892454780161503E-2</v>
      </c>
      <c r="S173">
        <f ca="1"/>
        <v>0.39100205979635938</v>
      </c>
      <c r="T173">
        <f ca="1"/>
        <v>0.76562930388040396</v>
      </c>
      <c r="U173">
        <f ca="1"/>
        <v>0</v>
      </c>
      <c r="V173">
        <f ca="1"/>
        <v>1.1560980983378899</v>
      </c>
      <c r="W173">
        <f ca="1"/>
        <v>1.0576156677387401</v>
      </c>
      <c r="X173">
        <f ca="1"/>
        <v>0</v>
      </c>
      <c r="Y173">
        <f ca="1"/>
        <v>0.53263051172784903</v>
      </c>
      <c r="Z173">
        <f ca="1"/>
        <v>0</v>
      </c>
      <c r="AA173">
        <f ca="1"/>
        <v>0</v>
      </c>
      <c r="AB173">
        <f ca="1"/>
        <v>3.5274526468037297E-2</v>
      </c>
      <c r="AD173" s="2">
        <f t="shared" ca="1" si="22"/>
        <v>45320</v>
      </c>
      <c r="AE173" s="46">
        <f t="shared" ca="1" si="23"/>
        <v>0</v>
      </c>
      <c r="AG173" s="72">
        <f t="shared" ca="1" si="27"/>
        <v>102.72928134926543</v>
      </c>
      <c r="AH173" s="72">
        <f t="shared" ca="1" si="28"/>
        <v>102.72928134926543</v>
      </c>
      <c r="AI173" s="3">
        <f t="shared" ca="1" si="29"/>
        <v>0</v>
      </c>
    </row>
    <row r="174" spans="7:35" x14ac:dyDescent="0.25">
      <c r="G174" s="3">
        <f t="shared" ca="1" si="24"/>
        <v>351</v>
      </c>
      <c r="H174" s="105">
        <f t="shared" ca="1" si="26"/>
        <v>45276</v>
      </c>
      <c r="I174" s="133">
        <f ca="1">HLOOKUP($H$4,'Met Data'!$A$2:$F$368,G174,FALSE)</f>
        <v>15.5590909090909</v>
      </c>
      <c r="J174" s="133">
        <f ca="1">HLOOKUP($H$4,'Met Data'!$H$2:$M$368,G174,FALSE)*L174</f>
        <v>1.9272727272727199</v>
      </c>
      <c r="K174" s="106">
        <f ca="1">HLOOKUP($H$4,'Met Data'!$O$2:$T$368,G174,FALSE)</f>
        <v>4.5883036332124396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45321</v>
      </c>
      <c r="Q174">
        <f ca="1"/>
        <v>103.72405407322071</v>
      </c>
      <c r="R174">
        <f ca="1"/>
        <v>6.6161801433540293E-2</v>
      </c>
      <c r="S174">
        <f ca="1"/>
        <v>0.34487742970609753</v>
      </c>
      <c r="T174">
        <f ca="1"/>
        <v>0.77694955046288705</v>
      </c>
      <c r="U174">
        <f ca="1"/>
        <v>0</v>
      </c>
      <c r="V174">
        <f ca="1"/>
        <v>1.22225989977143</v>
      </c>
      <c r="W174">
        <f ca="1"/>
        <v>1.11814146386498</v>
      </c>
      <c r="X174">
        <f ca="1"/>
        <v>0</v>
      </c>
      <c r="Y174">
        <f ca="1"/>
        <v>0.51334510469725192</v>
      </c>
      <c r="Z174">
        <f ca="1"/>
        <v>0</v>
      </c>
      <c r="AA174">
        <f ca="1"/>
        <v>0</v>
      </c>
      <c r="AB174">
        <f ca="1"/>
        <v>4.1921108606279699E-2</v>
      </c>
      <c r="AD174" s="2">
        <f t="shared" ca="1" si="22"/>
        <v>45321</v>
      </c>
      <c r="AE174" s="46">
        <f t="shared" ca="1" si="23"/>
        <v>0</v>
      </c>
      <c r="AG174" s="72">
        <f t="shared" ca="1" si="27"/>
        <v>103.79021587465427</v>
      </c>
      <c r="AH174" s="72">
        <f t="shared" ca="1" si="28"/>
        <v>103.79021587465425</v>
      </c>
      <c r="AI174" s="3">
        <f t="shared" ca="1" si="29"/>
        <v>0</v>
      </c>
    </row>
    <row r="175" spans="7:35" x14ac:dyDescent="0.25">
      <c r="G175" s="3">
        <f t="shared" ca="1" si="24"/>
        <v>352</v>
      </c>
      <c r="H175" s="105">
        <f t="shared" ca="1" si="26"/>
        <v>45277</v>
      </c>
      <c r="I175" s="133">
        <f ca="1">HLOOKUP($H$4,'Met Data'!$A$2:$F$368,G175,FALSE)</f>
        <v>15.2454545454545</v>
      </c>
      <c r="J175" s="133">
        <f ca="1">HLOOKUP($H$4,'Met Data'!$H$2:$M$368,G175,FALSE)*L175</f>
        <v>2.4060606060606</v>
      </c>
      <c r="K175" s="106">
        <f ca="1">HLOOKUP($H$4,'Met Data'!$O$2:$T$368,G175,FALSE)</f>
        <v>4.7700419489867203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45322</v>
      </c>
      <c r="Q175">
        <f ca="1"/>
        <v>104.71890714702103</v>
      </c>
      <c r="R175">
        <f ca="1"/>
        <v>7.0277585305343004E-2</v>
      </c>
      <c r="S175">
        <f ca="1"/>
        <v>0.29850243436496821</v>
      </c>
      <c r="T175">
        <f ca="1"/>
        <v>0.76662822474068104</v>
      </c>
      <c r="U175">
        <f ca="1"/>
        <v>0</v>
      </c>
      <c r="V175">
        <f ca="1"/>
        <v>1.2925374850767799</v>
      </c>
      <c r="W175">
        <f ca="1"/>
        <v>1.1824324400517201</v>
      </c>
      <c r="X175">
        <f ca="1"/>
        <v>0</v>
      </c>
      <c r="Y175">
        <f ca="1"/>
        <v>0.49656021638137882</v>
      </c>
      <c r="Z175">
        <f ca="1"/>
        <v>0</v>
      </c>
      <c r="AA175">
        <f ca="1"/>
        <v>0</v>
      </c>
      <c r="AB175">
        <f ca="1"/>
        <v>4.9810263542148799E-2</v>
      </c>
      <c r="AD175" s="2">
        <f t="shared" ca="1" si="22"/>
        <v>45322</v>
      </c>
      <c r="AE175" s="46">
        <f t="shared" ca="1" si="23"/>
        <v>0</v>
      </c>
      <c r="AG175" s="72">
        <f t="shared" ca="1" si="27"/>
        <v>104.78918473232636</v>
      </c>
      <c r="AH175" s="72">
        <f t="shared" ca="1" si="28"/>
        <v>104.78918473232638</v>
      </c>
      <c r="AI175" s="3">
        <f t="shared" ca="1" si="29"/>
        <v>0</v>
      </c>
    </row>
    <row r="176" spans="7:35" x14ac:dyDescent="0.25">
      <c r="G176" s="3">
        <f t="shared" ca="1" si="24"/>
        <v>353</v>
      </c>
      <c r="H176" s="105">
        <f t="shared" ca="1" si="26"/>
        <v>45278</v>
      </c>
      <c r="I176" s="133">
        <f ca="1">HLOOKUP($H$4,'Met Data'!$A$2:$F$368,G176,FALSE)</f>
        <v>15.4969696969696</v>
      </c>
      <c r="J176" s="133">
        <f ca="1">HLOOKUP($H$4,'Met Data'!$H$2:$M$368,G176,FALSE)*L176</f>
        <v>1.9363636363636301</v>
      </c>
      <c r="K176" s="106">
        <f ca="1">HLOOKUP($H$4,'Met Data'!$O$2:$T$368,G176,FALSE)</f>
        <v>5.0336294289784602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45323</v>
      </c>
      <c r="Q176">
        <f ca="1"/>
        <v>105.60714751129854</v>
      </c>
      <c r="R176">
        <f ca="1"/>
        <v>7.1802742183419102E-2</v>
      </c>
      <c r="S176">
        <f ca="1"/>
        <v>0.24645010253469937</v>
      </c>
      <c r="T176">
        <f ca="1"/>
        <v>0.71359300392623215</v>
      </c>
      <c r="U176">
        <f ca="1"/>
        <v>0</v>
      </c>
      <c r="V176">
        <f ca="1"/>
        <v>1.3643402272602001</v>
      </c>
      <c r="W176">
        <f ca="1"/>
        <v>1.2481186523454399</v>
      </c>
      <c r="X176">
        <f ca="1"/>
        <v>0</v>
      </c>
      <c r="Y176">
        <f ca="1"/>
        <v>0.47435347885852258</v>
      </c>
      <c r="Z176">
        <f ca="1"/>
        <v>0</v>
      </c>
      <c r="AA176">
        <f ca="1"/>
        <v>0</v>
      </c>
      <c r="AB176">
        <f ca="1"/>
        <v>5.8781096522060497E-2</v>
      </c>
      <c r="AD176" s="2">
        <f t="shared" ca="1" si="22"/>
        <v>45323</v>
      </c>
      <c r="AE176" s="46">
        <f t="shared" ca="1" si="23"/>
        <v>0</v>
      </c>
      <c r="AG176" s="72">
        <f t="shared" ca="1" si="27"/>
        <v>105.67895025348196</v>
      </c>
      <c r="AH176" s="72">
        <f t="shared" ca="1" si="28"/>
        <v>105.67895025348196</v>
      </c>
      <c r="AI176" s="3">
        <f t="shared" ca="1" si="29"/>
        <v>0</v>
      </c>
    </row>
    <row r="177" spans="7:35" x14ac:dyDescent="0.25">
      <c r="G177" s="3">
        <f t="shared" ca="1" si="24"/>
        <v>354</v>
      </c>
      <c r="H177" s="105">
        <f t="shared" ca="1" si="26"/>
        <v>45279</v>
      </c>
      <c r="I177" s="133">
        <f ca="1">HLOOKUP($H$4,'Met Data'!$A$2:$F$368,G177,FALSE)</f>
        <v>15.5242424242424</v>
      </c>
      <c r="J177" s="133">
        <f ca="1">HLOOKUP($H$4,'Met Data'!$H$2:$M$368,G177,FALSE)*L177</f>
        <v>1.78181818181818</v>
      </c>
      <c r="K177" s="106">
        <f ca="1">HLOOKUP($H$4,'Met Data'!$O$2:$T$368,G177,FALSE)</f>
        <v>4.98855977845243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45324</v>
      </c>
      <c r="Q177">
        <f ca="1"/>
        <v>106.38979726316006</v>
      </c>
      <c r="R177">
        <f ca="1"/>
        <v>7.1079542998344195E-2</v>
      </c>
      <c r="S177">
        <f ca="1"/>
        <v>0.20410234215549286</v>
      </c>
      <c r="T177">
        <f ca="1"/>
        <v>0.64962695270437709</v>
      </c>
      <c r="U177">
        <f ca="1"/>
        <v>0</v>
      </c>
      <c r="V177">
        <f ca="1"/>
        <v>1.4354197702585401</v>
      </c>
      <c r="W177">
        <f ca="1"/>
        <v>1.3131432713105899</v>
      </c>
      <c r="X177">
        <f ca="1"/>
        <v>0</v>
      </c>
      <c r="Y177">
        <f ca="1"/>
        <v>0.46374003624130467</v>
      </c>
      <c r="Z177">
        <f ca="1"/>
        <v>0</v>
      </c>
      <c r="AA177">
        <f ca="1"/>
        <v>0</v>
      </c>
      <c r="AB177">
        <f ca="1"/>
        <v>6.8589439415073297E-2</v>
      </c>
      <c r="AD177" s="2">
        <f t="shared" ca="1" si="22"/>
        <v>45324</v>
      </c>
      <c r="AE177" s="46">
        <f t="shared" ca="1" si="23"/>
        <v>0</v>
      </c>
      <c r="AG177" s="72">
        <f t="shared" ca="1" si="27"/>
        <v>106.46087680615841</v>
      </c>
      <c r="AH177" s="72">
        <f t="shared" ca="1" si="28"/>
        <v>106.46087680615841</v>
      </c>
      <c r="AI177" s="3">
        <f t="shared" ca="1" si="29"/>
        <v>0</v>
      </c>
    </row>
    <row r="178" spans="7:35" x14ac:dyDescent="0.25">
      <c r="G178" s="3">
        <f t="shared" ca="1" si="24"/>
        <v>355</v>
      </c>
      <c r="H178" s="105">
        <f t="shared" ca="1" si="26"/>
        <v>45280</v>
      </c>
      <c r="I178" s="133">
        <f ca="1">HLOOKUP($H$4,'Met Data'!$A$2:$F$368,G178,FALSE)</f>
        <v>15.1863636363636</v>
      </c>
      <c r="J178" s="133">
        <f ca="1">HLOOKUP($H$4,'Met Data'!$H$2:$M$368,G178,FALSE)*L178</f>
        <v>4.1696969696969699</v>
      </c>
      <c r="K178" s="106">
        <f ca="1">HLOOKUP($H$4,'Met Data'!$O$2:$T$368,G178,FALSE)</f>
        <v>4.9791838222051101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45325</v>
      </c>
      <c r="Q178">
        <f ca="1"/>
        <v>107.12280659436129</v>
      </c>
      <c r="R178">
        <f ca="1"/>
        <v>7.3745606250633894E-2</v>
      </c>
      <c r="S178">
        <f ca="1"/>
        <v>0.1778925093524428</v>
      </c>
      <c r="T178">
        <f ca="1"/>
        <v>0.62886242809942439</v>
      </c>
      <c r="U178">
        <f ca="1"/>
        <v>0</v>
      </c>
      <c r="V178">
        <f ca="1"/>
        <v>1.5091653765091699</v>
      </c>
      <c r="W178">
        <f ca="1"/>
        <v>1.3806068444361701</v>
      </c>
      <c r="X178">
        <f ca="1"/>
        <v>0</v>
      </c>
      <c r="Y178">
        <f ca="1"/>
        <v>0.45034627346473205</v>
      </c>
      <c r="Z178">
        <f ca="1"/>
        <v>0</v>
      </c>
      <c r="AA178">
        <f ca="1"/>
        <v>0</v>
      </c>
      <c r="AB178">
        <f ca="1"/>
        <v>7.9755509295890994E-2</v>
      </c>
      <c r="AD178" s="2">
        <f t="shared" ca="1" si="22"/>
        <v>45325</v>
      </c>
      <c r="AE178" s="46">
        <f t="shared" ca="1" si="23"/>
        <v>0</v>
      </c>
      <c r="AG178" s="72">
        <f t="shared" ca="1" si="27"/>
        <v>107.19655220061193</v>
      </c>
      <c r="AH178" s="72">
        <f t="shared" ca="1" si="28"/>
        <v>107.19655220061193</v>
      </c>
      <c r="AI178" s="3">
        <f t="shared" ca="1" si="29"/>
        <v>0</v>
      </c>
    </row>
    <row r="179" spans="7:35" x14ac:dyDescent="0.25">
      <c r="G179" s="3">
        <f t="shared" ca="1" si="24"/>
        <v>356</v>
      </c>
      <c r="H179" s="105">
        <f t="shared" ca="1" si="26"/>
        <v>45281</v>
      </c>
      <c r="I179" s="133">
        <f ca="1">HLOOKUP($H$4,'Met Data'!$A$2:$F$368,G179,FALSE)</f>
        <v>14.9893480257116</v>
      </c>
      <c r="J179" s="133">
        <f ca="1">HLOOKUP($H$4,'Met Data'!$H$2:$M$368,G179,FALSE)*L179</f>
        <v>2.6030303030302999</v>
      </c>
      <c r="K179" s="106">
        <f ca="1">HLOOKUP($H$4,'Met Data'!$O$2:$T$368,G179,FALSE)</f>
        <v>5.3026714900844496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45326</v>
      </c>
      <c r="Q179">
        <f ca="1"/>
        <v>107.91656416620961</v>
      </c>
      <c r="R179">
        <f ca="1"/>
        <v>8.5053222221418895E-2</v>
      </c>
      <c r="S179">
        <f ca="1"/>
        <v>0.17492680791662646</v>
      </c>
      <c r="T179">
        <f ca="1"/>
        <v>0.7038839861531021</v>
      </c>
      <c r="U179">
        <f ca="1"/>
        <v>0</v>
      </c>
      <c r="V179">
        <f ca="1"/>
        <v>1.5942185987305899</v>
      </c>
      <c r="W179">
        <f ca="1"/>
        <v>1.45841479217206</v>
      </c>
      <c r="X179">
        <f ca="1"/>
        <v>0</v>
      </c>
      <c r="Y179">
        <f ca="1"/>
        <v>0.44288033973565305</v>
      </c>
      <c r="Z179">
        <f ca="1"/>
        <v>0</v>
      </c>
      <c r="AA179">
        <f ca="1"/>
        <v>0</v>
      </c>
      <c r="AB179">
        <f ca="1"/>
        <v>9.3890924207782597E-2</v>
      </c>
      <c r="AD179" s="2">
        <f t="shared" ca="1" si="22"/>
        <v>45326</v>
      </c>
      <c r="AE179" s="46">
        <f t="shared" ca="1" si="23"/>
        <v>0</v>
      </c>
      <c r="AG179" s="72">
        <f t="shared" ca="1" si="27"/>
        <v>108.00161738843101</v>
      </c>
      <c r="AH179" s="72">
        <f t="shared" ca="1" si="28"/>
        <v>108.00161738843103</v>
      </c>
      <c r="AI179" s="3">
        <f t="shared" ca="1" si="29"/>
        <v>0</v>
      </c>
    </row>
    <row r="180" spans="7:35" x14ac:dyDescent="0.25">
      <c r="G180" s="3">
        <f t="shared" ca="1" si="24"/>
        <v>357</v>
      </c>
      <c r="H180" s="105">
        <f t="shared" ca="1" si="26"/>
        <v>45282</v>
      </c>
      <c r="I180" s="133">
        <f ca="1">HLOOKUP($H$4,'Met Data'!$A$2:$F$368,G180,FALSE)</f>
        <v>15.318181818181801</v>
      </c>
      <c r="J180" s="133">
        <f ca="1">HLOOKUP($H$4,'Met Data'!$H$2:$M$368,G180,FALSE)*L180</f>
        <v>2.1333333333333302</v>
      </c>
      <c r="K180" s="106">
        <f ca="1">HLOOKUP($H$4,'Met Data'!$O$2:$T$368,G180,FALSE)</f>
        <v>5.2799428567790896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45327</v>
      </c>
      <c r="Q180">
        <f ca="1"/>
        <v>108.58918105465199</v>
      </c>
      <c r="R180">
        <f ca="1"/>
        <v>8.0222128334447806E-2</v>
      </c>
      <c r="S180">
        <f ca="1"/>
        <v>0.14219912873331342</v>
      </c>
      <c r="T180">
        <f ca="1"/>
        <v>0.61063988804351998</v>
      </c>
      <c r="U180">
        <f ca="1"/>
        <v>0</v>
      </c>
      <c r="V180">
        <f ca="1"/>
        <v>1.6744407270650401</v>
      </c>
      <c r="W180">
        <f ca="1"/>
        <v>1.5318031836483901</v>
      </c>
      <c r="X180">
        <f ca="1"/>
        <v>0</v>
      </c>
      <c r="Y180">
        <f ca="1"/>
        <v>0.44336008385491543</v>
      </c>
      <c r="Z180">
        <f ca="1"/>
        <v>0</v>
      </c>
      <c r="AA180">
        <f ca="1"/>
        <v>0</v>
      </c>
      <c r="AB180">
        <f ca="1"/>
        <v>0.10844840408650699</v>
      </c>
      <c r="AD180" s="2">
        <f t="shared" ca="1" si="22"/>
        <v>45327</v>
      </c>
      <c r="AE180" s="46">
        <f t="shared" ca="1" si="23"/>
        <v>0</v>
      </c>
      <c r="AG180" s="72">
        <f t="shared" ca="1" si="27"/>
        <v>108.66940318298644</v>
      </c>
      <c r="AH180" s="72">
        <f t="shared" ca="1" si="28"/>
        <v>108.66940318298643</v>
      </c>
      <c r="AI180" s="3">
        <f t="shared" ca="1" si="29"/>
        <v>0</v>
      </c>
    </row>
    <row r="181" spans="7:35" x14ac:dyDescent="0.25">
      <c r="G181" s="3">
        <f t="shared" ca="1" si="24"/>
        <v>358</v>
      </c>
      <c r="H181" s="105">
        <f t="shared" ca="1" si="26"/>
        <v>45283</v>
      </c>
      <c r="I181" s="133">
        <f ca="1">HLOOKUP($H$4,'Met Data'!$A$2:$F$368,G181,FALSE)</f>
        <v>15.1030303030303</v>
      </c>
      <c r="J181" s="133">
        <f ca="1">HLOOKUP($H$4,'Met Data'!$H$2:$M$368,G181,FALSE)*L181</f>
        <v>1.7606060606060601</v>
      </c>
      <c r="K181" s="106">
        <f ca="1">HLOOKUP($H$4,'Met Data'!$O$2:$T$368,G181,FALSE)</f>
        <v>4.9208206081117201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45328</v>
      </c>
      <c r="Q181">
        <f ca="1"/>
        <v>109.25062275848191</v>
      </c>
      <c r="R181">
        <f ca="1"/>
        <v>8.6503693297166104E-2</v>
      </c>
      <c r="S181">
        <f ca="1"/>
        <v>0.12855345625388945</v>
      </c>
      <c r="T181">
        <f ca="1"/>
        <v>0.61939194087320681</v>
      </c>
      <c r="U181">
        <f ca="1"/>
        <v>0</v>
      </c>
      <c r="V181">
        <f ca="1"/>
        <v>1.76094442036221</v>
      </c>
      <c r="W181">
        <f ca="1"/>
        <v>1.61093804381283</v>
      </c>
      <c r="X181">
        <f ca="1"/>
        <v>0</v>
      </c>
      <c r="Y181">
        <f ca="1"/>
        <v>0.42624077061225368</v>
      </c>
      <c r="Z181">
        <f ca="1"/>
        <v>0</v>
      </c>
      <c r="AA181">
        <f ca="1"/>
        <v>0</v>
      </c>
      <c r="AB181">
        <f ca="1"/>
        <v>0.12544947356241201</v>
      </c>
      <c r="AD181" s="2">
        <f t="shared" ca="1" si="22"/>
        <v>45328</v>
      </c>
      <c r="AE181" s="46">
        <f t="shared" ca="1" si="23"/>
        <v>0</v>
      </c>
      <c r="AG181" s="72">
        <f t="shared" ca="1" si="27"/>
        <v>109.33712645177907</v>
      </c>
      <c r="AH181" s="72">
        <f t="shared" ca="1" si="28"/>
        <v>109.33712645177907</v>
      </c>
      <c r="AI181" s="3">
        <f t="shared" ca="1" si="29"/>
        <v>0</v>
      </c>
    </row>
    <row r="182" spans="7:35" x14ac:dyDescent="0.25">
      <c r="G182" s="3">
        <f t="shared" ca="1" si="24"/>
        <v>359</v>
      </c>
      <c r="H182" s="105">
        <f t="shared" ca="1" si="26"/>
        <v>45284</v>
      </c>
      <c r="I182" s="133">
        <f ca="1">HLOOKUP($H$4,'Met Data'!$A$2:$F$368,G182,FALSE)</f>
        <v>15.75</v>
      </c>
      <c r="J182" s="133">
        <f ca="1">HLOOKUP($H$4,'Met Data'!$H$2:$M$368,G182,FALSE)*L182</f>
        <v>0.44545454545454499</v>
      </c>
      <c r="K182" s="106">
        <f ca="1">HLOOKUP($H$4,'Met Data'!$O$2:$T$368,G182,FALSE)</f>
        <v>5.2220060011835203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45329</v>
      </c>
      <c r="Q182">
        <f ca="1"/>
        <v>109.89273413059892</v>
      </c>
      <c r="R182">
        <f ca="1"/>
        <v>9.0678022431004895E-2</v>
      </c>
      <c r="S182">
        <f ca="1"/>
        <v>0.11665541922943189</v>
      </c>
      <c r="T182">
        <f ca="1"/>
        <v>0.61613397531858116</v>
      </c>
      <c r="U182">
        <f ca="1"/>
        <v>0</v>
      </c>
      <c r="V182">
        <f ca="1"/>
        <v>1.85162244279321</v>
      </c>
      <c r="W182">
        <f ca="1"/>
        <v>1.6938916421108301</v>
      </c>
      <c r="X182">
        <f ca="1"/>
        <v>0</v>
      </c>
      <c r="Y182">
        <f ca="1"/>
        <v>0.42283767771320208</v>
      </c>
      <c r="Z182">
        <f ca="1"/>
        <v>0</v>
      </c>
      <c r="AA182">
        <f ca="1"/>
        <v>0</v>
      </c>
      <c r="AB182">
        <f ca="1"/>
        <v>0.144668712350108</v>
      </c>
      <c r="AD182" s="2">
        <f t="shared" ca="1" si="22"/>
        <v>45329</v>
      </c>
      <c r="AE182" s="46">
        <f t="shared" ca="1" si="23"/>
        <v>0</v>
      </c>
      <c r="AG182" s="72">
        <f t="shared" ca="1" si="27"/>
        <v>109.98341215302992</v>
      </c>
      <c r="AH182" s="72">
        <f t="shared" ca="1" si="28"/>
        <v>109.98341215302993</v>
      </c>
      <c r="AI182" s="3">
        <f t="shared" ca="1" si="29"/>
        <v>0</v>
      </c>
    </row>
    <row r="183" spans="7:35" x14ac:dyDescent="0.25">
      <c r="G183" s="3">
        <f t="shared" ca="1" si="24"/>
        <v>360</v>
      </c>
      <c r="H183" s="105">
        <f t="shared" ca="1" si="26"/>
        <v>45285</v>
      </c>
      <c r="I183" s="133">
        <f ca="1">HLOOKUP($H$4,'Met Data'!$A$2:$F$368,G183,FALSE)</f>
        <v>15.801515151515099</v>
      </c>
      <c r="J183" s="133">
        <f ca="1">HLOOKUP($H$4,'Met Data'!$H$2:$M$368,G183,FALSE)*L183</f>
        <v>0.86969696969696897</v>
      </c>
      <c r="K183" s="106">
        <f ca="1">HLOOKUP($H$4,'Met Data'!$O$2:$T$368,G183,FALSE)</f>
        <v>5.4909304436539399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45330</v>
      </c>
      <c r="Q183">
        <f ca="1"/>
        <v>110.52097829682867</v>
      </c>
      <c r="R183">
        <f ca="1"/>
        <v>9.7028661143663306E-2</v>
      </c>
      <c r="S183">
        <f ca="1"/>
        <v>0.10509910415808189</v>
      </c>
      <c r="T183">
        <f ca="1"/>
        <v>0.62017372321532505</v>
      </c>
      <c r="U183">
        <f ca="1"/>
        <v>0</v>
      </c>
      <c r="V183">
        <f ca="1"/>
        <v>1.9486511039368799</v>
      </c>
      <c r="W183">
        <f ca="1"/>
        <v>1.7826548987866999</v>
      </c>
      <c r="X183">
        <f ca="1"/>
        <v>0</v>
      </c>
      <c r="Y183">
        <f ca="1"/>
        <v>0.4077321143313466</v>
      </c>
      <c r="Z183">
        <f ca="1"/>
        <v>0</v>
      </c>
      <c r="AA183">
        <f ca="1"/>
        <v>0</v>
      </c>
      <c r="AB183">
        <f ca="1"/>
        <v>0.16672627853493699</v>
      </c>
      <c r="AD183" s="2">
        <f t="shared" ca="1" si="22"/>
        <v>45330</v>
      </c>
      <c r="AE183" s="46">
        <f t="shared" ca="1" si="23"/>
        <v>0</v>
      </c>
      <c r="AG183" s="72">
        <f t="shared" ca="1" si="27"/>
        <v>110.61800695797234</v>
      </c>
      <c r="AH183" s="72">
        <f t="shared" ca="1" si="28"/>
        <v>110.61800695797234</v>
      </c>
      <c r="AI183" s="3">
        <f t="shared" ca="1" si="29"/>
        <v>0</v>
      </c>
    </row>
    <row r="184" spans="7:35" x14ac:dyDescent="0.25">
      <c r="G184" s="3">
        <f t="shared" ca="1" si="24"/>
        <v>361</v>
      </c>
      <c r="H184" s="105">
        <f t="shared" ca="1" si="26"/>
        <v>45286</v>
      </c>
      <c r="I184" s="133">
        <f ca="1">HLOOKUP($H$4,'Met Data'!$A$2:$F$368,G184,FALSE)</f>
        <v>15.1378787878787</v>
      </c>
      <c r="J184" s="133">
        <f ca="1">HLOOKUP($H$4,'Met Data'!$H$2:$M$368,G184,FALSE)*L184</f>
        <v>0.68181818181818099</v>
      </c>
      <c r="K184" s="106">
        <f ca="1">HLOOKUP($H$4,'Met Data'!$O$2:$T$368,G184,FALSE)</f>
        <v>4.9163537354420397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45331</v>
      </c>
      <c r="Q184">
        <f ca="1"/>
        <v>111.6524841325255</v>
      </c>
      <c r="R184">
        <f ca="1"/>
        <v>0.102451803334598</v>
      </c>
      <c r="S184">
        <f ca="1"/>
        <v>0.18966680430215946</v>
      </c>
      <c r="T184">
        <f ca="1"/>
        <v>1.0442908347292719</v>
      </c>
      <c r="U184">
        <f ca="1"/>
        <v>0</v>
      </c>
      <c r="V184">
        <f ca="1"/>
        <v>2.0511029072714702</v>
      </c>
      <c r="W184">
        <f ca="1"/>
        <v>1.8763793262816799</v>
      </c>
      <c r="X184">
        <f ca="1"/>
        <v>0</v>
      </c>
      <c r="Y184">
        <f ca="1"/>
        <v>0.79715254883016606</v>
      </c>
      <c r="Z184">
        <f ca="1"/>
        <v>0</v>
      </c>
      <c r="AA184">
        <f ca="1"/>
        <v>48</v>
      </c>
      <c r="AB184">
        <f ca="1"/>
        <v>0.19155099882062099</v>
      </c>
      <c r="AD184" s="2">
        <f t="shared" ca="1" si="22"/>
        <v>45331</v>
      </c>
      <c r="AE184" s="46">
        <f t="shared" ca="1" si="23"/>
        <v>0</v>
      </c>
      <c r="AG184" s="72">
        <f t="shared" ca="1" si="27"/>
        <v>111.7549359358601</v>
      </c>
      <c r="AH184" s="72">
        <f t="shared" ca="1" si="28"/>
        <v>111.7549359358601</v>
      </c>
      <c r="AI184" s="3">
        <f t="shared" ca="1" si="29"/>
        <v>0</v>
      </c>
    </row>
    <row r="185" spans="7:35" x14ac:dyDescent="0.25">
      <c r="G185" s="3">
        <f t="shared" ca="1" si="24"/>
        <v>362</v>
      </c>
      <c r="H185" s="105">
        <f t="shared" ca="1" si="26"/>
        <v>45287</v>
      </c>
      <c r="I185" s="133">
        <f ca="1">HLOOKUP($H$4,'Met Data'!$A$2:$F$368,G185,FALSE)</f>
        <v>16.901515151515099</v>
      </c>
      <c r="J185" s="133">
        <f ca="1">HLOOKUP($H$4,'Met Data'!$H$2:$M$368,G185,FALSE)*L185</f>
        <v>1.11818181818181</v>
      </c>
      <c r="K185" s="106">
        <f ca="1">HLOOKUP($H$4,'Met Data'!$O$2:$T$368,G185,FALSE)</f>
        <v>5.7188006673869101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45332</v>
      </c>
      <c r="Q185">
        <f ca="1"/>
        <v>112.70306611095288</v>
      </c>
      <c r="R185">
        <f ca="1"/>
        <v>0.10692281201680701</v>
      </c>
      <c r="S185">
        <f ca="1"/>
        <v>0.15320366820624659</v>
      </c>
      <c r="T185">
        <f ca="1"/>
        <v>1.0043011222379297</v>
      </c>
      <c r="U185">
        <f ca="1"/>
        <v>0</v>
      </c>
      <c r="V185">
        <f ca="1"/>
        <v>2.1580257192882799</v>
      </c>
      <c r="W185">
        <f ca="1"/>
        <v>1.9741938987563199</v>
      </c>
      <c r="X185">
        <f ca="1"/>
        <v>0</v>
      </c>
      <c r="Y185">
        <f ca="1"/>
        <v>0.77272707137829488</v>
      </c>
      <c r="Z185">
        <f ca="1"/>
        <v>0</v>
      </c>
      <c r="AA185">
        <f ca="1"/>
        <v>0</v>
      </c>
      <c r="AB185">
        <f ca="1"/>
        <v>0.21894462907378401</v>
      </c>
      <c r="AD185" s="2">
        <f t="shared" ca="1" si="22"/>
        <v>45332</v>
      </c>
      <c r="AE185" s="46">
        <f t="shared" ca="1" si="23"/>
        <v>0</v>
      </c>
      <c r="AG185" s="72">
        <f t="shared" ca="1" si="27"/>
        <v>112.80998892296968</v>
      </c>
      <c r="AH185" s="72">
        <f t="shared" ca="1" si="28"/>
        <v>112.80998892296968</v>
      </c>
      <c r="AI185" s="3">
        <f t="shared" ca="1" si="29"/>
        <v>0</v>
      </c>
    </row>
    <row r="186" spans="7:35" x14ac:dyDescent="0.25">
      <c r="G186" s="3">
        <f t="shared" ca="1" si="24"/>
        <v>363</v>
      </c>
      <c r="H186" s="105">
        <f t="shared" ca="1" si="26"/>
        <v>45288</v>
      </c>
      <c r="I186" s="133">
        <f ca="1">HLOOKUP($H$4,'Met Data'!$A$2:$F$368,G186,FALSE)</f>
        <v>17.143939393939299</v>
      </c>
      <c r="J186" s="133">
        <f ca="1">HLOOKUP($H$4,'Met Data'!$H$2:$M$368,G186,FALSE)*L186</f>
        <v>2.9666666666666601</v>
      </c>
      <c r="K186" s="106">
        <f ca="1">HLOOKUP($H$4,'Met Data'!$O$2:$T$368,G186,FALSE)</f>
        <v>5.7794443898681997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45333</v>
      </c>
      <c r="Q186">
        <f ca="1"/>
        <v>113.74018777488564</v>
      </c>
      <c r="R186">
        <f ca="1"/>
        <v>0.11636227664709101</v>
      </c>
      <c r="S186">
        <f ca="1"/>
        <v>0.13015239354637445</v>
      </c>
      <c r="T186">
        <f ca="1"/>
        <v>1.023331547033506</v>
      </c>
      <c r="U186">
        <f ca="1"/>
        <v>0</v>
      </c>
      <c r="V186">
        <f ca="1"/>
        <v>2.2743879959353701</v>
      </c>
      <c r="W186">
        <f ca="1"/>
        <v>2.0806438333186499</v>
      </c>
      <c r="X186">
        <f ca="1"/>
        <v>0</v>
      </c>
      <c r="Y186">
        <f ca="1"/>
        <v>0.75060920994346259</v>
      </c>
      <c r="Z186">
        <f ca="1"/>
        <v>0</v>
      </c>
      <c r="AA186">
        <f ca="1"/>
        <v>0</v>
      </c>
      <c r="AB186">
        <f ca="1"/>
        <v>0.25020505472829502</v>
      </c>
      <c r="AD186" s="2">
        <f t="shared" ca="1" si="22"/>
        <v>45333</v>
      </c>
      <c r="AE186" s="46">
        <f t="shared" ca="1" si="23"/>
        <v>0</v>
      </c>
      <c r="AG186" s="72">
        <f t="shared" ca="1" si="27"/>
        <v>113.85655005153275</v>
      </c>
      <c r="AH186" s="72">
        <f t="shared" ca="1" si="28"/>
        <v>113.85655005153274</v>
      </c>
      <c r="AI186" s="3">
        <f t="shared" ca="1" si="29"/>
        <v>0</v>
      </c>
    </row>
    <row r="187" spans="7:35" x14ac:dyDescent="0.25">
      <c r="G187" s="3">
        <f t="shared" ca="1" si="24"/>
        <v>364</v>
      </c>
      <c r="H187" s="105">
        <f t="shared" ca="1" si="26"/>
        <v>45289</v>
      </c>
      <c r="I187" s="133">
        <f ca="1">HLOOKUP($H$4,'Met Data'!$A$2:$F$368,G187,FALSE)</f>
        <v>15.795454545454501</v>
      </c>
      <c r="J187" s="133">
        <f ca="1">HLOOKUP($H$4,'Met Data'!$H$2:$M$368,G187,FALSE)*L187</f>
        <v>1.01212121212121</v>
      </c>
      <c r="K187" s="106">
        <f ca="1">HLOOKUP($H$4,'Met Data'!$O$2:$T$368,G187,FALSE)</f>
        <v>4.8778466207725302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45334</v>
      </c>
      <c r="Q187">
        <f ca="1"/>
        <v>114.77169120734911</v>
      </c>
      <c r="R187">
        <f ca="1"/>
        <v>0.12576755793118499</v>
      </c>
      <c r="S187">
        <f ca="1"/>
        <v>0.11100052583719919</v>
      </c>
      <c r="T187">
        <f ca="1"/>
        <v>1.0462704645574572</v>
      </c>
      <c r="U187">
        <f ca="1"/>
        <v>0</v>
      </c>
      <c r="V187">
        <f ca="1"/>
        <v>2.40015555386656</v>
      </c>
      <c r="W187">
        <f ca="1"/>
        <v>2.19569785853718</v>
      </c>
      <c r="X187">
        <f ca="1"/>
        <v>0</v>
      </c>
      <c r="Y187">
        <f ca="1"/>
        <v>0.73888434534413105</v>
      </c>
      <c r="Z187">
        <f ca="1"/>
        <v>0</v>
      </c>
      <c r="AA187">
        <f ca="1"/>
        <v>0</v>
      </c>
      <c r="AB187">
        <f ca="1"/>
        <v>0.28531046384196501</v>
      </c>
      <c r="AD187" s="2">
        <f t="shared" ca="1" si="22"/>
        <v>45334</v>
      </c>
      <c r="AE187" s="46">
        <f t="shared" ca="1" si="23"/>
        <v>0</v>
      </c>
      <c r="AG187" s="72">
        <f t="shared" ca="1" si="27"/>
        <v>114.89745876528029</v>
      </c>
      <c r="AH187" s="72">
        <f t="shared" ca="1" si="28"/>
        <v>114.89745876528029</v>
      </c>
      <c r="AI187" s="3">
        <f t="shared" ca="1" si="29"/>
        <v>0</v>
      </c>
    </row>
    <row r="188" spans="7:35" x14ac:dyDescent="0.25">
      <c r="G188" s="3">
        <f t="shared" ca="1" si="24"/>
        <v>365</v>
      </c>
      <c r="H188" s="105">
        <f t="shared" ca="1" si="26"/>
        <v>45290</v>
      </c>
      <c r="I188" s="133">
        <f ca="1">HLOOKUP($H$4,'Met Data'!$A$2:$F$368,G188,FALSE)</f>
        <v>16.3359375</v>
      </c>
      <c r="J188" s="133">
        <f ca="1">HLOOKUP($H$4,'Met Data'!$H$2:$M$368,G188,FALSE)*L188</f>
        <v>2.5656249999999998</v>
      </c>
      <c r="K188" s="106">
        <f ca="1">HLOOKUP($H$4,'Met Data'!$O$2:$T$368,G188,FALSE)</f>
        <v>4.8055507109703601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45335</v>
      </c>
      <c r="Q188">
        <f ca="1"/>
        <v>115.64604189506593</v>
      </c>
      <c r="R188">
        <f ca="1"/>
        <v>0.120347250381132</v>
      </c>
      <c r="S188">
        <f ca="1"/>
        <v>8.3675229846348495E-2</v>
      </c>
      <c r="T188">
        <f ca="1"/>
        <v>0.91102270825161358</v>
      </c>
      <c r="U188">
        <f ca="1"/>
        <v>0</v>
      </c>
      <c r="V188">
        <f ca="1"/>
        <v>2.5205028042476898</v>
      </c>
      <c r="W188">
        <f ca="1"/>
        <v>2.30579330610807</v>
      </c>
      <c r="X188">
        <f ca="1"/>
        <v>0</v>
      </c>
      <c r="Y188">
        <f ca="1"/>
        <v>0.72644445640002209</v>
      </c>
      <c r="Z188">
        <f ca="1"/>
        <v>0</v>
      </c>
      <c r="AA188">
        <f ca="1"/>
        <v>0</v>
      </c>
      <c r="AB188">
        <f ca="1"/>
        <v>0.31978358170396898</v>
      </c>
      <c r="AD188" s="2">
        <f t="shared" ca="1" si="22"/>
        <v>45335</v>
      </c>
      <c r="AE188" s="46">
        <f t="shared" ca="1" si="23"/>
        <v>0</v>
      </c>
      <c r="AG188" s="72">
        <f t="shared" ca="1" si="27"/>
        <v>115.76638914544706</v>
      </c>
      <c r="AH188" s="72">
        <f t="shared" ca="1" si="28"/>
        <v>115.76638914544706</v>
      </c>
      <c r="AI188" s="3">
        <f t="shared" ca="1" si="29"/>
        <v>0</v>
      </c>
    </row>
    <row r="189" spans="7:35" x14ac:dyDescent="0.25">
      <c r="G189" s="3">
        <f t="shared" ca="1" si="24"/>
        <v>366</v>
      </c>
      <c r="H189" s="105">
        <f t="shared" ca="1" si="26"/>
        <v>45291</v>
      </c>
      <c r="I189" s="133">
        <f ca="1">HLOOKUP($H$4,'Met Data'!$A$2:$F$368,G189,FALSE)</f>
        <v>15.832812499999999</v>
      </c>
      <c r="J189" s="133">
        <f ca="1">HLOOKUP($H$4,'Met Data'!$H$2:$M$368,G189,FALSE)*L189</f>
        <v>1.0062500000000001</v>
      </c>
      <c r="K189" s="106">
        <f ca="1">HLOOKUP($H$4,'Met Data'!$O$2:$T$368,G189,FALSE)</f>
        <v>5.3791049074685899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45336</v>
      </c>
      <c r="Q189">
        <f ca="1"/>
        <v>116.46318363088204</v>
      </c>
      <c r="R189">
        <f ca="1"/>
        <v>0.121892774505563</v>
      </c>
      <c r="S189">
        <f ca="1"/>
        <v>6.9096286087431388E-2</v>
      </c>
      <c r="T189">
        <f ca="1"/>
        <v>0.86993822423424183</v>
      </c>
      <c r="U189">
        <f ca="1"/>
        <v>0</v>
      </c>
      <c r="V189">
        <f ca="1"/>
        <v>2.6423955787532498</v>
      </c>
      <c r="W189">
        <f ca="1"/>
        <v>2.4173026220446401</v>
      </c>
      <c r="X189">
        <f ca="1"/>
        <v>0</v>
      </c>
      <c r="Y189">
        <f ca="1"/>
        <v>0.72262852096126429</v>
      </c>
      <c r="Z189">
        <f ca="1"/>
        <v>0</v>
      </c>
      <c r="AA189">
        <f ca="1"/>
        <v>0</v>
      </c>
      <c r="AB189">
        <f ca="1"/>
        <v>0.35516916249567498</v>
      </c>
      <c r="AD189" s="2">
        <f t="shared" ca="1" si="22"/>
        <v>45336</v>
      </c>
      <c r="AE189" s="46">
        <f t="shared" ca="1" si="23"/>
        <v>0</v>
      </c>
      <c r="AG189" s="72">
        <f t="shared" ca="1" si="27"/>
        <v>116.58507640538761</v>
      </c>
      <c r="AH189" s="72">
        <f t="shared" ca="1" si="28"/>
        <v>116.58507640538761</v>
      </c>
      <c r="AI189" s="3">
        <f t="shared" ca="1" si="29"/>
        <v>0</v>
      </c>
    </row>
    <row r="190" spans="7:35" x14ac:dyDescent="0.25">
      <c r="G190" s="3">
        <f t="shared" ca="1" si="24"/>
        <v>2</v>
      </c>
      <c r="H190" s="105">
        <f t="shared" ca="1" si="26"/>
        <v>45292</v>
      </c>
      <c r="I190" s="133">
        <f ca="1">HLOOKUP($H$4,'Met Data'!$A$2:$F$368,G190,FALSE)</f>
        <v>16.179411764705801</v>
      </c>
      <c r="J190" s="133">
        <f ca="1">HLOOKUP($H$4,'Met Data'!$H$2:$M$368,G190,FALSE)*L190</f>
        <v>0.69411764705882295</v>
      </c>
      <c r="K190" s="106">
        <f ca="1">HLOOKUP($H$4,'Met Data'!$O$2:$T$368,G190,FALSE)</f>
        <v>5.6670911405215199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45337</v>
      </c>
      <c r="Q190">
        <f ca="1"/>
        <v>117.22769956393873</v>
      </c>
      <c r="R190">
        <f ca="1"/>
        <v>0.123919586556424</v>
      </c>
      <c r="S190">
        <f ca="1"/>
        <v>5.7295634518126935E-2</v>
      </c>
      <c r="T190">
        <f ca="1"/>
        <v>0.8311398850949876</v>
      </c>
      <c r="U190">
        <f ca="1"/>
        <v>0</v>
      </c>
      <c r="V190">
        <f ca="1"/>
        <v>2.76631516530967</v>
      </c>
      <c r="W190">
        <f ca="1"/>
        <v>2.53066609567218</v>
      </c>
      <c r="X190">
        <f ca="1"/>
        <v>0</v>
      </c>
      <c r="Y190">
        <f ca="1"/>
        <v>0.71364755616186681</v>
      </c>
      <c r="Z190">
        <f ca="1"/>
        <v>0</v>
      </c>
      <c r="AA190">
        <f ca="1"/>
        <v>0</v>
      </c>
      <c r="AB190">
        <f ca="1"/>
        <v>0.39122404729086102</v>
      </c>
      <c r="AD190" s="2">
        <f t="shared" ca="1" si="22"/>
        <v>45337</v>
      </c>
      <c r="AE190" s="46">
        <f t="shared" ca="1" si="23"/>
        <v>0</v>
      </c>
      <c r="AG190" s="72">
        <f t="shared" ca="1" si="27"/>
        <v>117.35161915049515</v>
      </c>
      <c r="AH190" s="72">
        <f t="shared" ca="1" si="28"/>
        <v>117.35161915049515</v>
      </c>
      <c r="AI190" s="3">
        <f t="shared" ca="1" si="29"/>
        <v>0</v>
      </c>
    </row>
    <row r="191" spans="7:35" x14ac:dyDescent="0.25">
      <c r="G191" s="3">
        <f t="shared" ca="1" si="24"/>
        <v>3</v>
      </c>
      <c r="H191" s="105">
        <f t="shared" ca="1" si="26"/>
        <v>45293</v>
      </c>
      <c r="I191" s="133">
        <f ca="1">HLOOKUP($H$4,'Met Data'!$A$2:$F$368,G191,FALSE)</f>
        <v>17.160294117646998</v>
      </c>
      <c r="J191" s="133">
        <f ca="1">HLOOKUP($H$4,'Met Data'!$H$2:$M$368,G191,FALSE)*L191</f>
        <v>1.5735294117647001</v>
      </c>
      <c r="K191" s="106">
        <f ca="1">HLOOKUP($H$4,'Met Data'!$O$2:$T$368,G191,FALSE)</f>
        <v>5.47016136211003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45338</v>
      </c>
      <c r="Q191">
        <f ca="1"/>
        <v>117.99314563313598</v>
      </c>
      <c r="R191">
        <f ca="1"/>
        <v>0.134074932592259</v>
      </c>
      <c r="S191">
        <f ca="1"/>
        <v>5.0210744450830465E-2</v>
      </c>
      <c r="T191">
        <f ca="1"/>
        <v>0.84931025733867227</v>
      </c>
      <c r="U191">
        <f ca="1"/>
        <v>0</v>
      </c>
      <c r="V191">
        <f ca="1"/>
        <v>2.9003900979019299</v>
      </c>
      <c r="W191">
        <f ca="1"/>
        <v>2.65331983030288</v>
      </c>
      <c r="X191">
        <f ca="1"/>
        <v>0</v>
      </c>
      <c r="Y191">
        <f ca="1"/>
        <v>0.69552476810686226</v>
      </c>
      <c r="Z191">
        <f ca="1"/>
        <v>0</v>
      </c>
      <c r="AA191">
        <f ca="1"/>
        <v>0</v>
      </c>
      <c r="AB191">
        <f ca="1"/>
        <v>0.429885945130067</v>
      </c>
      <c r="AD191" s="2">
        <f t="shared" ca="1" si="22"/>
        <v>45338</v>
      </c>
      <c r="AE191" s="46">
        <f t="shared" ca="1" si="23"/>
        <v>0</v>
      </c>
      <c r="AG191" s="72">
        <f t="shared" ca="1" si="27"/>
        <v>118.12722056572824</v>
      </c>
      <c r="AH191" s="72">
        <f t="shared" ca="1" si="28"/>
        <v>118.12722056572824</v>
      </c>
      <c r="AI191" s="3">
        <f t="shared" ca="1" si="29"/>
        <v>0</v>
      </c>
    </row>
    <row r="192" spans="7:35" x14ac:dyDescent="0.25">
      <c r="G192" s="3">
        <f t="shared" ca="1" si="24"/>
        <v>4</v>
      </c>
      <c r="H192" s="105">
        <f t="shared" ca="1" si="26"/>
        <v>45294</v>
      </c>
      <c r="I192" s="133">
        <f ca="1">HLOOKUP($H$4,'Met Data'!$A$2:$F$368,G192,FALSE)</f>
        <v>16.8117647058823</v>
      </c>
      <c r="J192" s="133">
        <f ca="1">HLOOKUP($H$4,'Met Data'!$H$2:$M$368,G192,FALSE)*L192</f>
        <v>2.3529411764705799</v>
      </c>
      <c r="K192" s="106">
        <f ca="1">HLOOKUP($H$4,'Met Data'!$O$2:$T$368,G192,FALSE)</f>
        <v>5.5060411752421698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45339</v>
      </c>
      <c r="Q192">
        <f ca="1"/>
        <v>118.79185332315998</v>
      </c>
      <c r="R192">
        <f ca="1"/>
        <v>0.15002226523231901</v>
      </c>
      <c r="S192">
        <f ca="1"/>
        <v>4.5205532196029692E-2</v>
      </c>
      <c r="T192">
        <f ca="1"/>
        <v>0.9035244230602737</v>
      </c>
      <c r="U192">
        <f ca="1"/>
        <v>0</v>
      </c>
      <c r="V192">
        <f ca="1"/>
        <v>3.0504123631342499</v>
      </c>
      <c r="W192">
        <f ca="1"/>
        <v>2.7905624210894802</v>
      </c>
      <c r="X192">
        <f ca="1"/>
        <v>0</v>
      </c>
      <c r="Y192">
        <f ca="1"/>
        <v>0.67572647020090448</v>
      </c>
      <c r="Z192">
        <f ca="1"/>
        <v>0</v>
      </c>
      <c r="AA192">
        <f ca="1"/>
        <v>0</v>
      </c>
      <c r="AB192">
        <f ca="1"/>
        <v>0.47220564661432601</v>
      </c>
      <c r="AD192" s="2">
        <f t="shared" ca="1" si="22"/>
        <v>45339</v>
      </c>
      <c r="AE192" s="46">
        <f t="shared" ca="1" si="23"/>
        <v>0</v>
      </c>
      <c r="AG192" s="72">
        <f t="shared" ca="1" si="27"/>
        <v>118.94187558839229</v>
      </c>
      <c r="AH192" s="72">
        <f t="shared" ca="1" si="28"/>
        <v>118.94187558839231</v>
      </c>
      <c r="AI192" s="3">
        <f t="shared" ca="1" si="29"/>
        <v>0</v>
      </c>
    </row>
    <row r="193" spans="7:35" x14ac:dyDescent="0.25">
      <c r="G193" s="3">
        <f t="shared" ca="1" si="24"/>
        <v>5</v>
      </c>
      <c r="H193" s="105">
        <f t="shared" ca="1" si="26"/>
        <v>45295</v>
      </c>
      <c r="I193" s="133">
        <f ca="1">HLOOKUP($H$4,'Met Data'!$A$2:$F$368,G193,FALSE)</f>
        <v>15.772058823529401</v>
      </c>
      <c r="J193" s="133">
        <f ca="1">HLOOKUP($H$4,'Met Data'!$H$2:$M$368,G193,FALSE)*L193</f>
        <v>1.96470588235294</v>
      </c>
      <c r="K193" s="106">
        <f ca="1">HLOOKUP($H$4,'Met Data'!$O$2:$T$368,G193,FALSE)</f>
        <v>4.9972624433289496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45340</v>
      </c>
      <c r="Q193">
        <f ca="1"/>
        <v>119.58240185240544</v>
      </c>
      <c r="R193">
        <f ca="1"/>
        <v>0.16097092126686</v>
      </c>
      <c r="S193">
        <f ca="1"/>
        <v>3.888917384325713E-2</v>
      </c>
      <c r="T193">
        <f ca="1"/>
        <v>0.91263027666906393</v>
      </c>
      <c r="U193">
        <f ca="1"/>
        <v>0</v>
      </c>
      <c r="V193">
        <f ca="1"/>
        <v>3.2113832844011099</v>
      </c>
      <c r="W193">
        <f ca="1"/>
        <v>2.9378210046188</v>
      </c>
      <c r="X193">
        <f ca="1"/>
        <v>0</v>
      </c>
      <c r="Y193">
        <f ca="1"/>
        <v>0.65925270916459888</v>
      </c>
      <c r="Z193">
        <f ca="1"/>
        <v>0</v>
      </c>
      <c r="AA193">
        <f ca="1"/>
        <v>0</v>
      </c>
      <c r="AB193">
        <f ca="1"/>
        <v>0.51596482655902298</v>
      </c>
      <c r="AD193" s="2">
        <f t="shared" ca="1" si="22"/>
        <v>45340</v>
      </c>
      <c r="AE193" s="46">
        <f t="shared" ca="1" si="23"/>
        <v>0</v>
      </c>
      <c r="AG193" s="72">
        <f t="shared" ca="1" si="27"/>
        <v>119.74337277367231</v>
      </c>
      <c r="AH193" s="72">
        <f t="shared" ca="1" si="28"/>
        <v>119.74337277367231</v>
      </c>
      <c r="AI193" s="3">
        <f t="shared" ca="1" si="29"/>
        <v>0</v>
      </c>
    </row>
    <row r="194" spans="7:35" x14ac:dyDescent="0.25">
      <c r="G194" s="3">
        <f t="shared" ca="1" si="24"/>
        <v>6</v>
      </c>
      <c r="H194" s="105">
        <f t="shared" ca="1" si="26"/>
        <v>45296</v>
      </c>
      <c r="I194" s="133">
        <f ca="1">HLOOKUP($H$4,'Met Data'!$A$2:$F$368,G194,FALSE)</f>
        <v>16.045588235294101</v>
      </c>
      <c r="J194" s="133">
        <f ca="1">HLOOKUP($H$4,'Met Data'!$H$2:$M$368,G194,FALSE)*L194</f>
        <v>1.5588235294117601</v>
      </c>
      <c r="K194" s="106">
        <f ca="1">HLOOKUP($H$4,'Met Data'!$O$2:$T$368,G194,FALSE)</f>
        <v>5.1481016165606404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45341</v>
      </c>
      <c r="Q194">
        <f ca="1"/>
        <v>120.29403900900391</v>
      </c>
      <c r="R194">
        <f ca="1"/>
        <v>0.16294109739906301</v>
      </c>
      <c r="S194">
        <f ca="1"/>
        <v>3.1120601397753331E-2</v>
      </c>
      <c r="T194">
        <f ca="1"/>
        <v>0.84345765259977434</v>
      </c>
      <c r="U194">
        <f ca="1"/>
        <v>0</v>
      </c>
      <c r="V194">
        <f ca="1"/>
        <v>3.37432438180018</v>
      </c>
      <c r="W194">
        <f ca="1"/>
        <v>3.0868819344616401</v>
      </c>
      <c r="X194">
        <f ca="1"/>
        <v>0</v>
      </c>
      <c r="Y194">
        <f ca="1"/>
        <v>0.63368562554798613</v>
      </c>
      <c r="Z194">
        <f ca="1"/>
        <v>0</v>
      </c>
      <c r="AA194">
        <f ca="1"/>
        <v>0</v>
      </c>
      <c r="AB194">
        <f ca="1"/>
        <v>0.55805287257407399</v>
      </c>
      <c r="AD194" s="2">
        <f t="shared" ca="1" si="22"/>
        <v>45341</v>
      </c>
      <c r="AE194" s="46">
        <f t="shared" ca="1" si="23"/>
        <v>0</v>
      </c>
      <c r="AG194" s="72">
        <f t="shared" ca="1" si="27"/>
        <v>120.45698010640298</v>
      </c>
      <c r="AH194" s="72">
        <f t="shared" ca="1" si="28"/>
        <v>120.45698010640297</v>
      </c>
      <c r="AI194" s="3">
        <f t="shared" ca="1" si="29"/>
        <v>0</v>
      </c>
    </row>
    <row r="195" spans="7:35" x14ac:dyDescent="0.25">
      <c r="G195" s="3">
        <f t="shared" ca="1" si="24"/>
        <v>7</v>
      </c>
      <c r="H195" s="105">
        <f t="shared" ca="1" si="26"/>
        <v>45297</v>
      </c>
      <c r="I195" s="133">
        <f ca="1">HLOOKUP($H$4,'Met Data'!$A$2:$F$368,G195,FALSE)</f>
        <v>16.1955882352941</v>
      </c>
      <c r="J195" s="133">
        <f ca="1">HLOOKUP($H$4,'Met Data'!$H$2:$M$368,G195,FALSE)*L195</f>
        <v>0.438235294117647</v>
      </c>
      <c r="K195" s="106">
        <f ca="1">HLOOKUP($H$4,'Met Data'!$O$2:$T$368,G195,FALSE)</f>
        <v>5.1335474577147604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45342</v>
      </c>
      <c r="Q195">
        <f ca="1"/>
        <v>120.96214153473284</v>
      </c>
      <c r="R195">
        <f ca="1"/>
        <v>0.16692830926892599</v>
      </c>
      <c r="S195">
        <f ca="1"/>
        <v>2.6075711187007911E-2</v>
      </c>
      <c r="T195">
        <f ca="1"/>
        <v>0.80895512381084989</v>
      </c>
      <c r="U195">
        <f ca="1"/>
        <v>0</v>
      </c>
      <c r="V195">
        <f ca="1"/>
        <v>3.5412526910690998</v>
      </c>
      <c r="W195">
        <f ca="1"/>
        <v>3.2395904247928402</v>
      </c>
      <c r="X195">
        <f ca="1"/>
        <v>0</v>
      </c>
      <c r="Y195">
        <f ca="1"/>
        <v>0.62201635236843678</v>
      </c>
      <c r="Z195">
        <f ca="1"/>
        <v>0</v>
      </c>
      <c r="AA195">
        <f ca="1"/>
        <v>0</v>
      </c>
      <c r="AB195">
        <f ca="1"/>
        <v>0.59852028272901503</v>
      </c>
      <c r="AD195" s="2">
        <f t="shared" ca="1" si="22"/>
        <v>45342</v>
      </c>
      <c r="AE195" s="46">
        <f t="shared" ca="1" si="23"/>
        <v>0</v>
      </c>
      <c r="AG195" s="72">
        <f t="shared" ca="1" si="27"/>
        <v>121.12906984400176</v>
      </c>
      <c r="AH195" s="72">
        <f t="shared" ca="1" si="28"/>
        <v>121.12906984400176</v>
      </c>
      <c r="AI195" s="3">
        <f t="shared" ca="1" si="29"/>
        <v>0</v>
      </c>
    </row>
    <row r="196" spans="7:35" x14ac:dyDescent="0.25">
      <c r="G196" s="3">
        <f t="shared" ca="1" si="24"/>
        <v>8</v>
      </c>
      <c r="H196" s="105">
        <f t="shared" ca="1" si="26"/>
        <v>45298</v>
      </c>
      <c r="I196" s="133">
        <f ca="1">HLOOKUP($H$4,'Met Data'!$A$2:$F$368,G196,FALSE)</f>
        <v>17.395588235294099</v>
      </c>
      <c r="J196" s="133">
        <f ca="1">HLOOKUP($H$4,'Met Data'!$H$2:$M$368,G196,FALSE)*L196</f>
        <v>0.92647058823529405</v>
      </c>
      <c r="K196" s="106">
        <f ca="1">HLOOKUP($H$4,'Met Data'!$O$2:$T$368,G196,FALSE)</f>
        <v>5.4532643793489903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45343</v>
      </c>
      <c r="Q196">
        <f ca="1"/>
        <v>121.59341054572013</v>
      </c>
      <c r="R196">
        <f ca="1"/>
        <v>0.17472194341877201</v>
      </c>
      <c r="S196">
        <f ca="1"/>
        <v>2.1939973510629283E-2</v>
      </c>
      <c r="T196">
        <f ca="1"/>
        <v>0.78405098089545067</v>
      </c>
      <c r="U196">
        <f ca="1"/>
        <v>0</v>
      </c>
      <c r="V196">
        <f ca="1"/>
        <v>3.7159746344878699</v>
      </c>
      <c r="W196">
        <f ca="1"/>
        <v>3.3994286471055699</v>
      </c>
      <c r="X196">
        <f ca="1"/>
        <v>0</v>
      </c>
      <c r="Y196">
        <f ca="1"/>
        <v>0.59624342559165522</v>
      </c>
      <c r="Z196">
        <f ca="1"/>
        <v>0</v>
      </c>
      <c r="AA196">
        <f ca="1"/>
        <v>0</v>
      </c>
      <c r="AB196">
        <f ca="1"/>
        <v>0.63777942884460503</v>
      </c>
      <c r="AD196" s="2">
        <f t="shared" ca="1" si="22"/>
        <v>45343</v>
      </c>
      <c r="AE196" s="46">
        <f t="shared" ca="1" si="23"/>
        <v>0</v>
      </c>
      <c r="AG196" s="72">
        <f t="shared" ca="1" si="27"/>
        <v>121.76813248913891</v>
      </c>
      <c r="AH196" s="72">
        <f t="shared" ca="1" si="28"/>
        <v>121.76813248913891</v>
      </c>
      <c r="AI196" s="3">
        <f t="shared" ca="1" si="29"/>
        <v>0</v>
      </c>
    </row>
    <row r="197" spans="7:35" x14ac:dyDescent="0.25">
      <c r="G197" s="3">
        <f t="shared" ca="1" si="24"/>
        <v>9</v>
      </c>
      <c r="H197" s="105">
        <f t="shared" ca="1" si="26"/>
        <v>45299</v>
      </c>
      <c r="I197" s="133">
        <f ca="1">HLOOKUP($H$4,'Met Data'!$A$2:$F$368,G197,FALSE)</f>
        <v>17.102249134948</v>
      </c>
      <c r="J197" s="133">
        <f ca="1">HLOOKUP($H$4,'Met Data'!$H$2:$M$368,G197,FALSE)*L197</f>
        <v>2.3176470588235198</v>
      </c>
      <c r="K197" s="106">
        <f ca="1">HLOOKUP($H$4,'Met Data'!$O$2:$T$368,G197,FALSE)</f>
        <v>5.57690448669634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45344</v>
      </c>
      <c r="Q197">
        <f ca="1"/>
        <v>122.1790457169152</v>
      </c>
      <c r="R197">
        <f ca="1"/>
        <v>0.17900223358222001</v>
      </c>
      <c r="S197">
        <f ca="1"/>
        <v>1.8359039960694445E-2</v>
      </c>
      <c r="T197">
        <f ca="1"/>
        <v>0.74627836481659526</v>
      </c>
      <c r="U197">
        <f ca="1"/>
        <v>0</v>
      </c>
      <c r="V197">
        <f ca="1"/>
        <v>3.8949768680700898</v>
      </c>
      <c r="W197">
        <f ca="1"/>
        <v>3.5631825422715302</v>
      </c>
      <c r="X197">
        <f ca="1"/>
        <v>0</v>
      </c>
      <c r="Y197">
        <f ca="1"/>
        <v>0.57703200008956901</v>
      </c>
      <c r="Z197">
        <f ca="1"/>
        <v>0</v>
      </c>
      <c r="AA197">
        <f ca="1"/>
        <v>0</v>
      </c>
      <c r="AB197">
        <f ca="1"/>
        <v>0.67462302292135001</v>
      </c>
      <c r="AD197" s="2">
        <f t="shared" ca="1" si="22"/>
        <v>45344</v>
      </c>
      <c r="AE197" s="46">
        <f t="shared" ca="1" si="23"/>
        <v>0</v>
      </c>
      <c r="AG197" s="72">
        <f t="shared" ca="1" si="27"/>
        <v>122.35804795049742</v>
      </c>
      <c r="AH197" s="72">
        <f t="shared" ca="1" si="28"/>
        <v>122.35804795049742</v>
      </c>
      <c r="AI197" s="3">
        <f t="shared" ca="1" si="29"/>
        <v>0</v>
      </c>
    </row>
    <row r="198" spans="7:35" x14ac:dyDescent="0.25">
      <c r="G198" s="3">
        <f t="shared" ca="1" si="24"/>
        <v>10</v>
      </c>
      <c r="H198" s="105">
        <f t="shared" ca="1" si="26"/>
        <v>45300</v>
      </c>
      <c r="I198" s="133">
        <f ca="1">HLOOKUP($H$4,'Met Data'!$A$2:$F$368,G198,FALSE)</f>
        <v>16.213235294117599</v>
      </c>
      <c r="J198" s="133">
        <f ca="1">HLOOKUP($H$4,'Met Data'!$H$2:$M$368,G198,FALSE)*L198</f>
        <v>0.90882352941176403</v>
      </c>
      <c r="K198" s="106">
        <f ca="1">HLOOKUP($H$4,'Met Data'!$O$2:$T$368,G198,FALSE)</f>
        <v>5.14581424029529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45345</v>
      </c>
      <c r="Q198">
        <f ca="1"/>
        <v>122.72679883270899</v>
      </c>
      <c r="R198">
        <f ca="1"/>
        <v>0.18304287607456199</v>
      </c>
      <c r="S198">
        <f ca="1"/>
        <v>1.5593257304375772E-2</v>
      </c>
      <c r="T198">
        <f ca="1"/>
        <v>0.71520273456397521</v>
      </c>
      <c r="U198">
        <f ca="1"/>
        <v>0</v>
      </c>
      <c r="V198">
        <f ca="1"/>
        <v>4.07801974414466</v>
      </c>
      <c r="W198">
        <f ca="1"/>
        <v>3.7306328770508501</v>
      </c>
      <c r="X198">
        <f ca="1"/>
        <v>0</v>
      </c>
      <c r="Y198">
        <f ca="1"/>
        <v>0.56337434206089576</v>
      </c>
      <c r="Z198">
        <f ca="1"/>
        <v>0</v>
      </c>
      <c r="AA198">
        <f ca="1"/>
        <v>0</v>
      </c>
      <c r="AB198">
        <f ca="1"/>
        <v>0.70879745756401102</v>
      </c>
      <c r="AD198" s="2">
        <f t="shared" ref="AD198:AD261" ca="1" si="32">IFERROR(P198,$AD$4)</f>
        <v>45345</v>
      </c>
      <c r="AE198" s="46">
        <f t="shared" ref="AE198:AE261" ca="1" si="33">IFERROR(U198,0)</f>
        <v>0</v>
      </c>
      <c r="AG198" s="72">
        <f t="shared" ca="1" si="27"/>
        <v>122.90984170878355</v>
      </c>
      <c r="AH198" s="72">
        <f t="shared" ca="1" si="28"/>
        <v>122.90984170878356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11</v>
      </c>
      <c r="H199" s="105">
        <f t="shared" ca="1" si="26"/>
        <v>45301</v>
      </c>
      <c r="I199" s="133">
        <f ca="1">HLOOKUP($H$4,'Met Data'!$A$2:$F$368,G199,FALSE)</f>
        <v>15.8947058823529</v>
      </c>
      <c r="J199" s="133">
        <f ca="1">HLOOKUP($H$4,'Met Data'!$H$2:$M$368,G199,FALSE)*L199</f>
        <v>2.69999999999999</v>
      </c>
      <c r="K199" s="106">
        <f ca="1">HLOOKUP($H$4,'Met Data'!$O$2:$T$368,G199,FALSE)</f>
        <v>4.7411675639454902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45346</v>
      </c>
      <c r="Q199">
        <f ca="1"/>
        <v>123.27586687105347</v>
      </c>
      <c r="R199">
        <f ca="1"/>
        <v>0.198959204265972</v>
      </c>
      <c r="S199">
        <f ca="1"/>
        <v>1.3938254520712443E-2</v>
      </c>
      <c r="T199">
        <f ca="1"/>
        <v>0.73408898808973699</v>
      </c>
      <c r="U199">
        <f ca="1"/>
        <v>0</v>
      </c>
      <c r="V199">
        <f ca="1"/>
        <v>4.2769789484106298</v>
      </c>
      <c r="W199">
        <f ca="1"/>
        <v>3.9126437046571301</v>
      </c>
      <c r="X199">
        <f ca="1"/>
        <v>0</v>
      </c>
      <c r="Y199">
        <f ca="1"/>
        <v>0.5416660753739484</v>
      </c>
      <c r="Z199">
        <f ca="1"/>
        <v>0</v>
      </c>
      <c r="AA199">
        <f ca="1"/>
        <v>0</v>
      </c>
      <c r="AB199">
        <f ca="1"/>
        <v>0.742088397926017</v>
      </c>
      <c r="AD199" s="2">
        <f t="shared" ca="1" si="32"/>
        <v>45346</v>
      </c>
      <c r="AE199" s="46">
        <f t="shared" ca="1" si="33"/>
        <v>0</v>
      </c>
      <c r="AG199" s="72">
        <f t="shared" ca="1" si="27"/>
        <v>123.47482607531944</v>
      </c>
      <c r="AH199" s="72">
        <f t="shared" ca="1" si="28"/>
        <v>123.47482607531944</v>
      </c>
      <c r="AI199" s="3">
        <f t="shared" ca="1" si="29"/>
        <v>0</v>
      </c>
    </row>
    <row r="200" spans="7:35" x14ac:dyDescent="0.25">
      <c r="G200" s="3">
        <f t="shared" ca="1" si="34"/>
        <v>12</v>
      </c>
      <c r="H200" s="105">
        <f t="shared" ref="H200:H263" ca="1" si="36">H199+1</f>
        <v>45302</v>
      </c>
      <c r="I200" s="133">
        <f ca="1">HLOOKUP($H$4,'Met Data'!$A$2:$F$368,G200,FALSE)</f>
        <v>16.250588235294099</v>
      </c>
      <c r="J200" s="133">
        <f ca="1">HLOOKUP($H$4,'Met Data'!$H$2:$M$368,G200,FALSE)*L200</f>
        <v>2.3529411764705799</v>
      </c>
      <c r="K200" s="106">
        <f ca="1">HLOOKUP($H$4,'Met Data'!$O$2:$T$368,G200,FALSE)</f>
        <v>4.6490051927409599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45347</v>
      </c>
      <c r="Q200">
        <f ca="1"/>
        <v>123.76190800678179</v>
      </c>
      <c r="R200">
        <f ca="1"/>
        <v>0.199909550441914</v>
      </c>
      <c r="S200">
        <f ca="1"/>
        <v>1.134918051942445E-2</v>
      </c>
      <c r="T200">
        <f ca="1"/>
        <v>0.67460150565081578</v>
      </c>
      <c r="U200">
        <f ca="1"/>
        <v>0</v>
      </c>
      <c r="V200">
        <f ca="1"/>
        <v>4.4768884988525404</v>
      </c>
      <c r="W200">
        <f ca="1"/>
        <v>4.0955239230243601</v>
      </c>
      <c r="X200">
        <f ca="1"/>
        <v>0</v>
      </c>
      <c r="Y200">
        <f ca="1"/>
        <v>0.51317495777457867</v>
      </c>
      <c r="Z200">
        <f ca="1"/>
        <v>0</v>
      </c>
      <c r="AA200">
        <f ca="1"/>
        <v>0</v>
      </c>
      <c r="AB200">
        <f ca="1"/>
        <v>0.77175440860466205</v>
      </c>
      <c r="AD200" s="2">
        <f t="shared" ca="1" si="32"/>
        <v>45347</v>
      </c>
      <c r="AE200" s="46">
        <f t="shared" ca="1" si="33"/>
        <v>0</v>
      </c>
      <c r="AG200" s="72">
        <f ca="1">Q199+S200+T200+U200</f>
        <v>123.96181755722371</v>
      </c>
      <c r="AH200" s="72">
        <f ca="1">Q200+R200+X200</f>
        <v>123.96181755722371</v>
      </c>
      <c r="AI200" s="3">
        <f ca="1">AH200-AG200</f>
        <v>0</v>
      </c>
    </row>
    <row r="201" spans="7:35" x14ac:dyDescent="0.25">
      <c r="G201" s="3">
        <f t="shared" ca="1" si="34"/>
        <v>13</v>
      </c>
      <c r="H201" s="105">
        <f t="shared" ca="1" si="36"/>
        <v>45303</v>
      </c>
      <c r="I201" s="133">
        <f ca="1">HLOOKUP($H$4,'Met Data'!$A$2:$F$368,G201,FALSE)</f>
        <v>16.662352941176401</v>
      </c>
      <c r="J201" s="133">
        <f ca="1">HLOOKUP($H$4,'Met Data'!$H$2:$M$368,G201,FALSE)*L201</f>
        <v>2.74705882352941</v>
      </c>
      <c r="K201" s="106">
        <f ca="1">HLOOKUP($H$4,'Met Data'!$O$2:$T$368,G201,FALSE)</f>
        <v>4.8719680350014798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45348</v>
      </c>
      <c r="Q201">
        <f ca="1"/>
        <v>124.22378096563071</v>
      </c>
      <c r="R201">
        <f ca="1"/>
        <v>0.20800913611973601</v>
      </c>
      <c r="S201">
        <f ca="1"/>
        <v>9.8841101900785915E-3</v>
      </c>
      <c r="T201">
        <f ca="1"/>
        <v>0.65999798477858085</v>
      </c>
      <c r="U201">
        <f ca="1"/>
        <v>0</v>
      </c>
      <c r="V201">
        <f ca="1"/>
        <v>4.6848976349722804</v>
      </c>
      <c r="W201">
        <f ca="1"/>
        <v>4.2858137623635297</v>
      </c>
      <c r="X201">
        <f ca="1"/>
        <v>0</v>
      </c>
      <c r="Y201">
        <f ca="1"/>
        <v>0.49628585443052331</v>
      </c>
      <c r="Z201">
        <f ca="1"/>
        <v>0</v>
      </c>
      <c r="AA201">
        <f ca="1"/>
        <v>0</v>
      </c>
      <c r="AB201">
        <f ca="1"/>
        <v>0.79893973859510103</v>
      </c>
      <c r="AD201" s="2">
        <f t="shared" ca="1" si="32"/>
        <v>45348</v>
      </c>
      <c r="AE201" s="46">
        <f t="shared" ca="1" si="33"/>
        <v>0</v>
      </c>
      <c r="AG201" s="72">
        <f ca="1">Q200+S201+T201+U201</f>
        <v>124.43179010175045</v>
      </c>
      <c r="AH201" s="72">
        <f ca="1">Q201+R201+X201</f>
        <v>124.43179010175045</v>
      </c>
      <c r="AI201" s="3">
        <f ca="1">AH201-AG201</f>
        <v>0</v>
      </c>
    </row>
    <row r="202" spans="7:35" x14ac:dyDescent="0.25">
      <c r="G202" s="3">
        <f t="shared" ca="1" si="34"/>
        <v>14</v>
      </c>
      <c r="H202" s="105">
        <f t="shared" ca="1" si="36"/>
        <v>45304</v>
      </c>
      <c r="I202" s="133">
        <f ca="1">HLOOKUP($H$4,'Met Data'!$A$2:$F$368,G202,FALSE)</f>
        <v>16.830882352941099</v>
      </c>
      <c r="J202" s="133">
        <f ca="1">HLOOKUP($H$4,'Met Data'!$H$2:$M$368,G202,FALSE)*L202</f>
        <v>1.29411764705882</v>
      </c>
      <c r="K202" s="106">
        <f ca="1">HLOOKUP($H$4,'Met Data'!$O$2:$T$368,G202,FALSE)</f>
        <v>5.1562686308583903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45349</v>
      </c>
      <c r="Q202">
        <f ca="1"/>
        <v>124.65841151070975</v>
      </c>
      <c r="R202">
        <f ca="1"/>
        <v>0.21645657767707099</v>
      </c>
      <c r="S202">
        <f ca="1"/>
        <v>8.5539769641578434E-3</v>
      </c>
      <c r="T202">
        <f ca="1"/>
        <v>0.64253314579195853</v>
      </c>
      <c r="U202">
        <f ca="1"/>
        <v>0</v>
      </c>
      <c r="V202">
        <f ca="1"/>
        <v>4.9013542126493501</v>
      </c>
      <c r="W202">
        <f ca="1"/>
        <v>4.4838314463866302</v>
      </c>
      <c r="X202">
        <f ca="1"/>
        <v>0</v>
      </c>
      <c r="Y202">
        <f ca="1"/>
        <v>0.47491141261174069</v>
      </c>
      <c r="Z202">
        <f ca="1"/>
        <v>0</v>
      </c>
      <c r="AA202">
        <f ca="1"/>
        <v>0</v>
      </c>
      <c r="AB202">
        <f ca="1"/>
        <v>0.82364841751376905</v>
      </c>
      <c r="AD202" s="2">
        <f t="shared" ca="1" si="32"/>
        <v>45349</v>
      </c>
      <c r="AE202" s="46">
        <f t="shared" ca="1" si="33"/>
        <v>0</v>
      </c>
      <c r="AG202" s="72">
        <f ca="1">Q201+S202+T202+U202</f>
        <v>124.87486808838682</v>
      </c>
      <c r="AH202" s="72">
        <f ca="1">Q202+R202+X202</f>
        <v>124.87486808838682</v>
      </c>
      <c r="AI202" s="3">
        <f ca="1">AH202-AG202</f>
        <v>0</v>
      </c>
    </row>
    <row r="203" spans="7:35" x14ac:dyDescent="0.25">
      <c r="G203" s="3">
        <f t="shared" ca="1" si="34"/>
        <v>15</v>
      </c>
      <c r="H203" s="105">
        <f t="shared" ca="1" si="36"/>
        <v>45305</v>
      </c>
      <c r="I203" s="133">
        <f ca="1">HLOOKUP($H$4,'Met Data'!$A$2:$F$368,G203,FALSE)</f>
        <v>16.835294117646999</v>
      </c>
      <c r="J203" s="133">
        <f ca="1">HLOOKUP($H$4,'Met Data'!$H$2:$M$368,G203,FALSE)*L203</f>
        <v>0.93823529411764695</v>
      </c>
      <c r="K203" s="106">
        <f ca="1">HLOOKUP($H$4,'Met Data'!$O$2:$T$368,G203,FALSE)</f>
        <v>5.3875143634853799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45350</v>
      </c>
      <c r="Q203">
        <f ca="1"/>
        <v>125.06179511015188</v>
      </c>
      <c r="R203">
        <f ca="1"/>
        <v>0.22302171113371999</v>
      </c>
      <c r="S203">
        <f ca="1"/>
        <v>7.3684276570276461E-3</v>
      </c>
      <c r="T203">
        <f ca="1"/>
        <v>0.61903688291881964</v>
      </c>
      <c r="U203">
        <f ca="1"/>
        <v>0</v>
      </c>
      <c r="V203">
        <f ca="1"/>
        <v>5.1243759237830702</v>
      </c>
      <c r="W203">
        <f ca="1"/>
        <v>4.6878550117571098</v>
      </c>
      <c r="X203">
        <f ca="1"/>
        <v>0</v>
      </c>
      <c r="Y203">
        <f ca="1"/>
        <v>0.45447760728173864</v>
      </c>
      <c r="Z203">
        <f ca="1"/>
        <v>0</v>
      </c>
      <c r="AA203">
        <f ca="1"/>
        <v>0</v>
      </c>
      <c r="AB203">
        <f ca="1"/>
        <v>0.84573228309549997</v>
      </c>
      <c r="AD203" s="2">
        <f t="shared" ca="1" si="32"/>
        <v>45350</v>
      </c>
      <c r="AE203" s="46">
        <f t="shared" ca="1" si="33"/>
        <v>0</v>
      </c>
      <c r="AG203" s="72">
        <f t="shared" ref="AG203:AG266" ca="1" si="37">Q202+S203+T203+U203</f>
        <v>125.2848168212856</v>
      </c>
      <c r="AH203" s="72">
        <f t="shared" ref="AH203:AH266" ca="1" si="38">Q203+R203+X203</f>
        <v>125.2848168212856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16</v>
      </c>
      <c r="H204" s="105">
        <f t="shared" ca="1" si="36"/>
        <v>45306</v>
      </c>
      <c r="I204" s="133">
        <f ca="1">HLOOKUP($H$4,'Met Data'!$A$2:$F$368,G204,FALSE)</f>
        <v>17.335294117646999</v>
      </c>
      <c r="J204" s="133">
        <f ca="1">HLOOKUP($H$4,'Met Data'!$H$2:$M$368,G204,FALSE)*L204</f>
        <v>1.0911764705882301</v>
      </c>
      <c r="K204" s="106">
        <f ca="1">HLOOKUP($H$4,'Met Data'!$O$2:$T$368,G204,FALSE)</f>
        <v>5.8399033494252999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45351</v>
      </c>
      <c r="Q204">
        <f ca="1"/>
        <v>125.4380503923997</v>
      </c>
      <c r="R204">
        <f ca="1"/>
        <v>0.23430603593705299</v>
      </c>
      <c r="S204">
        <f ca="1"/>
        <v>6.3437210886323056E-3</v>
      </c>
      <c r="T204">
        <f ca="1"/>
        <v>0.60421759709625544</v>
      </c>
      <c r="U204">
        <f ca="1"/>
        <v>0</v>
      </c>
      <c r="V204">
        <f ca="1"/>
        <v>5.3586819597201201</v>
      </c>
      <c r="W204">
        <f ca="1"/>
        <v>4.90220164463285</v>
      </c>
      <c r="X204">
        <f ca="1"/>
        <v>0</v>
      </c>
      <c r="Y204">
        <f ca="1"/>
        <v>0.42387124278422661</v>
      </c>
      <c r="Z204">
        <f ca="1"/>
        <v>0</v>
      </c>
      <c r="AA204">
        <f ca="1"/>
        <v>0</v>
      </c>
      <c r="AB204">
        <f ca="1"/>
        <v>0.86572224927333097</v>
      </c>
      <c r="AD204" s="2">
        <f t="shared" ca="1" si="32"/>
        <v>45351</v>
      </c>
      <c r="AE204" s="46">
        <f t="shared" ca="1" si="33"/>
        <v>0</v>
      </c>
      <c r="AG204" s="72">
        <f t="shared" ca="1" si="37"/>
        <v>125.67235642833676</v>
      </c>
      <c r="AH204" s="72">
        <f t="shared" ca="1" si="38"/>
        <v>125.67235642833676</v>
      </c>
      <c r="AI204" s="3">
        <f t="shared" ca="1" si="39"/>
        <v>0</v>
      </c>
    </row>
    <row r="205" spans="7:35" x14ac:dyDescent="0.25">
      <c r="G205" s="3">
        <f t="shared" ca="1" si="34"/>
        <v>17</v>
      </c>
      <c r="H205" s="105">
        <f t="shared" ca="1" si="36"/>
        <v>45307</v>
      </c>
      <c r="I205" s="133">
        <f ca="1">HLOOKUP($H$4,'Met Data'!$A$2:$F$368,G205,FALSE)</f>
        <v>16.8279411764705</v>
      </c>
      <c r="J205" s="133">
        <f ca="1">HLOOKUP($H$4,'Met Data'!$H$2:$M$368,G205,FALSE)*L205</f>
        <v>0.77647058823529402</v>
      </c>
      <c r="K205" s="106">
        <f ca="1">HLOOKUP($H$4,'Met Data'!$O$2:$T$368,G205,FALSE)</f>
        <v>5.6587590306219901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45352</v>
      </c>
      <c r="Q205">
        <f ca="1"/>
        <v>125.78034187294833</v>
      </c>
      <c r="R205">
        <f ca="1"/>
        <v>0.23874310295568801</v>
      </c>
      <c r="S205">
        <f ca="1"/>
        <v>5.4467769174191358E-3</v>
      </c>
      <c r="T205">
        <f ca="1"/>
        <v>0.575587806586906</v>
      </c>
      <c r="U205">
        <f ca="1"/>
        <v>0</v>
      </c>
      <c r="V205">
        <f ca="1"/>
        <v>5.5974250626758097</v>
      </c>
      <c r="W205">
        <f ca="1"/>
        <v>5.1206073721515697</v>
      </c>
      <c r="X205">
        <f ca="1"/>
        <v>0</v>
      </c>
      <c r="Y205">
        <f ca="1"/>
        <v>0.40401665071811982</v>
      </c>
      <c r="Z205">
        <f ca="1"/>
        <v>0</v>
      </c>
      <c r="AA205">
        <f ca="1"/>
        <v>0</v>
      </c>
      <c r="AB205">
        <f ca="1"/>
        <v>0.88317882778254897</v>
      </c>
      <c r="AD205" s="2">
        <f t="shared" ca="1" si="32"/>
        <v>45352</v>
      </c>
      <c r="AE205" s="46">
        <f t="shared" ca="1" si="33"/>
        <v>0</v>
      </c>
      <c r="AG205" s="72">
        <f t="shared" ca="1" si="37"/>
        <v>126.01908497590404</v>
      </c>
      <c r="AH205" s="72">
        <f t="shared" ca="1" si="38"/>
        <v>126.01908497590402</v>
      </c>
      <c r="AI205" s="3">
        <f t="shared" ca="1" si="39"/>
        <v>0</v>
      </c>
    </row>
    <row r="206" spans="7:35" x14ac:dyDescent="0.25">
      <c r="G206" s="3">
        <f t="shared" ca="1" si="34"/>
        <v>18</v>
      </c>
      <c r="H206" s="105">
        <f t="shared" ca="1" si="36"/>
        <v>45308</v>
      </c>
      <c r="I206" s="133">
        <f ca="1">HLOOKUP($H$4,'Met Data'!$A$2:$F$368,G206,FALSE)</f>
        <v>16.722058823529402</v>
      </c>
      <c r="J206" s="133">
        <f ca="1">HLOOKUP($H$4,'Met Data'!$H$2:$M$368,G206,FALSE)*L206</f>
        <v>0.57058823529411695</v>
      </c>
      <c r="K206" s="106">
        <f ca="1">HLOOKUP($H$4,'Met Data'!$O$2:$T$368,G206,FALSE)</f>
        <v>5.3270431561074503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45353</v>
      </c>
      <c r="Q206">
        <f ca="1"/>
        <v>126.09053154147043</v>
      </c>
      <c r="R206">
        <f ca="1"/>
        <v>0.235556148241646</v>
      </c>
      <c r="S206">
        <f ca="1"/>
        <v>4.7816322437283431E-3</v>
      </c>
      <c r="T206">
        <f ca="1"/>
        <v>0.54096418452000128</v>
      </c>
      <c r="U206">
        <f ca="1"/>
        <v>0</v>
      </c>
      <c r="V206">
        <f ca="1"/>
        <v>5.8329812109174597</v>
      </c>
      <c r="W206">
        <f ca="1"/>
        <v>5.3360976262837498</v>
      </c>
      <c r="X206">
        <f ca="1"/>
        <v>0</v>
      </c>
      <c r="Y206">
        <f ca="1"/>
        <v>0.40355273245975037</v>
      </c>
      <c r="Z206">
        <f ca="1"/>
        <v>0</v>
      </c>
      <c r="AA206">
        <f ca="1"/>
        <v>0</v>
      </c>
      <c r="AB206">
        <f ca="1"/>
        <v>0.89794308148690805</v>
      </c>
      <c r="AD206" s="2">
        <f t="shared" ca="1" si="32"/>
        <v>45353</v>
      </c>
      <c r="AE206" s="46">
        <f t="shared" ca="1" si="33"/>
        <v>0</v>
      </c>
      <c r="AG206" s="72">
        <f t="shared" ca="1" si="37"/>
        <v>126.32608768971207</v>
      </c>
      <c r="AH206" s="72">
        <f t="shared" ca="1" si="38"/>
        <v>126.32608768971207</v>
      </c>
      <c r="AI206" s="3">
        <f t="shared" ca="1" si="39"/>
        <v>0</v>
      </c>
    </row>
    <row r="207" spans="7:35" x14ac:dyDescent="0.25">
      <c r="G207" s="3">
        <f t="shared" ca="1" si="34"/>
        <v>19</v>
      </c>
      <c r="H207" s="105">
        <f t="shared" ca="1" si="36"/>
        <v>45309</v>
      </c>
      <c r="I207" s="133">
        <f ca="1">HLOOKUP($H$4,'Met Data'!$A$2:$F$368,G207,FALSE)</f>
        <v>17.301470588235201</v>
      </c>
      <c r="J207" s="133">
        <f ca="1">HLOOKUP($H$4,'Met Data'!$H$2:$M$368,G207,FALSE)*L207</f>
        <v>3.48529411764705</v>
      </c>
      <c r="K207" s="106">
        <f ca="1">HLOOKUP($H$4,'Met Data'!$O$2:$T$368,G207,FALSE)</f>
        <v>5.0203920634541701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45354</v>
      </c>
      <c r="Q207">
        <f ca="1"/>
        <v>126.72168471773924</v>
      </c>
      <c r="R207">
        <f ca="1"/>
        <v>0.233770778239864</v>
      </c>
      <c r="S207">
        <f ca="1"/>
        <v>8.3321161658304072E-3</v>
      </c>
      <c r="T207">
        <f ca="1"/>
        <v>0.85659183834283859</v>
      </c>
      <c r="U207">
        <f ca="1"/>
        <v>0</v>
      </c>
      <c r="V207">
        <f ca="1"/>
        <v>6.0667519891573196</v>
      </c>
      <c r="W207">
        <f ca="1"/>
        <v>5.5499545974883597</v>
      </c>
      <c r="X207">
        <f ca="1"/>
        <v>0</v>
      </c>
      <c r="Y207">
        <f ca="1"/>
        <v>0.7905489199108463</v>
      </c>
      <c r="Z207">
        <f ca="1"/>
        <v>0</v>
      </c>
      <c r="AA207">
        <f ca="1"/>
        <v>48</v>
      </c>
      <c r="AB207">
        <f ca="1"/>
        <v>0.91053965522733504</v>
      </c>
      <c r="AD207" s="2">
        <f t="shared" ca="1" si="32"/>
        <v>45354</v>
      </c>
      <c r="AE207" s="46">
        <f t="shared" ca="1" si="33"/>
        <v>0</v>
      </c>
      <c r="AG207" s="72">
        <f t="shared" ca="1" si="37"/>
        <v>126.95545549597909</v>
      </c>
      <c r="AH207" s="72">
        <f t="shared" ca="1" si="38"/>
        <v>126.95545549597909</v>
      </c>
      <c r="AI207" s="3">
        <f t="shared" ca="1" si="39"/>
        <v>0</v>
      </c>
    </row>
    <row r="208" spans="7:35" x14ac:dyDescent="0.25">
      <c r="G208" s="3">
        <f t="shared" ca="1" si="34"/>
        <v>20</v>
      </c>
      <c r="H208" s="105">
        <f t="shared" ca="1" si="36"/>
        <v>45310</v>
      </c>
      <c r="I208" s="133">
        <f ca="1">HLOOKUP($H$4,'Met Data'!$A$2:$F$368,G208,FALSE)</f>
        <v>17.052941176470501</v>
      </c>
      <c r="J208" s="133">
        <f ca="1">HLOOKUP($H$4,'Met Data'!$H$2:$M$368,G208,FALSE)*L208</f>
        <v>0.99117647058823499</v>
      </c>
      <c r="K208" s="106">
        <f ca="1">HLOOKUP($H$4,'Met Data'!$O$2:$T$368,G208,FALSE)</f>
        <v>5.3707211610908496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45355</v>
      </c>
      <c r="Q208">
        <f ca="1"/>
        <v>127.3956780102184</v>
      </c>
      <c r="R208">
        <f ca="1"/>
        <v>0.26071105762687902</v>
      </c>
      <c r="S208">
        <f ca="1"/>
        <v>7.6240756247531564E-3</v>
      </c>
      <c r="T208">
        <f ca="1"/>
        <v>0.92708027448128338</v>
      </c>
      <c r="U208">
        <f ca="1"/>
        <v>0</v>
      </c>
      <c r="V208">
        <f ca="1"/>
        <v>6.3274630467842004</v>
      </c>
      <c r="W208">
        <f ca="1"/>
        <v>5.7884569353914701</v>
      </c>
      <c r="X208">
        <f ca="1"/>
        <v>0</v>
      </c>
      <c r="Y208">
        <f ca="1"/>
        <v>0.77821046834988827</v>
      </c>
      <c r="Z208">
        <f ca="1"/>
        <v>0</v>
      </c>
      <c r="AA208">
        <f ca="1"/>
        <v>0</v>
      </c>
      <c r="AB208">
        <f ca="1"/>
        <v>0.92254453962606398</v>
      </c>
      <c r="AD208" s="2">
        <f t="shared" ca="1" si="32"/>
        <v>45355</v>
      </c>
      <c r="AE208" s="46">
        <f t="shared" ca="1" si="33"/>
        <v>0</v>
      </c>
      <c r="AG208" s="72">
        <f t="shared" ca="1" si="37"/>
        <v>127.65638906784527</v>
      </c>
      <c r="AH208" s="72">
        <f t="shared" ca="1" si="38"/>
        <v>127.65638906784528</v>
      </c>
      <c r="AI208" s="3">
        <f t="shared" ca="1" si="39"/>
        <v>0</v>
      </c>
    </row>
    <row r="209" spans="7:35" x14ac:dyDescent="0.25">
      <c r="G209" s="3">
        <f t="shared" ca="1" si="34"/>
        <v>21</v>
      </c>
      <c r="H209" s="105">
        <f t="shared" ca="1" si="36"/>
        <v>45311</v>
      </c>
      <c r="I209" s="133">
        <f ca="1">HLOOKUP($H$4,'Met Data'!$A$2:$F$368,G209,FALSE)</f>
        <v>15.9367647058823</v>
      </c>
      <c r="J209" s="133">
        <f ca="1">HLOOKUP($H$4,'Met Data'!$H$2:$M$368,G209,FALSE)*L209</f>
        <v>0.25588235294117601</v>
      </c>
      <c r="K209" s="106">
        <f ca="1">HLOOKUP($H$4,'Met Data'!$O$2:$T$368,G209,FALSE)</f>
        <v>5.3547882621027503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45356</v>
      </c>
      <c r="Q209">
        <f ca="1"/>
        <v>128.03706330168035</v>
      </c>
      <c r="R209">
        <f ca="1"/>
        <v>0.27354375979114698</v>
      </c>
      <c r="S209">
        <f ca="1"/>
        <v>6.3470098282364983E-3</v>
      </c>
      <c r="T209">
        <f ca="1"/>
        <v>0.90858204142485854</v>
      </c>
      <c r="U209">
        <f ca="1"/>
        <v>0</v>
      </c>
      <c r="V209">
        <f ca="1"/>
        <v>6.6010068065753504</v>
      </c>
      <c r="W209">
        <f ca="1"/>
        <v>6.0386988193485598</v>
      </c>
      <c r="X209">
        <f ca="1"/>
        <v>0</v>
      </c>
      <c r="Y209">
        <f ca="1"/>
        <v>0.74893331235488081</v>
      </c>
      <c r="Z209">
        <f ca="1"/>
        <v>0</v>
      </c>
      <c r="AA209">
        <f ca="1"/>
        <v>0</v>
      </c>
      <c r="AB209">
        <f ca="1"/>
        <v>0.93319827744089701</v>
      </c>
      <c r="AD209" s="2">
        <f t="shared" ca="1" si="32"/>
        <v>45356</v>
      </c>
      <c r="AE209" s="46">
        <f t="shared" ca="1" si="33"/>
        <v>0</v>
      </c>
      <c r="AG209" s="72">
        <f t="shared" ca="1" si="37"/>
        <v>128.3106070614715</v>
      </c>
      <c r="AH209" s="72">
        <f t="shared" ca="1" si="38"/>
        <v>128.3106070614715</v>
      </c>
      <c r="AI209" s="3">
        <f t="shared" ca="1" si="39"/>
        <v>0</v>
      </c>
    </row>
    <row r="210" spans="7:35" x14ac:dyDescent="0.25">
      <c r="G210" s="3">
        <f t="shared" ca="1" si="34"/>
        <v>22</v>
      </c>
      <c r="H210" s="105">
        <f t="shared" ca="1" si="36"/>
        <v>45312</v>
      </c>
      <c r="I210" s="133">
        <f ca="1">HLOOKUP($H$4,'Met Data'!$A$2:$F$368,G210,FALSE)</f>
        <v>17.475000000000001</v>
      </c>
      <c r="J210" s="133">
        <f ca="1">HLOOKUP($H$4,'Met Data'!$H$2:$M$368,G210,FALSE)*L210</f>
        <v>0.35882352941176399</v>
      </c>
      <c r="K210" s="106">
        <f ca="1">HLOOKUP($H$4,'Met Data'!$O$2:$T$368,G210,FALSE)</f>
        <v>5.3930487438230301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45357</v>
      </c>
      <c r="Q210">
        <f ca="1"/>
        <v>128.58895154310162</v>
      </c>
      <c r="R210">
        <f ca="1"/>
        <v>0.26521881724898</v>
      </c>
      <c r="S210">
        <f ca="1"/>
        <v>4.9349121070815577E-3</v>
      </c>
      <c r="T210">
        <f ca="1"/>
        <v>0.81217214656316572</v>
      </c>
      <c r="U210">
        <f ca="1"/>
        <v>0</v>
      </c>
      <c r="V210">
        <f ca="1"/>
        <v>6.86622562382433</v>
      </c>
      <c r="W210">
        <f ca="1"/>
        <v>6.2813249225355898</v>
      </c>
      <c r="X210">
        <f ca="1"/>
        <v>0</v>
      </c>
      <c r="Y210">
        <f ca="1"/>
        <v>0.72439937071548832</v>
      </c>
      <c r="Z210">
        <f ca="1"/>
        <v>0</v>
      </c>
      <c r="AA210">
        <f ca="1"/>
        <v>0</v>
      </c>
      <c r="AB210">
        <f ca="1"/>
        <v>0.94194672958172498</v>
      </c>
      <c r="AD210" s="2">
        <f t="shared" ca="1" si="32"/>
        <v>45357</v>
      </c>
      <c r="AE210" s="46">
        <f t="shared" ca="1" si="33"/>
        <v>0</v>
      </c>
      <c r="AG210" s="72">
        <f t="shared" ca="1" si="37"/>
        <v>128.85417036035059</v>
      </c>
      <c r="AH210" s="72">
        <f t="shared" ca="1" si="38"/>
        <v>128.85417036035059</v>
      </c>
      <c r="AI210" s="3">
        <f t="shared" ca="1" si="39"/>
        <v>0</v>
      </c>
    </row>
    <row r="211" spans="7:35" x14ac:dyDescent="0.25">
      <c r="G211" s="3">
        <f t="shared" ca="1" si="34"/>
        <v>23</v>
      </c>
      <c r="H211" s="105">
        <f t="shared" ca="1" si="36"/>
        <v>45313</v>
      </c>
      <c r="I211" s="133">
        <f ca="1">HLOOKUP($H$4,'Met Data'!$A$2:$F$368,G211,FALSE)</f>
        <v>18.2514705882352</v>
      </c>
      <c r="J211" s="133">
        <f ca="1">HLOOKUP($H$4,'Met Data'!$H$2:$M$368,G211,FALSE)*L211</f>
        <v>1.94705882352941</v>
      </c>
      <c r="K211" s="106">
        <f ca="1">HLOOKUP($H$4,'Met Data'!$O$2:$T$368,G211,FALSE)</f>
        <v>5.5152286930917596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45358</v>
      </c>
      <c r="Q211">
        <f ca="1"/>
        <v>129.12312884790339</v>
      </c>
      <c r="R211">
        <f ca="1"/>
        <v>0.27915891709813401</v>
      </c>
      <c r="S211">
        <f ca="1"/>
        <v>4.2454695596304583E-3</v>
      </c>
      <c r="T211">
        <f ca="1"/>
        <v>0.8090907523402715</v>
      </c>
      <c r="U211">
        <f ca="1"/>
        <v>0</v>
      </c>
      <c r="V211">
        <f ca="1"/>
        <v>7.1453845409224597</v>
      </c>
      <c r="W211">
        <f ca="1"/>
        <v>6.5367036355846198</v>
      </c>
      <c r="X211">
        <f ca="1"/>
        <v>0</v>
      </c>
      <c r="Y211">
        <f ca="1"/>
        <v>0.70230335109283681</v>
      </c>
      <c r="Z211">
        <f ca="1"/>
        <v>0</v>
      </c>
      <c r="AA211">
        <f ca="1"/>
        <v>0</v>
      </c>
      <c r="AB211">
        <f ca="1"/>
        <v>0.94975856897986699</v>
      </c>
      <c r="AD211" s="2">
        <f t="shared" ca="1" si="32"/>
        <v>45358</v>
      </c>
      <c r="AE211" s="46">
        <f t="shared" ca="1" si="33"/>
        <v>0</v>
      </c>
      <c r="AG211" s="72">
        <f t="shared" ca="1" si="37"/>
        <v>129.40228776500152</v>
      </c>
      <c r="AH211" s="72">
        <f t="shared" ca="1" si="38"/>
        <v>129.40228776500152</v>
      </c>
      <c r="AI211" s="3">
        <f t="shared" ca="1" si="39"/>
        <v>0</v>
      </c>
    </row>
    <row r="212" spans="7:35" x14ac:dyDescent="0.25">
      <c r="G212" s="3">
        <f t="shared" ca="1" si="34"/>
        <v>24</v>
      </c>
      <c r="H212" s="105">
        <f t="shared" ca="1" si="36"/>
        <v>45314</v>
      </c>
      <c r="I212" s="133">
        <f ca="1">HLOOKUP($H$4,'Met Data'!$A$2:$F$368,G212,FALSE)</f>
        <v>17.176470588235201</v>
      </c>
      <c r="J212" s="133">
        <f ca="1">HLOOKUP($H$4,'Met Data'!$H$2:$M$368,G212,FALSE)*L212</f>
        <v>0.744117647058823</v>
      </c>
      <c r="K212" s="106">
        <f ca="1">HLOOKUP($H$4,'Met Data'!$O$2:$T$368,G212,FALSE)</f>
        <v>5.2065069869691296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45359</v>
      </c>
      <c r="Q212">
        <f ca="1"/>
        <v>129.59337702796762</v>
      </c>
      <c r="R212">
        <f ca="1"/>
        <v>0.27454267301299501</v>
      </c>
      <c r="S212">
        <f ca="1"/>
        <v>3.4168960891198482E-3</v>
      </c>
      <c r="T212">
        <f ca="1"/>
        <v>0.74137395698811115</v>
      </c>
      <c r="U212">
        <f ca="1"/>
        <v>0</v>
      </c>
      <c r="V212">
        <f ca="1"/>
        <v>7.41992721393546</v>
      </c>
      <c r="W212">
        <f ca="1"/>
        <v>6.7878593401557703</v>
      </c>
      <c r="X212">
        <f ca="1"/>
        <v>0</v>
      </c>
      <c r="Y212">
        <f ca="1"/>
        <v>0.67992502741750216</v>
      </c>
      <c r="Z212">
        <f ca="1"/>
        <v>0</v>
      </c>
      <c r="AA212">
        <f ca="1"/>
        <v>0</v>
      </c>
      <c r="AB212">
        <f ca="1"/>
        <v>0.95627874430390503</v>
      </c>
      <c r="AD212" s="2">
        <f t="shared" ca="1" si="32"/>
        <v>45359</v>
      </c>
      <c r="AE212" s="46">
        <f t="shared" ca="1" si="33"/>
        <v>0</v>
      </c>
      <c r="AG212" s="72">
        <f t="shared" ca="1" si="37"/>
        <v>129.86791970098059</v>
      </c>
      <c r="AH212" s="72">
        <f t="shared" ca="1" si="38"/>
        <v>129.86791970098062</v>
      </c>
      <c r="AI212" s="3">
        <f t="shared" ca="1" si="39"/>
        <v>0</v>
      </c>
    </row>
    <row r="213" spans="7:35" x14ac:dyDescent="0.25">
      <c r="G213" s="3">
        <f t="shared" ca="1" si="34"/>
        <v>25</v>
      </c>
      <c r="H213" s="105">
        <f t="shared" ca="1" si="36"/>
        <v>45315</v>
      </c>
      <c r="I213" s="133">
        <f ca="1">HLOOKUP($H$4,'Met Data'!$A$2:$F$368,G213,FALSE)</f>
        <v>16.835294117646999</v>
      </c>
      <c r="J213" s="133">
        <f ca="1">HLOOKUP($H$4,'Met Data'!$H$2:$M$368,G213,FALSE)*L213</f>
        <v>1.4117647058823499</v>
      </c>
      <c r="K213" s="106">
        <f ca="1">HLOOKUP($H$4,'Met Data'!$O$2:$T$368,G213,FALSE)</f>
        <v>4.7133252171052504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45360</v>
      </c>
      <c r="Q213">
        <f ca="1"/>
        <v>130.08753110412968</v>
      </c>
      <c r="R213">
        <f ca="1"/>
        <v>0.30522439028647502</v>
      </c>
      <c r="S213">
        <f ca="1"/>
        <v>3.1608997160682494E-3</v>
      </c>
      <c r="T213">
        <f ca="1"/>
        <v>0.79621756673246491</v>
      </c>
      <c r="U213">
        <f ca="1"/>
        <v>0</v>
      </c>
      <c r="V213">
        <f ca="1"/>
        <v>7.7251516042219297</v>
      </c>
      <c r="W213">
        <f ca="1"/>
        <v>7.0670831342326599</v>
      </c>
      <c r="X213">
        <f ca="1"/>
        <v>0</v>
      </c>
      <c r="Y213">
        <f ca="1"/>
        <v>0.66168466643154045</v>
      </c>
      <c r="Z213">
        <f ca="1"/>
        <v>0</v>
      </c>
      <c r="AA213">
        <f ca="1"/>
        <v>0</v>
      </c>
      <c r="AB213">
        <f ca="1"/>
        <v>0.96240800375778202</v>
      </c>
      <c r="AD213" s="2">
        <f t="shared" ca="1" si="32"/>
        <v>45360</v>
      </c>
      <c r="AE213" s="46">
        <f t="shared" ca="1" si="33"/>
        <v>0</v>
      </c>
      <c r="AG213" s="72">
        <f t="shared" ca="1" si="37"/>
        <v>130.39275549441615</v>
      </c>
      <c r="AH213" s="72">
        <f t="shared" ca="1" si="38"/>
        <v>130.39275549441615</v>
      </c>
      <c r="AI213" s="3">
        <f t="shared" ca="1" si="39"/>
        <v>0</v>
      </c>
    </row>
    <row r="214" spans="7:35" x14ac:dyDescent="0.25">
      <c r="G214" s="3">
        <f t="shared" ca="1" si="34"/>
        <v>26</v>
      </c>
      <c r="H214" s="105">
        <f t="shared" ca="1" si="36"/>
        <v>45316</v>
      </c>
      <c r="I214" s="133">
        <f ca="1">HLOOKUP($H$4,'Met Data'!$A$2:$F$368,G214,FALSE)</f>
        <v>16.6941176470588</v>
      </c>
      <c r="J214" s="133">
        <f ca="1">HLOOKUP($H$4,'Met Data'!$H$2:$M$368,G214,FALSE)*L214</f>
        <v>1.25588235294117</v>
      </c>
      <c r="K214" s="106">
        <f ca="1">HLOOKUP($H$4,'Met Data'!$O$2:$T$368,G214,FALSE)</f>
        <v>4.3325050650897401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45361</v>
      </c>
      <c r="Q214">
        <f ca="1"/>
        <v>130.52964256517092</v>
      </c>
      <c r="R214">
        <f ca="1"/>
        <v>0.29959554638250602</v>
      </c>
      <c r="S214">
        <f ca="1"/>
        <v>2.5930980399816997E-3</v>
      </c>
      <c r="T214">
        <f ca="1"/>
        <v>0.73911390938376476</v>
      </c>
      <c r="U214">
        <f ca="1"/>
        <v>0</v>
      </c>
      <c r="V214">
        <f ca="1"/>
        <v>8.0247471506044405</v>
      </c>
      <c r="W214">
        <f ca="1"/>
        <v>7.3411575785159098</v>
      </c>
      <c r="X214">
        <f ca="1"/>
        <v>0</v>
      </c>
      <c r="Y214">
        <f ca="1"/>
        <v>0.65101358738349802</v>
      </c>
      <c r="Z214">
        <f ca="1"/>
        <v>0</v>
      </c>
      <c r="AA214">
        <f ca="1"/>
        <v>0</v>
      </c>
      <c r="AB214">
        <f ca="1"/>
        <v>0.96747677925856501</v>
      </c>
      <c r="AD214" s="2">
        <f t="shared" ca="1" si="32"/>
        <v>45361</v>
      </c>
      <c r="AE214" s="46">
        <f t="shared" ca="1" si="33"/>
        <v>0</v>
      </c>
      <c r="AG214" s="72">
        <f t="shared" ca="1" si="37"/>
        <v>130.82923811155345</v>
      </c>
      <c r="AH214" s="72">
        <f t="shared" ca="1" si="38"/>
        <v>130.82923811155342</v>
      </c>
      <c r="AI214" s="3">
        <f t="shared" ca="1" si="39"/>
        <v>0</v>
      </c>
    </row>
    <row r="215" spans="7:35" x14ac:dyDescent="0.25">
      <c r="G215" s="3">
        <f t="shared" ca="1" si="34"/>
        <v>27</v>
      </c>
      <c r="H215" s="105">
        <f t="shared" ca="1" si="36"/>
        <v>45317</v>
      </c>
      <c r="I215" s="133">
        <f ca="1">HLOOKUP($H$4,'Met Data'!$A$2:$F$368,G215,FALSE)</f>
        <v>16.433823529411701</v>
      </c>
      <c r="J215" s="133">
        <f ca="1">HLOOKUP($H$4,'Met Data'!$H$2:$M$368,G215,FALSE)*L215</f>
        <v>0.91470588235294104</v>
      </c>
      <c r="K215" s="106">
        <f ca="1">HLOOKUP($H$4,'Met Data'!$O$2:$T$368,G215,FALSE)</f>
        <v>4.7335288521335803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45362</v>
      </c>
      <c r="Q215">
        <f ca="1"/>
        <v>130.95992331843718</v>
      </c>
      <c r="R215">
        <f ca="1"/>
        <v>0.30599281629569902</v>
      </c>
      <c r="S215">
        <f ca="1"/>
        <v>2.2762175038598328E-3</v>
      </c>
      <c r="T215">
        <f ca="1"/>
        <v>0.73399735205809558</v>
      </c>
      <c r="U215">
        <f ca="1"/>
        <v>0</v>
      </c>
      <c r="V215">
        <f ca="1"/>
        <v>8.3307399669001398</v>
      </c>
      <c r="W215">
        <f ca="1"/>
        <v>7.62108434009013</v>
      </c>
      <c r="X215">
        <f ca="1"/>
        <v>0</v>
      </c>
      <c r="Y215">
        <f ca="1"/>
        <v>0.65183474210096426</v>
      </c>
      <c r="Z215">
        <f ca="1"/>
        <v>0</v>
      </c>
      <c r="AA215">
        <f ca="1"/>
        <v>0</v>
      </c>
      <c r="AB215">
        <f ca="1"/>
        <v>0.97185561349929905</v>
      </c>
      <c r="AD215" s="2">
        <f t="shared" ca="1" si="32"/>
        <v>45362</v>
      </c>
      <c r="AE215" s="46">
        <f t="shared" ca="1" si="33"/>
        <v>0</v>
      </c>
      <c r="AG215" s="72">
        <f t="shared" ca="1" si="37"/>
        <v>131.26591613473286</v>
      </c>
      <c r="AH215" s="72">
        <f t="shared" ca="1" si="38"/>
        <v>131.26591613473286</v>
      </c>
      <c r="AI215" s="3">
        <f t="shared" ca="1" si="39"/>
        <v>0</v>
      </c>
    </row>
    <row r="216" spans="7:35" x14ac:dyDescent="0.25">
      <c r="G216" s="3">
        <f t="shared" ca="1" si="34"/>
        <v>28</v>
      </c>
      <c r="H216" s="105">
        <f t="shared" ca="1" si="36"/>
        <v>45318</v>
      </c>
      <c r="I216" s="133">
        <f ca="1">HLOOKUP($H$4,'Met Data'!$A$2:$F$368,G216,FALSE)</f>
        <v>16.332352941176399</v>
      </c>
      <c r="J216" s="133">
        <f ca="1">HLOOKUP($H$4,'Met Data'!$H$2:$M$368,G216,FALSE)*L216</f>
        <v>2.3441176470588201</v>
      </c>
      <c r="K216" s="106">
        <f ca="1">HLOOKUP($H$4,'Met Data'!$O$2:$T$368,G216,FALSE)</f>
        <v>4.92375694808094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45363</v>
      </c>
      <c r="Q216">
        <f ca="1"/>
        <v>131.38841334813279</v>
      </c>
      <c r="R216">
        <f ca="1"/>
        <v>0.31954388119782701</v>
      </c>
      <c r="S216">
        <f ca="1"/>
        <v>2.0332079987291155E-3</v>
      </c>
      <c r="T216">
        <f ca="1"/>
        <v>0.74600070289470954</v>
      </c>
      <c r="U216">
        <f ca="1"/>
        <v>0</v>
      </c>
      <c r="V216">
        <f ca="1"/>
        <v>8.6502838480979598</v>
      </c>
      <c r="W216">
        <f ca="1"/>
        <v>7.9134078165933204</v>
      </c>
      <c r="X216">
        <f ca="1"/>
        <v>0</v>
      </c>
      <c r="Y216">
        <f ca="1"/>
        <v>0.64868623567326911</v>
      </c>
      <c r="Z216">
        <f ca="1"/>
        <v>0</v>
      </c>
      <c r="AA216">
        <f ca="1"/>
        <v>0</v>
      </c>
      <c r="AB216">
        <f ca="1"/>
        <v>0.97571814605677498</v>
      </c>
      <c r="AD216" s="2">
        <f t="shared" ca="1" si="32"/>
        <v>45363</v>
      </c>
      <c r="AE216" s="46">
        <f t="shared" ca="1" si="33"/>
        <v>0</v>
      </c>
      <c r="AG216" s="72">
        <f t="shared" ca="1" si="37"/>
        <v>131.70795722933062</v>
      </c>
      <c r="AH216" s="72">
        <f t="shared" ca="1" si="38"/>
        <v>131.70795722933062</v>
      </c>
      <c r="AI216" s="3">
        <f t="shared" ca="1" si="39"/>
        <v>0</v>
      </c>
    </row>
    <row r="217" spans="7:35" x14ac:dyDescent="0.25">
      <c r="G217" s="3">
        <f t="shared" ca="1" si="34"/>
        <v>29</v>
      </c>
      <c r="H217" s="105">
        <f t="shared" ca="1" si="36"/>
        <v>45319</v>
      </c>
      <c r="I217" s="133">
        <f ca="1">HLOOKUP($H$4,'Met Data'!$A$2:$F$368,G217,FALSE)</f>
        <v>17.044117647058801</v>
      </c>
      <c r="J217" s="133">
        <f ca="1">HLOOKUP($H$4,'Met Data'!$H$2:$M$368,G217,FALSE)*L217</f>
        <v>1.02941176470588</v>
      </c>
      <c r="K217" s="106">
        <f ca="1">HLOOKUP($H$4,'Met Data'!$O$2:$T$368,G217,FALSE)</f>
        <v>4.99641153289756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45364</v>
      </c>
      <c r="Q217">
        <f ca="1"/>
        <v>131.78757342433809</v>
      </c>
      <c r="R217">
        <f ca="1"/>
        <v>0.321137966008397</v>
      </c>
      <c r="S217">
        <f ca="1"/>
        <v>1.7324027024703916E-3</v>
      </c>
      <c r="T217">
        <f ca="1"/>
        <v>0.71856563951124341</v>
      </c>
      <c r="U217">
        <f ca="1"/>
        <v>0</v>
      </c>
      <c r="V217">
        <f ca="1"/>
        <v>8.9714218141063604</v>
      </c>
      <c r="W217">
        <f ca="1"/>
        <v>8.2071895854973</v>
      </c>
      <c r="X217">
        <f ca="1"/>
        <v>0</v>
      </c>
      <c r="Y217">
        <f ca="1"/>
        <v>0.64029760313749096</v>
      </c>
      <c r="Z217">
        <f ca="1"/>
        <v>0</v>
      </c>
      <c r="AA217">
        <f ca="1"/>
        <v>0</v>
      </c>
      <c r="AB217">
        <f ca="1"/>
        <v>0.97899699351303304</v>
      </c>
      <c r="AD217" s="2">
        <f t="shared" ca="1" si="32"/>
        <v>45364</v>
      </c>
      <c r="AE217" s="46">
        <f t="shared" ca="1" si="33"/>
        <v>0</v>
      </c>
      <c r="AG217" s="72">
        <f t="shared" ca="1" si="37"/>
        <v>132.10871139034649</v>
      </c>
      <c r="AH217" s="72">
        <f t="shared" ca="1" si="38"/>
        <v>132.10871139034649</v>
      </c>
      <c r="AI217" s="3">
        <f t="shared" ca="1" si="39"/>
        <v>0</v>
      </c>
    </row>
    <row r="218" spans="7:35" x14ac:dyDescent="0.25">
      <c r="G218" s="3">
        <f t="shared" ca="1" si="34"/>
        <v>30</v>
      </c>
      <c r="H218" s="105">
        <f t="shared" ca="1" si="36"/>
        <v>45320</v>
      </c>
      <c r="I218" s="133">
        <f ca="1">HLOOKUP($H$4,'Met Data'!$A$2:$F$368,G218,FALSE)</f>
        <v>17.480882352941101</v>
      </c>
      <c r="J218" s="133">
        <f ca="1">HLOOKUP($H$4,'Met Data'!$H$2:$M$368,G218,FALSE)*L218</f>
        <v>6.4705882352941099E-2</v>
      </c>
      <c r="K218" s="106">
        <f ca="1">HLOOKUP($H$4,'Met Data'!$O$2:$T$368,G218,FALSE)</f>
        <v>5.19563668339761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45365</v>
      </c>
      <c r="Q218">
        <f ca="1"/>
        <v>132.15366976543513</v>
      </c>
      <c r="R218">
        <f ca="1"/>
        <v>0.33130982274704801</v>
      </c>
      <c r="S218">
        <f ca="1"/>
        <v>1.4721134539381459E-3</v>
      </c>
      <c r="T218">
        <f ca="1"/>
        <v>0.69593405039011458</v>
      </c>
      <c r="U218">
        <f ca="1"/>
        <v>0</v>
      </c>
      <c r="V218">
        <f ca="1"/>
        <v>9.3027316368534105</v>
      </c>
      <c r="W218">
        <f ca="1"/>
        <v>8.51027671963997</v>
      </c>
      <c r="X218">
        <f ca="1"/>
        <v>0</v>
      </c>
      <c r="Y218">
        <f ca="1"/>
        <v>0.61063630326224383</v>
      </c>
      <c r="Z218">
        <f ca="1"/>
        <v>0</v>
      </c>
      <c r="AA218">
        <f ca="1"/>
        <v>0</v>
      </c>
      <c r="AB218">
        <f ca="1"/>
        <v>0.98185752684188499</v>
      </c>
      <c r="AD218" s="2">
        <f t="shared" ca="1" si="32"/>
        <v>45365</v>
      </c>
      <c r="AE218" s="46">
        <f t="shared" ca="1" si="33"/>
        <v>0</v>
      </c>
      <c r="AG218" s="72">
        <f t="shared" ca="1" si="37"/>
        <v>132.48497958818214</v>
      </c>
      <c r="AH218" s="72">
        <f t="shared" ca="1" si="38"/>
        <v>132.48497958818217</v>
      </c>
      <c r="AI218" s="3">
        <f t="shared" ca="1" si="39"/>
        <v>0</v>
      </c>
    </row>
    <row r="219" spans="7:35" x14ac:dyDescent="0.25">
      <c r="G219" s="3">
        <f t="shared" ca="1" si="34"/>
        <v>31</v>
      </c>
      <c r="H219" s="105">
        <f t="shared" ca="1" si="36"/>
        <v>45321</v>
      </c>
      <c r="I219" s="133">
        <f ca="1">HLOOKUP($H$4,'Met Data'!$A$2:$F$368,G219,FALSE)</f>
        <v>18.010294117647</v>
      </c>
      <c r="J219" s="133">
        <f ca="1">HLOOKUP($H$4,'Met Data'!$H$2:$M$368,G219,FALSE)*L219</f>
        <v>0.61176470588235299</v>
      </c>
      <c r="K219" s="106">
        <f ca="1">HLOOKUP($H$4,'Met Data'!$O$2:$T$368,G219,FALSE)</f>
        <v>5.2986070991408996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45366</v>
      </c>
      <c r="Q219">
        <f ca="1"/>
        <v>132.49609001301712</v>
      </c>
      <c r="R219">
        <f ca="1"/>
        <v>0.33993823582323501</v>
      </c>
      <c r="S219">
        <f ca="1"/>
        <v>1.2748314916749099E-3</v>
      </c>
      <c r="T219">
        <f ca="1"/>
        <v>0.68108365191356746</v>
      </c>
      <c r="U219">
        <f ca="1"/>
        <v>0</v>
      </c>
      <c r="V219">
        <f ca="1"/>
        <v>9.64266987267664</v>
      </c>
      <c r="W219">
        <f ca="1"/>
        <v>8.82125725389308</v>
      </c>
      <c r="X219">
        <f ca="1"/>
        <v>0</v>
      </c>
      <c r="Y219">
        <f ca="1"/>
        <v>0.59318793433506267</v>
      </c>
      <c r="Z219">
        <f ca="1"/>
        <v>0</v>
      </c>
      <c r="AA219">
        <f ca="1"/>
        <v>0</v>
      </c>
      <c r="AB219">
        <f ca="1"/>
        <v>0.984337864428381</v>
      </c>
      <c r="AD219" s="2">
        <f t="shared" ca="1" si="32"/>
        <v>45366</v>
      </c>
      <c r="AE219" s="46">
        <f t="shared" ca="1" si="33"/>
        <v>0</v>
      </c>
      <c r="AG219" s="72">
        <f t="shared" ca="1" si="37"/>
        <v>132.83602824884036</v>
      </c>
      <c r="AH219" s="72">
        <f t="shared" ca="1" si="38"/>
        <v>132.83602824884036</v>
      </c>
      <c r="AI219" s="3">
        <f t="shared" ca="1" si="39"/>
        <v>0</v>
      </c>
    </row>
    <row r="220" spans="7:35" x14ac:dyDescent="0.25">
      <c r="G220" s="3">
        <f t="shared" ca="1" si="34"/>
        <v>32</v>
      </c>
      <c r="H220" s="105">
        <f t="shared" ca="1" si="36"/>
        <v>45322</v>
      </c>
      <c r="I220" s="133">
        <f ca="1">HLOOKUP($H$4,'Met Data'!$A$2:$F$368,G220,FALSE)</f>
        <v>18.1264705882352</v>
      </c>
      <c r="J220" s="133">
        <f ca="1">HLOOKUP($H$4,'Met Data'!$H$2:$M$368,G220,FALSE)*L220</f>
        <v>1.01176470588235</v>
      </c>
      <c r="K220" s="106">
        <f ca="1">HLOOKUP($H$4,'Met Data'!$O$2:$T$368,G220,FALSE)</f>
        <v>5.6287813361802304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45367</v>
      </c>
      <c r="Q220">
        <f ca="1"/>
        <v>132.80858952880479</v>
      </c>
      <c r="R220">
        <f ca="1"/>
        <v>0.34377527934024399</v>
      </c>
      <c r="S220">
        <f ca="1"/>
        <v>1.0912102741213309E-3</v>
      </c>
      <c r="T220">
        <f ca="1"/>
        <v>0.65518358485378581</v>
      </c>
      <c r="U220">
        <f ca="1"/>
        <v>0</v>
      </c>
      <c r="V220">
        <f ca="1"/>
        <v>9.9864451520168895</v>
      </c>
      <c r="W220">
        <f ca="1"/>
        <v>9.1357479724006296</v>
      </c>
      <c r="X220">
        <f ca="1"/>
        <v>0</v>
      </c>
      <c r="Y220">
        <f ca="1"/>
        <v>0.57538090580707513</v>
      </c>
      <c r="Z220">
        <f ca="1"/>
        <v>0</v>
      </c>
      <c r="AA220">
        <f ca="1"/>
        <v>0</v>
      </c>
      <c r="AB220">
        <f ca="1"/>
        <v>0.98645970814127804</v>
      </c>
      <c r="AD220" s="2">
        <f t="shared" ca="1" si="32"/>
        <v>45367</v>
      </c>
      <c r="AE220" s="46">
        <f t="shared" ca="1" si="33"/>
        <v>0</v>
      </c>
      <c r="AG220" s="72">
        <f t="shared" ca="1" si="37"/>
        <v>133.15236480814502</v>
      </c>
      <c r="AH220" s="72">
        <f t="shared" ca="1" si="38"/>
        <v>133.15236480814502</v>
      </c>
      <c r="AI220" s="3">
        <f t="shared" ca="1" si="39"/>
        <v>0</v>
      </c>
    </row>
    <row r="221" spans="7:35" x14ac:dyDescent="0.25">
      <c r="G221" s="3">
        <f t="shared" ca="1" si="34"/>
        <v>33</v>
      </c>
      <c r="H221" s="105">
        <f t="shared" ca="1" si="36"/>
        <v>45323</v>
      </c>
      <c r="I221" s="133">
        <f ca="1">HLOOKUP($H$4,'Met Data'!$A$2:$F$368,G221,FALSE)</f>
        <v>17.5632352941176</v>
      </c>
      <c r="J221" s="133">
        <f ca="1">HLOOKUP($H$4,'Met Data'!$H$2:$M$368,G221,FALSE)*L221</f>
        <v>0.26764705882352902</v>
      </c>
      <c r="K221" s="106">
        <f ca="1">HLOOKUP($H$4,'Met Data'!$O$2:$T$368,G221,FALSE)</f>
        <v>5.5733898517327303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45368</v>
      </c>
      <c r="Q221">
        <f ca="1"/>
        <v>133.07266545756485</v>
      </c>
      <c r="R221">
        <f ca="1"/>
        <v>0.32575117068034698</v>
      </c>
      <c r="S221">
        <f ca="1"/>
        <v>8.9032784539525966E-4</v>
      </c>
      <c r="T221">
        <f ca="1"/>
        <v>0.58893677159502433</v>
      </c>
      <c r="U221">
        <f ca="1"/>
        <v>0</v>
      </c>
      <c r="V221">
        <f ca="1"/>
        <v>10.312196322697201</v>
      </c>
      <c r="W221">
        <f ca="1"/>
        <v>9.4337499692822799</v>
      </c>
      <c r="X221">
        <f ca="1"/>
        <v>0</v>
      </c>
      <c r="Y221">
        <f ca="1"/>
        <v>0.56393258392561907</v>
      </c>
      <c r="Z221">
        <f ca="1"/>
        <v>0</v>
      </c>
      <c r="AA221">
        <f ca="1"/>
        <v>0</v>
      </c>
      <c r="AB221">
        <f ca="1"/>
        <v>0.98817274607037198</v>
      </c>
      <c r="AD221" s="2">
        <f t="shared" ca="1" si="32"/>
        <v>45368</v>
      </c>
      <c r="AE221" s="46">
        <f t="shared" ca="1" si="33"/>
        <v>0</v>
      </c>
      <c r="AG221" s="72">
        <f t="shared" ca="1" si="37"/>
        <v>133.3984166282452</v>
      </c>
      <c r="AH221" s="72">
        <f t="shared" ca="1" si="38"/>
        <v>133.3984166282452</v>
      </c>
      <c r="AI221" s="3">
        <f t="shared" ca="1" si="39"/>
        <v>0</v>
      </c>
    </row>
    <row r="222" spans="7:35" x14ac:dyDescent="0.25">
      <c r="G222" s="3">
        <f t="shared" ca="1" si="34"/>
        <v>34</v>
      </c>
      <c r="H222" s="105">
        <f t="shared" ca="1" si="36"/>
        <v>45324</v>
      </c>
      <c r="I222" s="133">
        <f ca="1">HLOOKUP($H$4,'Met Data'!$A$2:$F$368,G222,FALSE)</f>
        <v>16.530882352941099</v>
      </c>
      <c r="J222" s="133">
        <f ca="1">HLOOKUP($H$4,'Met Data'!$H$2:$M$368,G222,FALSE)*L222</f>
        <v>1.22058823529411</v>
      </c>
      <c r="K222" s="106">
        <f ca="1">HLOOKUP($H$4,'Met Data'!$O$2:$T$368,G222,FALSE)</f>
        <v>4.8866884380741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45369</v>
      </c>
      <c r="Q222">
        <f ca="1"/>
        <v>133.33710305851426</v>
      </c>
      <c r="R222">
        <f ca="1"/>
        <v>0.35305593649828998</v>
      </c>
      <c r="S222">
        <f ca="1"/>
        <v>8.2733439428424034E-4</v>
      </c>
      <c r="T222">
        <f ca="1"/>
        <v>0.61666620305339581</v>
      </c>
      <c r="U222">
        <f ca="1"/>
        <v>0</v>
      </c>
      <c r="V222">
        <f ca="1"/>
        <v>10.665252259195499</v>
      </c>
      <c r="W222">
        <f ca="1"/>
        <v>9.7567307704492396</v>
      </c>
      <c r="X222">
        <f ca="1"/>
        <v>0</v>
      </c>
      <c r="Y222">
        <f ca="1"/>
        <v>0.5441651004446435</v>
      </c>
      <c r="Z222">
        <f ca="1"/>
        <v>0</v>
      </c>
      <c r="AA222">
        <f ca="1"/>
        <v>0</v>
      </c>
      <c r="AB222">
        <f ca="1"/>
        <v>0.98975743891426404</v>
      </c>
      <c r="AD222" s="2">
        <f t="shared" ca="1" si="32"/>
        <v>45369</v>
      </c>
      <c r="AE222" s="46">
        <f t="shared" ca="1" si="33"/>
        <v>0</v>
      </c>
      <c r="AG222" s="72">
        <f t="shared" ca="1" si="37"/>
        <v>133.69015899501252</v>
      </c>
      <c r="AH222" s="72">
        <f t="shared" ca="1" si="38"/>
        <v>133.69015899501255</v>
      </c>
      <c r="AI222" s="3">
        <f t="shared" ca="1" si="39"/>
        <v>0</v>
      </c>
    </row>
    <row r="223" spans="7:35" x14ac:dyDescent="0.25">
      <c r="G223" s="3">
        <f t="shared" ca="1" si="34"/>
        <v>35</v>
      </c>
      <c r="H223" s="105">
        <f t="shared" ca="1" si="36"/>
        <v>45325</v>
      </c>
      <c r="I223" s="133">
        <f ca="1">HLOOKUP($H$4,'Met Data'!$A$2:$F$368,G223,FALSE)</f>
        <v>16.339705882352899</v>
      </c>
      <c r="J223" s="133">
        <f ca="1">HLOOKUP($H$4,'Met Data'!$H$2:$M$368,G223,FALSE)*L223</f>
        <v>0.72352941176470498</v>
      </c>
      <c r="K223" s="106">
        <f ca="1">HLOOKUP($H$4,'Met Data'!$O$2:$T$368,G223,FALSE)</f>
        <v>4.6016509460585002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45370</v>
      </c>
      <c r="Q223">
        <f ca="1"/>
        <v>133.59421234371644</v>
      </c>
      <c r="R223">
        <f ca="1"/>
        <v>0.37946548858417001</v>
      </c>
      <c r="S223">
        <f ca="1"/>
        <v>7.5172385467517356E-4</v>
      </c>
      <c r="T223">
        <f ca="1"/>
        <v>0.63582304993168937</v>
      </c>
      <c r="U223">
        <f ca="1"/>
        <v>0</v>
      </c>
      <c r="V223">
        <f ca="1"/>
        <v>11.0447177477797</v>
      </c>
      <c r="W223">
        <f ca="1"/>
        <v>10.103871421117001</v>
      </c>
      <c r="X223">
        <f ca="1"/>
        <v>0</v>
      </c>
      <c r="Y223">
        <f ca="1"/>
        <v>0.51918980787289193</v>
      </c>
      <c r="Z223">
        <f ca="1"/>
        <v>0</v>
      </c>
      <c r="AA223">
        <f ca="1"/>
        <v>0</v>
      </c>
      <c r="AB223">
        <f ca="1"/>
        <v>0.99119872082257199</v>
      </c>
      <c r="AD223" s="2">
        <f t="shared" ca="1" si="32"/>
        <v>45370</v>
      </c>
      <c r="AE223" s="46">
        <f t="shared" ca="1" si="33"/>
        <v>0</v>
      </c>
      <c r="AG223" s="72">
        <f t="shared" ca="1" si="37"/>
        <v>133.97367783230064</v>
      </c>
      <c r="AH223" s="72">
        <f t="shared" ca="1" si="38"/>
        <v>133.97367783230061</v>
      </c>
      <c r="AI223" s="3">
        <f t="shared" ca="1" si="39"/>
        <v>0</v>
      </c>
    </row>
    <row r="224" spans="7:35" x14ac:dyDescent="0.25">
      <c r="G224" s="3">
        <f t="shared" ca="1" si="34"/>
        <v>36</v>
      </c>
      <c r="H224" s="105">
        <f t="shared" ca="1" si="36"/>
        <v>45326</v>
      </c>
      <c r="I224" s="133">
        <f ca="1">HLOOKUP($H$4,'Met Data'!$A$2:$F$368,G224,FALSE)</f>
        <v>17.920588235294101</v>
      </c>
      <c r="J224" s="133">
        <f ca="1">HLOOKUP($H$4,'Met Data'!$H$2:$M$368,G224,FALSE)*L224</f>
        <v>1.75294117647058</v>
      </c>
      <c r="K224" s="106">
        <f ca="1">HLOOKUP($H$4,'Met Data'!$O$2:$T$368,G224,FALSE)</f>
        <v>5.2770860248475602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45371</v>
      </c>
      <c r="Q224">
        <f ca="1"/>
        <v>133.81742060684203</v>
      </c>
      <c r="R224">
        <f ca="1"/>
        <v>0.37700195638495299</v>
      </c>
      <c r="S224">
        <f ca="1"/>
        <v>6.3736601941010796E-4</v>
      </c>
      <c r="T224">
        <f ca="1"/>
        <v>0.59957285349114042</v>
      </c>
      <c r="U224">
        <f ca="1"/>
        <v>0</v>
      </c>
      <c r="V224">
        <f ca="1"/>
        <v>11.4217197041646</v>
      </c>
      <c r="W224">
        <f ca="1"/>
        <v>10.448758396032099</v>
      </c>
      <c r="X224">
        <f ca="1"/>
        <v>0</v>
      </c>
      <c r="Y224">
        <f ca="1"/>
        <v>0.49995151354351131</v>
      </c>
      <c r="Z224">
        <f ca="1"/>
        <v>0</v>
      </c>
      <c r="AA224">
        <f ca="1"/>
        <v>0</v>
      </c>
      <c r="AB224">
        <f ca="1"/>
        <v>0.992408429125058</v>
      </c>
      <c r="AD224" s="2">
        <f t="shared" ca="1" si="32"/>
        <v>45371</v>
      </c>
      <c r="AE224" s="46">
        <f t="shared" ca="1" si="33"/>
        <v>0</v>
      </c>
      <c r="AG224" s="72">
        <f t="shared" ca="1" si="37"/>
        <v>134.19442256322699</v>
      </c>
      <c r="AH224" s="72">
        <f t="shared" ca="1" si="38"/>
        <v>134.19442256322699</v>
      </c>
      <c r="AI224" s="3">
        <f t="shared" ca="1" si="39"/>
        <v>0</v>
      </c>
    </row>
    <row r="225" spans="7:35" x14ac:dyDescent="0.25">
      <c r="G225" s="3">
        <f t="shared" ca="1" si="34"/>
        <v>37</v>
      </c>
      <c r="H225" s="105">
        <f t="shared" ca="1" si="36"/>
        <v>45327</v>
      </c>
      <c r="I225" s="133">
        <f ca="1">HLOOKUP($H$4,'Met Data'!$A$2:$F$368,G225,FALSE)</f>
        <v>16.083823529411699</v>
      </c>
      <c r="J225" s="133">
        <f ca="1">HLOOKUP($H$4,'Met Data'!$H$2:$M$368,G225,FALSE)*L225</f>
        <v>2.20882352941176</v>
      </c>
      <c r="K225" s="106">
        <f ca="1">HLOOKUP($H$4,'Met Data'!$O$2:$T$368,G225,FALSE)</f>
        <v>4.27430593476155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45372</v>
      </c>
      <c r="Q225">
        <f ca="1"/>
        <v>134.01049125475899</v>
      </c>
      <c r="R225">
        <f ca="1"/>
        <v>0.37353863729370601</v>
      </c>
      <c r="S225">
        <f ca="1"/>
        <v>5.4433228659632124E-4</v>
      </c>
      <c r="T225">
        <f ca="1"/>
        <v>0.5660649529240841</v>
      </c>
      <c r="U225">
        <f ca="1"/>
        <v>0</v>
      </c>
      <c r="V225">
        <f ca="1"/>
        <v>11.7952583414584</v>
      </c>
      <c r="W225">
        <f ca="1"/>
        <v>10.790477075334101</v>
      </c>
      <c r="X225">
        <f ca="1"/>
        <v>0</v>
      </c>
      <c r="Y225">
        <f ca="1"/>
        <v>0.48233955913269089</v>
      </c>
      <c r="Z225">
        <f ca="1"/>
        <v>0</v>
      </c>
      <c r="AA225">
        <f ca="1"/>
        <v>0</v>
      </c>
      <c r="AB225">
        <f ca="1"/>
        <v>0.99342621245087104</v>
      </c>
      <c r="AD225" s="2">
        <f t="shared" ca="1" si="32"/>
        <v>45372</v>
      </c>
      <c r="AE225" s="46">
        <f t="shared" ca="1" si="33"/>
        <v>0</v>
      </c>
      <c r="AG225" s="72">
        <f t="shared" ca="1" si="37"/>
        <v>134.38402989205272</v>
      </c>
      <c r="AH225" s="72">
        <f t="shared" ca="1" si="38"/>
        <v>134.38402989205269</v>
      </c>
      <c r="AI225" s="3">
        <f t="shared" ca="1" si="39"/>
        <v>0</v>
      </c>
    </row>
    <row r="226" spans="7:35" x14ac:dyDescent="0.25">
      <c r="G226" s="3">
        <f t="shared" ca="1" si="34"/>
        <v>38</v>
      </c>
      <c r="H226" s="105">
        <f t="shared" ca="1" si="36"/>
        <v>45328</v>
      </c>
      <c r="I226" s="133">
        <f ca="1">HLOOKUP($H$4,'Met Data'!$A$2:$F$368,G226,FALSE)</f>
        <v>16.539705882352902</v>
      </c>
      <c r="J226" s="133">
        <f ca="1">HLOOKUP($H$4,'Met Data'!$H$2:$M$368,G226,FALSE)*L226</f>
        <v>0.49117647058823499</v>
      </c>
      <c r="K226" s="106">
        <f ca="1">HLOOKUP($H$4,'Met Data'!$O$2:$T$368,G226,FALSE)</f>
        <v>4.96013704262971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45373</v>
      </c>
      <c r="Q226">
        <f ca="1"/>
        <v>134.18084730890078</v>
      </c>
      <c r="R226">
        <f ca="1"/>
        <v>0.36533261595636002</v>
      </c>
      <c r="S226">
        <f ca="1"/>
        <v>4.7291790023739911E-4</v>
      </c>
      <c r="T226">
        <f ca="1"/>
        <v>0.53521575219791195</v>
      </c>
      <c r="U226">
        <f ca="1"/>
        <v>0</v>
      </c>
      <c r="V226">
        <f ca="1"/>
        <v>12.1605909574147</v>
      </c>
      <c r="W226">
        <f ca="1"/>
        <v>11.1246887647461</v>
      </c>
      <c r="X226">
        <f ca="1"/>
        <v>0</v>
      </c>
      <c r="Y226">
        <f ca="1"/>
        <v>0.47595996036187904</v>
      </c>
      <c r="Z226">
        <f ca="1"/>
        <v>0</v>
      </c>
      <c r="AA226">
        <f ca="1"/>
        <v>0</v>
      </c>
      <c r="AB226">
        <f ca="1"/>
        <v>0.99427654595857795</v>
      </c>
      <c r="AD226" s="2">
        <f t="shared" ca="1" si="32"/>
        <v>45373</v>
      </c>
      <c r="AE226" s="46">
        <f t="shared" ca="1" si="33"/>
        <v>0</v>
      </c>
      <c r="AG226" s="72">
        <f t="shared" ca="1" si="37"/>
        <v>134.54617992485711</v>
      </c>
      <c r="AH226" s="72">
        <f t="shared" ca="1" si="38"/>
        <v>134.54617992485714</v>
      </c>
      <c r="AI226" s="3">
        <f t="shared" ca="1" si="39"/>
        <v>0</v>
      </c>
    </row>
    <row r="227" spans="7:35" x14ac:dyDescent="0.25">
      <c r="G227" s="3">
        <f t="shared" ca="1" si="34"/>
        <v>39</v>
      </c>
      <c r="H227" s="105">
        <f t="shared" ca="1" si="36"/>
        <v>45329</v>
      </c>
      <c r="I227" s="133">
        <f ca="1">HLOOKUP($H$4,'Met Data'!$A$2:$F$368,G227,FALSE)</f>
        <v>16.527941176470499</v>
      </c>
      <c r="J227" s="133">
        <f ca="1">HLOOKUP($H$4,'Met Data'!$H$2:$M$368,G227,FALSE)*L227</f>
        <v>1.98235294117647</v>
      </c>
      <c r="K227" s="106">
        <f ca="1">HLOOKUP($H$4,'Met Data'!$O$2:$T$368,G227,FALSE)</f>
        <v>4.6946370204271801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45374</v>
      </c>
      <c r="Q227">
        <f ca="1"/>
        <v>134.33526389058977</v>
      </c>
      <c r="R227">
        <f ca="1"/>
        <v>0.37451194506649998</v>
      </c>
      <c r="S227">
        <f ca="1"/>
        <v>4.2257834066536533E-4</v>
      </c>
      <c r="T227">
        <f ca="1"/>
        <v>0.52850594841481624</v>
      </c>
      <c r="U227">
        <f ca="1"/>
        <v>0</v>
      </c>
      <c r="V227">
        <f ca="1"/>
        <v>12.535102902481199</v>
      </c>
      <c r="W227">
        <f ca="1"/>
        <v>11.467297840418</v>
      </c>
      <c r="X227">
        <f ca="1"/>
        <v>0</v>
      </c>
      <c r="Y227">
        <f ca="1"/>
        <v>0.45816663677191727</v>
      </c>
      <c r="Z227">
        <f ca="1"/>
        <v>0</v>
      </c>
      <c r="AA227">
        <f ca="1"/>
        <v>0</v>
      </c>
      <c r="AB227">
        <f ca="1"/>
        <v>0.99502352473937095</v>
      </c>
      <c r="AD227" s="2">
        <f t="shared" ca="1" si="32"/>
        <v>45374</v>
      </c>
      <c r="AE227" s="46">
        <f t="shared" ca="1" si="33"/>
        <v>0</v>
      </c>
      <c r="AG227" s="72">
        <f t="shared" ca="1" si="37"/>
        <v>134.70977583565627</v>
      </c>
      <c r="AH227" s="72">
        <f t="shared" ca="1" si="38"/>
        <v>134.70977583565627</v>
      </c>
      <c r="AI227" s="3">
        <f t="shared" ca="1" si="39"/>
        <v>0</v>
      </c>
    </row>
    <row r="228" spans="7:35" x14ac:dyDescent="0.25">
      <c r="G228" s="3">
        <f t="shared" ca="1" si="34"/>
        <v>40</v>
      </c>
      <c r="H228" s="105">
        <f t="shared" ca="1" si="36"/>
        <v>45330</v>
      </c>
      <c r="I228" s="133">
        <f ca="1">HLOOKUP($H$4,'Met Data'!$A$2:$F$368,G228,FALSE)</f>
        <v>16.855882352941101</v>
      </c>
      <c r="J228" s="133">
        <f ca="1">HLOOKUP($H$4,'Met Data'!$H$2:$M$368,G228,FALSE)*L228</f>
        <v>0.79411764705882304</v>
      </c>
      <c r="K228" s="106">
        <f ca="1">HLOOKUP($H$4,'Met Data'!$O$2:$T$368,G228,FALSE)</f>
        <v>5.0220708698278598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45375</v>
      </c>
      <c r="Q228">
        <f ca="1"/>
        <v>134.48306879726209</v>
      </c>
      <c r="R228">
        <f ca="1"/>
        <v>0.388214739388271</v>
      </c>
      <c r="S228">
        <f ca="1"/>
        <v>3.9019422723527352E-4</v>
      </c>
      <c r="T228">
        <f ca="1"/>
        <v>0.53562945183336774</v>
      </c>
      <c r="U228">
        <f ca="1"/>
        <v>0</v>
      </c>
      <c r="V228">
        <f ca="1"/>
        <v>12.923317641869501</v>
      </c>
      <c r="W228">
        <f ca="1"/>
        <v>11.8224424353399</v>
      </c>
      <c r="X228">
        <f ca="1"/>
        <v>0</v>
      </c>
      <c r="Y228">
        <f ca="1"/>
        <v>0.44928628305706869</v>
      </c>
      <c r="Z228">
        <f ca="1"/>
        <v>0</v>
      </c>
      <c r="AA228">
        <f ca="1"/>
        <v>0</v>
      </c>
      <c r="AB228">
        <f ca="1"/>
        <v>0.99568600083612901</v>
      </c>
      <c r="AD228" s="2">
        <f t="shared" ca="1" si="32"/>
        <v>45375</v>
      </c>
      <c r="AE228" s="46">
        <f t="shared" ca="1" si="33"/>
        <v>0</v>
      </c>
      <c r="AG228" s="72">
        <f t="shared" ca="1" si="37"/>
        <v>134.87128353665037</v>
      </c>
      <c r="AH228" s="72">
        <f t="shared" ca="1" si="38"/>
        <v>134.87128353665037</v>
      </c>
      <c r="AI228" s="3">
        <f t="shared" ca="1" si="39"/>
        <v>0</v>
      </c>
    </row>
    <row r="229" spans="7:35" x14ac:dyDescent="0.25">
      <c r="G229" s="3">
        <f t="shared" ca="1" si="34"/>
        <v>41</v>
      </c>
      <c r="H229" s="105">
        <f t="shared" ca="1" si="36"/>
        <v>45331</v>
      </c>
      <c r="I229" s="133">
        <f ca="1">HLOOKUP($H$4,'Met Data'!$A$2:$F$368,G229,FALSE)</f>
        <v>16.957352941176399</v>
      </c>
      <c r="J229" s="133">
        <f ca="1">HLOOKUP($H$4,'Met Data'!$H$2:$M$368,G229,FALSE)*L229</f>
        <v>1.1352941176470499</v>
      </c>
      <c r="K229" s="106">
        <f ca="1">HLOOKUP($H$4,'Met Data'!$O$2:$T$368,G229,FALSE)</f>
        <v>4.61421103176027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45376</v>
      </c>
      <c r="Q229">
        <f ca="1"/>
        <v>134.59809957191462</v>
      </c>
      <c r="R229">
        <f ca="1"/>
        <v>0.372335470057507</v>
      </c>
      <c r="S229">
        <f ca="1"/>
        <v>3.2384029572536611E-4</v>
      </c>
      <c r="T229">
        <f ca="1"/>
        <v>0.48704240441429292</v>
      </c>
      <c r="U229">
        <f ca="1"/>
        <v>0</v>
      </c>
      <c r="V229">
        <f ca="1"/>
        <v>13.295653111927001</v>
      </c>
      <c r="W229">
        <f ca="1"/>
        <v>12.163060439429501</v>
      </c>
      <c r="X229">
        <f ca="1"/>
        <v>0</v>
      </c>
      <c r="Y229">
        <f ca="1"/>
        <v>0.42753939679443942</v>
      </c>
      <c r="Z229">
        <f ca="1"/>
        <v>0</v>
      </c>
      <c r="AA229">
        <f ca="1"/>
        <v>0</v>
      </c>
      <c r="AB229">
        <f ca="1"/>
        <v>0.99623139576391895</v>
      </c>
      <c r="AD229" s="2">
        <f t="shared" ca="1" si="32"/>
        <v>45376</v>
      </c>
      <c r="AE229" s="46">
        <f t="shared" ca="1" si="33"/>
        <v>0</v>
      </c>
      <c r="AG229" s="72">
        <f t="shared" ca="1" si="37"/>
        <v>134.97043504197211</v>
      </c>
      <c r="AH229" s="72">
        <f t="shared" ca="1" si="38"/>
        <v>134.97043504197211</v>
      </c>
      <c r="AI229" s="3">
        <f t="shared" ca="1" si="39"/>
        <v>0</v>
      </c>
    </row>
    <row r="230" spans="7:35" x14ac:dyDescent="0.25">
      <c r="G230" s="3">
        <f t="shared" ca="1" si="34"/>
        <v>42</v>
      </c>
      <c r="H230" s="105">
        <f t="shared" ca="1" si="36"/>
        <v>45332</v>
      </c>
      <c r="I230" s="133">
        <f ca="1">HLOOKUP($H$4,'Met Data'!$A$2:$F$368,G230,FALSE)</f>
        <v>16.866176470588201</v>
      </c>
      <c r="J230" s="133">
        <f ca="1">HLOOKUP($H$4,'Met Data'!$H$2:$M$368,G230,FALSE)*L230</f>
        <v>0.77647058823529402</v>
      </c>
      <c r="K230" s="106">
        <f ca="1">HLOOKUP($H$4,'Met Data'!$O$2:$T$368,G230,FALSE)</f>
        <v>4.40551625163656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45377</v>
      </c>
      <c r="Q230">
        <f ca="1"/>
        <v>134.71174034999382</v>
      </c>
      <c r="R230">
        <f ca="1"/>
        <v>0.40101868222965997</v>
      </c>
      <c r="S230">
        <f ca="1"/>
        <v>3.0923577807747408E-4</v>
      </c>
      <c r="T230">
        <f ca="1"/>
        <v>0.51435022453079238</v>
      </c>
      <c r="U230">
        <f ca="1"/>
        <v>0</v>
      </c>
      <c r="V230">
        <f ca="1"/>
        <v>13.6966717941567</v>
      </c>
      <c r="W230">
        <f ca="1"/>
        <v>12.5299182709507</v>
      </c>
      <c r="X230">
        <f ca="1"/>
        <v>0</v>
      </c>
      <c r="Y230">
        <f ca="1"/>
        <v>0.41299221325817992</v>
      </c>
      <c r="Z230">
        <f ca="1"/>
        <v>0</v>
      </c>
      <c r="AA230">
        <f ca="1"/>
        <v>0</v>
      </c>
      <c r="AB230">
        <f ca="1"/>
        <v>0.99673589623923997</v>
      </c>
      <c r="AD230" s="2">
        <f t="shared" ca="1" si="32"/>
        <v>45377</v>
      </c>
      <c r="AE230" s="46">
        <f t="shared" ca="1" si="33"/>
        <v>0</v>
      </c>
      <c r="AG230" s="72">
        <f t="shared" ca="1" si="37"/>
        <v>135.11275903222349</v>
      </c>
      <c r="AH230" s="72">
        <f t="shared" ca="1" si="38"/>
        <v>135.11275903222347</v>
      </c>
      <c r="AI230" s="3">
        <f t="shared" ca="1" si="39"/>
        <v>0</v>
      </c>
    </row>
    <row r="231" spans="7:35" x14ac:dyDescent="0.25">
      <c r="G231" s="3">
        <f t="shared" ca="1" si="34"/>
        <v>43</v>
      </c>
      <c r="H231" s="105">
        <f t="shared" ca="1" si="36"/>
        <v>45333</v>
      </c>
      <c r="I231" s="133">
        <f ca="1">HLOOKUP($H$4,'Met Data'!$A$2:$F$368,G231,FALSE)</f>
        <v>17.485294117647001</v>
      </c>
      <c r="J231" s="133">
        <f ca="1">HLOOKUP($H$4,'Met Data'!$H$2:$M$368,G231,FALSE)*L231</f>
        <v>1.0529411764705801</v>
      </c>
      <c r="K231" s="106">
        <f ca="1">HLOOKUP($H$4,'Met Data'!$O$2:$T$368,G231,FALSE)</f>
        <v>4.4685640225242098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45378</v>
      </c>
      <c r="Q231">
        <f ca="1"/>
        <v>135.17662546126152</v>
      </c>
      <c r="R231">
        <f ca="1"/>
        <v>0.419141883043535</v>
      </c>
      <c r="S231">
        <f ca="1"/>
        <v>5.6946783977594988E-4</v>
      </c>
      <c r="T231">
        <f ca="1"/>
        <v>0.88345752647147424</v>
      </c>
      <c r="U231">
        <f ca="1"/>
        <v>0</v>
      </c>
      <c r="V231">
        <f ca="1"/>
        <v>14.115813677200199</v>
      </c>
      <c r="W231">
        <f ca="1"/>
        <v>12.9133554750683</v>
      </c>
      <c r="X231">
        <f ca="1"/>
        <v>0</v>
      </c>
      <c r="Y231">
        <f ca="1"/>
        <v>0.79409762996213329</v>
      </c>
      <c r="Z231">
        <f ca="1"/>
        <v>0</v>
      </c>
      <c r="AA231">
        <f ca="1"/>
        <v>48</v>
      </c>
      <c r="AB231">
        <f ca="1"/>
        <v>0.99718591569505199</v>
      </c>
      <c r="AD231" s="2">
        <f t="shared" ca="1" si="32"/>
        <v>45378</v>
      </c>
      <c r="AE231" s="46">
        <f t="shared" ca="1" si="33"/>
        <v>0</v>
      </c>
      <c r="AG231" s="72">
        <f t="shared" ca="1" si="37"/>
        <v>135.59576734430505</v>
      </c>
      <c r="AH231" s="72">
        <f t="shared" ca="1" si="38"/>
        <v>135.59576734430505</v>
      </c>
      <c r="AI231" s="3">
        <f t="shared" ca="1" si="39"/>
        <v>0</v>
      </c>
    </row>
    <row r="232" spans="7:35" x14ac:dyDescent="0.25">
      <c r="G232" s="3">
        <f t="shared" ca="1" si="34"/>
        <v>44</v>
      </c>
      <c r="H232" s="105">
        <f t="shared" ca="1" si="36"/>
        <v>45334</v>
      </c>
      <c r="I232" s="133">
        <f ca="1">HLOOKUP($H$4,'Met Data'!$A$2:$F$368,G232,FALSE)</f>
        <v>17.980882352941101</v>
      </c>
      <c r="J232" s="133">
        <f ca="1">HLOOKUP($H$4,'Met Data'!$H$2:$M$368,G232,FALSE)*L232</f>
        <v>2.1735294117646999</v>
      </c>
      <c r="K232" s="106">
        <f ca="1">HLOOKUP($H$4,'Met Data'!$O$2:$T$368,G232,FALSE)</f>
        <v>4.3571116145332098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45379</v>
      </c>
      <c r="Q232">
        <f ca="1"/>
        <v>135.61300515199036</v>
      </c>
      <c r="R232">
        <f ca="1"/>
        <v>0.42262174676006098</v>
      </c>
      <c r="S232">
        <f ca="1"/>
        <v>4.7541299335132067E-4</v>
      </c>
      <c r="T232">
        <f ca="1"/>
        <v>0.85852602449552917</v>
      </c>
      <c r="U232">
        <f ca="1"/>
        <v>0</v>
      </c>
      <c r="V232">
        <f ca="1"/>
        <v>14.5384354239602</v>
      </c>
      <c r="W232">
        <f ca="1"/>
        <v>13.2999761100673</v>
      </c>
      <c r="X232">
        <f ca="1"/>
        <v>0</v>
      </c>
      <c r="Y232">
        <f ca="1"/>
        <v>0.77585455854484353</v>
      </c>
      <c r="Z232">
        <f ca="1"/>
        <v>0</v>
      </c>
      <c r="AA232">
        <f ca="1"/>
        <v>0</v>
      </c>
      <c r="AB232">
        <f ca="1"/>
        <v>0.99757265827347197</v>
      </c>
      <c r="AD232" s="2">
        <f t="shared" ca="1" si="32"/>
        <v>45379</v>
      </c>
      <c r="AE232" s="46">
        <f t="shared" ca="1" si="33"/>
        <v>0</v>
      </c>
      <c r="AG232" s="72">
        <f t="shared" ca="1" si="37"/>
        <v>136.03562689875039</v>
      </c>
      <c r="AH232" s="72">
        <f t="shared" ca="1" si="38"/>
        <v>136.03562689875042</v>
      </c>
      <c r="AI232" s="3">
        <f t="shared" ca="1" si="39"/>
        <v>0</v>
      </c>
    </row>
    <row r="233" spans="7:35" x14ac:dyDescent="0.25">
      <c r="G233" s="3">
        <f t="shared" ca="1" si="34"/>
        <v>45</v>
      </c>
      <c r="H233" s="105">
        <f t="shared" ca="1" si="36"/>
        <v>45335</v>
      </c>
      <c r="I233" s="133">
        <f ca="1">HLOOKUP($H$4,'Met Data'!$A$2:$F$368,G233,FALSE)</f>
        <v>16.401470588235199</v>
      </c>
      <c r="J233" s="133">
        <f ca="1">HLOOKUP($H$4,'Met Data'!$H$2:$M$368,G233,FALSE)*L233</f>
        <v>1.78235294117647</v>
      </c>
      <c r="K233" s="106">
        <f ca="1">HLOOKUP($H$4,'Met Data'!$O$2:$T$368,G233,FALSE)</f>
        <v>3.9824902366083998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45380</v>
      </c>
      <c r="Q233">
        <f ca="1"/>
        <v>136.04174719374086</v>
      </c>
      <c r="R233">
        <f ca="1"/>
        <v>0.42930800436050598</v>
      </c>
      <c r="S233">
        <f ca="1"/>
        <v>4.087613373894534E-4</v>
      </c>
      <c r="T233">
        <f ca="1"/>
        <v>0.85764128477362445</v>
      </c>
      <c r="U233">
        <f ca="1"/>
        <v>0</v>
      </c>
      <c r="V233">
        <f ca="1"/>
        <v>14.9677434283208</v>
      </c>
      <c r="W233">
        <f ca="1"/>
        <v>13.6927134325749</v>
      </c>
      <c r="X233">
        <f ca="1"/>
        <v>0</v>
      </c>
      <c r="Y233">
        <f ca="1"/>
        <v>0.77068529360478455</v>
      </c>
      <c r="Z233">
        <f ca="1"/>
        <v>0</v>
      </c>
      <c r="AA233">
        <f ca="1"/>
        <v>0</v>
      </c>
      <c r="AB233">
        <f ca="1"/>
        <v>0.99790780105392995</v>
      </c>
      <c r="AD233" s="2">
        <f t="shared" ca="1" si="32"/>
        <v>45380</v>
      </c>
      <c r="AE233" s="46">
        <f t="shared" ca="1" si="33"/>
        <v>0</v>
      </c>
      <c r="AG233" s="72">
        <f t="shared" ca="1" si="37"/>
        <v>136.47105519810137</v>
      </c>
      <c r="AH233" s="72">
        <f t="shared" ca="1" si="38"/>
        <v>136.47105519810137</v>
      </c>
      <c r="AI233" s="3">
        <f t="shared" ca="1" si="39"/>
        <v>0</v>
      </c>
    </row>
    <row r="234" spans="7:35" x14ac:dyDescent="0.25">
      <c r="G234" s="3">
        <f t="shared" ca="1" si="34"/>
        <v>46</v>
      </c>
      <c r="H234" s="105">
        <f t="shared" ca="1" si="36"/>
        <v>45336</v>
      </c>
      <c r="I234" s="133">
        <f ca="1">HLOOKUP($H$4,'Met Data'!$A$2:$F$368,G234,FALSE)</f>
        <v>15.8867647058823</v>
      </c>
      <c r="J234" s="133">
        <f ca="1">HLOOKUP($H$4,'Met Data'!$H$2:$M$368,G234,FALSE)*L234</f>
        <v>2.5647058823529401</v>
      </c>
      <c r="K234" s="106">
        <f ca="1">HLOOKUP($H$4,'Met Data'!$O$2:$T$368,G234,FALSE)</f>
        <v>3.6699943049553201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45381</v>
      </c>
      <c r="Q234">
        <f ca="1"/>
        <v>136.41924869906097</v>
      </c>
      <c r="R234">
        <f ca="1"/>
        <v>0.40717190133466402</v>
      </c>
      <c r="S234">
        <f ca="1"/>
        <v>3.2668929939759121E-4</v>
      </c>
      <c r="T234">
        <f ca="1"/>
        <v>0.78434671735538941</v>
      </c>
      <c r="U234">
        <f ca="1"/>
        <v>0</v>
      </c>
      <c r="V234">
        <f ca="1"/>
        <v>15.3749153296554</v>
      </c>
      <c r="W234">
        <f ca="1"/>
        <v>14.065200320092201</v>
      </c>
      <c r="X234">
        <f ca="1"/>
        <v>0</v>
      </c>
      <c r="Y234">
        <f ca="1"/>
        <v>0.76089700462695586</v>
      </c>
      <c r="Z234">
        <f ca="1"/>
        <v>0</v>
      </c>
      <c r="AA234">
        <f ca="1"/>
        <v>0</v>
      </c>
      <c r="AB234">
        <f ca="1"/>
        <v>0.99818039934855696</v>
      </c>
      <c r="AD234" s="2">
        <f t="shared" ca="1" si="32"/>
        <v>45381</v>
      </c>
      <c r="AE234" s="46">
        <f t="shared" ca="1" si="33"/>
        <v>0</v>
      </c>
      <c r="AG234" s="72">
        <f t="shared" ca="1" si="37"/>
        <v>136.82642060039564</v>
      </c>
      <c r="AH234" s="72">
        <f t="shared" ca="1" si="38"/>
        <v>136.82642060039564</v>
      </c>
      <c r="AI234" s="3">
        <f t="shared" ca="1" si="39"/>
        <v>0</v>
      </c>
    </row>
    <row r="235" spans="7:35" x14ac:dyDescent="0.25">
      <c r="G235" s="3">
        <f t="shared" ca="1" si="34"/>
        <v>47</v>
      </c>
      <c r="H235" s="105">
        <f t="shared" ca="1" si="36"/>
        <v>45337</v>
      </c>
      <c r="I235" s="133">
        <f ca="1">HLOOKUP($H$4,'Met Data'!$A$2:$F$368,G235,FALSE)</f>
        <v>15.4705882352941</v>
      </c>
      <c r="J235" s="133">
        <f ca="1">HLOOKUP($H$4,'Met Data'!$H$2:$M$368,G235,FALSE)*L235</f>
        <v>2.2558823529411698</v>
      </c>
      <c r="K235" s="106">
        <f ca="1">HLOOKUP($H$4,'Met Data'!$O$2:$T$368,G235,FALSE)</f>
        <v>4.0108603157722298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45382</v>
      </c>
      <c r="Q235">
        <f ca="1"/>
        <v>136.75681681206333</v>
      </c>
      <c r="R235">
        <f ca="1"/>
        <v>0.39399043505593101</v>
      </c>
      <c r="S235">
        <f ca="1"/>
        <v>2.6757469349314824E-4</v>
      </c>
      <c r="T235">
        <f ca="1"/>
        <v>0.73129097336479332</v>
      </c>
      <c r="U235">
        <f ca="1"/>
        <v>0</v>
      </c>
      <c r="V235">
        <f ca="1"/>
        <v>15.768905764711301</v>
      </c>
      <c r="W235">
        <f ca="1"/>
        <v>14.4256286069767</v>
      </c>
      <c r="X235">
        <f ca="1"/>
        <v>0</v>
      </c>
      <c r="Y235">
        <f ca="1"/>
        <v>0.74484130066896737</v>
      </c>
      <c r="Z235">
        <f ca="1"/>
        <v>0</v>
      </c>
      <c r="AA235">
        <f ca="1"/>
        <v>0</v>
      </c>
      <c r="AB235">
        <f ca="1"/>
        <v>0.99840859376867597</v>
      </c>
      <c r="AD235" s="2">
        <f t="shared" ca="1" si="32"/>
        <v>45382</v>
      </c>
      <c r="AE235" s="46">
        <f t="shared" ca="1" si="33"/>
        <v>0</v>
      </c>
      <c r="AG235" s="72">
        <f t="shared" ca="1" si="37"/>
        <v>137.15080724711925</v>
      </c>
      <c r="AH235" s="72">
        <f t="shared" ca="1" si="38"/>
        <v>137.15080724711927</v>
      </c>
      <c r="AI235" s="3">
        <f t="shared" ca="1" si="39"/>
        <v>0</v>
      </c>
    </row>
    <row r="236" spans="7:35" x14ac:dyDescent="0.25">
      <c r="G236" s="3">
        <f t="shared" ca="1" si="34"/>
        <v>48</v>
      </c>
      <c r="H236" s="105">
        <f t="shared" ca="1" si="36"/>
        <v>45338</v>
      </c>
      <c r="I236" s="133">
        <f ca="1">HLOOKUP($H$4,'Met Data'!$A$2:$F$368,G236,FALSE)</f>
        <v>16.035294117646998</v>
      </c>
      <c r="J236" s="133">
        <f ca="1">HLOOKUP($H$4,'Met Data'!$H$2:$M$368,G236,FALSE)*L236</f>
        <v>1.3529411764705801</v>
      </c>
      <c r="K236" s="106">
        <f ca="1">HLOOKUP($H$4,'Met Data'!$O$2:$T$368,G236,FALSE)</f>
        <v>4.2159434978261299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45383</v>
      </c>
      <c r="Q236">
        <f ca="1"/>
        <v>137.09196648304516</v>
      </c>
      <c r="R236">
        <f ca="1"/>
        <v>0.41319171424471801</v>
      </c>
      <c r="S236">
        <f ca="1"/>
        <v>2.3879771414253239E-4</v>
      </c>
      <c r="T236">
        <f ca="1"/>
        <v>0.74810258751238157</v>
      </c>
      <c r="U236">
        <f ca="1"/>
        <v>0</v>
      </c>
      <c r="V236">
        <f ca="1"/>
        <v>16.182097478956099</v>
      </c>
      <c r="W236">
        <f ca="1"/>
        <v>14.8036225085265</v>
      </c>
      <c r="X236">
        <f ca="1"/>
        <v>0</v>
      </c>
      <c r="Y236">
        <f ca="1"/>
        <v>0.72587216588281733</v>
      </c>
      <c r="Z236">
        <f ca="1"/>
        <v>0</v>
      </c>
      <c r="AA236">
        <f ca="1"/>
        <v>0</v>
      </c>
      <c r="AB236">
        <f ca="1"/>
        <v>0.99861585054951796</v>
      </c>
      <c r="AD236" s="2">
        <f t="shared" ca="1" si="32"/>
        <v>45383</v>
      </c>
      <c r="AE236" s="46">
        <f t="shared" ca="1" si="33"/>
        <v>0</v>
      </c>
      <c r="AG236" s="72">
        <f t="shared" ca="1" si="37"/>
        <v>137.50515819728986</v>
      </c>
      <c r="AH236" s="72">
        <f t="shared" ca="1" si="38"/>
        <v>137.50515819728989</v>
      </c>
      <c r="AI236" s="3">
        <f t="shared" ca="1" si="39"/>
        <v>0</v>
      </c>
    </row>
    <row r="237" spans="7:35" x14ac:dyDescent="0.25">
      <c r="G237" s="3">
        <f t="shared" ca="1" si="34"/>
        <v>49</v>
      </c>
      <c r="H237" s="105">
        <f t="shared" ca="1" si="36"/>
        <v>45339</v>
      </c>
      <c r="I237" s="133">
        <f ca="1">HLOOKUP($H$4,'Met Data'!$A$2:$F$368,G237,FALSE)</f>
        <v>17.155882352941099</v>
      </c>
      <c r="J237" s="133">
        <f ca="1">HLOOKUP($H$4,'Met Data'!$H$2:$M$368,G237,FALSE)*L237</f>
        <v>1.3794117647058799</v>
      </c>
      <c r="K237" s="106">
        <f ca="1">HLOOKUP($H$4,'Met Data'!$O$2:$T$368,G237,FALSE)</f>
        <v>4.4742152890515898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45384</v>
      </c>
      <c r="Q237">
        <f ca="1"/>
        <v>137.3981690103796</v>
      </c>
      <c r="R237">
        <f ca="1"/>
        <v>0.40374035230028199</v>
      </c>
      <c r="S237">
        <f ca="1"/>
        <v>1.9983944555832507E-4</v>
      </c>
      <c r="T237">
        <f ca="1"/>
        <v>0.70974304018916556</v>
      </c>
      <c r="U237">
        <f ca="1"/>
        <v>0</v>
      </c>
      <c r="V237">
        <f ca="1"/>
        <v>16.585837831256299</v>
      </c>
      <c r="W237">
        <f ca="1"/>
        <v>15.1729701641493</v>
      </c>
      <c r="X237">
        <f ca="1"/>
        <v>0</v>
      </c>
      <c r="Y237">
        <f ca="1"/>
        <v>0.71270904211458086</v>
      </c>
      <c r="Z237">
        <f ca="1"/>
        <v>0</v>
      </c>
      <c r="AA237">
        <f ca="1"/>
        <v>0</v>
      </c>
      <c r="AB237">
        <f ca="1"/>
        <v>0.99879124064163105</v>
      </c>
      <c r="AD237" s="2">
        <f t="shared" ca="1" si="32"/>
        <v>45384</v>
      </c>
      <c r="AE237" s="46">
        <f t="shared" ca="1" si="33"/>
        <v>0</v>
      </c>
      <c r="AG237" s="72">
        <f t="shared" ca="1" si="37"/>
        <v>137.80190936267988</v>
      </c>
      <c r="AH237" s="72">
        <f t="shared" ca="1" si="38"/>
        <v>137.80190936267988</v>
      </c>
      <c r="AI237" s="3">
        <f t="shared" ca="1" si="39"/>
        <v>0</v>
      </c>
    </row>
    <row r="238" spans="7:35" x14ac:dyDescent="0.25">
      <c r="G238" s="3">
        <f t="shared" ca="1" si="34"/>
        <v>50</v>
      </c>
      <c r="H238" s="105">
        <f t="shared" ca="1" si="36"/>
        <v>45340</v>
      </c>
      <c r="I238" s="133">
        <f ca="1">HLOOKUP($H$4,'Met Data'!$A$2:$F$368,G238,FALSE)</f>
        <v>17.5720588235294</v>
      </c>
      <c r="J238" s="133">
        <f ca="1">HLOOKUP($H$4,'Met Data'!$H$2:$M$368,G238,FALSE)*L238</f>
        <v>2.15</v>
      </c>
      <c r="K238" s="106">
        <f ca="1">HLOOKUP($H$4,'Met Data'!$O$2:$T$368,G238,FALSE)</f>
        <v>4.8952010783751296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45385</v>
      </c>
      <c r="Q238">
        <f ca="1"/>
        <v>137.67819142434968</v>
      </c>
      <c r="R238">
        <f ca="1"/>
        <v>0.39027066962400198</v>
      </c>
      <c r="S238">
        <f ca="1"/>
        <v>1.6770262261875656E-4</v>
      </c>
      <c r="T238">
        <f ca="1"/>
        <v>0.67012538097147667</v>
      </c>
      <c r="U238">
        <f ca="1"/>
        <v>0</v>
      </c>
      <c r="V238">
        <f ca="1"/>
        <v>16.9761085008804</v>
      </c>
      <c r="W238">
        <f ca="1"/>
        <v>15.5299955545091</v>
      </c>
      <c r="X238">
        <f ca="1"/>
        <v>0</v>
      </c>
      <c r="Y238">
        <f ca="1"/>
        <v>0.70397433826914557</v>
      </c>
      <c r="Z238">
        <f ca="1"/>
        <v>0</v>
      </c>
      <c r="AA238">
        <f ca="1"/>
        <v>0</v>
      </c>
      <c r="AB238">
        <f ca="1"/>
        <v>0.99893890960592102</v>
      </c>
      <c r="AD238" s="2">
        <f t="shared" ca="1" si="32"/>
        <v>45385</v>
      </c>
      <c r="AE238" s="46">
        <f t="shared" ca="1" si="33"/>
        <v>0</v>
      </c>
      <c r="AG238" s="72">
        <f t="shared" ca="1" si="37"/>
        <v>138.06846209397369</v>
      </c>
      <c r="AH238" s="72">
        <f t="shared" ca="1" si="38"/>
        <v>138.06846209397369</v>
      </c>
      <c r="AI238" s="3">
        <f t="shared" ca="1" si="39"/>
        <v>0</v>
      </c>
    </row>
    <row r="239" spans="7:35" x14ac:dyDescent="0.25">
      <c r="G239" s="3">
        <f t="shared" ca="1" si="34"/>
        <v>51</v>
      </c>
      <c r="H239" s="105">
        <f t="shared" ca="1" si="36"/>
        <v>45341</v>
      </c>
      <c r="I239" s="133">
        <f ca="1">HLOOKUP($H$4,'Met Data'!$A$2:$F$368,G239,FALSE)</f>
        <v>16.991176470588201</v>
      </c>
      <c r="J239" s="133">
        <f ca="1">HLOOKUP($H$4,'Met Data'!$H$2:$M$368,G239,FALSE)*L239</f>
        <v>0.64117647058823501</v>
      </c>
      <c r="K239" s="106">
        <f ca="1">HLOOKUP($H$4,'Met Data'!$O$2:$T$368,G239,FALSE)</f>
        <v>4.3668387336618597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45386</v>
      </c>
      <c r="Q239">
        <f ca="1"/>
        <v>137.94056432327233</v>
      </c>
      <c r="R239">
        <f ca="1"/>
        <v>0.38490771110588201</v>
      </c>
      <c r="S239">
        <f ca="1"/>
        <v>1.4428121378090887E-4</v>
      </c>
      <c r="T239">
        <f ca="1"/>
        <v>0.64713632881474958</v>
      </c>
      <c r="U239">
        <f ca="1"/>
        <v>0</v>
      </c>
      <c r="V239">
        <f ca="1"/>
        <v>17.3610162119862</v>
      </c>
      <c r="W239">
        <f ca="1"/>
        <v>15.8821148309652</v>
      </c>
      <c r="X239">
        <f ca="1"/>
        <v>0</v>
      </c>
      <c r="Y239">
        <f ca="1"/>
        <v>0.69339540810431533</v>
      </c>
      <c r="Z239">
        <f ca="1"/>
        <v>0</v>
      </c>
      <c r="AA239">
        <f ca="1"/>
        <v>0</v>
      </c>
      <c r="AB239">
        <f ca="1"/>
        <v>0.999066369978584</v>
      </c>
      <c r="AD239" s="2">
        <f t="shared" ca="1" si="32"/>
        <v>45386</v>
      </c>
      <c r="AE239" s="46">
        <f t="shared" ca="1" si="33"/>
        <v>0</v>
      </c>
      <c r="AG239" s="72">
        <f t="shared" ca="1" si="37"/>
        <v>138.32547203437821</v>
      </c>
      <c r="AH239" s="72">
        <f t="shared" ca="1" si="38"/>
        <v>138.32547203437821</v>
      </c>
      <c r="AI239" s="3">
        <f t="shared" ca="1" si="39"/>
        <v>0</v>
      </c>
    </row>
    <row r="240" spans="7:35" x14ac:dyDescent="0.25">
      <c r="G240" s="3">
        <f t="shared" ca="1" si="34"/>
        <v>52</v>
      </c>
      <c r="H240" s="105">
        <f t="shared" ca="1" si="36"/>
        <v>45342</v>
      </c>
      <c r="I240" s="133">
        <f ca="1">HLOOKUP($H$4,'Met Data'!$A$2:$F$368,G240,FALSE)</f>
        <v>16.655882352941099</v>
      </c>
      <c r="J240" s="133">
        <f ca="1">HLOOKUP($H$4,'Met Data'!$H$2:$M$368,G240,FALSE)*L240</f>
        <v>2.5705882352941098</v>
      </c>
      <c r="K240" s="106">
        <f ca="1">HLOOKUP($H$4,'Met Data'!$O$2:$T$368,G240,FALSE)</f>
        <v>4.6555880727780803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45387</v>
      </c>
      <c r="Q240">
        <f ca="1"/>
        <v>138.20372015797858</v>
      </c>
      <c r="R240">
        <f ca="1"/>
        <v>0.39056882278330801</v>
      </c>
      <c r="S240">
        <f ca="1"/>
        <v>1.2989369064637747E-4</v>
      </c>
      <c r="T240">
        <f ca="1"/>
        <v>0.65359476379892634</v>
      </c>
      <c r="U240">
        <f ca="1"/>
        <v>0</v>
      </c>
      <c r="V240">
        <f ca="1"/>
        <v>17.751585034769501</v>
      </c>
      <c r="W240">
        <f ca="1"/>
        <v>16.239412976252101</v>
      </c>
      <c r="X240">
        <f ca="1"/>
        <v>0</v>
      </c>
      <c r="Y240">
        <f ca="1"/>
        <v>0.69123538893965308</v>
      </c>
      <c r="Z240">
        <f ca="1"/>
        <v>0</v>
      </c>
      <c r="AA240">
        <f ca="1"/>
        <v>0</v>
      </c>
      <c r="AB240">
        <f ca="1"/>
        <v>0.99917971051558196</v>
      </c>
      <c r="AD240" s="2">
        <f t="shared" ca="1" si="32"/>
        <v>45387</v>
      </c>
      <c r="AE240" s="46">
        <f t="shared" ca="1" si="33"/>
        <v>0</v>
      </c>
      <c r="AG240" s="72">
        <f t="shared" ca="1" si="37"/>
        <v>138.59428898076192</v>
      </c>
      <c r="AH240" s="72">
        <f t="shared" ca="1" si="38"/>
        <v>138.59428898076189</v>
      </c>
      <c r="AI240" s="3">
        <f t="shared" ca="1" si="39"/>
        <v>0</v>
      </c>
    </row>
    <row r="241" spans="7:35" x14ac:dyDescent="0.25">
      <c r="G241" s="3">
        <f t="shared" ca="1" si="34"/>
        <v>53</v>
      </c>
      <c r="H241" s="105">
        <f t="shared" ca="1" si="36"/>
        <v>45343</v>
      </c>
      <c r="I241" s="133">
        <f ca="1">HLOOKUP($H$4,'Met Data'!$A$2:$F$368,G241,FALSE)</f>
        <v>16.6955882352941</v>
      </c>
      <c r="J241" s="133">
        <f ca="1">HLOOKUP($H$4,'Met Data'!$H$2:$M$368,G241,FALSE)*L241</f>
        <v>0.76470588235294101</v>
      </c>
      <c r="K241" s="106">
        <f ca="1">HLOOKUP($H$4,'Met Data'!$O$2:$T$368,G241,FALSE)</f>
        <v>4.46937460417998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45388</v>
      </c>
      <c r="Q241">
        <f ca="1"/>
        <v>138.46960161149065</v>
      </c>
      <c r="R241">
        <f ca="1"/>
        <v>0.38848636525823099</v>
      </c>
      <c r="S241">
        <f ca="1"/>
        <v>1.1624529130268354E-4</v>
      </c>
      <c r="T241">
        <f ca="1"/>
        <v>0.65425157347898688</v>
      </c>
      <c r="U241">
        <f ca="1"/>
        <v>0</v>
      </c>
      <c r="V241">
        <f ca="1"/>
        <v>18.1400714000278</v>
      </c>
      <c r="W241">
        <f ca="1"/>
        <v>16.594806058543899</v>
      </c>
      <c r="X241">
        <f ca="1"/>
        <v>0</v>
      </c>
      <c r="Y241">
        <f ca="1"/>
        <v>0.69887173544994485</v>
      </c>
      <c r="Z241">
        <f ca="1"/>
        <v>0</v>
      </c>
      <c r="AA241">
        <f ca="1"/>
        <v>0</v>
      </c>
      <c r="AB241">
        <f ca="1"/>
        <v>0.99927856226780898</v>
      </c>
      <c r="AD241" s="2">
        <f t="shared" ca="1" si="32"/>
        <v>45388</v>
      </c>
      <c r="AE241" s="46">
        <f t="shared" ca="1" si="33"/>
        <v>0</v>
      </c>
      <c r="AG241" s="72">
        <f t="shared" ca="1" si="37"/>
        <v>138.85808797674886</v>
      </c>
      <c r="AH241" s="72">
        <f t="shared" ca="1" si="38"/>
        <v>138.85808797674886</v>
      </c>
      <c r="AI241" s="3">
        <f t="shared" ca="1" si="39"/>
        <v>0</v>
      </c>
    </row>
    <row r="242" spans="7:35" x14ac:dyDescent="0.25">
      <c r="G242" s="3">
        <f t="shared" ca="1" si="34"/>
        <v>54</v>
      </c>
      <c r="H242" s="105">
        <f t="shared" ca="1" si="36"/>
        <v>45344</v>
      </c>
      <c r="I242" s="133">
        <f ca="1">HLOOKUP($H$4,'Met Data'!$A$2:$F$368,G242,FALSE)</f>
        <v>16.394117647058799</v>
      </c>
      <c r="J242" s="133">
        <f ca="1">HLOOKUP($H$4,'Met Data'!$H$2:$M$368,G242,FALSE)*L242</f>
        <v>1.52647058823529</v>
      </c>
      <c r="K242" s="106">
        <f ca="1">HLOOKUP($H$4,'Met Data'!$O$2:$T$368,G242,FALSE)</f>
        <v>4.4113780272088796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45389</v>
      </c>
      <c r="Q242">
        <f ca="1"/>
        <v>138.73145902377001</v>
      </c>
      <c r="R242">
        <f ca="1"/>
        <v>0.39018924941209598</v>
      </c>
      <c r="S242">
        <f ca="1"/>
        <v>1.0321729439758221E-4</v>
      </c>
      <c r="T242">
        <f ca="1"/>
        <v>0.65194344439707619</v>
      </c>
      <c r="U242">
        <f ca="1"/>
        <v>0</v>
      </c>
      <c r="V242">
        <f ca="1"/>
        <v>18.530260649439899</v>
      </c>
      <c r="W242">
        <f ca="1"/>
        <v>16.9517569644876</v>
      </c>
      <c r="X242">
        <f ca="1"/>
        <v>0</v>
      </c>
      <c r="Y242">
        <f ca="1"/>
        <v>0.69394642097692016</v>
      </c>
      <c r="Z242">
        <f ca="1"/>
        <v>0</v>
      </c>
      <c r="AA242">
        <f ca="1"/>
        <v>0</v>
      </c>
      <c r="AB242">
        <f ca="1"/>
        <v>0.999365722887535</v>
      </c>
      <c r="AD242" s="2">
        <f t="shared" ca="1" si="32"/>
        <v>45389</v>
      </c>
      <c r="AE242" s="46">
        <f t="shared" ca="1" si="33"/>
        <v>0</v>
      </c>
      <c r="AG242" s="72">
        <f t="shared" ca="1" si="37"/>
        <v>139.1216482731821</v>
      </c>
      <c r="AH242" s="72">
        <f t="shared" ca="1" si="38"/>
        <v>139.1216482731821</v>
      </c>
      <c r="AI242" s="3">
        <f t="shared" ca="1" si="39"/>
        <v>0</v>
      </c>
    </row>
    <row r="243" spans="7:35" x14ac:dyDescent="0.25">
      <c r="G243" s="3">
        <f t="shared" ca="1" si="34"/>
        <v>55</v>
      </c>
      <c r="H243" s="105">
        <f t="shared" ca="1" si="36"/>
        <v>45345</v>
      </c>
      <c r="I243" s="133">
        <f ca="1">HLOOKUP($H$4,'Met Data'!$A$2:$F$368,G243,FALSE)</f>
        <v>16.088235294117599</v>
      </c>
      <c r="J243" s="133">
        <f ca="1">HLOOKUP($H$4,'Met Data'!$H$2:$M$368,G243,FALSE)*L243</f>
        <v>1.78529411764705</v>
      </c>
      <c r="K243" s="106">
        <f ca="1">HLOOKUP($H$4,'Met Data'!$O$2:$T$368,G243,FALSE)</f>
        <v>3.9052160279772399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45390</v>
      </c>
      <c r="Q243">
        <f ca="1"/>
        <v>138.98160241058693</v>
      </c>
      <c r="R243">
        <f ca="1"/>
        <v>0.37356629400035501</v>
      </c>
      <c r="S243">
        <f ca="1"/>
        <v>8.867384602816164E-5</v>
      </c>
      <c r="T243">
        <f ca="1"/>
        <v>0.62362100697123957</v>
      </c>
      <c r="U243">
        <f ca="1"/>
        <v>0</v>
      </c>
      <c r="V243">
        <f ca="1"/>
        <v>18.903826943440201</v>
      </c>
      <c r="W243">
        <f ca="1"/>
        <v>17.293500944554602</v>
      </c>
      <c r="X243">
        <f ca="1"/>
        <v>0</v>
      </c>
      <c r="Y243">
        <f ca="1"/>
        <v>0.69843018513345789</v>
      </c>
      <c r="Z243">
        <f ca="1"/>
        <v>0</v>
      </c>
      <c r="AA243">
        <f ca="1"/>
        <v>0</v>
      </c>
      <c r="AB243">
        <f ca="1"/>
        <v>0.99943922918349504</v>
      </c>
      <c r="AD243" s="2">
        <f t="shared" ca="1" si="32"/>
        <v>45390</v>
      </c>
      <c r="AE243" s="46">
        <f t="shared" ca="1" si="33"/>
        <v>0</v>
      </c>
      <c r="AG243" s="72">
        <f t="shared" ca="1" si="37"/>
        <v>139.35516870458727</v>
      </c>
      <c r="AH243" s="72">
        <f t="shared" ca="1" si="38"/>
        <v>139.3551687045873</v>
      </c>
      <c r="AI243" s="3">
        <f t="shared" ca="1" si="39"/>
        <v>0</v>
      </c>
    </row>
    <row r="244" spans="7:35" x14ac:dyDescent="0.25">
      <c r="G244" s="3">
        <f t="shared" ca="1" si="34"/>
        <v>56</v>
      </c>
      <c r="H244" s="105">
        <f t="shared" ca="1" si="36"/>
        <v>45346</v>
      </c>
      <c r="I244" s="133">
        <f ca="1">HLOOKUP($H$4,'Met Data'!$A$2:$F$368,G244,FALSE)</f>
        <v>16.782352941176399</v>
      </c>
      <c r="J244" s="133">
        <f ca="1">HLOOKUP($H$4,'Met Data'!$H$2:$M$368,G244,FALSE)*L244</f>
        <v>1.6794117647058799</v>
      </c>
      <c r="K244" s="106">
        <f ca="1">HLOOKUP($H$4,'Met Data'!$O$2:$T$368,G244,FALSE)</f>
        <v>4.8281000917338197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45391</v>
      </c>
      <c r="Q244">
        <f ca="1"/>
        <v>139.20464009815947</v>
      </c>
      <c r="R244">
        <f ca="1"/>
        <v>0.34320943045103303</v>
      </c>
      <c r="S244">
        <f ca="1"/>
        <v>7.2704576995008183E-5</v>
      </c>
      <c r="T244">
        <f ca="1"/>
        <v>0.56617441344659847</v>
      </c>
      <c r="U244">
        <f ca="1"/>
        <v>0</v>
      </c>
      <c r="V244">
        <f ca="1"/>
        <v>19.247036373891302</v>
      </c>
      <c r="W244">
        <f ca="1"/>
        <v>17.607474016115301</v>
      </c>
      <c r="X244">
        <f ca="1"/>
        <v>0</v>
      </c>
      <c r="Y244">
        <f ca="1"/>
        <v>0.69542648854003353</v>
      </c>
      <c r="Z244">
        <f ca="1"/>
        <v>0</v>
      </c>
      <c r="AA244">
        <f ca="1"/>
        <v>0</v>
      </c>
      <c r="AB244">
        <f ca="1"/>
        <v>0.99949922714624795</v>
      </c>
      <c r="AD244" s="2">
        <f t="shared" ca="1" si="32"/>
        <v>45391</v>
      </c>
      <c r="AE244" s="46">
        <f t="shared" ca="1" si="33"/>
        <v>0</v>
      </c>
      <c r="AG244" s="72">
        <f t="shared" ca="1" si="37"/>
        <v>139.54784952861053</v>
      </c>
      <c r="AH244" s="72">
        <f t="shared" ca="1" si="38"/>
        <v>139.5478495286105</v>
      </c>
      <c r="AI244" s="3">
        <f t="shared" ca="1" si="39"/>
        <v>0</v>
      </c>
    </row>
    <row r="245" spans="7:35" x14ac:dyDescent="0.25">
      <c r="G245" s="3">
        <f t="shared" ca="1" si="34"/>
        <v>57</v>
      </c>
      <c r="H245" s="105">
        <f t="shared" ca="1" si="36"/>
        <v>45347</v>
      </c>
      <c r="I245" s="133">
        <f ca="1">HLOOKUP($H$4,'Met Data'!$A$2:$F$368,G245,FALSE)</f>
        <v>16.1897058823529</v>
      </c>
      <c r="J245" s="133">
        <f ca="1">HLOOKUP($H$4,'Met Data'!$H$2:$M$368,G245,FALSE)*L245</f>
        <v>0.59411764705882297</v>
      </c>
      <c r="K245" s="106">
        <f ca="1">HLOOKUP($H$4,'Met Data'!$O$2:$T$368,G245,FALSE)</f>
        <v>4.4819172090086496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45392</v>
      </c>
      <c r="Q245">
        <f ca="1"/>
        <v>139.42770588078412</v>
      </c>
      <c r="R245">
        <f ca="1"/>
        <v>0.35047060522392898</v>
      </c>
      <c r="S245">
        <f ca="1"/>
        <v>6.6499116934288344E-5</v>
      </c>
      <c r="T245">
        <f ca="1"/>
        <v>0.57346988873163185</v>
      </c>
      <c r="U245">
        <f ca="1"/>
        <v>0</v>
      </c>
      <c r="V245">
        <f ca="1"/>
        <v>19.597506979115199</v>
      </c>
      <c r="W245">
        <f ca="1"/>
        <v>17.9280897179313</v>
      </c>
      <c r="X245">
        <f ca="1"/>
        <v>0</v>
      </c>
      <c r="Y245">
        <f ca="1"/>
        <v>0.68770860977892012</v>
      </c>
      <c r="Z245">
        <f ca="1"/>
        <v>0</v>
      </c>
      <c r="AA245">
        <f ca="1"/>
        <v>0</v>
      </c>
      <c r="AB245">
        <f ca="1"/>
        <v>0.99955390822011703</v>
      </c>
      <c r="AD245" s="2">
        <f t="shared" ca="1" si="32"/>
        <v>45392</v>
      </c>
      <c r="AE245" s="46">
        <f t="shared" ca="1" si="33"/>
        <v>0</v>
      </c>
      <c r="AG245" s="72">
        <f t="shared" ca="1" si="37"/>
        <v>139.77817648600805</v>
      </c>
      <c r="AH245" s="72">
        <f t="shared" ca="1" si="38"/>
        <v>139.77817648600805</v>
      </c>
      <c r="AI245" s="3">
        <f t="shared" ca="1" si="39"/>
        <v>0</v>
      </c>
    </row>
    <row r="246" spans="7:35" x14ac:dyDescent="0.25">
      <c r="G246" s="3">
        <f t="shared" ca="1" si="34"/>
        <v>58</v>
      </c>
      <c r="H246" s="105">
        <f t="shared" ca="1" si="36"/>
        <v>45348</v>
      </c>
      <c r="I246" s="133">
        <f ca="1">HLOOKUP($H$4,'Met Data'!$A$2:$F$368,G246,FALSE)</f>
        <v>16.1941176470588</v>
      </c>
      <c r="J246" s="133">
        <f ca="1">HLOOKUP($H$4,'Met Data'!$H$2:$M$368,G246,FALSE)*L246</f>
        <v>1.93333333333333</v>
      </c>
      <c r="K246" s="106">
        <f ca="1">HLOOKUP($H$4,'Met Data'!$O$2:$T$368,G246,FALSE)</f>
        <v>4.3896941334323998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45393</v>
      </c>
      <c r="Q246">
        <f ca="1"/>
        <v>139.64560750462954</v>
      </c>
      <c r="R246">
        <f ca="1"/>
        <v>0.34523518819458199</v>
      </c>
      <c r="S246">
        <f ca="1"/>
        <v>5.9081615533469652E-5</v>
      </c>
      <c r="T246">
        <f ca="1"/>
        <v>0.56307773042445131</v>
      </c>
      <c r="U246">
        <f ca="1"/>
        <v>0</v>
      </c>
      <c r="V246">
        <f ca="1"/>
        <v>19.942742167309799</v>
      </c>
      <c r="W246">
        <f ca="1"/>
        <v>18.243915982687099</v>
      </c>
      <c r="X246">
        <f ca="1"/>
        <v>0</v>
      </c>
      <c r="Y246">
        <f ca="1"/>
        <v>0.68509363494090159</v>
      </c>
      <c r="Z246">
        <f ca="1"/>
        <v>0</v>
      </c>
      <c r="AA246">
        <f ca="1"/>
        <v>0</v>
      </c>
      <c r="AB246">
        <f ca="1"/>
        <v>0.99960199091393498</v>
      </c>
      <c r="AD246" s="2">
        <f t="shared" ca="1" si="32"/>
        <v>45393</v>
      </c>
      <c r="AE246" s="46">
        <f t="shared" ca="1" si="33"/>
        <v>0</v>
      </c>
      <c r="AG246" s="72">
        <f t="shared" ca="1" si="37"/>
        <v>139.99084269282412</v>
      </c>
      <c r="AH246" s="72">
        <f t="shared" ca="1" si="38"/>
        <v>139.99084269282412</v>
      </c>
      <c r="AI246" s="3">
        <f t="shared" ca="1" si="39"/>
        <v>0</v>
      </c>
    </row>
    <row r="247" spans="7:35" x14ac:dyDescent="0.25">
      <c r="G247" s="3">
        <f t="shared" ca="1" si="34"/>
        <v>59</v>
      </c>
      <c r="H247" s="105">
        <f t="shared" ca="1" si="36"/>
        <v>45349</v>
      </c>
      <c r="I247" s="133">
        <f ca="1">HLOOKUP($H$4,'Met Data'!$A$2:$F$368,G247,FALSE)</f>
        <v>16.208823529411699</v>
      </c>
      <c r="J247" s="133">
        <f ca="1">HLOOKUP($H$4,'Met Data'!$H$2:$M$368,G247,FALSE)*L247</f>
        <v>1.1676470588235199</v>
      </c>
      <c r="K247" s="106">
        <f ca="1">HLOOKUP($H$4,'Met Data'!$O$2:$T$368,G247,FALSE)</f>
        <v>4.0964729959716299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45394</v>
      </c>
      <c r="Q247">
        <f ca="1"/>
        <v>139.86900607065098</v>
      </c>
      <c r="R247">
        <f ca="1"/>
        <v>0.35815284747564402</v>
      </c>
      <c r="S247">
        <f ca="1"/>
        <v>5.5043061673992337E-5</v>
      </c>
      <c r="T247">
        <f ca="1"/>
        <v>0.58149637043543057</v>
      </c>
      <c r="U247">
        <f ca="1"/>
        <v>0</v>
      </c>
      <c r="V247">
        <f ca="1"/>
        <v>20.3008950147854</v>
      </c>
      <c r="W247">
        <f ca="1"/>
        <v>18.571559513525902</v>
      </c>
      <c r="X247">
        <f ca="1"/>
        <v>0</v>
      </c>
      <c r="Y247">
        <f ca="1"/>
        <v>0.6778142441967886</v>
      </c>
      <c r="Z247">
        <f ca="1"/>
        <v>0</v>
      </c>
      <c r="AA247">
        <f ca="1"/>
        <v>0</v>
      </c>
      <c r="AB247">
        <f ca="1"/>
        <v>0.99964648730763495</v>
      </c>
      <c r="AD247" s="2">
        <f t="shared" ca="1" si="32"/>
        <v>45394</v>
      </c>
      <c r="AE247" s="46">
        <f t="shared" ca="1" si="33"/>
        <v>0</v>
      </c>
      <c r="AG247" s="72">
        <f t="shared" ca="1" si="37"/>
        <v>140.22715891812663</v>
      </c>
      <c r="AH247" s="72">
        <f t="shared" ca="1" si="38"/>
        <v>140.22715891812663</v>
      </c>
      <c r="AI247" s="3">
        <f t="shared" ca="1" si="39"/>
        <v>0</v>
      </c>
    </row>
    <row r="248" spans="7:35" x14ac:dyDescent="0.25">
      <c r="G248" s="3">
        <f t="shared" ca="1" si="34"/>
        <v>60</v>
      </c>
      <c r="H248" s="105">
        <f t="shared" ca="1" si="36"/>
        <v>45350</v>
      </c>
      <c r="I248" s="133">
        <f ca="1">HLOOKUP($H$4,'Met Data'!$A$2:$F$368,G248,FALSE)</f>
        <v>16.074999999999999</v>
      </c>
      <c r="J248" s="133">
        <f ca="1">HLOOKUP($H$4,'Met Data'!$H$2:$M$368,G248,FALSE)*L248</f>
        <v>1.3352941176470501</v>
      </c>
      <c r="K248" s="106">
        <f ca="1">HLOOKUP($H$4,'Met Data'!$O$2:$T$368,G248,FALSE)</f>
        <v>4.1211840462926297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45395</v>
      </c>
      <c r="Q248">
        <f ca="1"/>
        <v>140.07872149634866</v>
      </c>
      <c r="R248">
        <f ca="1"/>
        <v>0.34532484835524002</v>
      </c>
      <c r="S248">
        <f ca="1"/>
        <v>4.7530171045938115E-5</v>
      </c>
      <c r="T248">
        <f ca="1"/>
        <v>0.5549927438818727</v>
      </c>
      <c r="U248">
        <f ca="1"/>
        <v>0</v>
      </c>
      <c r="V248">
        <f ca="1"/>
        <v>20.646219863140701</v>
      </c>
      <c r="W248">
        <f ca="1"/>
        <v>18.887467800724998</v>
      </c>
      <c r="X248">
        <f ca="1"/>
        <v>0</v>
      </c>
      <c r="Y248">
        <f ca="1"/>
        <v>0.67029253454129289</v>
      </c>
      <c r="Z248">
        <f ca="1"/>
        <v>0</v>
      </c>
      <c r="AA248">
        <f ca="1"/>
        <v>0</v>
      </c>
      <c r="AB248">
        <f ca="1"/>
        <v>0.99968477039247505</v>
      </c>
      <c r="AD248" s="2">
        <f t="shared" ca="1" si="32"/>
        <v>45395</v>
      </c>
      <c r="AE248" s="46">
        <f t="shared" ca="1" si="33"/>
        <v>0</v>
      </c>
      <c r="AG248" s="72">
        <f t="shared" ca="1" si="37"/>
        <v>140.42404634470392</v>
      </c>
      <c r="AH248" s="72">
        <f t="shared" ca="1" si="38"/>
        <v>140.4240463447039</v>
      </c>
      <c r="AI248" s="3">
        <f t="shared" ca="1" si="39"/>
        <v>0</v>
      </c>
    </row>
    <row r="249" spans="7:35" x14ac:dyDescent="0.25">
      <c r="G249" s="3">
        <f t="shared" ca="1" si="34"/>
        <v>61</v>
      </c>
      <c r="H249" s="105">
        <f t="shared" ca="1" si="36"/>
        <v>45351</v>
      </c>
      <c r="I249" s="133">
        <f ca="1">HLOOKUP($H$4,'Met Data'!$A$2:$F$368,G249,FALSE)</f>
        <v>16.264705882352899</v>
      </c>
      <c r="J249" s="133">
        <f ca="1">HLOOKUP($H$4,'Met Data'!$H$2:$M$368,G249,FALSE)*L249</f>
        <v>0.48235294117646998</v>
      </c>
      <c r="K249" s="106">
        <f ca="1">HLOOKUP($H$4,'Met Data'!$O$2:$T$368,G249,FALSE)</f>
        <v>4.4835430215906102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45396</v>
      </c>
      <c r="Q249">
        <f ca="1"/>
        <v>140.29761534956597</v>
      </c>
      <c r="R249">
        <f ca="1"/>
        <v>0.37287002857060297</v>
      </c>
      <c r="S249">
        <f ca="1"/>
        <v>4.5477922059878386E-5</v>
      </c>
      <c r="T249">
        <f ca="1"/>
        <v>0.59171840386587238</v>
      </c>
      <c r="U249">
        <f ca="1"/>
        <v>0</v>
      </c>
      <c r="V249">
        <f ca="1"/>
        <v>21.0190898917113</v>
      </c>
      <c r="W249">
        <f ca="1"/>
        <v>19.228574826861799</v>
      </c>
      <c r="X249">
        <f ca="1"/>
        <v>0</v>
      </c>
      <c r="Y249">
        <f ca="1"/>
        <v>0.65227186861356357</v>
      </c>
      <c r="Z249">
        <f ca="1"/>
        <v>0</v>
      </c>
      <c r="AA249">
        <f ca="1"/>
        <v>0</v>
      </c>
      <c r="AB249">
        <f ca="1"/>
        <v>0.99972158614649598</v>
      </c>
      <c r="AD249" s="2">
        <f t="shared" ca="1" si="32"/>
        <v>45396</v>
      </c>
      <c r="AE249" s="46">
        <f t="shared" ca="1" si="33"/>
        <v>0</v>
      </c>
      <c r="AG249" s="72">
        <f t="shared" ca="1" si="37"/>
        <v>140.67048537813662</v>
      </c>
      <c r="AH249" s="72">
        <f t="shared" ca="1" si="38"/>
        <v>140.67048537813659</v>
      </c>
      <c r="AI249" s="3">
        <f t="shared" ca="1" si="39"/>
        <v>0</v>
      </c>
    </row>
    <row r="250" spans="7:35" x14ac:dyDescent="0.25">
      <c r="G250" s="3">
        <f t="shared" ca="1" si="34"/>
        <v>62</v>
      </c>
      <c r="H250" s="105">
        <f t="shared" ca="1" si="36"/>
        <v>45352</v>
      </c>
      <c r="I250" s="133">
        <f ca="1">HLOOKUP($H$4,'Met Data'!$A$2:$F$368,G250,FALSE)</f>
        <v>15.9727272727272</v>
      </c>
      <c r="J250" s="133">
        <f ca="1">HLOOKUP($H$4,'Met Data'!$H$2:$M$368,G250,FALSE)*L250</f>
        <v>1.65151515151515</v>
      </c>
      <c r="K250" s="106">
        <f ca="1">HLOOKUP($H$4,'Met Data'!$O$2:$T$368,G250,FALSE)</f>
        <v>4.3251674269725902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45397</v>
      </c>
      <c r="Q250">
        <f ca="1"/>
        <v>140.50293819257305</v>
      </c>
      <c r="R250">
        <f ca="1"/>
        <v>0.36002012852784998</v>
      </c>
      <c r="S250">
        <f ca="1"/>
        <v>3.927790418037119E-5</v>
      </c>
      <c r="T250">
        <f ca="1"/>
        <v>0.56530369363074573</v>
      </c>
      <c r="U250">
        <f ca="1"/>
        <v>0</v>
      </c>
      <c r="V250">
        <f ca="1"/>
        <v>21.3791100202391</v>
      </c>
      <c r="W250">
        <f ca="1"/>
        <v>19.557926574070599</v>
      </c>
      <c r="X250">
        <f ca="1"/>
        <v>0</v>
      </c>
      <c r="Y250">
        <f ca="1"/>
        <v>0.64376042640368469</v>
      </c>
      <c r="Z250">
        <f ca="1"/>
        <v>0</v>
      </c>
      <c r="AA250">
        <f ca="1"/>
        <v>0</v>
      </c>
      <c r="AB250">
        <f ca="1"/>
        <v>0.99975317526764995</v>
      </c>
      <c r="AD250" s="2">
        <f t="shared" ca="1" si="32"/>
        <v>45397</v>
      </c>
      <c r="AE250" s="46">
        <f t="shared" ca="1" si="33"/>
        <v>0</v>
      </c>
      <c r="AG250" s="72">
        <f t="shared" ca="1" si="37"/>
        <v>140.8629583211009</v>
      </c>
      <c r="AH250" s="72">
        <f t="shared" ca="1" si="38"/>
        <v>140.8629583211009</v>
      </c>
      <c r="AI250" s="3">
        <f t="shared" ca="1" si="39"/>
        <v>0</v>
      </c>
    </row>
    <row r="251" spans="7:35" x14ac:dyDescent="0.25">
      <c r="G251" s="3">
        <f t="shared" ca="1" si="34"/>
        <v>63</v>
      </c>
      <c r="H251" s="105">
        <f t="shared" ca="1" si="36"/>
        <v>45353</v>
      </c>
      <c r="I251" s="133">
        <f ca="1">HLOOKUP($H$4,'Met Data'!$A$2:$F$368,G251,FALSE)</f>
        <v>15.216666666666599</v>
      </c>
      <c r="J251" s="133">
        <f ca="1">HLOOKUP($H$4,'Met Data'!$H$2:$M$368,G251,FALSE)*L251</f>
        <v>3.5272727272727198</v>
      </c>
      <c r="K251" s="106">
        <f ca="1">HLOOKUP($H$4,'Met Data'!$O$2:$T$368,G251,FALSE)</f>
        <v>3.8149865129266902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45398</v>
      </c>
      <c r="Q251">
        <f ca="1"/>
        <v>140.71252642134107</v>
      </c>
      <c r="R251">
        <f ca="1"/>
        <v>0.36485215779957503</v>
      </c>
      <c r="S251">
        <f ca="1"/>
        <v>3.6085016670421368E-5</v>
      </c>
      <c r="T251">
        <f ca="1"/>
        <v>0.57440430155091082</v>
      </c>
      <c r="U251">
        <f ca="1"/>
        <v>0</v>
      </c>
      <c r="V251">
        <f ca="1"/>
        <v>21.7439621780387</v>
      </c>
      <c r="W251">
        <f ca="1"/>
        <v>19.891698733242801</v>
      </c>
      <c r="X251">
        <f ca="1"/>
        <v>0</v>
      </c>
      <c r="Y251">
        <f ca="1"/>
        <v>0.64047543517189187</v>
      </c>
      <c r="Z251">
        <f ca="1"/>
        <v>0</v>
      </c>
      <c r="AA251">
        <f ca="1"/>
        <v>0</v>
      </c>
      <c r="AB251">
        <f ca="1"/>
        <v>0.99978166799099399</v>
      </c>
      <c r="AD251" s="2">
        <f t="shared" ca="1" si="32"/>
        <v>45398</v>
      </c>
      <c r="AE251" s="46">
        <f t="shared" ca="1" si="33"/>
        <v>0</v>
      </c>
      <c r="AG251" s="72">
        <f t="shared" ca="1" si="37"/>
        <v>141.07737857914063</v>
      </c>
      <c r="AH251" s="72">
        <f t="shared" ca="1" si="38"/>
        <v>141.07737857914063</v>
      </c>
      <c r="AI251" s="3">
        <f t="shared" ca="1" si="39"/>
        <v>0</v>
      </c>
    </row>
    <row r="252" spans="7:35" x14ac:dyDescent="0.25">
      <c r="G252" s="3">
        <f t="shared" ca="1" si="34"/>
        <v>64</v>
      </c>
      <c r="H252" s="105">
        <f t="shared" ca="1" si="36"/>
        <v>45354</v>
      </c>
      <c r="I252" s="133">
        <f ca="1">HLOOKUP($H$4,'Met Data'!$A$2:$F$368,G252,FALSE)</f>
        <v>14.612121212121201</v>
      </c>
      <c r="J252" s="133">
        <f ca="1">HLOOKUP($H$4,'Met Data'!$H$2:$M$368,G252,FALSE)*L252</f>
        <v>2.1212121212121202</v>
      </c>
      <c r="K252" s="106">
        <f ca="1">HLOOKUP($H$4,'Met Data'!$O$2:$T$368,G252,FALSE)</f>
        <v>3.8891905260327699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45399</v>
      </c>
      <c r="Q252">
        <f ca="1"/>
        <v>140.90501074986665</v>
      </c>
      <c r="R252">
        <f ca="1"/>
        <v>0.341871128357223</v>
      </c>
      <c r="S252">
        <f ca="1"/>
        <v>3.0529796026935007E-5</v>
      </c>
      <c r="T252">
        <f ca="1"/>
        <v>0.53432492708679336</v>
      </c>
      <c r="U252">
        <f ca="1"/>
        <v>0</v>
      </c>
      <c r="V252">
        <f ca="1"/>
        <v>22.085833306395902</v>
      </c>
      <c r="W252">
        <f ca="1"/>
        <v>20.204447506221399</v>
      </c>
      <c r="X252">
        <f ca="1"/>
        <v>0</v>
      </c>
      <c r="Y252">
        <f ca="1"/>
        <v>0.63514269519302402</v>
      </c>
      <c r="Z252">
        <f ca="1"/>
        <v>0</v>
      </c>
      <c r="AA252">
        <f ca="1"/>
        <v>0</v>
      </c>
      <c r="AB252">
        <f ca="1"/>
        <v>0.999805500145583</v>
      </c>
      <c r="AD252" s="2">
        <f t="shared" ca="1" si="32"/>
        <v>45399</v>
      </c>
      <c r="AE252" s="46">
        <f t="shared" ca="1" si="33"/>
        <v>0</v>
      </c>
      <c r="AG252" s="72">
        <f t="shared" ca="1" si="37"/>
        <v>141.24688187822389</v>
      </c>
      <c r="AH252" s="72">
        <f t="shared" ca="1" si="38"/>
        <v>141.24688187822386</v>
      </c>
      <c r="AI252" s="3">
        <f t="shared" ca="1" si="39"/>
        <v>0</v>
      </c>
    </row>
    <row r="253" spans="7:35" x14ac:dyDescent="0.25">
      <c r="G253" s="3">
        <f t="shared" ca="1" si="34"/>
        <v>65</v>
      </c>
      <c r="H253" s="105">
        <f t="shared" ca="1" si="36"/>
        <v>45355</v>
      </c>
      <c r="I253" s="133">
        <f ca="1">HLOOKUP($H$4,'Met Data'!$A$2:$F$368,G253,FALSE)</f>
        <v>15.7681818181818</v>
      </c>
      <c r="J253" s="133">
        <f ca="1">HLOOKUP($H$4,'Met Data'!$H$2:$M$368,G253,FALSE)*L253</f>
        <v>2.5606060606060601</v>
      </c>
      <c r="K253" s="106">
        <f ca="1">HLOOKUP($H$4,'Met Data'!$O$2:$T$368,G253,FALSE)</f>
        <v>4.10786263681889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45400</v>
      </c>
      <c r="Q253">
        <f ca="1"/>
        <v>141.09526229939812</v>
      </c>
      <c r="R253">
        <f ca="1"/>
        <v>0.343089505084475</v>
      </c>
      <c r="S253">
        <f ca="1"/>
        <v>2.7691819209649904E-5</v>
      </c>
      <c r="T253">
        <f ca="1"/>
        <v>0.53331336279671671</v>
      </c>
      <c r="U253">
        <f ca="1"/>
        <v>0</v>
      </c>
      <c r="V253">
        <f ca="1"/>
        <v>22.428922811480401</v>
      </c>
      <c r="W253">
        <f ca="1"/>
        <v>20.518310868280199</v>
      </c>
      <c r="X253">
        <f ca="1"/>
        <v>0</v>
      </c>
      <c r="Y253">
        <f ca="1"/>
        <v>0.62584906126151718</v>
      </c>
      <c r="Z253">
        <f ca="1"/>
        <v>0</v>
      </c>
      <c r="AA253">
        <f ca="1"/>
        <v>0</v>
      </c>
      <c r="AB253">
        <f ca="1"/>
        <v>0.99982692678449303</v>
      </c>
      <c r="AD253" s="2">
        <f t="shared" ca="1" si="32"/>
        <v>45400</v>
      </c>
      <c r="AE253" s="46">
        <f t="shared" ca="1" si="33"/>
        <v>0</v>
      </c>
      <c r="AG253" s="72">
        <f t="shared" ca="1" si="37"/>
        <v>141.43835180448258</v>
      </c>
      <c r="AH253" s="72">
        <f t="shared" ca="1" si="38"/>
        <v>141.43835180448258</v>
      </c>
      <c r="AI253" s="3">
        <f t="shared" ca="1" si="39"/>
        <v>0</v>
      </c>
    </row>
    <row r="254" spans="7:35" x14ac:dyDescent="0.25">
      <c r="G254" s="3">
        <f t="shared" ca="1" si="34"/>
        <v>66</v>
      </c>
      <c r="H254" s="105">
        <f t="shared" ca="1" si="36"/>
        <v>45356</v>
      </c>
      <c r="I254" s="133">
        <f ca="1">HLOOKUP($H$4,'Met Data'!$A$2:$F$368,G254,FALSE)</f>
        <v>15.9954545454545</v>
      </c>
      <c r="J254" s="133">
        <f ca="1">HLOOKUP($H$4,'Met Data'!$H$2:$M$368,G254,FALSE)*L254</f>
        <v>0.50303030303030305</v>
      </c>
      <c r="K254" s="106">
        <f ca="1">HLOOKUP($H$4,'Met Data'!$O$2:$T$368,G254,FALSE)</f>
        <v>4.0766889307448597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45401</v>
      </c>
      <c r="Q254">
        <f ca="1"/>
        <v>141.29147838461171</v>
      </c>
      <c r="R254">
        <f ca="1"/>
        <v>0.351741169988802</v>
      </c>
      <c r="S254">
        <f ca="1"/>
        <v>2.5829403204744908E-5</v>
      </c>
      <c r="T254">
        <f ca="1"/>
        <v>0.54793142579920184</v>
      </c>
      <c r="U254">
        <f ca="1"/>
        <v>0</v>
      </c>
      <c r="V254">
        <f ca="1"/>
        <v>22.7806639814692</v>
      </c>
      <c r="W254">
        <f ca="1"/>
        <v>20.840088901566201</v>
      </c>
      <c r="X254">
        <f ca="1"/>
        <v>0</v>
      </c>
      <c r="Y254">
        <f ca="1"/>
        <v>0.61996083085738851</v>
      </c>
      <c r="Z254">
        <f ca="1"/>
        <v>0</v>
      </c>
      <c r="AA254">
        <f ca="1"/>
        <v>0</v>
      </c>
      <c r="AB254">
        <f ca="1"/>
        <v>0.99984657467905402</v>
      </c>
      <c r="AD254" s="2">
        <f t="shared" ca="1" si="32"/>
        <v>45401</v>
      </c>
      <c r="AE254" s="46">
        <f t="shared" ca="1" si="33"/>
        <v>0</v>
      </c>
      <c r="AG254" s="72">
        <f t="shared" ca="1" si="37"/>
        <v>141.64321955460051</v>
      </c>
      <c r="AH254" s="72">
        <f t="shared" ca="1" si="38"/>
        <v>141.64321955460051</v>
      </c>
      <c r="AI254" s="3">
        <f t="shared" ca="1" si="39"/>
        <v>0</v>
      </c>
    </row>
    <row r="255" spans="7:35" x14ac:dyDescent="0.25">
      <c r="G255" s="3">
        <f t="shared" ca="1" si="34"/>
        <v>67</v>
      </c>
      <c r="H255" s="105">
        <f t="shared" ca="1" si="36"/>
        <v>45357</v>
      </c>
      <c r="I255" s="133">
        <f ca="1">HLOOKUP($H$4,'Met Data'!$A$2:$F$368,G255,FALSE)</f>
        <v>15.0166666666666</v>
      </c>
      <c r="J255" s="133">
        <f ca="1">HLOOKUP($H$4,'Met Data'!$H$2:$M$368,G255,FALSE)*L255</f>
        <v>0.884848484848484</v>
      </c>
      <c r="K255" s="106">
        <f ca="1">HLOOKUP($H$4,'Met Data'!$O$2:$T$368,G255,FALSE)</f>
        <v>3.8855543781492301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45402</v>
      </c>
      <c r="Q255">
        <f ca="1"/>
        <v>141.47097359295702</v>
      </c>
      <c r="R255">
        <f ca="1"/>
        <v>0.32308323574098502</v>
      </c>
      <c r="S255">
        <f ca="1"/>
        <v>2.1680705114084057E-5</v>
      </c>
      <c r="T255">
        <f ca="1"/>
        <v>0.50255676338118271</v>
      </c>
      <c r="U255">
        <f ca="1"/>
        <v>0</v>
      </c>
      <c r="V255">
        <f ca="1"/>
        <v>23.103747217210199</v>
      </c>
      <c r="W255">
        <f ca="1"/>
        <v>21.135650232040401</v>
      </c>
      <c r="X255">
        <f ca="1"/>
        <v>0</v>
      </c>
      <c r="Y255">
        <f ca="1"/>
        <v>0.61788581579705826</v>
      </c>
      <c r="Z255">
        <f ca="1"/>
        <v>0</v>
      </c>
      <c r="AA255">
        <f ca="1"/>
        <v>0</v>
      </c>
      <c r="AB255">
        <f ca="1"/>
        <v>0.999862764788227</v>
      </c>
      <c r="AD255" s="2">
        <f t="shared" ca="1" si="32"/>
        <v>45402</v>
      </c>
      <c r="AE255" s="46">
        <f t="shared" ca="1" si="33"/>
        <v>0</v>
      </c>
      <c r="AG255" s="72">
        <f t="shared" ca="1" si="37"/>
        <v>141.79405682869802</v>
      </c>
      <c r="AH255" s="72">
        <f t="shared" ca="1" si="38"/>
        <v>141.79405682869802</v>
      </c>
      <c r="AI255" s="3">
        <f t="shared" ca="1" si="39"/>
        <v>0</v>
      </c>
    </row>
    <row r="256" spans="7:35" x14ac:dyDescent="0.25">
      <c r="G256" s="3">
        <f t="shared" ca="1" si="34"/>
        <v>68</v>
      </c>
      <c r="H256" s="105">
        <f t="shared" ca="1" si="36"/>
        <v>45358</v>
      </c>
      <c r="I256" s="133">
        <f ca="1">HLOOKUP($H$4,'Met Data'!$A$2:$F$368,G256,FALSE)</f>
        <v>15.3257575757575</v>
      </c>
      <c r="J256" s="133">
        <f ca="1">HLOOKUP($H$4,'Met Data'!$H$2:$M$368,G256,FALSE)*L256</f>
        <v>0.98787878787878702</v>
      </c>
      <c r="K256" s="106">
        <f ca="1">HLOOKUP($H$4,'Met Data'!$O$2:$T$368,G256,FALSE)</f>
        <v>3.6905019360086202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45403</v>
      </c>
      <c r="Q256">
        <f ca="1"/>
        <v>141.64353171079429</v>
      </c>
      <c r="R256">
        <f ca="1"/>
        <v>0.31531824954838</v>
      </c>
      <c r="S256">
        <f ca="1"/>
        <v>1.9263756425996671E-5</v>
      </c>
      <c r="T256">
        <f ca="1"/>
        <v>0.48785710362922807</v>
      </c>
      <c r="U256">
        <f ca="1"/>
        <v>0</v>
      </c>
      <c r="V256">
        <f ca="1"/>
        <v>23.4190654667585</v>
      </c>
      <c r="W256">
        <f ca="1"/>
        <v>21.424108038108699</v>
      </c>
      <c r="X256">
        <f ca="1"/>
        <v>0</v>
      </c>
      <c r="Y256">
        <f ca="1"/>
        <v>0.60866829644334575</v>
      </c>
      <c r="Z256">
        <f ca="1"/>
        <v>0</v>
      </c>
      <c r="AA256">
        <f ca="1"/>
        <v>0</v>
      </c>
      <c r="AB256">
        <f ca="1"/>
        <v>0.99987702153109503</v>
      </c>
      <c r="AD256" s="2">
        <f t="shared" ca="1" si="32"/>
        <v>45403</v>
      </c>
      <c r="AE256" s="46">
        <f t="shared" ca="1" si="33"/>
        <v>0</v>
      </c>
      <c r="AG256" s="72">
        <f t="shared" ca="1" si="37"/>
        <v>141.95884996034269</v>
      </c>
      <c r="AH256" s="72">
        <f t="shared" ca="1" si="38"/>
        <v>141.95884996034266</v>
      </c>
      <c r="AI256" s="3">
        <f t="shared" ca="1" si="39"/>
        <v>0</v>
      </c>
    </row>
    <row r="257" spans="7:35" x14ac:dyDescent="0.25">
      <c r="G257" s="3">
        <f t="shared" ca="1" si="34"/>
        <v>69</v>
      </c>
      <c r="H257" s="105">
        <f t="shared" ca="1" si="36"/>
        <v>45359</v>
      </c>
      <c r="I257" s="133">
        <f ca="1">HLOOKUP($H$4,'Met Data'!$A$2:$F$368,G257,FALSE)</f>
        <v>14.630303030303001</v>
      </c>
      <c r="J257" s="133">
        <f ca="1">HLOOKUP($H$4,'Met Data'!$H$2:$M$368,G257,FALSE)*L257</f>
        <v>0.82121212121212095</v>
      </c>
      <c r="K257" s="106">
        <f ca="1">HLOOKUP($H$4,'Met Data'!$O$2:$T$368,G257,FALSE)</f>
        <v>3.5528537387163399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45404</v>
      </c>
      <c r="Q257">
        <f ca="1"/>
        <v>141.82203820334394</v>
      </c>
      <c r="R257">
        <f ca="1"/>
        <v>0.329190373208956</v>
      </c>
      <c r="S257">
        <f ca="1"/>
        <v>1.8311216051159566E-5</v>
      </c>
      <c r="T257">
        <f ca="1"/>
        <v>0.50767855454253807</v>
      </c>
      <c r="U257">
        <f ca="1"/>
        <v>0</v>
      </c>
      <c r="V257">
        <f ca="1"/>
        <v>23.748255839967499</v>
      </c>
      <c r="W257">
        <f ca="1"/>
        <v>21.7252562684147</v>
      </c>
      <c r="X257">
        <f ca="1"/>
        <v>0</v>
      </c>
      <c r="Y257">
        <f ca="1"/>
        <v>0.5975186222010741</v>
      </c>
      <c r="Z257">
        <f ca="1"/>
        <v>0</v>
      </c>
      <c r="AA257">
        <f ca="1"/>
        <v>0</v>
      </c>
      <c r="AB257">
        <f ca="1"/>
        <v>0.99989043521453602</v>
      </c>
      <c r="AD257" s="2">
        <f t="shared" ca="1" si="32"/>
        <v>45404</v>
      </c>
      <c r="AE257" s="46">
        <f t="shared" ca="1" si="33"/>
        <v>0</v>
      </c>
      <c r="AG257" s="72">
        <f t="shared" ca="1" si="37"/>
        <v>142.15122857655288</v>
      </c>
      <c r="AH257" s="72">
        <f t="shared" ca="1" si="38"/>
        <v>142.15122857655288</v>
      </c>
      <c r="AI257" s="3">
        <f t="shared" ca="1" si="39"/>
        <v>0</v>
      </c>
    </row>
    <row r="258" spans="7:35" x14ac:dyDescent="0.25">
      <c r="G258" s="3">
        <f t="shared" ca="1" si="34"/>
        <v>70</v>
      </c>
      <c r="H258" s="105">
        <f t="shared" ca="1" si="36"/>
        <v>45360</v>
      </c>
      <c r="I258" s="133">
        <f ca="1">HLOOKUP($H$4,'Met Data'!$A$2:$F$368,G258,FALSE)</f>
        <v>15.7924242424242</v>
      </c>
      <c r="J258" s="133">
        <f ca="1">HLOOKUP($H$4,'Met Data'!$H$2:$M$368,G258,FALSE)*L258</f>
        <v>1.4909090909090901</v>
      </c>
      <c r="K258" s="106">
        <f ca="1">HLOOKUP($H$4,'Met Data'!$O$2:$T$368,G258,FALSE)</f>
        <v>3.7245673615528201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45405</v>
      </c>
      <c r="Q258">
        <f ca="1"/>
        <v>141.99246072669823</v>
      </c>
      <c r="R258">
        <f ca="1"/>
        <v>0.30964227872305</v>
      </c>
      <c r="S258">
        <f ca="1"/>
        <v>1.5923503635959353E-5</v>
      </c>
      <c r="T258">
        <f ca="1"/>
        <v>0.4800488785737132</v>
      </c>
      <c r="U258">
        <f ca="1"/>
        <v>0</v>
      </c>
      <c r="V258">
        <f ca="1"/>
        <v>24.057898118690499</v>
      </c>
      <c r="W258">
        <f ca="1"/>
        <v>22.008521612283602</v>
      </c>
      <c r="X258">
        <f ca="1"/>
        <v>0</v>
      </c>
      <c r="Y258">
        <f ca="1"/>
        <v>0.59699248647425063</v>
      </c>
      <c r="Z258">
        <f ca="1"/>
        <v>0</v>
      </c>
      <c r="AA258">
        <f ca="1"/>
        <v>0</v>
      </c>
      <c r="AB258">
        <f ca="1"/>
        <v>0.99990181192771399</v>
      </c>
      <c r="AD258" s="2">
        <f t="shared" ca="1" si="32"/>
        <v>45405</v>
      </c>
      <c r="AE258" s="46">
        <f t="shared" ca="1" si="33"/>
        <v>0</v>
      </c>
      <c r="AG258" s="72">
        <f t="shared" ca="1" si="37"/>
        <v>142.30210300542129</v>
      </c>
      <c r="AH258" s="72">
        <f t="shared" ca="1" si="38"/>
        <v>142.30210300542129</v>
      </c>
      <c r="AI258" s="3">
        <f t="shared" ca="1" si="39"/>
        <v>0</v>
      </c>
    </row>
    <row r="259" spans="7:35" x14ac:dyDescent="0.25">
      <c r="G259" s="3">
        <f t="shared" ca="1" si="34"/>
        <v>71</v>
      </c>
      <c r="H259" s="105">
        <f t="shared" ca="1" si="36"/>
        <v>45361</v>
      </c>
      <c r="I259" s="133">
        <f ca="1">HLOOKUP($H$4,'Met Data'!$A$2:$F$368,G259,FALSE)</f>
        <v>15.055882352941101</v>
      </c>
      <c r="J259" s="133">
        <f ca="1">HLOOKUP($H$4,'Met Data'!$H$2:$M$368,G259,FALSE)*L259</f>
        <v>1.93823529411764</v>
      </c>
      <c r="K259" s="106">
        <f ca="1">HLOOKUP($H$4,'Met Data'!$O$2:$T$368,G259,FALSE)</f>
        <v>3.2545752102886598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45406</v>
      </c>
      <c r="Q259">
        <f ca="1"/>
        <v>142.17499059723963</v>
      </c>
      <c r="R259">
        <f ca="1"/>
        <v>0.32194448838906098</v>
      </c>
      <c r="S259">
        <f ca="1"/>
        <v>1.536241209950464E-5</v>
      </c>
      <c r="T259">
        <f ca="1"/>
        <v>0.50445899651835069</v>
      </c>
      <c r="U259">
        <f ca="1"/>
        <v>0</v>
      </c>
      <c r="V259">
        <f ca="1"/>
        <v>24.379842607079599</v>
      </c>
      <c r="W259">
        <f ca="1"/>
        <v>22.303041199809901</v>
      </c>
      <c r="X259">
        <f ca="1"/>
        <v>0</v>
      </c>
      <c r="Y259">
        <f ca="1"/>
        <v>0.59551870815612018</v>
      </c>
      <c r="Z259">
        <f ca="1"/>
        <v>0</v>
      </c>
      <c r="AA259">
        <f ca="1"/>
        <v>0</v>
      </c>
      <c r="AB259">
        <f ca="1"/>
        <v>0.99991248724454995</v>
      </c>
      <c r="AD259" s="2">
        <f t="shared" ca="1" si="32"/>
        <v>45406</v>
      </c>
      <c r="AE259" s="46">
        <f t="shared" ca="1" si="33"/>
        <v>0</v>
      </c>
      <c r="AG259" s="72">
        <f t="shared" ca="1" si="37"/>
        <v>142.49693508562865</v>
      </c>
      <c r="AH259" s="72">
        <f t="shared" ca="1" si="38"/>
        <v>142.49693508562868</v>
      </c>
      <c r="AI259" s="3">
        <f t="shared" ca="1" si="39"/>
        <v>0</v>
      </c>
    </row>
    <row r="260" spans="7:35" x14ac:dyDescent="0.25">
      <c r="G260" s="3">
        <f t="shared" ca="1" si="34"/>
        <v>72</v>
      </c>
      <c r="H260" s="105">
        <f t="shared" ca="1" si="36"/>
        <v>45362</v>
      </c>
      <c r="I260" s="133">
        <f ca="1">HLOOKUP($H$4,'Met Data'!$A$2:$F$368,G260,FALSE)</f>
        <v>14.958823529411699</v>
      </c>
      <c r="J260" s="133">
        <f ca="1">HLOOKUP($H$4,'Met Data'!$H$2:$M$368,G260,FALSE)*L260</f>
        <v>3.24705882352941</v>
      </c>
      <c r="K260" s="106">
        <f ca="1">HLOOKUP($H$4,'Met Data'!$O$2:$T$368,G260,FALSE)</f>
        <v>3.17975180664317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45407</v>
      </c>
      <c r="Q260">
        <f ca="1"/>
        <v>142.35551762961904</v>
      </c>
      <c r="R260">
        <f ca="1"/>
        <v>0.32263751777580701</v>
      </c>
      <c r="S260">
        <f ca="1"/>
        <v>1.3981342969773941E-5</v>
      </c>
      <c r="T260">
        <f ca="1"/>
        <v>0.5031505688122524</v>
      </c>
      <c r="U260">
        <f ca="1"/>
        <v>0</v>
      </c>
      <c r="V260">
        <f ca="1"/>
        <v>24.702480124855398</v>
      </c>
      <c r="W260">
        <f ca="1"/>
        <v>22.5981947808862</v>
      </c>
      <c r="X260">
        <f ca="1"/>
        <v>0</v>
      </c>
      <c r="Y260">
        <f ca="1"/>
        <v>0.58322560758440978</v>
      </c>
      <c r="Z260">
        <f ca="1"/>
        <v>0</v>
      </c>
      <c r="AA260">
        <f ca="1"/>
        <v>0</v>
      </c>
      <c r="AB260">
        <f ca="1"/>
        <v>0.99992211739243297</v>
      </c>
      <c r="AD260" s="2">
        <f t="shared" ca="1" si="32"/>
        <v>45407</v>
      </c>
      <c r="AE260" s="46">
        <f t="shared" ca="1" si="33"/>
        <v>0</v>
      </c>
      <c r="AG260" s="72">
        <f t="shared" ca="1" si="37"/>
        <v>142.67815514739485</v>
      </c>
      <c r="AH260" s="72">
        <f t="shared" ca="1" si="38"/>
        <v>142.67815514739485</v>
      </c>
      <c r="AI260" s="3">
        <f t="shared" ca="1" si="39"/>
        <v>0</v>
      </c>
    </row>
    <row r="261" spans="7:35" x14ac:dyDescent="0.25">
      <c r="G261" s="3">
        <f t="shared" ca="1" si="34"/>
        <v>73</v>
      </c>
      <c r="H261" s="105">
        <f t="shared" ca="1" si="36"/>
        <v>45363</v>
      </c>
      <c r="I261" s="133">
        <f ca="1">HLOOKUP($H$4,'Met Data'!$A$2:$F$368,G261,FALSE)</f>
        <v>15.205882352941099</v>
      </c>
      <c r="J261" s="133">
        <f ca="1">HLOOKUP($H$4,'Met Data'!$H$2:$M$368,G261,FALSE)*L261</f>
        <v>2.9088235294117601</v>
      </c>
      <c r="K261" s="106">
        <f ca="1">HLOOKUP($H$4,'Met Data'!$O$2:$T$368,G261,FALSE)</f>
        <v>3.3146668186599602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45408</v>
      </c>
      <c r="Q261">
        <f ca="1"/>
        <v>142.54258310552291</v>
      </c>
      <c r="R261">
        <f ca="1"/>
        <v>0.32275033279637799</v>
      </c>
      <c r="S261">
        <f ca="1"/>
        <v>1.2994660230108108E-5</v>
      </c>
      <c r="T261">
        <f ca="1"/>
        <v>0.50980281404000805</v>
      </c>
      <c r="U261">
        <f ca="1"/>
        <v>0</v>
      </c>
      <c r="V261">
        <f ca="1"/>
        <v>25.025230457651801</v>
      </c>
      <c r="W261">
        <f ca="1"/>
        <v>22.8934515668148</v>
      </c>
      <c r="X261">
        <f ca="1"/>
        <v>0</v>
      </c>
      <c r="Y261">
        <f ca="1"/>
        <v>0.58349596536078296</v>
      </c>
      <c r="Z261">
        <f ca="1"/>
        <v>0</v>
      </c>
      <c r="AA261">
        <f ca="1"/>
        <v>0</v>
      </c>
      <c r="AB261">
        <f ca="1"/>
        <v>0.99993078332834795</v>
      </c>
      <c r="AD261" s="2">
        <f t="shared" ca="1" si="32"/>
        <v>45408</v>
      </c>
      <c r="AE261" s="46">
        <f t="shared" ca="1" si="33"/>
        <v>0</v>
      </c>
      <c r="AG261" s="72">
        <f t="shared" ca="1" si="37"/>
        <v>142.86533343831928</v>
      </c>
      <c r="AH261" s="72">
        <f t="shared" ca="1" si="38"/>
        <v>142.86533343831928</v>
      </c>
      <c r="AI261" s="3">
        <f t="shared" ca="1" si="39"/>
        <v>0</v>
      </c>
    </row>
    <row r="262" spans="7:35" x14ac:dyDescent="0.25">
      <c r="G262" s="3">
        <f t="shared" ca="1" si="34"/>
        <v>74</v>
      </c>
      <c r="H262" s="105">
        <f t="shared" ca="1" si="36"/>
        <v>45364</v>
      </c>
      <c r="I262" s="133">
        <f ca="1">HLOOKUP($H$4,'Met Data'!$A$2:$F$368,G262,FALSE)</f>
        <v>14.888235294117599</v>
      </c>
      <c r="J262" s="133">
        <f ca="1">HLOOKUP($H$4,'Met Data'!$H$2:$M$368,G262,FALSE)*L262</f>
        <v>2.2999999999999998</v>
      </c>
      <c r="K262" s="106">
        <f ca="1">HLOOKUP($H$4,'Met Data'!$O$2:$T$368,G262,FALSE)</f>
        <v>3.3312157637355302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45409</v>
      </c>
      <c r="Q262">
        <f ca="1"/>
        <v>142.74080195950739</v>
      </c>
      <c r="R262">
        <f ca="1"/>
        <v>0.32674028815300099</v>
      </c>
      <c r="S262">
        <f ca="1"/>
        <v>1.2250189113118663E-5</v>
      </c>
      <c r="T262">
        <f ca="1"/>
        <v>0.52494689194835475</v>
      </c>
      <c r="U262">
        <f ca="1"/>
        <v>0</v>
      </c>
      <c r="V262">
        <f ca="1"/>
        <v>25.351970745804799</v>
      </c>
      <c r="W262">
        <f ca="1"/>
        <v>23.192358423013999</v>
      </c>
      <c r="X262">
        <f ca="1"/>
        <v>0</v>
      </c>
      <c r="Y262">
        <f ca="1"/>
        <v>0.5852184737563616</v>
      </c>
      <c r="Z262">
        <f ca="1"/>
        <v>0</v>
      </c>
      <c r="AA262">
        <f ca="1"/>
        <v>0</v>
      </c>
      <c r="AB262">
        <f ca="1"/>
        <v>0.99993866515919105</v>
      </c>
      <c r="AD262" s="2">
        <f t="shared" ref="AD262:AD325" ca="1" si="42">IFERROR(P262,$AD$4)</f>
        <v>45409</v>
      </c>
      <c r="AE262" s="46">
        <f t="shared" ref="AE262:AE325" ca="1" si="43">IFERROR(U262,0)</f>
        <v>0</v>
      </c>
      <c r="AG262" s="72">
        <f t="shared" ca="1" si="37"/>
        <v>143.06754224766038</v>
      </c>
      <c r="AH262" s="72">
        <f t="shared" ca="1" si="38"/>
        <v>143.06754224766038</v>
      </c>
      <c r="AI262" s="3">
        <f t="shared" ca="1" si="39"/>
        <v>0</v>
      </c>
    </row>
    <row r="263" spans="7:35" x14ac:dyDescent="0.25">
      <c r="G263" s="3">
        <f t="shared" ref="G263:G326" ca="1" si="44">H263-DATE(YEAR(H263),1,0)+1</f>
        <v>75</v>
      </c>
      <c r="H263" s="105">
        <f t="shared" ca="1" si="36"/>
        <v>45365</v>
      </c>
      <c r="I263" s="133">
        <f ca="1">HLOOKUP($H$4,'Met Data'!$A$2:$F$368,G263,FALSE)</f>
        <v>14.9794117647058</v>
      </c>
      <c r="J263" s="133">
        <f ca="1">HLOOKUP($H$4,'Met Data'!$H$2:$M$368,G263,FALSE)*L263</f>
        <v>0.34411764705882297</v>
      </c>
      <c r="K263" s="106">
        <f ca="1">HLOOKUP($H$4,'Met Data'!$O$2:$T$368,G263,FALSE)</f>
        <v>3.9291146060483402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45410</v>
      </c>
      <c r="Q263">
        <f ca="1"/>
        <v>142.93762196233342</v>
      </c>
      <c r="R263">
        <f ca="1"/>
        <v>0.288057218509639</v>
      </c>
      <c r="S263">
        <f ca="1"/>
        <v>1.0543677843394648E-5</v>
      </c>
      <c r="T263">
        <f ca="1"/>
        <v>0.48486667765782065</v>
      </c>
      <c r="U263">
        <f ca="1"/>
        <v>0</v>
      </c>
      <c r="V263">
        <f ca="1"/>
        <v>25.640027964314399</v>
      </c>
      <c r="W263">
        <f ca="1"/>
        <v>23.455877434021001</v>
      </c>
      <c r="X263">
        <f ca="1"/>
        <v>0</v>
      </c>
      <c r="Y263">
        <f ca="1"/>
        <v>0.61685929534337502</v>
      </c>
      <c r="Z263">
        <f ca="1"/>
        <v>0</v>
      </c>
      <c r="AA263">
        <f ca="1"/>
        <v>0</v>
      </c>
      <c r="AB263">
        <f ca="1"/>
        <v>0.99994493900594295</v>
      </c>
      <c r="AD263" s="2">
        <f t="shared" ca="1" si="42"/>
        <v>45410</v>
      </c>
      <c r="AE263" s="46">
        <f t="shared" ca="1" si="43"/>
        <v>0</v>
      </c>
      <c r="AG263" s="72">
        <f t="shared" ca="1" si="37"/>
        <v>143.22567918084306</v>
      </c>
      <c r="AH263" s="72">
        <f t="shared" ca="1" si="38"/>
        <v>143.22567918084306</v>
      </c>
      <c r="AI263" s="3">
        <f t="shared" ca="1" si="39"/>
        <v>0</v>
      </c>
    </row>
    <row r="264" spans="7:35" x14ac:dyDescent="0.25">
      <c r="G264" s="3">
        <f t="shared" ca="1" si="44"/>
        <v>76</v>
      </c>
      <c r="H264" s="105">
        <f t="shared" ref="H264:H327" ca="1" si="46">H263+1</f>
        <v>45366</v>
      </c>
      <c r="I264" s="133">
        <f ca="1">HLOOKUP($H$4,'Met Data'!$A$2:$F$368,G264,FALSE)</f>
        <v>15</v>
      </c>
      <c r="J264" s="133">
        <f ca="1">HLOOKUP($H$4,'Met Data'!$H$2:$M$368,G264,FALSE)*L264</f>
        <v>1.3499999999999901</v>
      </c>
      <c r="K264" s="106">
        <f ca="1">HLOOKUP($H$4,'Met Data'!$O$2:$T$368,G264,FALSE)</f>
        <v>3.4649343661814198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45411</v>
      </c>
      <c r="Q264">
        <f ca="1"/>
        <v>143.13753570957493</v>
      </c>
      <c r="R264">
        <f ca="1"/>
        <v>0.27749550037172499</v>
      </c>
      <c r="S264">
        <f ca="1"/>
        <v>9.5763396754843624E-6</v>
      </c>
      <c r="T264">
        <f ca="1"/>
        <v>0.47739967127356203</v>
      </c>
      <c r="U264">
        <f ca="1"/>
        <v>0</v>
      </c>
      <c r="V264">
        <f ca="1"/>
        <v>25.917523464686202</v>
      </c>
      <c r="W264">
        <f ca="1"/>
        <v>23.709734428805501</v>
      </c>
      <c r="X264">
        <f ca="1"/>
        <v>0</v>
      </c>
      <c r="Y264">
        <f ca="1"/>
        <v>0.62468482290966398</v>
      </c>
      <c r="Z264">
        <f ca="1"/>
        <v>0</v>
      </c>
      <c r="AA264">
        <f ca="1"/>
        <v>0</v>
      </c>
      <c r="AB264">
        <f ca="1"/>
        <v>0.99995043763688196</v>
      </c>
      <c r="AD264" s="2">
        <f t="shared" ca="1" si="42"/>
        <v>45411</v>
      </c>
      <c r="AE264" s="46">
        <f t="shared" ca="1" si="43"/>
        <v>0</v>
      </c>
      <c r="AG264" s="72">
        <f t="shared" ca="1" si="37"/>
        <v>143.41503120994665</v>
      </c>
      <c r="AH264" s="72">
        <f t="shared" ca="1" si="38"/>
        <v>143.41503120994665</v>
      </c>
      <c r="AI264" s="3">
        <f t="shared" ca="1" si="39"/>
        <v>0</v>
      </c>
    </row>
    <row r="265" spans="7:35" x14ac:dyDescent="0.25">
      <c r="G265" s="3">
        <f t="shared" ca="1" si="44"/>
        <v>77</v>
      </c>
      <c r="H265" s="105">
        <f t="shared" ca="1" si="46"/>
        <v>45367</v>
      </c>
      <c r="I265" s="133">
        <f ca="1">HLOOKUP($H$4,'Met Data'!$A$2:$F$368,G265,FALSE)</f>
        <v>14.8191176470588</v>
      </c>
      <c r="J265" s="133">
        <f ca="1">HLOOKUP($H$4,'Met Data'!$H$2:$M$368,G265,FALSE)*L265</f>
        <v>1.49117647058823</v>
      </c>
      <c r="K265" s="106">
        <f ca="1">HLOOKUP($H$4,'Met Data'!$O$2:$T$368,G265,FALSE)</f>
        <v>3.6481150031845502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45412</v>
      </c>
      <c r="Q265">
        <f ca="1"/>
        <v>143.33095407217448</v>
      </c>
      <c r="R265">
        <f ca="1"/>
        <v>0.26497087216179999</v>
      </c>
      <c r="S265">
        <f ca="1"/>
        <v>8.4581803621285774E-6</v>
      </c>
      <c r="T265">
        <f ca="1"/>
        <v>0.45838077658099868</v>
      </c>
      <c r="U265">
        <f ca="1"/>
        <v>0</v>
      </c>
      <c r="V265">
        <f ca="1"/>
        <v>26.182494336847999</v>
      </c>
      <c r="W265">
        <f ca="1"/>
        <v>23.9521337081535</v>
      </c>
      <c r="X265">
        <f ca="1"/>
        <v>0</v>
      </c>
      <c r="Y265">
        <f ca="1"/>
        <v>0.61987725623673839</v>
      </c>
      <c r="Z265">
        <f ca="1"/>
        <v>0</v>
      </c>
      <c r="AA265">
        <f ca="1"/>
        <v>0</v>
      </c>
      <c r="AB265">
        <f ca="1"/>
        <v>0.99995522993913599</v>
      </c>
      <c r="AD265" s="2">
        <f t="shared" ca="1" si="42"/>
        <v>45412</v>
      </c>
      <c r="AE265" s="46">
        <f t="shared" ca="1" si="43"/>
        <v>0</v>
      </c>
      <c r="AG265" s="72">
        <f t="shared" ca="1" si="37"/>
        <v>143.5959249443363</v>
      </c>
      <c r="AH265" s="72">
        <f t="shared" ca="1" si="38"/>
        <v>143.59592494433628</v>
      </c>
      <c r="AI265" s="3">
        <f t="shared" ca="1" si="39"/>
        <v>0</v>
      </c>
    </row>
    <row r="266" spans="7:35" x14ac:dyDescent="0.25">
      <c r="G266" s="3">
        <f t="shared" ca="1" si="44"/>
        <v>78</v>
      </c>
      <c r="H266" s="105">
        <f t="shared" ca="1" si="46"/>
        <v>45368</v>
      </c>
      <c r="I266" s="133">
        <f ca="1">HLOOKUP($H$4,'Met Data'!$A$2:$F$368,G266,FALSE)</f>
        <v>13.742647058823501</v>
      </c>
      <c r="J266" s="133">
        <f ca="1">HLOOKUP($H$4,'Met Data'!$H$2:$M$368,G266,FALSE)*L266</f>
        <v>1.8470588235294101</v>
      </c>
      <c r="K266" s="106">
        <f ca="1">HLOOKUP($H$4,'Met Data'!$O$2:$T$368,G266,FALSE)</f>
        <v>3.23711449028497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45413</v>
      </c>
      <c r="Q266">
        <f ca="1"/>
        <v>143.52678157678258</v>
      </c>
      <c r="R266">
        <f ca="1"/>
        <v>0.26469740388422403</v>
      </c>
      <c r="S266">
        <f ca="1"/>
        <v>7.8413766834600484E-6</v>
      </c>
      <c r="T266">
        <f ca="1"/>
        <v>0.46051706711565221</v>
      </c>
      <c r="U266">
        <f ca="1"/>
        <v>0</v>
      </c>
      <c r="V266">
        <f ca="1"/>
        <v>26.447191740732201</v>
      </c>
      <c r="W266">
        <f ca="1"/>
        <v>24.194282814669801</v>
      </c>
      <c r="X266">
        <f ca="1"/>
        <v>0</v>
      </c>
      <c r="Y266">
        <f ca="1"/>
        <v>0.61477297181077395</v>
      </c>
      <c r="Z266">
        <f ca="1"/>
        <v>0</v>
      </c>
      <c r="AA266">
        <f ca="1"/>
        <v>0</v>
      </c>
      <c r="AB266">
        <f ca="1"/>
        <v>0.99995960628092895</v>
      </c>
      <c r="AD266" s="2">
        <f t="shared" ca="1" si="42"/>
        <v>45413</v>
      </c>
      <c r="AE266" s="46">
        <f t="shared" ca="1" si="43"/>
        <v>0</v>
      </c>
      <c r="AG266" s="72">
        <f t="shared" ca="1" si="37"/>
        <v>143.79147898066682</v>
      </c>
      <c r="AH266" s="72">
        <f t="shared" ca="1" si="38"/>
        <v>143.7914789806668</v>
      </c>
      <c r="AI266" s="3">
        <f t="shared" ca="1" si="39"/>
        <v>0</v>
      </c>
    </row>
    <row r="267" spans="7:35" x14ac:dyDescent="0.25">
      <c r="G267" s="3">
        <f t="shared" ca="1" si="44"/>
        <v>79</v>
      </c>
      <c r="H267" s="105">
        <f t="shared" ca="1" si="46"/>
        <v>45369</v>
      </c>
      <c r="I267" s="133">
        <f ca="1">HLOOKUP($H$4,'Met Data'!$A$2:$F$368,G267,FALSE)</f>
        <v>14.5911764705882</v>
      </c>
      <c r="J267" s="133">
        <f ca="1">HLOOKUP($H$4,'Met Data'!$H$2:$M$368,G267,FALSE)*L267</f>
        <v>1.1617647058823499</v>
      </c>
      <c r="K267" s="106">
        <f ca="1">HLOOKUP($H$4,'Met Data'!$O$2:$T$368,G267,FALSE)</f>
        <v>3.5497173485221101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45414</v>
      </c>
      <c r="Q267">
        <f ca="1"/>
        <v>143.72075494005216</v>
      </c>
      <c r="R267">
        <f ca="1"/>
        <v>0.25997650100001102</v>
      </c>
      <c r="S267">
        <f ca="1"/>
        <v>7.1259570664814797E-6</v>
      </c>
      <c r="T267">
        <f ca="1"/>
        <v>0.45394273831249943</v>
      </c>
      <c r="U267">
        <f ca="1"/>
        <v>0</v>
      </c>
      <c r="V267">
        <f ca="1"/>
        <v>26.707168241732202</v>
      </c>
      <c r="W267">
        <f ca="1"/>
        <v>24.4321131692883</v>
      </c>
      <c r="X267">
        <f ca="1"/>
        <v>0</v>
      </c>
      <c r="Y267">
        <f ca="1"/>
        <v>0.60775003923968318</v>
      </c>
      <c r="Z267">
        <f ca="1"/>
        <v>0</v>
      </c>
      <c r="AA267">
        <f ca="1"/>
        <v>0</v>
      </c>
      <c r="AB267">
        <f ca="1"/>
        <v>0.99996353614000899</v>
      </c>
      <c r="AD267" s="2">
        <f t="shared" ca="1" si="42"/>
        <v>45414</v>
      </c>
      <c r="AE267" s="46">
        <f t="shared" ca="1" si="43"/>
        <v>0</v>
      </c>
      <c r="AG267" s="72">
        <f t="shared" ref="AG267:AG330" ca="1" si="47">Q266+S267+T267+U267</f>
        <v>143.98073144105214</v>
      </c>
      <c r="AH267" s="72">
        <f t="shared" ref="AH267:AH330" ca="1" si="48">Q267+R267+X267</f>
        <v>143.98073144105217</v>
      </c>
      <c r="AI267" s="3">
        <f t="shared" ref="AI267:AI330" ca="1" si="49">AH267-AG267</f>
        <v>0</v>
      </c>
    </row>
    <row r="268" spans="7:35" x14ac:dyDescent="0.25">
      <c r="G268" s="3">
        <f t="shared" ca="1" si="44"/>
        <v>80</v>
      </c>
      <c r="H268" s="105">
        <f t="shared" ca="1" si="46"/>
        <v>45370</v>
      </c>
      <c r="I268" s="133">
        <f ca="1">HLOOKUP($H$4,'Met Data'!$A$2:$F$368,G268,FALSE)</f>
        <v>15.358823529411699</v>
      </c>
      <c r="J268" s="133">
        <f ca="1">HLOOKUP($H$4,'Met Data'!$H$2:$M$368,G268,FALSE)*L268</f>
        <v>0.66176470588235203</v>
      </c>
      <c r="K268" s="106">
        <f ca="1">HLOOKUP($H$4,'Met Data'!$O$2:$T$368,G268,FALSE)</f>
        <v>3.6735377917360399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45415</v>
      </c>
      <c r="Q268">
        <f ca="1"/>
        <v>143.92859342548962</v>
      </c>
      <c r="R268">
        <f ca="1"/>
        <v>0.26989881093095702</v>
      </c>
      <c r="S268">
        <f ca="1"/>
        <v>6.9304221628096334E-6</v>
      </c>
      <c r="T268">
        <f ca="1"/>
        <v>0.47773036594625823</v>
      </c>
      <c r="U268">
        <f ca="1"/>
        <v>0</v>
      </c>
      <c r="V268">
        <f ca="1"/>
        <v>26.977067052663202</v>
      </c>
      <c r="W268">
        <f ca="1"/>
        <v>24.679020600028899</v>
      </c>
      <c r="X268">
        <f ca="1"/>
        <v>0</v>
      </c>
      <c r="Y268">
        <f ca="1"/>
        <v>0.60701011652969572</v>
      </c>
      <c r="Z268">
        <f ca="1"/>
        <v>0</v>
      </c>
      <c r="AA268">
        <f ca="1"/>
        <v>0</v>
      </c>
      <c r="AB268">
        <f ca="1"/>
        <v>0.99996726029667604</v>
      </c>
      <c r="AD268" s="2">
        <f t="shared" ca="1" si="42"/>
        <v>45415</v>
      </c>
      <c r="AE268" s="46">
        <f t="shared" ca="1" si="43"/>
        <v>0</v>
      </c>
      <c r="AG268" s="72">
        <f t="shared" ca="1" si="47"/>
        <v>144.19849223642058</v>
      </c>
      <c r="AH268" s="72">
        <f t="shared" ca="1" si="48"/>
        <v>144.19849223642058</v>
      </c>
      <c r="AI268" s="3">
        <f t="shared" ca="1" si="49"/>
        <v>0</v>
      </c>
    </row>
    <row r="269" spans="7:35" x14ac:dyDescent="0.25">
      <c r="G269" s="3">
        <f t="shared" ca="1" si="44"/>
        <v>81</v>
      </c>
      <c r="H269" s="105">
        <f t="shared" ca="1" si="46"/>
        <v>45371</v>
      </c>
      <c r="I269" s="133">
        <f ca="1">HLOOKUP($H$4,'Met Data'!$A$2:$F$368,G269,FALSE)</f>
        <v>14.954411764705799</v>
      </c>
      <c r="J269" s="133">
        <f ca="1">HLOOKUP($H$4,'Met Data'!$H$2:$M$368,G269,FALSE)*L269</f>
        <v>0.95588235294117596</v>
      </c>
      <c r="K269" s="106">
        <f ca="1">HLOOKUP($H$4,'Met Data'!$O$2:$T$368,G269,FALSE)</f>
        <v>3.2764370104371201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45416</v>
      </c>
      <c r="Q269">
        <f ca="1"/>
        <v>144.13705926209573</v>
      </c>
      <c r="R269">
        <f ca="1"/>
        <v>0.26517559548682401</v>
      </c>
      <c r="S269">
        <f ca="1"/>
        <v>6.322496558410155E-6</v>
      </c>
      <c r="T269">
        <f ca="1"/>
        <v>0.47363510959637439</v>
      </c>
      <c r="U269">
        <f ca="1"/>
        <v>0</v>
      </c>
      <c r="V269">
        <f ca="1"/>
        <v>27.24224264815</v>
      </c>
      <c r="W269">
        <f ca="1"/>
        <v>24.921607163307598</v>
      </c>
      <c r="X269">
        <f ca="1"/>
        <v>0</v>
      </c>
      <c r="Y269">
        <f ca="1"/>
        <v>0.60292982162217212</v>
      </c>
      <c r="Z269">
        <f ca="1"/>
        <v>0</v>
      </c>
      <c r="AA269">
        <f ca="1"/>
        <v>0</v>
      </c>
      <c r="AB269">
        <f ca="1"/>
        <v>0.99997059440179303</v>
      </c>
      <c r="AD269" s="2">
        <f t="shared" ca="1" si="42"/>
        <v>45416</v>
      </c>
      <c r="AE269" s="46">
        <f t="shared" ca="1" si="43"/>
        <v>0</v>
      </c>
      <c r="AG269" s="72">
        <f t="shared" ca="1" si="47"/>
        <v>144.40223485758256</v>
      </c>
      <c r="AH269" s="72">
        <f t="shared" ca="1" si="48"/>
        <v>144.40223485758256</v>
      </c>
      <c r="AI269" s="3">
        <f t="shared" ca="1" si="49"/>
        <v>0</v>
      </c>
    </row>
    <row r="270" spans="7:35" x14ac:dyDescent="0.25">
      <c r="G270" s="3">
        <f t="shared" ca="1" si="44"/>
        <v>82</v>
      </c>
      <c r="H270" s="105">
        <f t="shared" ca="1" si="46"/>
        <v>45372</v>
      </c>
      <c r="I270" s="133">
        <f ca="1">HLOOKUP($H$4,'Met Data'!$A$2:$F$368,G270,FALSE)</f>
        <v>14.5426470588235</v>
      </c>
      <c r="J270" s="133">
        <f ca="1">HLOOKUP($H$4,'Met Data'!$H$2:$M$368,G270,FALSE)*L270</f>
        <v>1.0823529411764701</v>
      </c>
      <c r="K270" s="106">
        <f ca="1">HLOOKUP($H$4,'Met Data'!$O$2:$T$368,G270,FALSE)</f>
        <v>3.2063273498641101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45417</v>
      </c>
      <c r="Q270">
        <f ca="1"/>
        <v>144.37523505529433</v>
      </c>
      <c r="R270">
        <f ca="1"/>
        <v>0.280681860770226</v>
      </c>
      <c r="S270">
        <f ca="1"/>
        <v>6.383173950394126E-6</v>
      </c>
      <c r="T270">
        <f ca="1"/>
        <v>0.51885127079486892</v>
      </c>
      <c r="U270">
        <f ca="1"/>
        <v>0</v>
      </c>
      <c r="V270">
        <f ca="1"/>
        <v>27.522924508920202</v>
      </c>
      <c r="W270">
        <f ca="1"/>
        <v>25.178379087789999</v>
      </c>
      <c r="X270">
        <f ca="1"/>
        <v>0</v>
      </c>
      <c r="Y270">
        <f ca="1"/>
        <v>0.61404013259157764</v>
      </c>
      <c r="Z270">
        <f ca="1"/>
        <v>0</v>
      </c>
      <c r="AA270">
        <f ca="1"/>
        <v>0</v>
      </c>
      <c r="AB270">
        <f ca="1"/>
        <v>0.99997380127055402</v>
      </c>
      <c r="AD270" s="2">
        <f t="shared" ca="1" si="42"/>
        <v>45417</v>
      </c>
      <c r="AE270" s="46">
        <f t="shared" ca="1" si="43"/>
        <v>0</v>
      </c>
      <c r="AG270" s="72">
        <f t="shared" ca="1" si="47"/>
        <v>144.65591691606454</v>
      </c>
      <c r="AH270" s="72">
        <f t="shared" ca="1" si="48"/>
        <v>144.65591691606454</v>
      </c>
      <c r="AI270" s="3">
        <f t="shared" ca="1" si="49"/>
        <v>0</v>
      </c>
    </row>
    <row r="271" spans="7:35" x14ac:dyDescent="0.25">
      <c r="G271" s="3">
        <f t="shared" ca="1" si="44"/>
        <v>83</v>
      </c>
      <c r="H271" s="105">
        <f t="shared" ca="1" si="46"/>
        <v>45373</v>
      </c>
      <c r="I271" s="133">
        <f ca="1">HLOOKUP($H$4,'Met Data'!$A$2:$F$368,G271,FALSE)</f>
        <v>13.9808823529411</v>
      </c>
      <c r="J271" s="133">
        <f ca="1">HLOOKUP($H$4,'Met Data'!$H$2:$M$368,G271,FALSE)*L271</f>
        <v>2.1911764705882302</v>
      </c>
      <c r="K271" s="106">
        <f ca="1">HLOOKUP($H$4,'Met Data'!$O$2:$T$368,G271,FALSE)</f>
        <v>2.9655145666728702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45418</v>
      </c>
      <c r="Q271">
        <f ca="1"/>
        <v>144.60419306836803</v>
      </c>
      <c r="R271">
        <f ca="1"/>
        <v>0.26549615100681501</v>
      </c>
      <c r="S271">
        <f ca="1"/>
        <v>5.569798132129087E-6</v>
      </c>
      <c r="T271">
        <f ca="1"/>
        <v>0.49444859428240839</v>
      </c>
      <c r="U271">
        <f ca="1"/>
        <v>0</v>
      </c>
      <c r="V271">
        <f ca="1"/>
        <v>27.788420659926999</v>
      </c>
      <c r="W271">
        <f ca="1"/>
        <v>25.421258900007299</v>
      </c>
      <c r="X271">
        <f ca="1"/>
        <v>0</v>
      </c>
      <c r="Y271">
        <f ca="1"/>
        <v>0.60923185428467375</v>
      </c>
      <c r="Z271">
        <f ca="1"/>
        <v>0</v>
      </c>
      <c r="AA271">
        <f ca="1"/>
        <v>0</v>
      </c>
      <c r="AB271">
        <f ca="1"/>
        <v>0.999976554506393</v>
      </c>
      <c r="AD271" s="2">
        <f t="shared" ca="1" si="42"/>
        <v>45418</v>
      </c>
      <c r="AE271" s="46">
        <f t="shared" ca="1" si="43"/>
        <v>0</v>
      </c>
      <c r="AG271" s="72">
        <f t="shared" ca="1" si="47"/>
        <v>144.86968921937486</v>
      </c>
      <c r="AH271" s="72">
        <f t="shared" ca="1" si="48"/>
        <v>144.86968921937486</v>
      </c>
      <c r="AI271" s="3">
        <f t="shared" ca="1" si="49"/>
        <v>0</v>
      </c>
    </row>
    <row r="272" spans="7:35" x14ac:dyDescent="0.25">
      <c r="G272" s="3">
        <f t="shared" ca="1" si="44"/>
        <v>84</v>
      </c>
      <c r="H272" s="105">
        <f t="shared" ca="1" si="46"/>
        <v>45374</v>
      </c>
      <c r="I272" s="133">
        <f ca="1">HLOOKUP($H$4,'Met Data'!$A$2:$F$368,G272,FALSE)</f>
        <v>14.1040998217468</v>
      </c>
      <c r="J272" s="133">
        <f ca="1">HLOOKUP($H$4,'Met Data'!$H$2:$M$368,G272,FALSE)*L272</f>
        <v>1.0235294117647</v>
      </c>
      <c r="K272" s="106">
        <f ca="1">HLOOKUP($H$4,'Met Data'!$O$2:$T$368,G272,FALSE)</f>
        <v>3.1669873410987299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45419</v>
      </c>
      <c r="Q272">
        <f ca="1"/>
        <v>144.8210514455688</v>
      </c>
      <c r="R272">
        <f ca="1"/>
        <v>0.23649668228513601</v>
      </c>
      <c r="S272">
        <f ca="1"/>
        <v>4.7159536362418315E-6</v>
      </c>
      <c r="T272">
        <f ca="1"/>
        <v>0.4533503435322514</v>
      </c>
      <c r="U272">
        <f ca="1"/>
        <v>0</v>
      </c>
      <c r="V272">
        <f ca="1"/>
        <v>28.024917342212198</v>
      </c>
      <c r="W272">
        <f ca="1"/>
        <v>25.637609568616298</v>
      </c>
      <c r="X272">
        <f ca="1"/>
        <v>0</v>
      </c>
      <c r="Y272">
        <f ca="1"/>
        <v>0.62055638061012119</v>
      </c>
      <c r="Z272">
        <f ca="1"/>
        <v>0</v>
      </c>
      <c r="AA272">
        <f ca="1"/>
        <v>0</v>
      </c>
      <c r="AB272">
        <f ca="1"/>
        <v>0.99997879577541304</v>
      </c>
      <c r="AD272" s="2">
        <f t="shared" ca="1" si="42"/>
        <v>45419</v>
      </c>
      <c r="AE272" s="46">
        <f t="shared" ca="1" si="43"/>
        <v>0</v>
      </c>
      <c r="AG272" s="72">
        <f t="shared" ca="1" si="47"/>
        <v>145.05754812785392</v>
      </c>
      <c r="AH272" s="72">
        <f t="shared" ca="1" si="48"/>
        <v>145.05754812785395</v>
      </c>
      <c r="AI272" s="3">
        <f t="shared" ca="1" si="49"/>
        <v>0</v>
      </c>
    </row>
    <row r="273" spans="7:35" x14ac:dyDescent="0.25">
      <c r="G273" s="3">
        <f t="shared" ca="1" si="44"/>
        <v>85</v>
      </c>
      <c r="H273" s="105">
        <f t="shared" ca="1" si="46"/>
        <v>45375</v>
      </c>
      <c r="I273" s="133">
        <f ca="1">HLOOKUP($H$4,'Met Data'!$A$2:$F$368,G273,FALSE)</f>
        <v>14.397058823529401</v>
      </c>
      <c r="J273" s="133">
        <f ca="1">HLOOKUP($H$4,'Met Data'!$H$2:$M$368,G273,FALSE)*L273</f>
        <v>2.0852941176470501</v>
      </c>
      <c r="K273" s="106">
        <f ca="1">HLOOKUP($H$4,'Met Data'!$O$2:$T$368,G273,FALSE)</f>
        <v>3.15831903524233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45420</v>
      </c>
      <c r="Q273">
        <f ca="1"/>
        <v>145.04054852142482</v>
      </c>
      <c r="R273">
        <f ca="1"/>
        <v>0.23628622120251599</v>
      </c>
      <c r="S273">
        <f ca="1"/>
        <v>4.3771822730586669E-6</v>
      </c>
      <c r="T273">
        <f ca="1"/>
        <v>0.45577891987626729</v>
      </c>
      <c r="U273">
        <f ca="1"/>
        <v>0</v>
      </c>
      <c r="V273">
        <f ca="1"/>
        <v>28.2612035634147</v>
      </c>
      <c r="W273">
        <f ca="1"/>
        <v>25.853767704309</v>
      </c>
      <c r="X273">
        <f ca="1"/>
        <v>0</v>
      </c>
      <c r="Y273">
        <f ca="1"/>
        <v>0.61367562239997209</v>
      </c>
      <c r="Z273">
        <f ca="1"/>
        <v>0</v>
      </c>
      <c r="AA273">
        <f ca="1"/>
        <v>0</v>
      </c>
      <c r="AB273">
        <f ca="1"/>
        <v>0.999980851168211</v>
      </c>
      <c r="AD273" s="2">
        <f t="shared" ca="1" si="42"/>
        <v>45420</v>
      </c>
      <c r="AE273" s="46">
        <f t="shared" ca="1" si="43"/>
        <v>0</v>
      </c>
      <c r="AG273" s="72">
        <f t="shared" ca="1" si="47"/>
        <v>145.27683474262736</v>
      </c>
      <c r="AH273" s="72">
        <f t="shared" ca="1" si="48"/>
        <v>145.27683474262733</v>
      </c>
      <c r="AI273" s="3">
        <f t="shared" ca="1" si="49"/>
        <v>0</v>
      </c>
    </row>
    <row r="274" spans="7:35" x14ac:dyDescent="0.25">
      <c r="G274" s="3">
        <f t="shared" ca="1" si="44"/>
        <v>86</v>
      </c>
      <c r="H274" s="105">
        <f t="shared" ca="1" si="46"/>
        <v>45376</v>
      </c>
      <c r="I274" s="133">
        <f ca="1">HLOOKUP($H$4,'Met Data'!$A$2:$F$368,G274,FALSE)</f>
        <v>13.613235294117599</v>
      </c>
      <c r="J274" s="133">
        <f ca="1">HLOOKUP($H$4,'Met Data'!$H$2:$M$368,G274,FALSE)*L274</f>
        <v>0.36764705882352899</v>
      </c>
      <c r="K274" s="106">
        <f ca="1">HLOOKUP($H$4,'Met Data'!$O$2:$T$368,G274,FALSE)</f>
        <v>2.9834653601225298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45421</v>
      </c>
      <c r="Q274">
        <f ca="1"/>
        <v>145.26403383717917</v>
      </c>
      <c r="R274">
        <f ca="1"/>
        <v>0.229741211838665</v>
      </c>
      <c r="S274">
        <f ca="1"/>
        <v>4.0301030976893394E-6</v>
      </c>
      <c r="T274">
        <f ca="1"/>
        <v>0.45322249748993065</v>
      </c>
      <c r="U274">
        <f ca="1"/>
        <v>0</v>
      </c>
      <c r="V274">
        <f ca="1"/>
        <v>28.4909447752533</v>
      </c>
      <c r="W274">
        <f ca="1"/>
        <v>26.063938368472499</v>
      </c>
      <c r="X274">
        <f ca="1"/>
        <v>0</v>
      </c>
      <c r="Y274">
        <f ca="1"/>
        <v>0.61850890562690308</v>
      </c>
      <c r="Z274">
        <f ca="1"/>
        <v>0</v>
      </c>
      <c r="AA274">
        <f ca="1"/>
        <v>0</v>
      </c>
      <c r="AB274">
        <f ca="1"/>
        <v>0.99998268602096996</v>
      </c>
      <c r="AD274" s="2">
        <f t="shared" ca="1" si="42"/>
        <v>45421</v>
      </c>
      <c r="AE274" s="46">
        <f t="shared" ca="1" si="43"/>
        <v>0</v>
      </c>
      <c r="AG274" s="72">
        <f t="shared" ca="1" si="47"/>
        <v>145.49377504901784</v>
      </c>
      <c r="AH274" s="72">
        <f t="shared" ca="1" si="48"/>
        <v>145.49377504901784</v>
      </c>
      <c r="AI274" s="3">
        <f t="shared" ca="1" si="49"/>
        <v>0</v>
      </c>
    </row>
    <row r="275" spans="7:35" x14ac:dyDescent="0.25">
      <c r="G275" s="3">
        <f t="shared" ca="1" si="44"/>
        <v>87</v>
      </c>
      <c r="H275" s="105">
        <f t="shared" ca="1" si="46"/>
        <v>45377</v>
      </c>
      <c r="I275" s="133">
        <f ca="1">HLOOKUP($H$4,'Met Data'!$A$2:$F$368,G275,FALSE)</f>
        <v>14.4676470588235</v>
      </c>
      <c r="J275" s="133">
        <f ca="1">HLOOKUP($H$4,'Met Data'!$H$2:$M$368,G275,FALSE)*L275</f>
        <v>1.0823529411764701</v>
      </c>
      <c r="K275" s="106">
        <f ca="1">HLOOKUP($H$4,'Met Data'!$O$2:$T$368,G275,FALSE)</f>
        <v>2.8333092043964401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45422</v>
      </c>
      <c r="Q275">
        <f ca="1"/>
        <v>145.49507820899055</v>
      </c>
      <c r="R275">
        <f ca="1"/>
        <v>0.233576398906362</v>
      </c>
      <c r="S275">
        <f ca="1"/>
        <v>3.8146903377335764E-6</v>
      </c>
      <c r="T275">
        <f ca="1"/>
        <v>0.46461695602739389</v>
      </c>
      <c r="U275">
        <f ca="1"/>
        <v>0</v>
      </c>
      <c r="V275">
        <f ca="1"/>
        <v>28.724521174159701</v>
      </c>
      <c r="W275">
        <f ca="1"/>
        <v>26.277617518583099</v>
      </c>
      <c r="X275">
        <f ca="1"/>
        <v>0</v>
      </c>
      <c r="Y275">
        <f ca="1"/>
        <v>0.61232891971275372</v>
      </c>
      <c r="Z275">
        <f ca="1"/>
        <v>0</v>
      </c>
      <c r="AA275">
        <f ca="1"/>
        <v>0</v>
      </c>
      <c r="AB275">
        <f ca="1"/>
        <v>0.99998439798435601</v>
      </c>
      <c r="AD275" s="2">
        <f t="shared" ca="1" si="42"/>
        <v>45422</v>
      </c>
      <c r="AE275" s="46">
        <f t="shared" ca="1" si="43"/>
        <v>0</v>
      </c>
      <c r="AG275" s="72">
        <f t="shared" ca="1" si="47"/>
        <v>145.72865460789689</v>
      </c>
      <c r="AH275" s="72">
        <f t="shared" ca="1" si="48"/>
        <v>145.72865460789691</v>
      </c>
      <c r="AI275" s="3">
        <f t="shared" ca="1" si="49"/>
        <v>0</v>
      </c>
    </row>
    <row r="276" spans="7:35" x14ac:dyDescent="0.25">
      <c r="G276" s="3">
        <f t="shared" ca="1" si="44"/>
        <v>88</v>
      </c>
      <c r="H276" s="105">
        <f t="shared" ca="1" si="46"/>
        <v>45378</v>
      </c>
      <c r="I276" s="133">
        <f ca="1">HLOOKUP($H$4,'Met Data'!$A$2:$F$368,G276,FALSE)</f>
        <v>14.926470588235199</v>
      </c>
      <c r="J276" s="133">
        <f ca="1">HLOOKUP($H$4,'Met Data'!$H$2:$M$368,G276,FALSE)*L276</f>
        <v>0.94705882352941095</v>
      </c>
      <c r="K276" s="106">
        <f ca="1">HLOOKUP($H$4,'Met Data'!$O$2:$T$368,G276,FALSE)</f>
        <v>3.21972745270357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45423</v>
      </c>
      <c r="Q276">
        <f ca="1"/>
        <v>145.73945165393633</v>
      </c>
      <c r="R276">
        <f ca="1"/>
        <v>0.23738034388409401</v>
      </c>
      <c r="S276">
        <f ca="1"/>
        <v>3.6506686109954487E-6</v>
      </c>
      <c r="T276">
        <f ca="1"/>
        <v>0.48175013816128082</v>
      </c>
      <c r="U276">
        <f ca="1"/>
        <v>0</v>
      </c>
      <c r="V276">
        <f ca="1"/>
        <v>28.961901518043799</v>
      </c>
      <c r="W276">
        <f ca="1"/>
        <v>26.494776573914098</v>
      </c>
      <c r="X276">
        <f ca="1"/>
        <v>0</v>
      </c>
      <c r="Y276">
        <f ca="1"/>
        <v>0.61371122852834215</v>
      </c>
      <c r="Z276">
        <f ca="1"/>
        <v>0</v>
      </c>
      <c r="AA276">
        <f ca="1"/>
        <v>0</v>
      </c>
      <c r="AB276">
        <f ca="1"/>
        <v>0.99998599067050697</v>
      </c>
      <c r="AD276" s="2">
        <f t="shared" ca="1" si="42"/>
        <v>45423</v>
      </c>
      <c r="AE276" s="46">
        <f t="shared" ca="1" si="43"/>
        <v>0</v>
      </c>
      <c r="AG276" s="72">
        <f t="shared" ca="1" si="47"/>
        <v>145.97683199782045</v>
      </c>
      <c r="AH276" s="72">
        <f t="shared" ca="1" si="48"/>
        <v>145.97683199782043</v>
      </c>
      <c r="AI276" s="3">
        <f t="shared" ca="1" si="49"/>
        <v>0</v>
      </c>
    </row>
    <row r="277" spans="7:35" x14ac:dyDescent="0.25">
      <c r="G277" s="3">
        <f t="shared" ca="1" si="44"/>
        <v>89</v>
      </c>
      <c r="H277" s="105">
        <f t="shared" ca="1" si="46"/>
        <v>45379</v>
      </c>
      <c r="I277" s="133">
        <f ca="1">HLOOKUP($H$4,'Met Data'!$A$2:$F$368,G277,FALSE)</f>
        <v>14.8691176470588</v>
      </c>
      <c r="J277" s="133">
        <f ca="1">HLOOKUP($H$4,'Met Data'!$H$2:$M$368,G277,FALSE)*L277</f>
        <v>1.0558823529411701</v>
      </c>
      <c r="K277" s="106">
        <f ca="1">HLOOKUP($H$4,'Met Data'!$O$2:$T$368,G277,FALSE)</f>
        <v>3.2466735955910102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45424</v>
      </c>
      <c r="Q277">
        <f ca="1"/>
        <v>145.97066666893926</v>
      </c>
      <c r="R277">
        <f ca="1"/>
        <v>0.219159580078333</v>
      </c>
      <c r="S277">
        <f ca="1"/>
        <v>3.1407443439904249E-6</v>
      </c>
      <c r="T277">
        <f ca="1"/>
        <v>0.45037145433689996</v>
      </c>
      <c r="U277">
        <f ca="1"/>
        <v>0</v>
      </c>
      <c r="V277">
        <f ca="1"/>
        <v>29.1810610981221</v>
      </c>
      <c r="W277">
        <f ca="1"/>
        <v>26.695267004578401</v>
      </c>
      <c r="X277">
        <f ca="1"/>
        <v>0</v>
      </c>
      <c r="Y277">
        <f ca="1"/>
        <v>0.61043559751114396</v>
      </c>
      <c r="Z277">
        <f ca="1"/>
        <v>0</v>
      </c>
      <c r="AA277">
        <f ca="1"/>
        <v>0</v>
      </c>
      <c r="AB277">
        <f ca="1"/>
        <v>0.99998733881451896</v>
      </c>
      <c r="AD277" s="2">
        <f t="shared" ca="1" si="42"/>
        <v>45424</v>
      </c>
      <c r="AE277" s="46">
        <f t="shared" ca="1" si="43"/>
        <v>0</v>
      </c>
      <c r="AG277" s="72">
        <f t="shared" ca="1" si="47"/>
        <v>146.18982624901759</v>
      </c>
      <c r="AH277" s="72">
        <f t="shared" ca="1" si="48"/>
        <v>146.18982624901759</v>
      </c>
      <c r="AI277" s="3">
        <f t="shared" ca="1" si="49"/>
        <v>0</v>
      </c>
    </row>
    <row r="278" spans="7:35" x14ac:dyDescent="0.25">
      <c r="G278" s="3">
        <f t="shared" ca="1" si="44"/>
        <v>90</v>
      </c>
      <c r="H278" s="105">
        <f t="shared" ca="1" si="46"/>
        <v>45380</v>
      </c>
      <c r="I278" s="133">
        <f ca="1">HLOOKUP($H$4,'Met Data'!$A$2:$F$368,G278,FALSE)</f>
        <v>14.9382352941176</v>
      </c>
      <c r="J278" s="133">
        <f ca="1">HLOOKUP($H$4,'Met Data'!$H$2:$M$368,G278,FALSE)*L278</f>
        <v>2.7852941176470498</v>
      </c>
      <c r="K278" s="106">
        <f ca="1">HLOOKUP($H$4,'Met Data'!$O$2:$T$368,G278,FALSE)</f>
        <v>3.4072037420100298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45425</v>
      </c>
      <c r="Q278">
        <f ca="1"/>
        <v>146.20333666236516</v>
      </c>
      <c r="R278">
        <f ca="1"/>
        <v>0.21282416843285601</v>
      </c>
      <c r="S278">
        <f ca="1"/>
        <v>2.8759447619628193E-6</v>
      </c>
      <c r="T278">
        <f ca="1"/>
        <v>0.44549128591401105</v>
      </c>
      <c r="U278">
        <f ca="1"/>
        <v>0</v>
      </c>
      <c r="V278">
        <f ca="1"/>
        <v>29.393885266554999</v>
      </c>
      <c r="W278">
        <f ca="1"/>
        <v>26.889961706811398</v>
      </c>
      <c r="X278">
        <f ca="1"/>
        <v>0</v>
      </c>
      <c r="Y278">
        <f ca="1"/>
        <v>0.61112785012414372</v>
      </c>
      <c r="Z278">
        <f ca="1"/>
        <v>0</v>
      </c>
      <c r="AA278">
        <f ca="1"/>
        <v>0</v>
      </c>
      <c r="AB278">
        <f ca="1"/>
        <v>0.99998854346182697</v>
      </c>
      <c r="AD278" s="2">
        <f t="shared" ca="1" si="42"/>
        <v>45425</v>
      </c>
      <c r="AE278" s="46">
        <f t="shared" ca="1" si="43"/>
        <v>0</v>
      </c>
      <c r="AG278" s="72">
        <f t="shared" ca="1" si="47"/>
        <v>146.41616083079805</v>
      </c>
      <c r="AH278" s="72">
        <f t="shared" ca="1" si="48"/>
        <v>146.41616083079802</v>
      </c>
      <c r="AI278" s="3">
        <f t="shared" ca="1" si="49"/>
        <v>0</v>
      </c>
    </row>
    <row r="279" spans="7:35" x14ac:dyDescent="0.25">
      <c r="G279" s="3">
        <f t="shared" ca="1" si="44"/>
        <v>91</v>
      </c>
      <c r="H279" s="105">
        <f t="shared" ca="1" si="46"/>
        <v>45381</v>
      </c>
      <c r="I279" s="133">
        <f ca="1">HLOOKUP($H$4,'Met Data'!$A$2:$F$368,G279,FALSE)</f>
        <v>14.0308823529411</v>
      </c>
      <c r="J279" s="133">
        <f ca="1">HLOOKUP($H$4,'Met Data'!$H$2:$M$368,G279,FALSE)*L279</f>
        <v>1.8794117647058799</v>
      </c>
      <c r="K279" s="106">
        <f ca="1">HLOOKUP($H$4,'Met Data'!$O$2:$T$368,G279,FALSE)</f>
        <v>3.0552812923505202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45426</v>
      </c>
      <c r="Q279">
        <f ca="1"/>
        <v>146.43018809565419</v>
      </c>
      <c r="R279">
        <f ca="1"/>
        <v>0.20071325143955601</v>
      </c>
      <c r="S279">
        <f ca="1"/>
        <v>2.553699343207593E-6</v>
      </c>
      <c r="T279">
        <f ca="1"/>
        <v>0.42756213102922908</v>
      </c>
      <c r="U279">
        <f ca="1"/>
        <v>0</v>
      </c>
      <c r="V279">
        <f ca="1"/>
        <v>29.594598517994498</v>
      </c>
      <c r="W279">
        <f ca="1"/>
        <v>27.073577162757999</v>
      </c>
      <c r="X279">
        <f ca="1"/>
        <v>0</v>
      </c>
      <c r="Y279">
        <f ca="1"/>
        <v>0.61043704773605467</v>
      </c>
      <c r="Z279">
        <f ca="1"/>
        <v>0</v>
      </c>
      <c r="AA279">
        <f ca="1"/>
        <v>0</v>
      </c>
      <c r="AB279">
        <f ca="1"/>
        <v>0.999989591464994</v>
      </c>
      <c r="AD279" s="2">
        <f t="shared" ca="1" si="42"/>
        <v>45426</v>
      </c>
      <c r="AE279" s="46">
        <f t="shared" ca="1" si="43"/>
        <v>0</v>
      </c>
      <c r="AG279" s="72">
        <f t="shared" ca="1" si="47"/>
        <v>146.63090134709373</v>
      </c>
      <c r="AH279" s="72">
        <f t="shared" ca="1" si="48"/>
        <v>146.63090134709375</v>
      </c>
      <c r="AI279" s="3">
        <f t="shared" ca="1" si="49"/>
        <v>0</v>
      </c>
    </row>
    <row r="280" spans="7:35" x14ac:dyDescent="0.25">
      <c r="G280" s="3">
        <f t="shared" ca="1" si="44"/>
        <v>92</v>
      </c>
      <c r="H280" s="105">
        <f t="shared" ca="1" si="46"/>
        <v>45382</v>
      </c>
      <c r="I280" s="133">
        <f ca="1">HLOOKUP($H$4,'Met Data'!$A$2:$F$368,G280,FALSE)</f>
        <v>13.4647058823529</v>
      </c>
      <c r="J280" s="133">
        <f ca="1">HLOOKUP($H$4,'Met Data'!$H$2:$M$368,G280,FALSE)*L280</f>
        <v>1.0852941176470501</v>
      </c>
      <c r="K280" s="106">
        <f ca="1">HLOOKUP($H$4,'Met Data'!$O$2:$T$368,G280,FALSE)</f>
        <v>3.01312511683413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45427</v>
      </c>
      <c r="Q280">
        <f ca="1"/>
        <v>146.67452848071457</v>
      </c>
      <c r="R280">
        <f ca="1"/>
        <v>0.20854128524842599</v>
      </c>
      <c r="S280">
        <f ca="1"/>
        <v>2.5191145123336233E-6</v>
      </c>
      <c r="T280">
        <f ca="1"/>
        <v>0.45287915119429462</v>
      </c>
      <c r="U280">
        <f ca="1"/>
        <v>0</v>
      </c>
      <c r="V280">
        <f ca="1"/>
        <v>29.803139803242999</v>
      </c>
      <c r="W280">
        <f ca="1"/>
        <v>27.264353820003699</v>
      </c>
      <c r="X280">
        <f ca="1"/>
        <v>0</v>
      </c>
      <c r="Y280">
        <f ca="1"/>
        <v>0.61255008209924022</v>
      </c>
      <c r="Z280">
        <f ca="1"/>
        <v>0</v>
      </c>
      <c r="AA280">
        <f ca="1"/>
        <v>0</v>
      </c>
      <c r="AB280">
        <f ca="1"/>
        <v>0.999990595720889</v>
      </c>
      <c r="AD280" s="2">
        <f t="shared" ca="1" si="42"/>
        <v>45427</v>
      </c>
      <c r="AE280" s="46">
        <f t="shared" ca="1" si="43"/>
        <v>0</v>
      </c>
      <c r="AG280" s="72">
        <f t="shared" ca="1" si="47"/>
        <v>146.88306976596297</v>
      </c>
      <c r="AH280" s="72">
        <f t="shared" ca="1" si="48"/>
        <v>146.883069765963</v>
      </c>
      <c r="AI280" s="3">
        <f t="shared" ca="1" si="49"/>
        <v>0</v>
      </c>
    </row>
    <row r="281" spans="7:35" x14ac:dyDescent="0.25">
      <c r="G281" s="3">
        <f t="shared" ca="1" si="44"/>
        <v>93</v>
      </c>
      <c r="H281" s="105">
        <f t="shared" ca="1" si="46"/>
        <v>45383</v>
      </c>
      <c r="I281" s="133">
        <f ca="1">HLOOKUP($H$4,'Met Data'!$A$2:$F$368,G281,FALSE)</f>
        <v>14.017647058823499</v>
      </c>
      <c r="J281" s="133">
        <f ca="1">HLOOKUP($H$4,'Met Data'!$H$2:$M$368,G281,FALSE)*L281</f>
        <v>0.94117647058823495</v>
      </c>
      <c r="K281" s="106">
        <f ca="1">HLOOKUP($H$4,'Met Data'!$O$2:$T$368,G281,FALSE)</f>
        <v>3.2186093862229201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45428</v>
      </c>
      <c r="Q281">
        <f ca="1"/>
        <v>146.90755718921648</v>
      </c>
      <c r="R281">
        <f ca="1"/>
        <v>0.18675220311817101</v>
      </c>
      <c r="S281">
        <f ca="1"/>
        <v>2.159556489060302E-6</v>
      </c>
      <c r="T281">
        <f ca="1"/>
        <v>0.41977875206359283</v>
      </c>
      <c r="U281">
        <f ca="1"/>
        <v>0</v>
      </c>
      <c r="V281">
        <f ca="1"/>
        <v>29.989892006361099</v>
      </c>
      <c r="W281">
        <f ca="1"/>
        <v>27.4351975021155</v>
      </c>
      <c r="X281">
        <f ca="1"/>
        <v>0</v>
      </c>
      <c r="Y281">
        <f ca="1"/>
        <v>0.62264072541810767</v>
      </c>
      <c r="Z281">
        <f ca="1"/>
        <v>0</v>
      </c>
      <c r="AA281">
        <f ca="1"/>
        <v>0</v>
      </c>
      <c r="AB281">
        <f ca="1"/>
        <v>0.99999142650672801</v>
      </c>
      <c r="AD281" s="2">
        <f t="shared" ca="1" si="42"/>
        <v>45428</v>
      </c>
      <c r="AE281" s="46">
        <f t="shared" ca="1" si="43"/>
        <v>0</v>
      </c>
      <c r="AG281" s="72">
        <f t="shared" ca="1" si="47"/>
        <v>147.09430939233465</v>
      </c>
      <c r="AH281" s="72">
        <f t="shared" ca="1" si="48"/>
        <v>147.09430939233465</v>
      </c>
      <c r="AI281" s="3">
        <f t="shared" ca="1" si="49"/>
        <v>0</v>
      </c>
    </row>
    <row r="282" spans="7:35" x14ac:dyDescent="0.25">
      <c r="G282" s="3">
        <f t="shared" ca="1" si="44"/>
        <v>94</v>
      </c>
      <c r="H282" s="105">
        <f t="shared" ca="1" si="46"/>
        <v>45384</v>
      </c>
      <c r="I282" s="133">
        <f ca="1">HLOOKUP($H$4,'Met Data'!$A$2:$F$368,G282,FALSE)</f>
        <v>13.6090909090909</v>
      </c>
      <c r="J282" s="133">
        <f ca="1">HLOOKUP($H$4,'Met Data'!$H$2:$M$368,G282,FALSE)*L282</f>
        <v>1.49117647058823</v>
      </c>
      <c r="K282" s="106">
        <f ca="1">HLOOKUP($H$4,'Met Data'!$O$2:$T$368,G282,FALSE)</f>
        <v>3.07176916757397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45429</v>
      </c>
      <c r="Q282">
        <f ca="1"/>
        <v>147.1389571557466</v>
      </c>
      <c r="R282">
        <f ca="1"/>
        <v>0.17905838545588201</v>
      </c>
      <c r="S282">
        <f ca="1"/>
        <v>1.9620134200205215E-6</v>
      </c>
      <c r="T282">
        <f ca="1"/>
        <v>0.41045638997258682</v>
      </c>
      <c r="U282">
        <f ca="1"/>
        <v>0</v>
      </c>
      <c r="V282">
        <f ca="1"/>
        <v>30.168950391816999</v>
      </c>
      <c r="W282">
        <f ca="1"/>
        <v>27.599002765847398</v>
      </c>
      <c r="X282">
        <f ca="1"/>
        <v>0</v>
      </c>
      <c r="Y282">
        <f ca="1"/>
        <v>0.62323099037071217</v>
      </c>
      <c r="Z282">
        <f ca="1"/>
        <v>0</v>
      </c>
      <c r="AA282">
        <f ca="1"/>
        <v>0</v>
      </c>
      <c r="AB282">
        <f ca="1"/>
        <v>0.99999216600496799</v>
      </c>
      <c r="AD282" s="2">
        <f t="shared" ca="1" si="42"/>
        <v>45429</v>
      </c>
      <c r="AE282" s="46">
        <f t="shared" ca="1" si="43"/>
        <v>0</v>
      </c>
      <c r="AG282" s="72">
        <f t="shared" ca="1" si="47"/>
        <v>147.31801554120247</v>
      </c>
      <c r="AH282" s="72">
        <f t="shared" ca="1" si="48"/>
        <v>147.31801554120247</v>
      </c>
      <c r="AI282" s="3">
        <f t="shared" ca="1" si="49"/>
        <v>0</v>
      </c>
    </row>
    <row r="283" spans="7:35" x14ac:dyDescent="0.25">
      <c r="G283" s="3">
        <f t="shared" ca="1" si="44"/>
        <v>95</v>
      </c>
      <c r="H283" s="105">
        <f t="shared" ca="1" si="46"/>
        <v>45385</v>
      </c>
      <c r="I283" s="133">
        <f ca="1">HLOOKUP($H$4,'Met Data'!$A$2:$F$368,G283,FALSE)</f>
        <v>13.085294117647001</v>
      </c>
      <c r="J283" s="133">
        <f ca="1">HLOOKUP($H$4,'Met Data'!$H$2:$M$368,G283,FALSE)*L283</f>
        <v>1.72941176470588</v>
      </c>
      <c r="K283" s="106">
        <f ca="1">HLOOKUP($H$4,'Met Data'!$O$2:$T$368,G283,FALSE)</f>
        <v>2.7784232053438802</v>
      </c>
      <c r="L283">
        <f t="shared" ca="1" si="40"/>
        <v>1</v>
      </c>
      <c r="N283" t="b">
        <f t="shared" ca="1" si="45"/>
        <v>0</v>
      </c>
      <c r="O283" t="b">
        <f t="shared" ca="1" si="41"/>
        <v>0</v>
      </c>
      <c r="P283" s="2">
        <f ca="1"/>
        <v>45430</v>
      </c>
      <c r="Q283">
        <f ca="1"/>
        <v>147.38130313071045</v>
      </c>
      <c r="R283">
        <f ca="1"/>
        <v>0.182119315644449</v>
      </c>
      <c r="S283">
        <f ca="1"/>
        <v>1.8967298516913906E-6</v>
      </c>
      <c r="T283">
        <f ca="1"/>
        <v>0.42446339387845566</v>
      </c>
      <c r="U283">
        <f ca="1"/>
        <v>0</v>
      </c>
      <c r="V283">
        <f ca="1"/>
        <v>30.351069707461502</v>
      </c>
      <c r="W283">
        <f ca="1"/>
        <v>27.765608213862901</v>
      </c>
      <c r="X283">
        <f ca="1"/>
        <v>0</v>
      </c>
      <c r="Y283">
        <f ca="1"/>
        <v>0.62440680432075923</v>
      </c>
      <c r="Z283">
        <f ca="1"/>
        <v>0</v>
      </c>
      <c r="AA283">
        <f ca="1"/>
        <v>0</v>
      </c>
      <c r="AB283">
        <f ca="1"/>
        <v>0.99999286424558198</v>
      </c>
      <c r="AD283" s="2">
        <f t="shared" ca="1" si="42"/>
        <v>45430</v>
      </c>
      <c r="AE283" s="46">
        <f t="shared" ca="1" si="43"/>
        <v>0</v>
      </c>
      <c r="AG283" s="72">
        <f t="shared" ca="1" si="47"/>
        <v>147.56342244635491</v>
      </c>
      <c r="AH283" s="72">
        <f t="shared" ca="1" si="48"/>
        <v>147.56342244635491</v>
      </c>
      <c r="AI283" s="3">
        <f t="shared" ca="1" si="49"/>
        <v>0</v>
      </c>
    </row>
    <row r="284" spans="7:35" x14ac:dyDescent="0.25">
      <c r="G284" s="3">
        <f t="shared" ca="1" si="44"/>
        <v>96</v>
      </c>
      <c r="H284" s="105">
        <f t="shared" ca="1" si="46"/>
        <v>45386</v>
      </c>
      <c r="I284" s="133">
        <f ca="1">HLOOKUP($H$4,'Met Data'!$A$2:$F$368,G284,FALSE)</f>
        <v>12.85</v>
      </c>
      <c r="J284" s="133">
        <f ca="1">HLOOKUP($H$4,'Met Data'!$H$2:$M$368,G284,FALSE)*L284</f>
        <v>1.3441176470588201</v>
      </c>
      <c r="K284" s="106">
        <f ca="1">HLOOKUP($H$4,'Met Data'!$O$2:$T$368,G284,FALSE)</f>
        <v>2.61431180626996</v>
      </c>
      <c r="L284">
        <f t="shared" ca="1" si="40"/>
        <v>1</v>
      </c>
      <c r="N284" t="b">
        <f t="shared" ca="1" si="45"/>
        <v>0</v>
      </c>
      <c r="O284" t="b">
        <f t="shared" ca="1" si="41"/>
        <v>0</v>
      </c>
      <c r="P284" s="2">
        <f ca="1"/>
        <v>45431</v>
      </c>
      <c r="Q284">
        <f ca="1"/>
        <v>147.63107110720046</v>
      </c>
      <c r="R284">
        <f ca="1"/>
        <v>0.18021024798176599</v>
      </c>
      <c r="S284">
        <f ca="1"/>
        <v>1.7893311763660421E-6</v>
      </c>
      <c r="T284">
        <f ca="1"/>
        <v>0.42997643514057149</v>
      </c>
      <c r="U284">
        <f ca="1"/>
        <v>0</v>
      </c>
      <c r="V284">
        <f ca="1"/>
        <v>30.5312799554432</v>
      </c>
      <c r="W284">
        <f ca="1"/>
        <v>27.930467218498102</v>
      </c>
      <c r="X284">
        <f ca="1"/>
        <v>0</v>
      </c>
      <c r="Y284">
        <f ca="1"/>
        <v>0.62876358767359197</v>
      </c>
      <c r="Z284">
        <f ca="1"/>
        <v>0</v>
      </c>
      <c r="AA284">
        <f ca="1"/>
        <v>0</v>
      </c>
      <c r="AB284">
        <f ca="1"/>
        <v>0.99999350482483895</v>
      </c>
      <c r="AD284" s="2">
        <f t="shared" ca="1" si="42"/>
        <v>45431</v>
      </c>
      <c r="AE284" s="46">
        <f t="shared" ca="1" si="43"/>
        <v>0</v>
      </c>
      <c r="AG284" s="72">
        <f t="shared" ca="1" si="47"/>
        <v>147.81128135518219</v>
      </c>
      <c r="AH284" s="72">
        <f t="shared" ca="1" si="48"/>
        <v>147.81128135518222</v>
      </c>
      <c r="AI284" s="3">
        <f t="shared" ca="1" si="49"/>
        <v>0</v>
      </c>
    </row>
    <row r="285" spans="7:35" x14ac:dyDescent="0.25">
      <c r="G285" s="3">
        <f t="shared" ca="1" si="44"/>
        <v>97</v>
      </c>
      <c r="H285" s="105">
        <f t="shared" ca="1" si="46"/>
        <v>45387</v>
      </c>
      <c r="I285" s="133">
        <f ca="1">HLOOKUP($H$4,'Met Data'!$A$2:$F$368,G285,FALSE)</f>
        <v>12.9941176470588</v>
      </c>
      <c r="J285" s="133">
        <f ca="1">HLOOKUP($H$4,'Met Data'!$H$2:$M$368,G285,FALSE)*L285</f>
        <v>2.2911764705882298</v>
      </c>
      <c r="K285" s="106">
        <f ca="1">HLOOKUP($H$4,'Met Data'!$O$2:$T$368,G285,FALSE)</f>
        <v>2.55102036350638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#N/A</v>
      </c>
      <c r="AH285" s="7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98</v>
      </c>
      <c r="H286" s="105">
        <f t="shared" ca="1" si="46"/>
        <v>45388</v>
      </c>
      <c r="I286" s="133">
        <f ca="1">HLOOKUP($H$4,'Met Data'!$A$2:$F$368,G286,FALSE)</f>
        <v>12.891176470588199</v>
      </c>
      <c r="J286" s="133">
        <f ca="1">HLOOKUP($H$4,'Met Data'!$H$2:$M$368,G286,FALSE)*L286</f>
        <v>3.5058823529411698</v>
      </c>
      <c r="K286" s="106">
        <f ca="1">HLOOKUP($H$4,'Met Data'!$O$2:$T$368,G286,FALSE)</f>
        <v>2.5900977274770201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#N/A</v>
      </c>
      <c r="AH286" s="7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99</v>
      </c>
      <c r="H287" s="105">
        <f t="shared" ca="1" si="46"/>
        <v>45389</v>
      </c>
      <c r="I287" s="133">
        <f ca="1">HLOOKUP($H$4,'Met Data'!$A$2:$F$368,G287,FALSE)</f>
        <v>12.924999999999899</v>
      </c>
      <c r="J287" s="133">
        <f ca="1">HLOOKUP($H$4,'Met Data'!$H$2:$M$368,G287,FALSE)*L287</f>
        <v>2.1029411764705799</v>
      </c>
      <c r="K287" s="106">
        <f ca="1">HLOOKUP($H$4,'Met Data'!$O$2:$T$368,G287,FALSE)</f>
        <v>2.6944935581784701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#N/A</v>
      </c>
      <c r="AH287" s="7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100</v>
      </c>
      <c r="H288" s="105">
        <f t="shared" ca="1" si="46"/>
        <v>45390</v>
      </c>
      <c r="I288" s="133">
        <f ca="1">HLOOKUP($H$4,'Met Data'!$A$2:$F$368,G288,FALSE)</f>
        <v>12.363235294117599</v>
      </c>
      <c r="J288" s="133">
        <f ca="1">HLOOKUP($H$4,'Met Data'!$H$2:$M$368,G288,FALSE)*L288</f>
        <v>2.8117647058823501</v>
      </c>
      <c r="K288" s="106">
        <f ca="1">HLOOKUP($H$4,'Met Data'!$O$2:$T$368,G288,FALSE)</f>
        <v>2.27410330215878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#N/A</v>
      </c>
      <c r="AH288" s="7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101</v>
      </c>
      <c r="H289" s="105">
        <f t="shared" ca="1" si="46"/>
        <v>45391</v>
      </c>
      <c r="I289" s="133">
        <f ca="1">HLOOKUP($H$4,'Met Data'!$A$2:$F$368,G289,FALSE)</f>
        <v>11.3573529411764</v>
      </c>
      <c r="J289" s="133">
        <f ca="1">HLOOKUP($H$4,'Met Data'!$H$2:$M$368,G289,FALSE)*L289</f>
        <v>2.0676470588235198</v>
      </c>
      <c r="K289" s="106">
        <f ca="1">HLOOKUP($H$4,'Met Data'!$O$2:$T$368,G289,FALSE)</f>
        <v>2.42845739075634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#N/A</v>
      </c>
      <c r="AH289" s="7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102</v>
      </c>
      <c r="H290" s="105">
        <f t="shared" ca="1" si="46"/>
        <v>45392</v>
      </c>
      <c r="I290" s="133">
        <f ca="1">HLOOKUP($H$4,'Met Data'!$A$2:$F$368,G290,FALSE)</f>
        <v>11.6044117647058</v>
      </c>
      <c r="J290" s="133">
        <f ca="1">HLOOKUP($H$4,'Met Data'!$H$2:$M$368,G290,FALSE)*L290</f>
        <v>1.3794117647058799</v>
      </c>
      <c r="K290" s="106">
        <f ca="1">HLOOKUP($H$4,'Met Data'!$O$2:$T$368,G290,FALSE)</f>
        <v>2.30587050945396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#N/A</v>
      </c>
      <c r="AH290" s="7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103</v>
      </c>
      <c r="H291" s="105">
        <f t="shared" ca="1" si="46"/>
        <v>45393</v>
      </c>
      <c r="I291" s="133">
        <f ca="1">HLOOKUP($H$4,'Met Data'!$A$2:$F$368,G291,FALSE)</f>
        <v>11.445454545454499</v>
      </c>
      <c r="J291" s="133">
        <f ca="1">HLOOKUP($H$4,'Met Data'!$H$2:$M$368,G291,FALSE)*L291</f>
        <v>1.8117647058823501</v>
      </c>
      <c r="K291" s="106">
        <f ca="1">HLOOKUP($H$4,'Met Data'!$O$2:$T$368,G291,FALSE)</f>
        <v>2.1258259155745698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#N/A</v>
      </c>
      <c r="AH291" s="7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104</v>
      </c>
      <c r="H292" s="105">
        <f t="shared" ca="1" si="46"/>
        <v>45394</v>
      </c>
      <c r="I292" s="133">
        <f ca="1">HLOOKUP($H$4,'Met Data'!$A$2:$F$368,G292,FALSE)</f>
        <v>11.897058823529401</v>
      </c>
      <c r="J292" s="133">
        <f ca="1">HLOOKUP($H$4,'Met Data'!$H$2:$M$368,G292,FALSE)*L292</f>
        <v>1.4117647058823499</v>
      </c>
      <c r="K292" s="106">
        <f ca="1">HLOOKUP($H$4,'Met Data'!$O$2:$T$368,G292,FALSE)</f>
        <v>2.2855460299238599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#N/A</v>
      </c>
      <c r="AH292" s="7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105</v>
      </c>
      <c r="H293" s="105">
        <f t="shared" ca="1" si="46"/>
        <v>45395</v>
      </c>
      <c r="I293" s="133">
        <f ca="1">HLOOKUP($H$4,'Met Data'!$A$2:$F$368,G293,FALSE)</f>
        <v>11.5014705882352</v>
      </c>
      <c r="J293" s="133">
        <f ca="1">HLOOKUP($H$4,'Met Data'!$H$2:$M$368,G293,FALSE)*L293</f>
        <v>1.26470588235294</v>
      </c>
      <c r="K293" s="106">
        <f ca="1">HLOOKUP($H$4,'Met Data'!$O$2:$T$368,G293,FALSE)</f>
        <v>2.1675311808748998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#N/A</v>
      </c>
      <c r="AH293" s="7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106</v>
      </c>
      <c r="H294" s="105">
        <f t="shared" ca="1" si="46"/>
        <v>45396</v>
      </c>
      <c r="I294" s="133">
        <f ca="1">HLOOKUP($H$4,'Met Data'!$A$2:$F$368,G294,FALSE)</f>
        <v>12.461764705882301</v>
      </c>
      <c r="J294" s="133">
        <f ca="1">HLOOKUP($H$4,'Met Data'!$H$2:$M$368,G294,FALSE)*L294</f>
        <v>0.48529411764705799</v>
      </c>
      <c r="K294" s="106">
        <f ca="1">HLOOKUP($H$4,'Met Data'!$O$2:$T$368,G294,FALSE)</f>
        <v>2.6480171040382698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#N/A</v>
      </c>
      <c r="AH294" s="7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107</v>
      </c>
      <c r="H295" s="105">
        <f t="shared" ca="1" si="46"/>
        <v>45397</v>
      </c>
      <c r="I295" s="133">
        <f ca="1">HLOOKUP($H$4,'Met Data'!$A$2:$F$368,G295,FALSE)</f>
        <v>12.083823529411699</v>
      </c>
      <c r="J295" s="133">
        <f ca="1">HLOOKUP($H$4,'Met Data'!$H$2:$M$368,G295,FALSE)*L295</f>
        <v>1.1558823529411699</v>
      </c>
      <c r="K295" s="106">
        <f ca="1">HLOOKUP($H$4,'Met Data'!$O$2:$T$368,G295,FALSE)</f>
        <v>2.1774423034333599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#N/A</v>
      </c>
      <c r="AH295" s="7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108</v>
      </c>
      <c r="H296" s="105">
        <f t="shared" ca="1" si="46"/>
        <v>45398</v>
      </c>
      <c r="I296" s="133">
        <f ca="1">HLOOKUP($H$4,'Met Data'!$A$2:$F$368,G296,FALSE)</f>
        <v>12.307352941176401</v>
      </c>
      <c r="J296" s="133">
        <f ca="1">HLOOKUP($H$4,'Met Data'!$H$2:$M$368,G296,FALSE)*L296</f>
        <v>1.68823529411764</v>
      </c>
      <c r="K296" s="106">
        <f ca="1">HLOOKUP($H$4,'Met Data'!$O$2:$T$368,G296,FALSE)</f>
        <v>2.0825962231468602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#N/A</v>
      </c>
      <c r="AH296" s="7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109</v>
      </c>
      <c r="H297" s="105">
        <f t="shared" ca="1" si="46"/>
        <v>45399</v>
      </c>
      <c r="I297" s="133">
        <f ca="1">HLOOKUP($H$4,'Met Data'!$A$2:$F$368,G297,FALSE)</f>
        <v>11.5970588235294</v>
      </c>
      <c r="J297" s="133">
        <f ca="1">HLOOKUP($H$4,'Met Data'!$H$2:$M$368,G297,FALSE)*L297</f>
        <v>1.19117647058823</v>
      </c>
      <c r="K297" s="106">
        <f ca="1">HLOOKUP($H$4,'Met Data'!$O$2:$T$368,G297,FALSE)</f>
        <v>1.83123332157564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#N/A</v>
      </c>
      <c r="AH297" s="7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110</v>
      </c>
      <c r="H298" s="105">
        <f t="shared" ca="1" si="46"/>
        <v>45400</v>
      </c>
      <c r="I298" s="133">
        <f ca="1">HLOOKUP($H$4,'Met Data'!$A$2:$F$368,G298,FALSE)</f>
        <v>11.710294117647001</v>
      </c>
      <c r="J298" s="133">
        <f ca="1">HLOOKUP($H$4,'Met Data'!$H$2:$M$368,G298,FALSE)*L298</f>
        <v>0.876470588235294</v>
      </c>
      <c r="K298" s="106">
        <f ca="1">HLOOKUP($H$4,'Met Data'!$O$2:$T$368,G298,FALSE)</f>
        <v>1.9918324383127699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#N/A</v>
      </c>
      <c r="AH298" s="7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111</v>
      </c>
      <c r="H299" s="105">
        <f t="shared" ca="1" si="46"/>
        <v>45401</v>
      </c>
      <c r="I299" s="133">
        <f ca="1">HLOOKUP($H$4,'Met Data'!$A$2:$F$368,G299,FALSE)</f>
        <v>12.0897058823529</v>
      </c>
      <c r="J299" s="133">
        <f ca="1">HLOOKUP($H$4,'Met Data'!$H$2:$M$368,G299,FALSE)*L299</f>
        <v>1.6147058823529401</v>
      </c>
      <c r="K299" s="106">
        <f ca="1">HLOOKUP($H$4,'Met Data'!$O$2:$T$368,G299,FALSE)</f>
        <v>2.3214267905608299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#N/A</v>
      </c>
      <c r="AH299" s="7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112</v>
      </c>
      <c r="H300" s="105">
        <f t="shared" ca="1" si="46"/>
        <v>45402</v>
      </c>
      <c r="I300" s="133">
        <f ca="1">HLOOKUP($H$4,'Met Data'!$A$2:$F$368,G300,FALSE)</f>
        <v>11.1882352941176</v>
      </c>
      <c r="J300" s="133">
        <f ca="1">HLOOKUP($H$4,'Met Data'!$H$2:$M$368,G300,FALSE)*L300</f>
        <v>1.6352941176470499</v>
      </c>
      <c r="K300" s="106">
        <f ca="1">HLOOKUP($H$4,'Met Data'!$O$2:$T$368,G300,FALSE)</f>
        <v>1.88439420500637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#N/A</v>
      </c>
      <c r="AH300" s="7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113</v>
      </c>
      <c r="H301" s="105">
        <f t="shared" ca="1" si="46"/>
        <v>45403</v>
      </c>
      <c r="I301" s="133">
        <f ca="1">HLOOKUP($H$4,'Met Data'!$A$2:$F$368,G301,FALSE)</f>
        <v>11.0044117647058</v>
      </c>
      <c r="J301" s="133">
        <f ca="1">HLOOKUP($H$4,'Met Data'!$H$2:$M$368,G301,FALSE)*L301</f>
        <v>0.81176470588235194</v>
      </c>
      <c r="K301" s="106">
        <f ca="1">HLOOKUP($H$4,'Met Data'!$O$2:$T$368,G301,FALSE)</f>
        <v>1.9179571566201901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#N/A</v>
      </c>
      <c r="AH301" s="7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114</v>
      </c>
      <c r="H302" s="105">
        <f t="shared" ca="1" si="46"/>
        <v>45404</v>
      </c>
      <c r="I302" s="133">
        <f ca="1">HLOOKUP($H$4,'Met Data'!$A$2:$F$368,G302,FALSE)</f>
        <v>11.586764705882301</v>
      </c>
      <c r="J302" s="133">
        <f ca="1">HLOOKUP($H$4,'Met Data'!$H$2:$M$368,G302,FALSE)*L302</f>
        <v>0.77352941176470502</v>
      </c>
      <c r="K302" s="106">
        <f ca="1">HLOOKUP($H$4,'Met Data'!$O$2:$T$368,G302,FALSE)</f>
        <v>2.1115808573458499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#N/A</v>
      </c>
      <c r="AH302" s="7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115</v>
      </c>
      <c r="H303" s="105">
        <f t="shared" ca="1" si="46"/>
        <v>45405</v>
      </c>
      <c r="I303" s="133">
        <f ca="1">HLOOKUP($H$4,'Met Data'!$A$2:$F$368,G303,FALSE)</f>
        <v>10.9985294117647</v>
      </c>
      <c r="J303" s="133">
        <f ca="1">HLOOKUP($H$4,'Met Data'!$H$2:$M$368,G303,FALSE)*L303</f>
        <v>1.75294117647058</v>
      </c>
      <c r="K303" s="106">
        <f ca="1">HLOOKUP($H$4,'Met Data'!$O$2:$T$368,G303,FALSE)</f>
        <v>1.81614923585608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#N/A</v>
      </c>
      <c r="AH303" s="7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116</v>
      </c>
      <c r="H304" s="105">
        <f t="shared" ca="1" si="46"/>
        <v>45406</v>
      </c>
      <c r="I304" s="133">
        <f ca="1">HLOOKUP($H$4,'Met Data'!$A$2:$F$368,G304,FALSE)</f>
        <v>11.547058823529399</v>
      </c>
      <c r="J304" s="133">
        <f ca="1">HLOOKUP($H$4,'Met Data'!$H$2:$M$368,G304,FALSE)*L304</f>
        <v>1.70294117647058</v>
      </c>
      <c r="K304" s="106">
        <f ca="1">HLOOKUP($H$4,'Met Data'!$O$2:$T$368,G304,FALSE)</f>
        <v>1.8798608741396901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#N/A</v>
      </c>
      <c r="AH304" s="7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117</v>
      </c>
      <c r="H305" s="105">
        <f t="shared" ca="1" si="46"/>
        <v>45407</v>
      </c>
      <c r="I305" s="133">
        <f ca="1">HLOOKUP($H$4,'Met Data'!$A$2:$F$368,G305,FALSE)</f>
        <v>11.6955882352941</v>
      </c>
      <c r="J305" s="133">
        <f ca="1">HLOOKUP($H$4,'Met Data'!$H$2:$M$368,G305,FALSE)*L305</f>
        <v>0.41176470588235198</v>
      </c>
      <c r="K305" s="106">
        <f ca="1">HLOOKUP($H$4,'Met Data'!$O$2:$T$368,G305,FALSE)</f>
        <v>1.88699621875139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#N/A</v>
      </c>
      <c r="AH305" s="7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118</v>
      </c>
      <c r="H306" s="105">
        <f t="shared" ca="1" si="46"/>
        <v>45408</v>
      </c>
      <c r="I306" s="133">
        <f ca="1">HLOOKUP($H$4,'Met Data'!$A$2:$F$368,G306,FALSE)</f>
        <v>11.833823529411699</v>
      </c>
      <c r="J306" s="133">
        <f ca="1">HLOOKUP($H$4,'Met Data'!$H$2:$M$368,G306,FALSE)*L306</f>
        <v>1.79705882352941</v>
      </c>
      <c r="K306" s="106">
        <f ca="1">HLOOKUP($H$4,'Met Data'!$O$2:$T$368,G306,FALSE)</f>
        <v>1.76466679700699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#N/A</v>
      </c>
      <c r="AH306" s="7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119</v>
      </c>
      <c r="H307" s="105">
        <f t="shared" ca="1" si="46"/>
        <v>45409</v>
      </c>
      <c r="I307" s="133">
        <f ca="1">HLOOKUP($H$4,'Met Data'!$A$2:$F$368,G307,FALSE)</f>
        <v>12.1279411764705</v>
      </c>
      <c r="J307" s="133">
        <f ca="1">HLOOKUP($H$4,'Met Data'!$H$2:$M$368,G307,FALSE)*L307</f>
        <v>2.1588235294117601</v>
      </c>
      <c r="K307" s="106">
        <f ca="1">HLOOKUP($H$4,'Met Data'!$O$2:$T$368,G307,FALSE)</f>
        <v>1.95217239254561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#N/A</v>
      </c>
      <c r="AH307" s="7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120</v>
      </c>
      <c r="H308" s="105">
        <f t="shared" ca="1" si="46"/>
        <v>45410</v>
      </c>
      <c r="I308" s="133">
        <f ca="1">HLOOKUP($H$4,'Met Data'!$A$2:$F$368,G308,FALSE)</f>
        <v>10.824999999999999</v>
      </c>
      <c r="J308" s="133">
        <f ca="1">HLOOKUP($H$4,'Met Data'!$H$2:$M$368,G308,FALSE)*L308</f>
        <v>5.4352941176470502</v>
      </c>
      <c r="K308" s="106">
        <f ca="1">HLOOKUP($H$4,'Met Data'!$O$2:$T$368,G308,FALSE)</f>
        <v>1.6384329462009699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#N/A</v>
      </c>
      <c r="AH308" s="7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121</v>
      </c>
      <c r="H309" s="105">
        <f t="shared" ca="1" si="46"/>
        <v>45411</v>
      </c>
      <c r="I309" s="133">
        <f ca="1">HLOOKUP($H$4,'Met Data'!$A$2:$F$368,G309,FALSE)</f>
        <v>10.554411764705799</v>
      </c>
      <c r="J309" s="133">
        <f ca="1">HLOOKUP($H$4,'Met Data'!$H$2:$M$368,G309,FALSE)*L309</f>
        <v>2.5852941176470501</v>
      </c>
      <c r="K309" s="106">
        <f ca="1">HLOOKUP($H$4,'Met Data'!$O$2:$T$368,G309,FALSE)</f>
        <v>1.6462620711534199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#N/A</v>
      </c>
      <c r="AH309" s="7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122</v>
      </c>
      <c r="H310" s="105">
        <f t="shared" ca="1" si="46"/>
        <v>45412</v>
      </c>
      <c r="I310" s="133">
        <f ca="1">HLOOKUP($H$4,'Met Data'!$A$2:$F$368,G310,FALSE)</f>
        <v>10.2014705882352</v>
      </c>
      <c r="J310" s="133">
        <f ca="1">HLOOKUP($H$4,'Met Data'!$H$2:$M$368,G310,FALSE)*L310</f>
        <v>1.01176470588235</v>
      </c>
      <c r="K310" s="106">
        <f ca="1">HLOOKUP($H$4,'Met Data'!$O$2:$T$368,G310,FALSE)</f>
        <v>1.5886994013641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#N/A</v>
      </c>
      <c r="AH310" s="7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123</v>
      </c>
      <c r="H311" s="105">
        <f t="shared" ca="1" si="46"/>
        <v>45413</v>
      </c>
      <c r="I311" s="133">
        <f ca="1">HLOOKUP($H$4,'Met Data'!$A$2:$F$368,G311,FALSE)</f>
        <v>10.3191176470588</v>
      </c>
      <c r="J311" s="133">
        <f ca="1">HLOOKUP($H$4,'Met Data'!$H$2:$M$368,G311,FALSE)*L311</f>
        <v>0.91470588235294104</v>
      </c>
      <c r="K311" s="106">
        <f ca="1">HLOOKUP($H$4,'Met Data'!$O$2:$T$368,G311,FALSE)</f>
        <v>1.52724346363737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#N/A</v>
      </c>
      <c r="AH311" s="7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124</v>
      </c>
      <c r="H312" s="105">
        <f t="shared" ca="1" si="46"/>
        <v>45414</v>
      </c>
      <c r="I312" s="133">
        <f ca="1">HLOOKUP($H$4,'Met Data'!$A$2:$F$368,G312,FALSE)</f>
        <v>10.267647058823499</v>
      </c>
      <c r="J312" s="133">
        <f ca="1">HLOOKUP($H$4,'Met Data'!$H$2:$M$368,G312,FALSE)*L312</f>
        <v>0.91764705882352904</v>
      </c>
      <c r="K312" s="106">
        <f ca="1">HLOOKUP($H$4,'Met Data'!$O$2:$T$368,G312,FALSE)</f>
        <v>1.7604236957874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#N/A</v>
      </c>
      <c r="AH312" s="7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125</v>
      </c>
      <c r="H313" s="105">
        <f t="shared" ca="1" si="46"/>
        <v>45415</v>
      </c>
      <c r="I313" s="133">
        <f ca="1">HLOOKUP($H$4,'Met Data'!$A$2:$F$368,G313,FALSE)</f>
        <v>10.807352941176401</v>
      </c>
      <c r="J313" s="133">
        <f ca="1">HLOOKUP($H$4,'Met Data'!$H$2:$M$368,G313,FALSE)*L313</f>
        <v>1.78529411764705</v>
      </c>
      <c r="K313" s="106">
        <f ca="1">HLOOKUP($H$4,'Met Data'!$O$2:$T$368,G313,FALSE)</f>
        <v>1.87410891042832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#N/A</v>
      </c>
      <c r="AH313" s="7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126</v>
      </c>
      <c r="H314" s="105">
        <f t="shared" ca="1" si="46"/>
        <v>45416</v>
      </c>
      <c r="I314" s="133">
        <f ca="1">HLOOKUP($H$4,'Met Data'!$A$2:$F$368,G314,FALSE)</f>
        <v>10.7742424242424</v>
      </c>
      <c r="J314" s="133">
        <f ca="1">HLOOKUP($H$4,'Met Data'!$H$2:$M$368,G314,FALSE)*L314</f>
        <v>1.0941176470588201</v>
      </c>
      <c r="K314" s="106">
        <f ca="1">HLOOKUP($H$4,'Met Data'!$O$2:$T$368,G314,FALSE)</f>
        <v>1.5837713381857701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#N/A</v>
      </c>
      <c r="AH314" s="7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127</v>
      </c>
      <c r="H315" s="105">
        <f t="shared" ca="1" si="46"/>
        <v>45417</v>
      </c>
      <c r="I315" s="133">
        <f ca="1">HLOOKUP($H$4,'Met Data'!$A$2:$F$368,G315,FALSE)</f>
        <v>11.583823529411699</v>
      </c>
      <c r="J315" s="133">
        <f ca="1">HLOOKUP($H$4,'Met Data'!$H$2:$M$368,G315,FALSE)*L315</f>
        <v>3.2617647058823498</v>
      </c>
      <c r="K315" s="106">
        <f ca="1">HLOOKUP($H$4,'Met Data'!$O$2:$T$368,G315,FALSE)</f>
        <v>1.9285474517201799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#N/A</v>
      </c>
      <c r="AH315" s="7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128</v>
      </c>
      <c r="H316" s="105">
        <f t="shared" ca="1" si="46"/>
        <v>45418</v>
      </c>
      <c r="I316" s="133">
        <f ca="1">HLOOKUP($H$4,'Met Data'!$A$2:$F$368,G316,FALSE)</f>
        <v>11.138235294117599</v>
      </c>
      <c r="J316" s="133">
        <f ca="1">HLOOKUP($H$4,'Met Data'!$H$2:$M$368,G316,FALSE)*L316</f>
        <v>1.1176470588235199</v>
      </c>
      <c r="K316" s="106">
        <f ca="1">HLOOKUP($H$4,'Met Data'!$O$2:$T$368,G316,FALSE)</f>
        <v>1.69465579062546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#N/A</v>
      </c>
      <c r="AH316" s="7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129</v>
      </c>
      <c r="H317" s="105">
        <f t="shared" ca="1" si="46"/>
        <v>45419</v>
      </c>
      <c r="I317" s="133">
        <f ca="1">HLOOKUP($H$4,'Met Data'!$A$2:$F$368,G317,FALSE)</f>
        <v>10.079411764705799</v>
      </c>
      <c r="J317" s="133">
        <f ca="1">HLOOKUP($H$4,'Met Data'!$H$2:$M$368,G317,FALSE)*L317</f>
        <v>3.0588235294117601</v>
      </c>
      <c r="K317" s="106">
        <f ca="1">HLOOKUP($H$4,'Met Data'!$O$2:$T$368,G317,FALSE)</f>
        <v>1.6998944555739099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#N/A</v>
      </c>
      <c r="AH317" s="7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130</v>
      </c>
      <c r="H318" s="105">
        <f t="shared" ca="1" si="46"/>
        <v>45420</v>
      </c>
      <c r="I318" s="133">
        <f ca="1">HLOOKUP($H$4,'Met Data'!$A$2:$F$368,G318,FALSE)</f>
        <v>10.2279411764705</v>
      </c>
      <c r="J318" s="133">
        <f ca="1">HLOOKUP($H$4,'Met Data'!$H$2:$M$368,G318,FALSE)*L318</f>
        <v>0.78235294117647003</v>
      </c>
      <c r="K318" s="106">
        <f ca="1">HLOOKUP($H$4,'Met Data'!$O$2:$T$368,G318,FALSE)</f>
        <v>1.6080556103689001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#N/A</v>
      </c>
      <c r="AH318" s="7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131</v>
      </c>
      <c r="H319" s="105">
        <f t="shared" ca="1" si="46"/>
        <v>45421</v>
      </c>
      <c r="I319" s="133">
        <f ca="1">HLOOKUP($H$4,'Met Data'!$A$2:$F$368,G319,FALSE)</f>
        <v>10.1044117647058</v>
      </c>
      <c r="J319" s="133">
        <f ca="1">HLOOKUP($H$4,'Met Data'!$H$2:$M$368,G319,FALSE)*L319</f>
        <v>1.99411764705882</v>
      </c>
      <c r="K319" s="106">
        <f ca="1">HLOOKUP($H$4,'Met Data'!$O$2:$T$368,G319,FALSE)</f>
        <v>1.41413311869791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#N/A</v>
      </c>
      <c r="AH319" s="7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132</v>
      </c>
      <c r="H320" s="105">
        <f t="shared" ca="1" si="46"/>
        <v>45422</v>
      </c>
      <c r="I320" s="133">
        <f ca="1">HLOOKUP($H$4,'Met Data'!$A$2:$F$368,G320,FALSE)</f>
        <v>10.4441176470588</v>
      </c>
      <c r="J320" s="133">
        <f ca="1">HLOOKUP($H$4,'Met Data'!$H$2:$M$368,G320,FALSE)*L320</f>
        <v>0.92058823529411704</v>
      </c>
      <c r="K320" s="106">
        <f ca="1">HLOOKUP($H$4,'Met Data'!$O$2:$T$368,G320,FALSE)</f>
        <v>1.66219643843515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#N/A</v>
      </c>
      <c r="AH320" s="7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133</v>
      </c>
      <c r="H321" s="105">
        <f t="shared" ca="1" si="46"/>
        <v>45423</v>
      </c>
      <c r="I321" s="133">
        <f ca="1">HLOOKUP($H$4,'Met Data'!$A$2:$F$368,G321,FALSE)</f>
        <v>10.801470588235199</v>
      </c>
      <c r="J321" s="133">
        <f ca="1">HLOOKUP($H$4,'Met Data'!$H$2:$M$368,G321,FALSE)*L321</f>
        <v>1.73823529411764</v>
      </c>
      <c r="K321" s="106">
        <f ca="1">HLOOKUP($H$4,'Met Data'!$O$2:$T$368,G321,FALSE)</f>
        <v>1.5723667757897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#N/A</v>
      </c>
      <c r="AH321" s="7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134</v>
      </c>
      <c r="H322" s="105">
        <f t="shared" ca="1" si="46"/>
        <v>45424</v>
      </c>
      <c r="I322" s="133">
        <f ca="1">HLOOKUP($H$4,'Met Data'!$A$2:$F$368,G322,FALSE)</f>
        <v>10.149999999999901</v>
      </c>
      <c r="J322" s="133">
        <f ca="1">HLOOKUP($H$4,'Met Data'!$H$2:$M$368,G322,FALSE)*L322</f>
        <v>1.23235294117647</v>
      </c>
      <c r="K322" s="106">
        <f ca="1">HLOOKUP($H$4,'Met Data'!$O$2:$T$368,G322,FALSE)</f>
        <v>1.62543661304557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#N/A</v>
      </c>
      <c r="AH322" s="7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135</v>
      </c>
      <c r="H323" s="105">
        <f t="shared" ca="1" si="46"/>
        <v>45425</v>
      </c>
      <c r="I323" s="133">
        <f ca="1">HLOOKUP($H$4,'Met Data'!$A$2:$F$368,G323,FALSE)</f>
        <v>10.029411764705801</v>
      </c>
      <c r="J323" s="133">
        <f ca="1">HLOOKUP($H$4,'Met Data'!$H$2:$M$368,G323,FALSE)*L323</f>
        <v>1.69705882352941</v>
      </c>
      <c r="K323" s="106">
        <f ca="1">HLOOKUP($H$4,'Met Data'!$O$2:$T$368,G323,FALSE)</f>
        <v>1.6139957133282601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#N/A</v>
      </c>
      <c r="AH323" s="7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136</v>
      </c>
      <c r="H324" s="105">
        <f t="shared" ca="1" si="46"/>
        <v>45426</v>
      </c>
      <c r="I324" s="133">
        <f ca="1">HLOOKUP($H$4,'Met Data'!$A$2:$F$368,G324,FALSE)</f>
        <v>9.6235294117647001</v>
      </c>
      <c r="J324" s="133">
        <f ca="1">HLOOKUP($H$4,'Met Data'!$H$2:$M$368,G324,FALSE)*L324</f>
        <v>1.51764705882352</v>
      </c>
      <c r="K324" s="106">
        <f ca="1">HLOOKUP($H$4,'Met Data'!$O$2:$T$368,G324,FALSE)</f>
        <v>1.6005498237626701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#N/A</v>
      </c>
      <c r="AH324" s="7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137</v>
      </c>
      <c r="H325" s="105">
        <f t="shared" ca="1" si="46"/>
        <v>45427</v>
      </c>
      <c r="I325" s="133">
        <f ca="1">HLOOKUP($H$4,'Met Data'!$A$2:$F$368,G325,FALSE)</f>
        <v>10.177941176470499</v>
      </c>
      <c r="J325" s="133">
        <f ca="1">HLOOKUP($H$4,'Met Data'!$H$2:$M$368,G325,FALSE)*L325</f>
        <v>2.0147058823529398</v>
      </c>
      <c r="K325" s="106">
        <f ca="1">HLOOKUP($H$4,'Met Data'!$O$2:$T$368,G325,FALSE)</f>
        <v>1.76114821084059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#N/A</v>
      </c>
      <c r="AH325" s="7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138</v>
      </c>
      <c r="H326" s="105">
        <f t="shared" ca="1" si="46"/>
        <v>45428</v>
      </c>
      <c r="I326" s="133">
        <f ca="1">HLOOKUP($H$4,'Met Data'!$A$2:$F$368,G326,FALSE)</f>
        <v>9.2779411764705806</v>
      </c>
      <c r="J326" s="133">
        <f ca="1">HLOOKUP($H$4,'Met Data'!$H$2:$M$368,G326,FALSE)*L326</f>
        <v>2.7235294117647002</v>
      </c>
      <c r="K326" s="106">
        <f ca="1">HLOOKUP($H$4,'Met Data'!$O$2:$T$368,G326,FALSE)</f>
        <v>1.51265723824432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#N/A</v>
      </c>
      <c r="AH326" s="7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139</v>
      </c>
      <c r="H327" s="105">
        <f t="shared" ca="1" si="46"/>
        <v>45429</v>
      </c>
      <c r="I327" s="133">
        <f ca="1">HLOOKUP($H$4,'Met Data'!$A$2:$F$368,G327,FALSE)</f>
        <v>9.0485294117647008</v>
      </c>
      <c r="J327" s="133">
        <f ca="1">HLOOKUP($H$4,'Met Data'!$H$2:$M$368,G327,FALSE)*L327</f>
        <v>1.5</v>
      </c>
      <c r="K327" s="106">
        <f ca="1">HLOOKUP($H$4,'Met Data'!$O$2:$T$368,G327,FALSE)</f>
        <v>1.42917243065086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#N/A</v>
      </c>
      <c r="AH327" s="7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140</v>
      </c>
      <c r="H328" s="105">
        <f t="shared" ref="H328:H391" ca="1" si="56">H327+1</f>
        <v>45430</v>
      </c>
      <c r="I328" s="133">
        <f ca="1">HLOOKUP($H$4,'Met Data'!$A$2:$F$368,G328,FALSE)</f>
        <v>9.3647058823529399</v>
      </c>
      <c r="J328" s="133">
        <f ca="1">HLOOKUP($H$4,'Met Data'!$H$2:$M$368,G328,FALSE)*L328</f>
        <v>1.5735294117647001</v>
      </c>
      <c r="K328" s="106">
        <f ca="1">HLOOKUP($H$4,'Met Data'!$O$2:$T$368,G328,FALSE)</f>
        <v>1.4324355889067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#N/A</v>
      </c>
      <c r="AH328" s="7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141</v>
      </c>
      <c r="H329" s="105">
        <f t="shared" ca="1" si="56"/>
        <v>45431</v>
      </c>
      <c r="I329" s="133">
        <f ca="1">HLOOKUP($H$4,'Met Data'!$A$2:$F$368,G329,FALSE)</f>
        <v>9.4352941176470502</v>
      </c>
      <c r="J329" s="133">
        <f ca="1">HLOOKUP($H$4,'Met Data'!$H$2:$M$368,G329,FALSE)*L329</f>
        <v>1.9352941176470499</v>
      </c>
      <c r="K329" s="106">
        <f ca="1">HLOOKUP($H$4,'Met Data'!$O$2:$T$368,G329,FALSE)</f>
        <v>1.4124835611223401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#N/A</v>
      </c>
      <c r="AH329" s="7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142</v>
      </c>
      <c r="H330" s="105">
        <f t="shared" ca="1" si="56"/>
        <v>45432</v>
      </c>
      <c r="I330" s="133">
        <f ca="1">HLOOKUP($H$4,'Met Data'!$A$2:$F$368,G330,FALSE)</f>
        <v>9.1705882352941099</v>
      </c>
      <c r="J330" s="133">
        <f ca="1">HLOOKUP($H$4,'Met Data'!$H$2:$M$368,G330,FALSE)*L330</f>
        <v>2.3529411764705799</v>
      </c>
      <c r="K330" s="106">
        <f ca="1">HLOOKUP($H$4,'Met Data'!$O$2:$T$368,G330,FALSE)</f>
        <v>1.2765511235284199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#N/A</v>
      </c>
      <c r="AH330" s="7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143</v>
      </c>
      <c r="H331" s="105">
        <f t="shared" ca="1" si="56"/>
        <v>45433</v>
      </c>
      <c r="I331" s="133">
        <f ca="1">HLOOKUP($H$4,'Met Data'!$A$2:$F$368,G331,FALSE)</f>
        <v>8.3529411764705799</v>
      </c>
      <c r="J331" s="133">
        <f ca="1">HLOOKUP($H$4,'Met Data'!$H$2:$M$368,G331,FALSE)*L331</f>
        <v>1.5852941176470501</v>
      </c>
      <c r="K331" s="106">
        <f ca="1">HLOOKUP($H$4,'Met Data'!$O$2:$T$368,G331,FALSE)</f>
        <v>1.1618550175400399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#N/A</v>
      </c>
      <c r="AH331" s="7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144</v>
      </c>
      <c r="H332" s="105">
        <f t="shared" ca="1" si="56"/>
        <v>45434</v>
      </c>
      <c r="I332" s="133">
        <f ca="1">HLOOKUP($H$4,'Met Data'!$A$2:$F$368,G332,FALSE)</f>
        <v>9.0132352941176404</v>
      </c>
      <c r="J332" s="133">
        <f ca="1">HLOOKUP($H$4,'Met Data'!$H$2:$M$368,G332,FALSE)*L332</f>
        <v>1.6205882352941099</v>
      </c>
      <c r="K332" s="106">
        <f ca="1">HLOOKUP($H$4,'Met Data'!$O$2:$T$368,G332,FALSE)</f>
        <v>1.3880525200190601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#N/A</v>
      </c>
      <c r="AH332" s="7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145</v>
      </c>
      <c r="H333" s="105">
        <f t="shared" ca="1" si="56"/>
        <v>45435</v>
      </c>
      <c r="I333" s="133">
        <f ca="1">HLOOKUP($H$4,'Met Data'!$A$2:$F$368,G333,FALSE)</f>
        <v>8.7911764705882298</v>
      </c>
      <c r="J333" s="133">
        <f ca="1">HLOOKUP($H$4,'Met Data'!$H$2:$M$368,G333,FALSE)*L333</f>
        <v>3.3764705882352901</v>
      </c>
      <c r="K333" s="106">
        <f ca="1">HLOOKUP($H$4,'Met Data'!$O$2:$T$368,G333,FALSE)</f>
        <v>1.28085602366637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#N/A</v>
      </c>
      <c r="AH333" s="7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146</v>
      </c>
      <c r="H334" s="105">
        <f t="shared" ca="1" si="56"/>
        <v>45436</v>
      </c>
      <c r="I334" s="133">
        <f ca="1">HLOOKUP($H$4,'Met Data'!$A$2:$F$368,G334,FALSE)</f>
        <v>8.3720588235294109</v>
      </c>
      <c r="J334" s="133">
        <f ca="1">HLOOKUP($H$4,'Met Data'!$H$2:$M$368,G334,FALSE)*L334</f>
        <v>1.9058823529411699</v>
      </c>
      <c r="K334" s="106">
        <f ca="1">HLOOKUP($H$4,'Met Data'!$O$2:$T$368,G334,FALSE)</f>
        <v>1.28602442078779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#N/A</v>
      </c>
      <c r="AH334" s="7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147</v>
      </c>
      <c r="H335" s="105">
        <f t="shared" ca="1" si="56"/>
        <v>45437</v>
      </c>
      <c r="I335" s="133">
        <f ca="1">HLOOKUP($H$4,'Met Data'!$A$2:$F$368,G335,FALSE)</f>
        <v>8.5632352941176393</v>
      </c>
      <c r="J335" s="133">
        <f ca="1">HLOOKUP($H$4,'Met Data'!$H$2:$M$368,G335,FALSE)*L335</f>
        <v>4.3794117647058801</v>
      </c>
      <c r="K335" s="106">
        <f ca="1">HLOOKUP($H$4,'Met Data'!$O$2:$T$368,G335,FALSE)</f>
        <v>1.33540018897607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#N/A</v>
      </c>
      <c r="AH335" s="7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148</v>
      </c>
      <c r="H336" s="105">
        <f t="shared" ca="1" si="56"/>
        <v>45438</v>
      </c>
      <c r="I336" s="133">
        <f ca="1">HLOOKUP($H$4,'Met Data'!$A$2:$F$368,G336,FALSE)</f>
        <v>8.4573529411764703</v>
      </c>
      <c r="J336" s="133">
        <f ca="1">HLOOKUP($H$4,'Met Data'!$H$2:$M$368,G336,FALSE)*L336</f>
        <v>0.997058823529411</v>
      </c>
      <c r="K336" s="106">
        <f ca="1">HLOOKUP($H$4,'Met Data'!$O$2:$T$368,G336,FALSE)</f>
        <v>1.45727309162839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#N/A</v>
      </c>
      <c r="AH336" s="7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149</v>
      </c>
      <c r="H337" s="105">
        <f t="shared" ca="1" si="56"/>
        <v>45439</v>
      </c>
      <c r="I337" s="133">
        <f ca="1">HLOOKUP($H$4,'Met Data'!$A$2:$F$368,G337,FALSE)</f>
        <v>8.1897058823529392</v>
      </c>
      <c r="J337" s="133">
        <f ca="1">HLOOKUP($H$4,'Met Data'!$H$2:$M$368,G337,FALSE)*L337</f>
        <v>2.3676470588235201</v>
      </c>
      <c r="K337" s="106">
        <f ca="1">HLOOKUP($H$4,'Met Data'!$O$2:$T$368,G337,FALSE)</f>
        <v>1.60616595463803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#N/A</v>
      </c>
      <c r="AH337" s="7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150</v>
      </c>
      <c r="H338" s="105">
        <f t="shared" ca="1" si="56"/>
        <v>45440</v>
      </c>
      <c r="I338" s="133">
        <f ca="1">HLOOKUP($H$4,'Met Data'!$A$2:$F$368,G338,FALSE)</f>
        <v>8.3764705882352892</v>
      </c>
      <c r="J338" s="133">
        <f ca="1">HLOOKUP($H$4,'Met Data'!$H$2:$M$368,G338,FALSE)*L338</f>
        <v>2.75</v>
      </c>
      <c r="K338" s="106">
        <f ca="1">HLOOKUP($H$4,'Met Data'!$O$2:$T$368,G338,FALSE)</f>
        <v>1.41028048478178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#N/A</v>
      </c>
      <c r="AH338" s="7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151</v>
      </c>
      <c r="H339" s="105">
        <f t="shared" ca="1" si="56"/>
        <v>45441</v>
      </c>
      <c r="I339" s="133">
        <f ca="1">HLOOKUP($H$4,'Met Data'!$A$2:$F$368,G339,FALSE)</f>
        <v>7.9235294117646999</v>
      </c>
      <c r="J339" s="133">
        <f ca="1">HLOOKUP($H$4,'Met Data'!$H$2:$M$368,G339,FALSE)*L339</f>
        <v>1.52647058823529</v>
      </c>
      <c r="K339" s="106">
        <f ca="1">HLOOKUP($H$4,'Met Data'!$O$2:$T$368,G339,FALSE)</f>
        <v>1.2181769845433199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#N/A</v>
      </c>
      <c r="AH339" s="7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152</v>
      </c>
      <c r="H340" s="105">
        <f t="shared" ca="1" si="56"/>
        <v>45442</v>
      </c>
      <c r="I340" s="133">
        <f ca="1">HLOOKUP($H$4,'Met Data'!$A$2:$F$368,G340,FALSE)</f>
        <v>7.9742424242424201</v>
      </c>
      <c r="J340" s="133">
        <f ca="1">HLOOKUP($H$4,'Met Data'!$H$2:$M$368,G340,FALSE)*L340</f>
        <v>0.65454545454545399</v>
      </c>
      <c r="K340" s="106">
        <f ca="1">HLOOKUP($H$4,'Met Data'!$O$2:$T$368,G340,FALSE)</f>
        <v>1.4140792042866701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#N/A</v>
      </c>
      <c r="AH340" s="7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153</v>
      </c>
      <c r="H341" s="105">
        <f t="shared" ca="1" si="56"/>
        <v>45443</v>
      </c>
      <c r="I341" s="133">
        <f ca="1">HLOOKUP($H$4,'Met Data'!$A$2:$F$368,G341,FALSE)</f>
        <v>8.0696969696969596</v>
      </c>
      <c r="J341" s="133">
        <f ca="1">HLOOKUP($H$4,'Met Data'!$H$2:$M$368,G341,FALSE)*L341</f>
        <v>2.6606060606060602</v>
      </c>
      <c r="K341" s="106">
        <f ca="1">HLOOKUP($H$4,'Met Data'!$O$2:$T$368,G341,FALSE)</f>
        <v>1.3648777039729501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#N/A</v>
      </c>
      <c r="AH341" s="7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154</v>
      </c>
      <c r="H342" s="105">
        <f t="shared" ca="1" si="56"/>
        <v>45444</v>
      </c>
      <c r="I342" s="133">
        <f ca="1">HLOOKUP($H$4,'Met Data'!$A$2:$F$368,G342,FALSE)</f>
        <v>7.75</v>
      </c>
      <c r="J342" s="133">
        <f ca="1">HLOOKUP($H$4,'Met Data'!$H$2:$M$368,G342,FALSE)*L342</f>
        <v>1.6818181818181801</v>
      </c>
      <c r="K342" s="106">
        <f ca="1">HLOOKUP($H$4,'Met Data'!$O$2:$T$368,G342,FALSE)</f>
        <v>1.1270486273289499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#N/A</v>
      </c>
      <c r="AH342" s="7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155</v>
      </c>
      <c r="H343" s="105">
        <f t="shared" ca="1" si="56"/>
        <v>45445</v>
      </c>
      <c r="I343" s="133">
        <f ca="1">HLOOKUP($H$4,'Met Data'!$A$2:$F$368,G343,FALSE)</f>
        <v>7.4484848484848403</v>
      </c>
      <c r="J343" s="133">
        <f ca="1">HLOOKUP($H$4,'Met Data'!$H$2:$M$368,G343,FALSE)*L343</f>
        <v>1.9090909090909001</v>
      </c>
      <c r="K343" s="106">
        <f ca="1">HLOOKUP($H$4,'Met Data'!$O$2:$T$368,G343,FALSE)</f>
        <v>1.25249803659369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#N/A</v>
      </c>
      <c r="AH343" s="7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156</v>
      </c>
      <c r="H344" s="105">
        <f t="shared" ca="1" si="56"/>
        <v>45446</v>
      </c>
      <c r="I344" s="133">
        <f ca="1">HLOOKUP($H$4,'Met Data'!$A$2:$F$368,G344,FALSE)</f>
        <v>7.27424242424242</v>
      </c>
      <c r="J344" s="133">
        <f ca="1">HLOOKUP($H$4,'Met Data'!$H$2:$M$368,G344,FALSE)*L344</f>
        <v>2.05151515151515</v>
      </c>
      <c r="K344" s="106">
        <f ca="1">HLOOKUP($H$4,'Met Data'!$O$2:$T$368,G344,FALSE)</f>
        <v>1.2350476326500801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#N/A</v>
      </c>
      <c r="AH344" s="7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157</v>
      </c>
      <c r="H345" s="105">
        <f t="shared" ca="1" si="56"/>
        <v>45447</v>
      </c>
      <c r="I345" s="133">
        <f ca="1">HLOOKUP($H$4,'Met Data'!$A$2:$F$368,G345,FALSE)</f>
        <v>7.1969696969696901</v>
      </c>
      <c r="J345" s="133">
        <f ca="1">HLOOKUP($H$4,'Met Data'!$H$2:$M$368,G345,FALSE)*L345</f>
        <v>1.2333333333333301</v>
      </c>
      <c r="K345" s="106">
        <f ca="1">HLOOKUP($H$4,'Met Data'!$O$2:$T$368,G345,FALSE)</f>
        <v>1.1815334376359199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#N/A</v>
      </c>
      <c r="AH345" s="7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158</v>
      </c>
      <c r="H346" s="105">
        <f t="shared" ca="1" si="56"/>
        <v>45448</v>
      </c>
      <c r="I346" s="133">
        <f ca="1">HLOOKUP($H$4,'Met Data'!$A$2:$F$368,G346,FALSE)</f>
        <v>6.8636363636363598</v>
      </c>
      <c r="J346" s="133">
        <f ca="1">HLOOKUP($H$4,'Met Data'!$H$2:$M$368,G346,FALSE)*L346</f>
        <v>1.3454545454545399</v>
      </c>
      <c r="K346" s="106">
        <f ca="1">HLOOKUP($H$4,'Met Data'!$O$2:$T$368,G346,FALSE)</f>
        <v>1.11819764768331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#N/A</v>
      </c>
      <c r="AH346" s="7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159</v>
      </c>
      <c r="H347" s="105">
        <f t="shared" ca="1" si="56"/>
        <v>45449</v>
      </c>
      <c r="I347" s="133">
        <f ca="1">HLOOKUP($H$4,'Met Data'!$A$2:$F$368,G347,FALSE)</f>
        <v>7.0772727272727201</v>
      </c>
      <c r="J347" s="133">
        <f ca="1">HLOOKUP($H$4,'Met Data'!$H$2:$M$368,G347,FALSE)*L347</f>
        <v>2.1393939393939299</v>
      </c>
      <c r="K347" s="106">
        <f ca="1">HLOOKUP($H$4,'Met Data'!$O$2:$T$368,G347,FALSE)</f>
        <v>1.2201388257180199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#N/A</v>
      </c>
      <c r="AH347" s="7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160</v>
      </c>
      <c r="H348" s="105">
        <f t="shared" ca="1" si="56"/>
        <v>45450</v>
      </c>
      <c r="I348" s="133">
        <f ca="1">HLOOKUP($H$4,'Met Data'!$A$2:$F$368,G348,FALSE)</f>
        <v>7.6151515151515099</v>
      </c>
      <c r="J348" s="133">
        <f ca="1">HLOOKUP($H$4,'Met Data'!$H$2:$M$368,G348,FALSE)*L348</f>
        <v>2.0727272727272701</v>
      </c>
      <c r="K348" s="106">
        <f ca="1">HLOOKUP($H$4,'Met Data'!$O$2:$T$368,G348,FALSE)</f>
        <v>1.26531828522689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#N/A</v>
      </c>
      <c r="AH348" s="7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161</v>
      </c>
      <c r="H349" s="105">
        <f t="shared" ca="1" si="56"/>
        <v>45451</v>
      </c>
      <c r="I349" s="133">
        <f ca="1">HLOOKUP($H$4,'Met Data'!$A$2:$F$368,G349,FALSE)</f>
        <v>7.8272727272727201</v>
      </c>
      <c r="J349" s="133">
        <f ca="1">HLOOKUP($H$4,'Met Data'!$H$2:$M$368,G349,FALSE)*L349</f>
        <v>1.4757575757575701</v>
      </c>
      <c r="K349" s="106">
        <f ca="1">HLOOKUP($H$4,'Met Data'!$O$2:$T$368,G349,FALSE)</f>
        <v>1.2369277599155599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#N/A</v>
      </c>
      <c r="AH349" s="7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162</v>
      </c>
      <c r="H350" s="105">
        <f t="shared" ca="1" si="56"/>
        <v>45452</v>
      </c>
      <c r="I350" s="133">
        <f ca="1">HLOOKUP($H$4,'Met Data'!$A$2:$F$368,G350,FALSE)</f>
        <v>7.8272727272727201</v>
      </c>
      <c r="J350" s="133">
        <f ca="1">HLOOKUP($H$4,'Met Data'!$H$2:$M$368,G350,FALSE)*L350</f>
        <v>1.8848484848484801</v>
      </c>
      <c r="K350" s="106">
        <f ca="1">HLOOKUP($H$4,'Met Data'!$O$2:$T$368,G350,FALSE)</f>
        <v>1.0943317227835101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#N/A</v>
      </c>
      <c r="AH350" s="7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163</v>
      </c>
      <c r="H351" s="105">
        <f t="shared" ca="1" si="56"/>
        <v>45453</v>
      </c>
      <c r="I351" s="133">
        <f ca="1">HLOOKUP($H$4,'Met Data'!$A$2:$F$368,G351,FALSE)</f>
        <v>7.6075757575757503</v>
      </c>
      <c r="J351" s="133">
        <f ca="1">HLOOKUP($H$4,'Met Data'!$H$2:$M$368,G351,FALSE)*L351</f>
        <v>1.28484848484848</v>
      </c>
      <c r="K351" s="106">
        <f ca="1">HLOOKUP($H$4,'Met Data'!$O$2:$T$368,G351,FALSE)</f>
        <v>1.2594125286590201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#N/A</v>
      </c>
      <c r="AH351" s="7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164</v>
      </c>
      <c r="H352" s="105">
        <f t="shared" ca="1" si="56"/>
        <v>45454</v>
      </c>
      <c r="I352" s="133">
        <f ca="1">HLOOKUP($H$4,'Met Data'!$A$2:$F$368,G352,FALSE)</f>
        <v>7.7030303030302996</v>
      </c>
      <c r="J352" s="133">
        <f ca="1">HLOOKUP($H$4,'Met Data'!$H$2:$M$368,G352,FALSE)*L352</f>
        <v>3.9121212121212099</v>
      </c>
      <c r="K352" s="106">
        <f ca="1">HLOOKUP($H$4,'Met Data'!$O$2:$T$368,G352,FALSE)</f>
        <v>1.3128498286819099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#N/A</v>
      </c>
      <c r="AH352" s="7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165</v>
      </c>
      <c r="H353" s="105">
        <f t="shared" ca="1" si="56"/>
        <v>45455</v>
      </c>
      <c r="I353" s="133">
        <f ca="1">HLOOKUP($H$4,'Met Data'!$A$2:$F$368,G353,FALSE)</f>
        <v>6.8681818181818102</v>
      </c>
      <c r="J353" s="133">
        <f ca="1">HLOOKUP($H$4,'Met Data'!$H$2:$M$368,G353,FALSE)*L353</f>
        <v>2.0303030303030298</v>
      </c>
      <c r="K353" s="106">
        <f ca="1">HLOOKUP($H$4,'Met Data'!$O$2:$T$368,G353,FALSE)</f>
        <v>1.1474480520873001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#N/A</v>
      </c>
      <c r="AH353" s="7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166</v>
      </c>
      <c r="H354" s="105">
        <f t="shared" ca="1" si="56"/>
        <v>45456</v>
      </c>
      <c r="I354" s="133">
        <f ca="1">HLOOKUP($H$4,'Met Data'!$A$2:$F$368,G354,FALSE)</f>
        <v>7.2318181818181797</v>
      </c>
      <c r="J354" s="133">
        <f ca="1">HLOOKUP($H$4,'Met Data'!$H$2:$M$368,G354,FALSE)*L354</f>
        <v>1.5575757575757501</v>
      </c>
      <c r="K354" s="106">
        <f ca="1">HLOOKUP($H$4,'Met Data'!$O$2:$T$368,G354,FALSE)</f>
        <v>1.2613045443409601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#N/A</v>
      </c>
      <c r="AH354" s="7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167</v>
      </c>
      <c r="H355" s="105">
        <f t="shared" ca="1" si="56"/>
        <v>45457</v>
      </c>
      <c r="I355" s="133">
        <f ca="1">HLOOKUP($H$4,'Met Data'!$A$2:$F$368,G355,FALSE)</f>
        <v>7.3390624999999998</v>
      </c>
      <c r="J355" s="133">
        <f ca="1">HLOOKUP($H$4,'Met Data'!$H$2:$M$368,G355,FALSE)*L355</f>
        <v>3.41818181818181</v>
      </c>
      <c r="K355" s="106">
        <f ca="1">HLOOKUP($H$4,'Met Data'!$O$2:$T$368,G355,FALSE)</f>
        <v>1.17147222127628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#N/A</v>
      </c>
      <c r="AH355" s="7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168</v>
      </c>
      <c r="H356" s="105">
        <f t="shared" ca="1" si="56"/>
        <v>45458</v>
      </c>
      <c r="I356" s="133">
        <f ca="1">HLOOKUP($H$4,'Met Data'!$A$2:$F$368,G356,FALSE)</f>
        <v>6.6624999999999996</v>
      </c>
      <c r="J356" s="133">
        <f ca="1">HLOOKUP($H$4,'Met Data'!$H$2:$M$368,G356,FALSE)*L356</f>
        <v>2.5727272727272701</v>
      </c>
      <c r="K356" s="106">
        <f ca="1">HLOOKUP($H$4,'Met Data'!$O$2:$T$368,G356,FALSE)</f>
        <v>1.0572111213197799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#N/A</v>
      </c>
      <c r="AH356" s="7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169</v>
      </c>
      <c r="H357" s="105">
        <f t="shared" ca="1" si="56"/>
        <v>45459</v>
      </c>
      <c r="I357" s="133">
        <f ca="1">HLOOKUP($H$4,'Met Data'!$A$2:$F$368,G357,FALSE)</f>
        <v>6.015625</v>
      </c>
      <c r="J357" s="133">
        <f ca="1">HLOOKUP($H$4,'Met Data'!$H$2:$M$368,G357,FALSE)*L357</f>
        <v>3.0060606060606001</v>
      </c>
      <c r="K357" s="106">
        <f ca="1">HLOOKUP($H$4,'Met Data'!$O$2:$T$368,G357,FALSE)</f>
        <v>1.0716644953435599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#N/A</v>
      </c>
      <c r="AH357" s="7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170</v>
      </c>
      <c r="H358" s="105">
        <f t="shared" ca="1" si="56"/>
        <v>45460</v>
      </c>
      <c r="I358" s="133">
        <f ca="1">HLOOKUP($H$4,'Met Data'!$A$2:$F$368,G358,FALSE)</f>
        <v>6.4772727272727204</v>
      </c>
      <c r="J358" s="133">
        <f ca="1">HLOOKUP($H$4,'Met Data'!$H$2:$M$368,G358,FALSE)*L358</f>
        <v>2.2727272727272698</v>
      </c>
      <c r="K358" s="106">
        <f ca="1">HLOOKUP($H$4,'Met Data'!$O$2:$T$368,G358,FALSE)</f>
        <v>1.12776465530811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#N/A</v>
      </c>
      <c r="AH358" s="7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171</v>
      </c>
      <c r="H359" s="105">
        <f t="shared" ca="1" si="56"/>
        <v>45461</v>
      </c>
      <c r="I359" s="133">
        <f ca="1">HLOOKUP($H$4,'Met Data'!$A$2:$F$368,G359,FALSE)</f>
        <v>6.3803030303030299</v>
      </c>
      <c r="J359" s="133">
        <f ca="1">HLOOKUP($H$4,'Met Data'!$H$2:$M$368,G359,FALSE)*L359</f>
        <v>2.1939393939393899</v>
      </c>
      <c r="K359" s="106">
        <f ca="1">HLOOKUP($H$4,'Met Data'!$O$2:$T$368,G359,FALSE)</f>
        <v>1.1020204232536399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#N/A</v>
      </c>
      <c r="AH359" s="7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172</v>
      </c>
      <c r="H360" s="105">
        <f t="shared" ca="1" si="56"/>
        <v>45462</v>
      </c>
      <c r="I360" s="133">
        <f ca="1">HLOOKUP($H$4,'Met Data'!$A$2:$F$368,G360,FALSE)</f>
        <v>6.4439393939393899</v>
      </c>
      <c r="J360" s="133">
        <f ca="1">HLOOKUP($H$4,'Met Data'!$H$2:$M$368,G360,FALSE)*L360</f>
        <v>2.1121212121212101</v>
      </c>
      <c r="K360" s="106">
        <f ca="1">HLOOKUP($H$4,'Met Data'!$O$2:$T$368,G360,FALSE)</f>
        <v>1.0991176814324299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#N/A</v>
      </c>
      <c r="AH360" s="7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173</v>
      </c>
      <c r="H361" s="105">
        <f t="shared" ca="1" si="56"/>
        <v>45463</v>
      </c>
      <c r="I361" s="133">
        <f ca="1">HLOOKUP($H$4,'Met Data'!$A$2:$F$368,G361,FALSE)</f>
        <v>6.5606060606060597</v>
      </c>
      <c r="J361" s="133">
        <f ca="1">HLOOKUP($H$4,'Met Data'!$H$2:$M$368,G361,FALSE)*L361</f>
        <v>2.0333333333333301</v>
      </c>
      <c r="K361" s="106">
        <f ca="1">HLOOKUP($H$4,'Met Data'!$O$2:$T$368,G361,FALSE)</f>
        <v>1.06265243044536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#N/A</v>
      </c>
      <c r="AH361" s="7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174</v>
      </c>
      <c r="H362" s="105">
        <f t="shared" ca="1" si="56"/>
        <v>45464</v>
      </c>
      <c r="I362" s="133">
        <f ca="1">HLOOKUP($H$4,'Met Data'!$A$2:$F$368,G362,FALSE)</f>
        <v>6.1424242424242399</v>
      </c>
      <c r="J362" s="133">
        <f ca="1">HLOOKUP($H$4,'Met Data'!$H$2:$M$368,G362,FALSE)*L362</f>
        <v>2.0939393939393902</v>
      </c>
      <c r="K362" s="106">
        <f ca="1">HLOOKUP($H$4,'Met Data'!$O$2:$T$368,G362,FALSE)</f>
        <v>1.01861486176599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#N/A</v>
      </c>
      <c r="AH362" s="7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175</v>
      </c>
      <c r="H363" s="105">
        <f t="shared" ca="1" si="56"/>
        <v>45465</v>
      </c>
      <c r="I363" s="133">
        <f ca="1">HLOOKUP($H$4,'Met Data'!$A$2:$F$368,G363,FALSE)</f>
        <v>6.20757575757575</v>
      </c>
      <c r="J363" s="133">
        <f ca="1">HLOOKUP($H$4,'Met Data'!$H$2:$M$368,G363,FALSE)*L363</f>
        <v>1.41818181818181</v>
      </c>
      <c r="K363" s="106">
        <f ca="1">HLOOKUP($H$4,'Met Data'!$O$2:$T$368,G363,FALSE)</f>
        <v>1.17304690631908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#N/A</v>
      </c>
      <c r="AH363" s="7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176</v>
      </c>
      <c r="H364" s="105">
        <f t="shared" ca="1" si="56"/>
        <v>45466</v>
      </c>
      <c r="I364" s="133">
        <f ca="1">HLOOKUP($H$4,'Met Data'!$A$2:$F$368,G364,FALSE)</f>
        <v>6.5106060606060598</v>
      </c>
      <c r="J364" s="133">
        <f ca="1">HLOOKUP($H$4,'Met Data'!$H$2:$M$368,G364,FALSE)*L364</f>
        <v>1.78484848484848</v>
      </c>
      <c r="K364" s="106">
        <f ca="1">HLOOKUP($H$4,'Met Data'!$O$2:$T$368,G364,FALSE)</f>
        <v>1.05340987186552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#N/A</v>
      </c>
      <c r="AH364" s="7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177</v>
      </c>
      <c r="H365" s="105">
        <f t="shared" ca="1" si="56"/>
        <v>45467</v>
      </c>
      <c r="I365" s="133">
        <f ca="1">HLOOKUP($H$4,'Met Data'!$A$2:$F$368,G365,FALSE)</f>
        <v>6.4439393939393899</v>
      </c>
      <c r="J365" s="133">
        <f ca="1">HLOOKUP($H$4,'Met Data'!$H$2:$M$368,G365,FALSE)*L365</f>
        <v>1.4909090909090901</v>
      </c>
      <c r="K365" s="106">
        <f ca="1">HLOOKUP($H$4,'Met Data'!$O$2:$T$368,G365,FALSE)</f>
        <v>1.1237466528878399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#N/A</v>
      </c>
      <c r="AH365" s="7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178</v>
      </c>
      <c r="H366" s="105">
        <f t="shared" ca="1" si="56"/>
        <v>45468</v>
      </c>
      <c r="I366" s="133">
        <f ca="1">HLOOKUP($H$4,'Met Data'!$A$2:$F$368,G366,FALSE)</f>
        <v>6.6909090909090896</v>
      </c>
      <c r="J366" s="133">
        <f ca="1">HLOOKUP($H$4,'Met Data'!$H$2:$M$368,G366,FALSE)*L366</f>
        <v>1.3090909090909</v>
      </c>
      <c r="K366" s="106">
        <f ca="1">HLOOKUP($H$4,'Met Data'!$O$2:$T$368,G366,FALSE)</f>
        <v>1.1592232631741799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#N/A</v>
      </c>
      <c r="AH366" s="7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179</v>
      </c>
      <c r="H367" s="105">
        <f t="shared" ca="1" si="56"/>
        <v>45469</v>
      </c>
      <c r="I367" s="133">
        <f ca="1">HLOOKUP($H$4,'Met Data'!$A$2:$F$368,G367,FALSE)</f>
        <v>6.1848484848484802</v>
      </c>
      <c r="J367" s="133">
        <f ca="1">HLOOKUP($H$4,'Met Data'!$H$2:$M$368,G367,FALSE)*L367</f>
        <v>1.8060606060605999</v>
      </c>
      <c r="K367" s="106">
        <f ca="1">HLOOKUP($H$4,'Met Data'!$O$2:$T$368,G367,FALSE)</f>
        <v>1.0801233950998499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#N/A</v>
      </c>
      <c r="AH367" s="7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180</v>
      </c>
      <c r="H368" s="105">
        <f t="shared" ca="1" si="56"/>
        <v>45470</v>
      </c>
      <c r="I368" s="133">
        <f ca="1">HLOOKUP($H$4,'Met Data'!$A$2:$F$368,G368,FALSE)</f>
        <v>5.9242424242424203</v>
      </c>
      <c r="J368" s="133">
        <f ca="1">HLOOKUP($H$4,'Met Data'!$H$2:$M$368,G368,FALSE)*L368</f>
        <v>1.7121212121212099</v>
      </c>
      <c r="K368" s="106">
        <f ca="1">HLOOKUP($H$4,'Met Data'!$O$2:$T$368,G368,FALSE)</f>
        <v>1.01058351362291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#N/A</v>
      </c>
      <c r="AH368" s="7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181</v>
      </c>
      <c r="H369" s="105">
        <f t="shared" ca="1" si="56"/>
        <v>45471</v>
      </c>
      <c r="I369" s="133">
        <f ca="1">HLOOKUP($H$4,'Met Data'!$A$2:$F$368,G369,FALSE)</f>
        <v>6.1499999999999897</v>
      </c>
      <c r="J369" s="133">
        <f ca="1">HLOOKUP($H$4,'Met Data'!$H$2:$M$368,G369,FALSE)*L369</f>
        <v>3.14848484848484</v>
      </c>
      <c r="K369" s="106">
        <f ca="1">HLOOKUP($H$4,'Met Data'!$O$2:$T$368,G369,FALSE)</f>
        <v>1.0356452508213501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#N/A</v>
      </c>
      <c r="AH369" s="7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182</v>
      </c>
      <c r="H370" s="105">
        <f t="shared" ca="1" si="56"/>
        <v>45472</v>
      </c>
      <c r="I370" s="133">
        <f ca="1">HLOOKUP($H$4,'Met Data'!$A$2:$F$368,G370,FALSE)</f>
        <v>6.4909090909090903</v>
      </c>
      <c r="J370" s="133">
        <f ca="1">HLOOKUP($H$4,'Met Data'!$H$2:$M$368,G370,FALSE)*L370</f>
        <v>2.17575757575757</v>
      </c>
      <c r="K370" s="106">
        <f ca="1">HLOOKUP($H$4,'Met Data'!$O$2:$T$368,G370,FALSE)</f>
        <v>1.2161265984409499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#N/A</v>
      </c>
      <c r="AH370" s="7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183</v>
      </c>
      <c r="H371" s="105">
        <f t="shared" ca="1" si="56"/>
        <v>45473</v>
      </c>
      <c r="I371" s="133">
        <f ca="1">HLOOKUP($H$4,'Met Data'!$A$2:$F$368,G371,FALSE)</f>
        <v>5.80151515151515</v>
      </c>
      <c r="J371" s="133">
        <f ca="1">HLOOKUP($H$4,'Met Data'!$H$2:$M$368,G371,FALSE)*L371</f>
        <v>1.3575757575757501</v>
      </c>
      <c r="K371" s="106">
        <f ca="1">HLOOKUP($H$4,'Met Data'!$O$2:$T$368,G371,FALSE)</f>
        <v>1.0914719035015701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#N/A</v>
      </c>
      <c r="AH371" s="7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184</v>
      </c>
      <c r="H372" s="105">
        <f t="shared" ca="1" si="56"/>
        <v>45474</v>
      </c>
      <c r="I372" s="133">
        <f ca="1">HLOOKUP($H$4,'Met Data'!$A$2:$F$368,G372,FALSE)</f>
        <v>5.4696969696969697</v>
      </c>
      <c r="J372" s="133">
        <f ca="1">HLOOKUP($H$4,'Met Data'!$H$2:$M$368,G372,FALSE)*L372</f>
        <v>1.66363636363636</v>
      </c>
      <c r="K372" s="106">
        <f ca="1">HLOOKUP($H$4,'Met Data'!$O$2:$T$368,G372,FALSE)</f>
        <v>1.0977706117478601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#N/A</v>
      </c>
      <c r="AH372" s="7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185</v>
      </c>
      <c r="H373" s="105">
        <f t="shared" ca="1" si="56"/>
        <v>45475</v>
      </c>
      <c r="I373" s="133">
        <f ca="1">HLOOKUP($H$4,'Met Data'!$A$2:$F$368,G373,FALSE)</f>
        <v>6.01212121212121</v>
      </c>
      <c r="J373" s="133">
        <f ca="1">HLOOKUP($H$4,'Met Data'!$H$2:$M$368,G373,FALSE)*L373</f>
        <v>1.73030303030303</v>
      </c>
      <c r="K373" s="106">
        <f ca="1">HLOOKUP($H$4,'Met Data'!$O$2:$T$368,G373,FALSE)</f>
        <v>1.17483894696367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#N/A</v>
      </c>
      <c r="AH373" s="7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186</v>
      </c>
      <c r="H374" s="105">
        <f t="shared" ca="1" si="56"/>
        <v>45476</v>
      </c>
      <c r="I374" s="133">
        <f ca="1">HLOOKUP($H$4,'Met Data'!$A$2:$F$368,G374,FALSE)</f>
        <v>6.2727272727272698</v>
      </c>
      <c r="J374" s="133">
        <f ca="1">HLOOKUP($H$4,'Met Data'!$H$2:$M$368,G374,FALSE)*L374</f>
        <v>1.39393939393939</v>
      </c>
      <c r="K374" s="106">
        <f ca="1">HLOOKUP($H$4,'Met Data'!$O$2:$T$368,G374,FALSE)</f>
        <v>1.1350548695748499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#N/A</v>
      </c>
      <c r="AH374" s="7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187</v>
      </c>
      <c r="H375" s="105">
        <f t="shared" ca="1" si="56"/>
        <v>45477</v>
      </c>
      <c r="I375" s="133">
        <f ca="1">HLOOKUP($H$4,'Met Data'!$A$2:$F$368,G375,FALSE)</f>
        <v>6.5393939393939302</v>
      </c>
      <c r="J375" s="133">
        <f ca="1">HLOOKUP($H$4,'Met Data'!$H$2:$M$368,G375,FALSE)*L375</f>
        <v>1.2030303030303</v>
      </c>
      <c r="K375" s="106">
        <f ca="1">HLOOKUP($H$4,'Met Data'!$O$2:$T$368,G375,FALSE)</f>
        <v>1.3082124240908799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#N/A</v>
      </c>
      <c r="AH375" s="7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188</v>
      </c>
      <c r="H376" s="105">
        <f t="shared" ca="1" si="56"/>
        <v>45478</v>
      </c>
      <c r="I376" s="133">
        <f ca="1">HLOOKUP($H$4,'Met Data'!$A$2:$F$368,G376,FALSE)</f>
        <v>6.3272727272727201</v>
      </c>
      <c r="J376" s="133">
        <f ca="1">HLOOKUP($H$4,'Met Data'!$H$2:$M$368,G376,FALSE)*L376</f>
        <v>3.2515151515151501</v>
      </c>
      <c r="K376" s="106">
        <f ca="1">HLOOKUP($H$4,'Met Data'!$O$2:$T$368,G376,FALSE)</f>
        <v>1.1532462604149001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#N/A</v>
      </c>
      <c r="AH376" s="7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189</v>
      </c>
      <c r="H377" s="105">
        <f t="shared" ca="1" si="56"/>
        <v>45479</v>
      </c>
      <c r="I377" s="133">
        <f ca="1">HLOOKUP($H$4,'Met Data'!$A$2:$F$368,G377,FALSE)</f>
        <v>5.5742424242424198</v>
      </c>
      <c r="J377" s="133">
        <f ca="1">HLOOKUP($H$4,'Met Data'!$H$2:$M$368,G377,FALSE)*L377</f>
        <v>1.1151515151515099</v>
      </c>
      <c r="K377" s="106">
        <f ca="1">HLOOKUP($H$4,'Met Data'!$O$2:$T$368,G377,FALSE)</f>
        <v>1.1860865780805001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#N/A</v>
      </c>
      <c r="AH377" s="7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190</v>
      </c>
      <c r="H378" s="105">
        <f t="shared" ca="1" si="56"/>
        <v>45480</v>
      </c>
      <c r="I378" s="133">
        <f ca="1">HLOOKUP($H$4,'Met Data'!$A$2:$F$368,G378,FALSE)</f>
        <v>5.2243939393939298</v>
      </c>
      <c r="J378" s="133">
        <f ca="1">HLOOKUP($H$4,'Met Data'!$H$2:$M$368,G378,FALSE)*L378</f>
        <v>1.7878787878787801</v>
      </c>
      <c r="K378" s="106">
        <f ca="1">HLOOKUP($H$4,'Met Data'!$O$2:$T$368,G378,FALSE)</f>
        <v>1.0756170169258299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#N/A</v>
      </c>
      <c r="AH378" s="7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191</v>
      </c>
      <c r="H379" s="105">
        <f t="shared" ca="1" si="56"/>
        <v>45481</v>
      </c>
      <c r="I379" s="133">
        <f ca="1">HLOOKUP($H$4,'Met Data'!$A$2:$F$368,G379,FALSE)</f>
        <v>5.4590909090909001</v>
      </c>
      <c r="J379" s="133">
        <f ca="1">HLOOKUP($H$4,'Met Data'!$H$2:$M$368,G379,FALSE)*L379</f>
        <v>1.32424242424242</v>
      </c>
      <c r="K379" s="106">
        <f ca="1">HLOOKUP($H$4,'Met Data'!$O$2:$T$368,G379,FALSE)</f>
        <v>1.1571191090080499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#N/A</v>
      </c>
      <c r="AH379" s="7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192</v>
      </c>
      <c r="H380" s="105">
        <f t="shared" ca="1" si="56"/>
        <v>45482</v>
      </c>
      <c r="I380" s="133">
        <f ca="1">HLOOKUP($H$4,'Met Data'!$A$2:$F$368,G380,FALSE)</f>
        <v>5.67121212121212</v>
      </c>
      <c r="J380" s="133">
        <f ca="1">HLOOKUP($H$4,'Met Data'!$H$2:$M$368,G380,FALSE)*L380</f>
        <v>1.1303030303030299</v>
      </c>
      <c r="K380" s="106">
        <f ca="1">HLOOKUP($H$4,'Met Data'!$O$2:$T$368,G380,FALSE)</f>
        <v>1.1823583053236399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#N/A</v>
      </c>
      <c r="AH380" s="7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193</v>
      </c>
      <c r="H381" s="105">
        <f t="shared" ca="1" si="56"/>
        <v>45483</v>
      </c>
      <c r="I381" s="133">
        <f ca="1">HLOOKUP($H$4,'Met Data'!$A$2:$F$368,G381,FALSE)</f>
        <v>5.5803030303030301</v>
      </c>
      <c r="J381" s="133">
        <f ca="1">HLOOKUP($H$4,'Met Data'!$H$2:$M$368,G381,FALSE)*L381</f>
        <v>1.71818181818181</v>
      </c>
      <c r="K381" s="106">
        <f ca="1">HLOOKUP($H$4,'Met Data'!$O$2:$T$368,G381,FALSE)</f>
        <v>1.1413084648267999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#N/A</v>
      </c>
      <c r="AH381" s="7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194</v>
      </c>
      <c r="H382" s="105">
        <f t="shared" ca="1" si="56"/>
        <v>45484</v>
      </c>
      <c r="I382" s="133">
        <f ca="1">HLOOKUP($H$4,'Met Data'!$A$2:$F$368,G382,FALSE)</f>
        <v>5.8181818181818103</v>
      </c>
      <c r="J382" s="133">
        <f ca="1">HLOOKUP($H$4,'Met Data'!$H$2:$M$368,G382,FALSE)*L382</f>
        <v>1.27272727272727</v>
      </c>
      <c r="K382" s="106">
        <f ca="1">HLOOKUP($H$4,'Met Data'!$O$2:$T$368,G382,FALSE)</f>
        <v>1.2366027185060899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#N/A</v>
      </c>
      <c r="AH382" s="7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195</v>
      </c>
      <c r="H383" s="105">
        <f t="shared" ca="1" si="56"/>
        <v>45485</v>
      </c>
      <c r="I383" s="133">
        <f ca="1">HLOOKUP($H$4,'Met Data'!$A$2:$F$368,G383,FALSE)</f>
        <v>5.8984848484848396</v>
      </c>
      <c r="J383" s="133">
        <f ca="1">HLOOKUP($H$4,'Met Data'!$H$2:$M$368,G383,FALSE)*L383</f>
        <v>1.44545454545454</v>
      </c>
      <c r="K383" s="106">
        <f ca="1">HLOOKUP($H$4,'Met Data'!$O$2:$T$368,G383,FALSE)</f>
        <v>1.20462827119224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#N/A</v>
      </c>
      <c r="AH383" s="7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196</v>
      </c>
      <c r="H384" s="105">
        <f t="shared" ca="1" si="56"/>
        <v>45486</v>
      </c>
      <c r="I384" s="133">
        <f ca="1">HLOOKUP($H$4,'Met Data'!$A$2:$F$368,G384,FALSE)</f>
        <v>6.1590909090909003</v>
      </c>
      <c r="J384" s="133">
        <f ca="1">HLOOKUP($H$4,'Met Data'!$H$2:$M$368,G384,FALSE)*L384</f>
        <v>0.93333333333333302</v>
      </c>
      <c r="K384" s="106">
        <f ca="1">HLOOKUP($H$4,'Met Data'!$O$2:$T$368,G384,FALSE)</f>
        <v>1.08107866384151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#N/A</v>
      </c>
      <c r="AH384" s="7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197</v>
      </c>
      <c r="H385" s="105">
        <f t="shared" ca="1" si="56"/>
        <v>45487</v>
      </c>
      <c r="I385" s="133">
        <f ca="1">HLOOKUP($H$4,'Met Data'!$A$2:$F$368,G385,FALSE)</f>
        <v>5.8606060606060604</v>
      </c>
      <c r="J385" s="133">
        <f ca="1">HLOOKUP($H$4,'Met Data'!$H$2:$M$368,G385,FALSE)*L385</f>
        <v>0.95454545454545403</v>
      </c>
      <c r="K385" s="106">
        <f ca="1">HLOOKUP($H$4,'Met Data'!$O$2:$T$368,G385,FALSE)</f>
        <v>1.0543699556166799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#N/A</v>
      </c>
      <c r="AH385" s="7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198</v>
      </c>
      <c r="H386" s="105">
        <f t="shared" ca="1" si="56"/>
        <v>45488</v>
      </c>
      <c r="I386" s="133">
        <f ca="1">HLOOKUP($H$4,'Met Data'!$A$2:$F$368,G386,FALSE)</f>
        <v>6.3318181818181802</v>
      </c>
      <c r="J386" s="133">
        <f ca="1">HLOOKUP($H$4,'Met Data'!$H$2:$M$368,G386,FALSE)*L386</f>
        <v>1.9030303030303</v>
      </c>
      <c r="K386" s="106">
        <f ca="1">HLOOKUP($H$4,'Met Data'!$O$2:$T$368,G386,FALSE)</f>
        <v>1.0854702771695099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#N/A</v>
      </c>
      <c r="AH386" s="7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199</v>
      </c>
      <c r="H387" s="105">
        <f t="shared" ca="1" si="56"/>
        <v>45489</v>
      </c>
      <c r="I387" s="133">
        <f ca="1">HLOOKUP($H$4,'Met Data'!$A$2:$F$368,G387,FALSE)</f>
        <v>6.4424242424242397</v>
      </c>
      <c r="J387" s="133">
        <f ca="1">HLOOKUP($H$4,'Met Data'!$H$2:$M$368,G387,FALSE)*L387</f>
        <v>2.3454545454545399</v>
      </c>
      <c r="K387" s="106">
        <f ca="1">HLOOKUP($H$4,'Met Data'!$O$2:$T$368,G387,FALSE)</f>
        <v>0.98557119798157899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#N/A</v>
      </c>
      <c r="AH387" s="7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200</v>
      </c>
      <c r="H388" s="105">
        <f t="shared" ca="1" si="56"/>
        <v>45490</v>
      </c>
      <c r="I388" s="133">
        <f ca="1">HLOOKUP($H$4,'Met Data'!$A$2:$F$368,G388,FALSE)</f>
        <v>6.3242424242424198</v>
      </c>
      <c r="J388" s="133">
        <f ca="1">HLOOKUP($H$4,'Met Data'!$H$2:$M$368,G388,FALSE)*L388</f>
        <v>3.6</v>
      </c>
      <c r="K388" s="106">
        <f ca="1">HLOOKUP($H$4,'Met Data'!$O$2:$T$368,G388,FALSE)</f>
        <v>1.0101770597585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#N/A</v>
      </c>
      <c r="AH388" s="7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201</v>
      </c>
      <c r="H389" s="105">
        <f t="shared" ca="1" si="56"/>
        <v>45491</v>
      </c>
      <c r="I389" s="133">
        <f ca="1">HLOOKUP($H$4,'Met Data'!$A$2:$F$368,G389,FALSE)</f>
        <v>6.5333333333333297</v>
      </c>
      <c r="J389" s="133">
        <f ca="1">HLOOKUP($H$4,'Met Data'!$H$2:$M$368,G389,FALSE)*L389</f>
        <v>1.92121212121212</v>
      </c>
      <c r="K389" s="106">
        <f ca="1">HLOOKUP($H$4,'Met Data'!$O$2:$T$368,G389,FALSE)</f>
        <v>1.0019139083521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#N/A</v>
      </c>
      <c r="AH389" s="7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202</v>
      </c>
      <c r="H390" s="105">
        <f t="shared" ca="1" si="56"/>
        <v>45492</v>
      </c>
      <c r="I390" s="133">
        <f ca="1">HLOOKUP($H$4,'Met Data'!$A$2:$F$368,G390,FALSE)</f>
        <v>6.70757575757575</v>
      </c>
      <c r="J390" s="133">
        <f ca="1">HLOOKUP($H$4,'Met Data'!$H$2:$M$368,G390,FALSE)*L390</f>
        <v>1.76969696969696</v>
      </c>
      <c r="K390" s="106">
        <f ca="1">HLOOKUP($H$4,'Met Data'!$O$2:$T$368,G390,FALSE)</f>
        <v>1.1757544824616699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#N/A</v>
      </c>
      <c r="AH390" s="7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203</v>
      </c>
      <c r="H391" s="105">
        <f t="shared" ca="1" si="56"/>
        <v>45493</v>
      </c>
      <c r="I391" s="133">
        <f ca="1">HLOOKUP($H$4,'Met Data'!$A$2:$F$368,G391,FALSE)</f>
        <v>6.2909090909090901</v>
      </c>
      <c r="J391" s="133">
        <f ca="1">HLOOKUP($H$4,'Met Data'!$H$2:$M$368,G391,FALSE)*L391</f>
        <v>2.1</v>
      </c>
      <c r="K391" s="106">
        <f ca="1">HLOOKUP($H$4,'Met Data'!$O$2:$T$368,G391,FALSE)</f>
        <v>1.0943315234208899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#N/A</v>
      </c>
      <c r="AH391" s="7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204</v>
      </c>
      <c r="H392" s="105">
        <f t="shared" ref="H392:H455" ca="1" si="66">H391+1</f>
        <v>45494</v>
      </c>
      <c r="I392" s="133">
        <f ca="1">HLOOKUP($H$4,'Met Data'!$A$2:$F$368,G392,FALSE)</f>
        <v>6.5757575757575699</v>
      </c>
      <c r="J392" s="133">
        <f ca="1">HLOOKUP($H$4,'Met Data'!$H$2:$M$368,G392,FALSE)*L392</f>
        <v>2.55151515151515</v>
      </c>
      <c r="K392" s="106">
        <f ca="1">HLOOKUP($H$4,'Met Data'!$O$2:$T$368,G392,FALSE)</f>
        <v>1.2263410572015001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#N/A</v>
      </c>
      <c r="AH392" s="7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205</v>
      </c>
      <c r="H393" s="105">
        <f t="shared" ca="1" si="66"/>
        <v>45495</v>
      </c>
      <c r="I393" s="133">
        <f ca="1">HLOOKUP($H$4,'Met Data'!$A$2:$F$368,G393,FALSE)</f>
        <v>6.8424242424242401</v>
      </c>
      <c r="J393" s="133">
        <f ca="1">HLOOKUP($H$4,'Met Data'!$H$2:$M$368,G393,FALSE)*L393</f>
        <v>0.84545454545454501</v>
      </c>
      <c r="K393" s="106">
        <f ca="1">HLOOKUP($H$4,'Met Data'!$O$2:$T$368,G393,FALSE)</f>
        <v>1.3752263361541199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#N/A</v>
      </c>
      <c r="AH393" s="7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206</v>
      </c>
      <c r="H394" s="105">
        <f t="shared" ca="1" si="66"/>
        <v>45496</v>
      </c>
      <c r="I394" s="133">
        <f ca="1">HLOOKUP($H$4,'Met Data'!$A$2:$F$368,G394,FALSE)</f>
        <v>6.7236363636363601</v>
      </c>
      <c r="J394" s="133">
        <f ca="1">HLOOKUP($H$4,'Met Data'!$H$2:$M$368,G394,FALSE)*L394</f>
        <v>0.62727272727272698</v>
      </c>
      <c r="K394" s="106">
        <f ca="1">HLOOKUP($H$4,'Met Data'!$O$2:$T$368,G394,FALSE)</f>
        <v>1.3244433723498701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#N/A</v>
      </c>
      <c r="AH394" s="7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207</v>
      </c>
      <c r="H395" s="105">
        <f t="shared" ca="1" si="66"/>
        <v>45497</v>
      </c>
      <c r="I395" s="133">
        <f ca="1">HLOOKUP($H$4,'Met Data'!$A$2:$F$368,G395,FALSE)</f>
        <v>6.8075757575757496</v>
      </c>
      <c r="J395" s="133">
        <f ca="1">HLOOKUP($H$4,'Met Data'!$H$2:$M$368,G395,FALSE)*L395</f>
        <v>2.63636363636363</v>
      </c>
      <c r="K395" s="106">
        <f ca="1">HLOOKUP($H$4,'Met Data'!$O$2:$T$368,G395,FALSE)</f>
        <v>1.44760057498724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#N/A</v>
      </c>
      <c r="AH395" s="7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208</v>
      </c>
      <c r="H396" s="105">
        <f t="shared" ca="1" si="66"/>
        <v>45498</v>
      </c>
      <c r="I396" s="133">
        <f ca="1">HLOOKUP($H$4,'Met Data'!$A$2:$F$368,G396,FALSE)</f>
        <v>6.7636363636363601</v>
      </c>
      <c r="J396" s="133">
        <f ca="1">HLOOKUP($H$4,'Met Data'!$H$2:$M$368,G396,FALSE)*L396</f>
        <v>1.49696969696969</v>
      </c>
      <c r="K396" s="106">
        <f ca="1">HLOOKUP($H$4,'Met Data'!$O$2:$T$368,G396,FALSE)</f>
        <v>1.60850212631903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#N/A</v>
      </c>
      <c r="AH396" s="7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209</v>
      </c>
      <c r="H397" s="105">
        <f t="shared" ca="1" si="66"/>
        <v>45499</v>
      </c>
      <c r="I397" s="133">
        <f ca="1">HLOOKUP($H$4,'Met Data'!$A$2:$F$368,G397,FALSE)</f>
        <v>7.0954545454545404</v>
      </c>
      <c r="J397" s="133">
        <f ca="1">HLOOKUP($H$4,'Met Data'!$H$2:$M$368,G397,FALSE)*L397</f>
        <v>2.4303030303030302</v>
      </c>
      <c r="K397" s="106">
        <f ca="1">HLOOKUP($H$4,'Met Data'!$O$2:$T$368,G397,FALSE)</f>
        <v>1.55883335001025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#N/A</v>
      </c>
      <c r="AH397" s="7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210</v>
      </c>
      <c r="H398" s="105">
        <f t="shared" ca="1" si="66"/>
        <v>45500</v>
      </c>
      <c r="I398" s="133">
        <f ca="1">HLOOKUP($H$4,'Met Data'!$A$2:$F$368,G398,FALSE)</f>
        <v>7.0287878787878704</v>
      </c>
      <c r="J398" s="133">
        <f ca="1">HLOOKUP($H$4,'Met Data'!$H$2:$M$368,G398,FALSE)*L398</f>
        <v>0.79090909090909101</v>
      </c>
      <c r="K398" s="106">
        <f ca="1">HLOOKUP($H$4,'Met Data'!$O$2:$T$368,G398,FALSE)</f>
        <v>1.4832490994765199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#N/A</v>
      </c>
      <c r="AH398" s="7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211</v>
      </c>
      <c r="H399" s="105">
        <f t="shared" ca="1" si="66"/>
        <v>45501</v>
      </c>
      <c r="I399" s="133">
        <f ca="1">HLOOKUP($H$4,'Met Data'!$A$2:$F$368,G399,FALSE)</f>
        <v>7.4492424242424198</v>
      </c>
      <c r="J399" s="133">
        <f ca="1">HLOOKUP($H$4,'Met Data'!$H$2:$M$368,G399,FALSE)*L399</f>
        <v>0.79696969696969699</v>
      </c>
      <c r="K399" s="106">
        <f ca="1">HLOOKUP($H$4,'Met Data'!$O$2:$T$368,G399,FALSE)</f>
        <v>1.5379059871907199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#N/A</v>
      </c>
      <c r="AH399" s="7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212</v>
      </c>
      <c r="H400" s="105">
        <f t="shared" ca="1" si="66"/>
        <v>45502</v>
      </c>
      <c r="I400" s="133">
        <f ca="1">HLOOKUP($H$4,'Met Data'!$A$2:$F$368,G400,FALSE)</f>
        <v>6.8409090909090899</v>
      </c>
      <c r="J400" s="133">
        <f ca="1">HLOOKUP($H$4,'Met Data'!$H$2:$M$368,G400,FALSE)*L400</f>
        <v>1.59393939393939</v>
      </c>
      <c r="K400" s="106">
        <f ca="1">HLOOKUP($H$4,'Met Data'!$O$2:$T$368,G400,FALSE)</f>
        <v>1.61262260286068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#N/A</v>
      </c>
      <c r="AH400" s="7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213</v>
      </c>
      <c r="H401" s="105">
        <f t="shared" ca="1" si="66"/>
        <v>45503</v>
      </c>
      <c r="I401" s="133">
        <f ca="1">HLOOKUP($H$4,'Met Data'!$A$2:$F$368,G401,FALSE)</f>
        <v>7.1918181818181797</v>
      </c>
      <c r="J401" s="133">
        <f ca="1">HLOOKUP($H$4,'Met Data'!$H$2:$M$368,G401,FALSE)*L401</f>
        <v>0.86060606060606004</v>
      </c>
      <c r="K401" s="106">
        <f ca="1">HLOOKUP($H$4,'Met Data'!$O$2:$T$368,G401,FALSE)</f>
        <v>1.7014054560095799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#N/A</v>
      </c>
      <c r="AH401" s="7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214</v>
      </c>
      <c r="H402" s="105">
        <f t="shared" ca="1" si="66"/>
        <v>45504</v>
      </c>
      <c r="I402" s="133">
        <f ca="1">HLOOKUP($H$4,'Met Data'!$A$2:$F$368,G402,FALSE)</f>
        <v>7.4148484848484797</v>
      </c>
      <c r="J402" s="133">
        <f ca="1">HLOOKUP($H$4,'Met Data'!$H$2:$M$368,G402,FALSE)*L402</f>
        <v>1.7787878787878699</v>
      </c>
      <c r="K402" s="106">
        <f ca="1">HLOOKUP($H$4,'Met Data'!$O$2:$T$368,G402,FALSE)</f>
        <v>1.57863389711225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#N/A</v>
      </c>
      <c r="AH402" s="7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215</v>
      </c>
      <c r="H403" s="105">
        <f t="shared" ca="1" si="66"/>
        <v>45505</v>
      </c>
      <c r="I403" s="133">
        <f ca="1">HLOOKUP($H$4,'Met Data'!$A$2:$F$368,G403,FALSE)</f>
        <v>7.1409090909090898</v>
      </c>
      <c r="J403" s="133">
        <f ca="1">HLOOKUP($H$4,'Met Data'!$H$2:$M$368,G403,FALSE)*L403</f>
        <v>1.47272727272727</v>
      </c>
      <c r="K403" s="106">
        <f ca="1">HLOOKUP($H$4,'Met Data'!$O$2:$T$368,G403,FALSE)</f>
        <v>1.5098843625253899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#N/A</v>
      </c>
      <c r="AH403" s="7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216</v>
      </c>
      <c r="H404" s="105">
        <f t="shared" ca="1" si="66"/>
        <v>45506</v>
      </c>
      <c r="I404" s="133">
        <f ca="1">HLOOKUP($H$4,'Met Data'!$A$2:$F$368,G404,FALSE)</f>
        <v>6.7681818181818096</v>
      </c>
      <c r="J404" s="133">
        <f ca="1">HLOOKUP($H$4,'Met Data'!$H$2:$M$368,G404,FALSE)*L404</f>
        <v>0.76666666666666605</v>
      </c>
      <c r="K404" s="106">
        <f ca="1">HLOOKUP($H$4,'Met Data'!$O$2:$T$368,G404,FALSE)</f>
        <v>1.28491883482887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#N/A</v>
      </c>
      <c r="AH404" s="7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217</v>
      </c>
      <c r="H405" s="105">
        <f t="shared" ca="1" si="66"/>
        <v>45507</v>
      </c>
      <c r="I405" s="133">
        <f ca="1">HLOOKUP($H$4,'Met Data'!$A$2:$F$368,G405,FALSE)</f>
        <v>7.2015151515151503</v>
      </c>
      <c r="J405" s="133">
        <f ca="1">HLOOKUP($H$4,'Met Data'!$H$2:$M$368,G405,FALSE)*L405</f>
        <v>1.47272727272727</v>
      </c>
      <c r="K405" s="106">
        <f ca="1">HLOOKUP($H$4,'Met Data'!$O$2:$T$368,G405,FALSE)</f>
        <v>1.3386149785468899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#N/A</v>
      </c>
      <c r="AH405" s="7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218</v>
      </c>
      <c r="H406" s="105">
        <f t="shared" ca="1" si="66"/>
        <v>45508</v>
      </c>
      <c r="I406" s="133">
        <f ca="1">HLOOKUP($H$4,'Met Data'!$A$2:$F$368,G406,FALSE)</f>
        <v>7.3742424242424196</v>
      </c>
      <c r="J406" s="133">
        <f ca="1">HLOOKUP($H$4,'Met Data'!$H$2:$M$368,G406,FALSE)*L406</f>
        <v>1.75757575757575</v>
      </c>
      <c r="K406" s="106">
        <f ca="1">HLOOKUP($H$4,'Met Data'!$O$2:$T$368,G406,FALSE)</f>
        <v>1.55222576978494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#N/A</v>
      </c>
      <c r="AH406" s="7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219</v>
      </c>
      <c r="H407" s="105">
        <f t="shared" ca="1" si="66"/>
        <v>45509</v>
      </c>
      <c r="I407" s="133">
        <f ca="1">HLOOKUP($H$4,'Met Data'!$A$2:$F$368,G407,FALSE)</f>
        <v>7.4590909090909001</v>
      </c>
      <c r="J407" s="133">
        <f ca="1">HLOOKUP($H$4,'Met Data'!$H$2:$M$368,G407,FALSE)*L407</f>
        <v>0.60909090909090902</v>
      </c>
      <c r="K407" s="106">
        <f ca="1">HLOOKUP($H$4,'Met Data'!$O$2:$T$368,G407,FALSE)</f>
        <v>1.4979769801628799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#N/A</v>
      </c>
      <c r="AH407" s="7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220</v>
      </c>
      <c r="H408" s="105">
        <f t="shared" ca="1" si="66"/>
        <v>45510</v>
      </c>
      <c r="I408" s="133">
        <f ca="1">HLOOKUP($H$4,'Met Data'!$A$2:$F$368,G408,FALSE)</f>
        <v>7.5939393939393902</v>
      </c>
      <c r="J408" s="133">
        <f ca="1">HLOOKUP($H$4,'Met Data'!$H$2:$M$368,G408,FALSE)*L408</f>
        <v>3.3848484848484799</v>
      </c>
      <c r="K408" s="106">
        <f ca="1">HLOOKUP($H$4,'Met Data'!$O$2:$T$368,G408,FALSE)</f>
        <v>1.51963915749211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#N/A</v>
      </c>
      <c r="AH408" s="7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221</v>
      </c>
      <c r="H409" s="105">
        <f t="shared" ca="1" si="66"/>
        <v>45511</v>
      </c>
      <c r="I409" s="133">
        <f ca="1">HLOOKUP($H$4,'Met Data'!$A$2:$F$368,G409,FALSE)</f>
        <v>7.3257575757575699</v>
      </c>
      <c r="J409" s="133">
        <f ca="1">HLOOKUP($H$4,'Met Data'!$H$2:$M$368,G409,FALSE)*L409</f>
        <v>3.2363636363636301</v>
      </c>
      <c r="K409" s="106">
        <f ca="1">HLOOKUP($H$4,'Met Data'!$O$2:$T$368,G409,FALSE)</f>
        <v>1.7182656587563401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#N/A</v>
      </c>
      <c r="AH409" s="7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222</v>
      </c>
      <c r="H410" s="105">
        <f t="shared" ca="1" si="66"/>
        <v>45512</v>
      </c>
      <c r="I410" s="133">
        <f ca="1">HLOOKUP($H$4,'Met Data'!$A$2:$F$368,G410,FALSE)</f>
        <v>6.6333333333333302</v>
      </c>
      <c r="J410" s="133">
        <f ca="1">HLOOKUP($H$4,'Met Data'!$H$2:$M$368,G410,FALSE)*L410</f>
        <v>1.55151515151515</v>
      </c>
      <c r="K410" s="106">
        <f ca="1">HLOOKUP($H$4,'Met Data'!$O$2:$T$368,G410,FALSE)</f>
        <v>1.45992841951307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#N/A</v>
      </c>
      <c r="AH410" s="7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223</v>
      </c>
      <c r="H411" s="105">
        <f t="shared" ca="1" si="66"/>
        <v>45513</v>
      </c>
      <c r="I411" s="133">
        <f ca="1">HLOOKUP($H$4,'Met Data'!$A$2:$F$368,G411,FALSE)</f>
        <v>7.0696969696969703</v>
      </c>
      <c r="J411" s="133">
        <f ca="1">HLOOKUP($H$4,'Met Data'!$H$2:$M$368,G411,FALSE)*L411</f>
        <v>1.4545454545454499</v>
      </c>
      <c r="K411" s="106">
        <f ca="1">HLOOKUP($H$4,'Met Data'!$O$2:$T$368,G411,FALSE)</f>
        <v>1.43429877915796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#N/A</v>
      </c>
      <c r="AH411" s="7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224</v>
      </c>
      <c r="H412" s="105">
        <f t="shared" ca="1" si="66"/>
        <v>45514</v>
      </c>
      <c r="I412" s="133">
        <f ca="1">HLOOKUP($H$4,'Met Data'!$A$2:$F$368,G412,FALSE)</f>
        <v>7.5106060606060598</v>
      </c>
      <c r="J412" s="133">
        <f ca="1">HLOOKUP($H$4,'Met Data'!$H$2:$M$368,G412,FALSE)*L412</f>
        <v>1.6030303030302999</v>
      </c>
      <c r="K412" s="106">
        <f ca="1">HLOOKUP($H$4,'Met Data'!$O$2:$T$368,G412,FALSE)</f>
        <v>1.4617211304547399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#N/A</v>
      </c>
      <c r="AH412" s="7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225</v>
      </c>
      <c r="H413" s="105">
        <f t="shared" ca="1" si="66"/>
        <v>45515</v>
      </c>
      <c r="I413" s="133">
        <f ca="1">HLOOKUP($H$4,'Met Data'!$A$2:$F$368,G413,FALSE)</f>
        <v>7.7378787878787803</v>
      </c>
      <c r="J413" s="133">
        <f ca="1">HLOOKUP($H$4,'Met Data'!$H$2:$M$368,G413,FALSE)*L413</f>
        <v>1.2</v>
      </c>
      <c r="K413" s="106">
        <f ca="1">HLOOKUP($H$4,'Met Data'!$O$2:$T$368,G413,FALSE)</f>
        <v>1.64327704752056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#N/A</v>
      </c>
      <c r="AH413" s="7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226</v>
      </c>
      <c r="H414" s="105">
        <f t="shared" ca="1" si="66"/>
        <v>45516</v>
      </c>
      <c r="I414" s="133">
        <f ca="1">HLOOKUP($H$4,'Met Data'!$A$2:$F$368,G414,FALSE)</f>
        <v>7.4378787878787804</v>
      </c>
      <c r="J414" s="133">
        <f ca="1">HLOOKUP($H$4,'Met Data'!$H$2:$M$368,G414,FALSE)*L414</f>
        <v>2.0151515151515098</v>
      </c>
      <c r="K414" s="106">
        <f ca="1">HLOOKUP($H$4,'Met Data'!$O$2:$T$368,G414,FALSE)</f>
        <v>1.7219137683755099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#N/A</v>
      </c>
      <c r="AH414" s="7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227</v>
      </c>
      <c r="H415" s="105">
        <f t="shared" ca="1" si="66"/>
        <v>45517</v>
      </c>
      <c r="I415" s="133">
        <f ca="1">HLOOKUP($H$4,'Met Data'!$A$2:$F$368,G415,FALSE)</f>
        <v>7.3203125</v>
      </c>
      <c r="J415" s="133">
        <f ca="1">HLOOKUP($H$4,'Met Data'!$H$2:$M$368,G415,FALSE)*L415</f>
        <v>2.2093750000000001</v>
      </c>
      <c r="K415" s="106">
        <f ca="1">HLOOKUP($H$4,'Met Data'!$O$2:$T$368,G415,FALSE)</f>
        <v>1.6752410691035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#N/A</v>
      </c>
      <c r="AH415" s="7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228</v>
      </c>
      <c r="H416" s="105">
        <f t="shared" ca="1" si="66"/>
        <v>45518</v>
      </c>
      <c r="I416" s="133">
        <f ca="1">HLOOKUP($H$4,'Met Data'!$A$2:$F$368,G416,FALSE)</f>
        <v>6.9593749999999996</v>
      </c>
      <c r="J416" s="133">
        <f ca="1">HLOOKUP($H$4,'Met Data'!$H$2:$M$368,G416,FALSE)*L416</f>
        <v>2.0531250000000001</v>
      </c>
      <c r="K416" s="106">
        <f ca="1">HLOOKUP($H$4,'Met Data'!$O$2:$T$368,G416,FALSE)</f>
        <v>1.6478784943890401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#N/A</v>
      </c>
      <c r="AH416" s="7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229</v>
      </c>
      <c r="H417" s="105">
        <f t="shared" ca="1" si="66"/>
        <v>45519</v>
      </c>
      <c r="I417" s="133">
        <f ca="1">HLOOKUP($H$4,'Met Data'!$A$2:$F$368,G417,FALSE)</f>
        <v>7.1937499999999996</v>
      </c>
      <c r="J417" s="133">
        <f ca="1">HLOOKUP($H$4,'Met Data'!$H$2:$M$368,G417,FALSE)*L417</f>
        <v>2.03125</v>
      </c>
      <c r="K417" s="106">
        <f ca="1">HLOOKUP($H$4,'Met Data'!$O$2:$T$368,G417,FALSE)</f>
        <v>1.7164445634915999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#N/A</v>
      </c>
      <c r="AH417" s="7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230</v>
      </c>
      <c r="H418" s="105">
        <f t="shared" ca="1" si="66"/>
        <v>45520</v>
      </c>
      <c r="I418" s="133">
        <f ca="1">HLOOKUP($H$4,'Met Data'!$A$2:$F$368,G418,FALSE)</f>
        <v>7.7437500000000004</v>
      </c>
      <c r="J418" s="133">
        <f ca="1">HLOOKUP($H$4,'Met Data'!$H$2:$M$368,G418,FALSE)*L418</f>
        <v>2.4874999999999998</v>
      </c>
      <c r="K418" s="106">
        <f ca="1">HLOOKUP($H$4,'Met Data'!$O$2:$T$368,G418,FALSE)</f>
        <v>1.83858279668266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#N/A</v>
      </c>
      <c r="AH418" s="7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231</v>
      </c>
      <c r="H419" s="105">
        <f t="shared" ca="1" si="66"/>
        <v>45521</v>
      </c>
      <c r="I419" s="133">
        <f ca="1">HLOOKUP($H$4,'Met Data'!$A$2:$F$368,G419,FALSE)</f>
        <v>7.8</v>
      </c>
      <c r="J419" s="133">
        <f ca="1">HLOOKUP($H$4,'Met Data'!$H$2:$M$368,G419,FALSE)*L419</f>
        <v>2.4656250000000002</v>
      </c>
      <c r="K419" s="106">
        <f ca="1">HLOOKUP($H$4,'Met Data'!$O$2:$T$368,G419,FALSE)</f>
        <v>1.65941446777998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#N/A</v>
      </c>
      <c r="AH419" s="7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232</v>
      </c>
      <c r="H420" s="105">
        <f t="shared" ca="1" si="66"/>
        <v>45522</v>
      </c>
      <c r="I420" s="133">
        <f ca="1">HLOOKUP($H$4,'Met Data'!$A$2:$F$368,G420,FALSE)</f>
        <v>7.5171875000000004</v>
      </c>
      <c r="J420" s="133">
        <f ca="1">HLOOKUP($H$4,'Met Data'!$H$2:$M$368,G420,FALSE)*L420</f>
        <v>2.0375000000000001</v>
      </c>
      <c r="K420" s="106">
        <f ca="1">HLOOKUP($H$4,'Met Data'!$O$2:$T$368,G420,FALSE)</f>
        <v>1.8302956478085199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#N/A</v>
      </c>
      <c r="AH420" s="7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233</v>
      </c>
      <c r="H421" s="105">
        <f t="shared" ca="1" si="66"/>
        <v>45523</v>
      </c>
      <c r="I421" s="133">
        <f ca="1">HLOOKUP($H$4,'Met Data'!$A$2:$F$368,G421,FALSE)</f>
        <v>7.5671875000000002</v>
      </c>
      <c r="J421" s="133">
        <f ca="1">HLOOKUP($H$4,'Met Data'!$H$2:$M$368,G421,FALSE)*L421</f>
        <v>1.278125</v>
      </c>
      <c r="K421" s="106">
        <f ca="1">HLOOKUP($H$4,'Met Data'!$O$2:$T$368,G421,FALSE)</f>
        <v>1.86992300057723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#N/A</v>
      </c>
      <c r="AH421" s="7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234</v>
      </c>
      <c r="H422" s="105">
        <f t="shared" ca="1" si="66"/>
        <v>45524</v>
      </c>
      <c r="I422" s="133">
        <f ca="1">HLOOKUP($H$4,'Met Data'!$A$2:$F$368,G422,FALSE)</f>
        <v>7.2593750000000004</v>
      </c>
      <c r="J422" s="133">
        <f ca="1">HLOOKUP($H$4,'Met Data'!$H$2:$M$368,G422,FALSE)*L422</f>
        <v>2.7843749999999998</v>
      </c>
      <c r="K422" s="106">
        <f ca="1">HLOOKUP($H$4,'Met Data'!$O$2:$T$368,G422,FALSE)</f>
        <v>1.7326605302545099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#N/A</v>
      </c>
      <c r="AH422" s="7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235</v>
      </c>
      <c r="H423" s="105">
        <f t="shared" ca="1" si="66"/>
        <v>45525</v>
      </c>
      <c r="I423" s="133">
        <f ca="1">HLOOKUP($H$4,'Met Data'!$A$2:$F$368,G423,FALSE)</f>
        <v>7.5062499999999996</v>
      </c>
      <c r="J423" s="133">
        <f ca="1">HLOOKUP($H$4,'Met Data'!$H$2:$M$368,G423,FALSE)*L423</f>
        <v>3.6281249999999998</v>
      </c>
      <c r="K423" s="106">
        <f ca="1">HLOOKUP($H$4,'Met Data'!$O$2:$T$368,G423,FALSE)</f>
        <v>1.7739522546512301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#N/A</v>
      </c>
      <c r="AH423" s="7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236</v>
      </c>
      <c r="H424" s="105">
        <f t="shared" ca="1" si="66"/>
        <v>45526</v>
      </c>
      <c r="I424" s="133">
        <f ca="1">HLOOKUP($H$4,'Met Data'!$A$2:$F$368,G424,FALSE)</f>
        <v>7.6363636363636296</v>
      </c>
      <c r="J424" s="133">
        <f ca="1">HLOOKUP($H$4,'Met Data'!$H$2:$M$368,G424,FALSE)*L424</f>
        <v>2.0787878787878702</v>
      </c>
      <c r="K424" s="106">
        <f ca="1">HLOOKUP($H$4,'Met Data'!$O$2:$T$368,G424,FALSE)</f>
        <v>1.8600874849981099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#N/A</v>
      </c>
      <c r="AH424" s="7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237</v>
      </c>
      <c r="H425" s="105">
        <f t="shared" ca="1" si="66"/>
        <v>45527</v>
      </c>
      <c r="I425" s="133">
        <f ca="1">HLOOKUP($H$4,'Met Data'!$A$2:$F$368,G425,FALSE)</f>
        <v>8.1045454545454501</v>
      </c>
      <c r="J425" s="133">
        <f ca="1">HLOOKUP($H$4,'Met Data'!$H$2:$M$368,G425,FALSE)*L425</f>
        <v>0.324242424242424</v>
      </c>
      <c r="K425" s="106">
        <f ca="1">HLOOKUP($H$4,'Met Data'!$O$2:$T$368,G425,FALSE)</f>
        <v>1.9096330242923301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#N/A</v>
      </c>
      <c r="AH425" s="7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238</v>
      </c>
      <c r="H426" s="105">
        <f t="shared" ca="1" si="66"/>
        <v>45528</v>
      </c>
      <c r="I426" s="133">
        <f ca="1">HLOOKUP($H$4,'Met Data'!$A$2:$F$368,G426,FALSE)</f>
        <v>8.2954545454545396</v>
      </c>
      <c r="J426" s="133">
        <f ca="1">HLOOKUP($H$4,'Met Data'!$H$2:$M$368,G426,FALSE)*L426</f>
        <v>1.3424242424242401</v>
      </c>
      <c r="K426" s="106">
        <f ca="1">HLOOKUP($H$4,'Met Data'!$O$2:$T$368,G426,FALSE)</f>
        <v>1.9397244182821201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#N/A</v>
      </c>
      <c r="AH426" s="7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239</v>
      </c>
      <c r="H427" s="105">
        <f t="shared" ca="1" si="66"/>
        <v>45529</v>
      </c>
      <c r="I427" s="133">
        <f ca="1">HLOOKUP($H$4,'Met Data'!$A$2:$F$368,G427,FALSE)</f>
        <v>8.2378787878787794</v>
      </c>
      <c r="J427" s="133">
        <f ca="1">HLOOKUP($H$4,'Met Data'!$H$2:$M$368,G427,FALSE)*L427</f>
        <v>2.47272727272727</v>
      </c>
      <c r="K427" s="106">
        <f ca="1">HLOOKUP($H$4,'Met Data'!$O$2:$T$368,G427,FALSE)</f>
        <v>1.7062659547971699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#N/A</v>
      </c>
      <c r="AH427" s="7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240</v>
      </c>
      <c r="H428" s="105">
        <f t="shared" ca="1" si="66"/>
        <v>45530</v>
      </c>
      <c r="I428" s="133">
        <f ca="1">HLOOKUP($H$4,'Met Data'!$A$2:$F$368,G428,FALSE)</f>
        <v>8.2484848484848392</v>
      </c>
      <c r="J428" s="133">
        <f ca="1">HLOOKUP($H$4,'Met Data'!$H$2:$M$368,G428,FALSE)*L428</f>
        <v>2.9151515151515102</v>
      </c>
      <c r="K428" s="106">
        <f ca="1">HLOOKUP($H$4,'Met Data'!$O$2:$T$368,G428,FALSE)</f>
        <v>1.9297175584059301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#N/A</v>
      </c>
      <c r="AH428" s="7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241</v>
      </c>
      <c r="H429" s="105">
        <f t="shared" ca="1" si="66"/>
        <v>45531</v>
      </c>
      <c r="I429" s="133">
        <f ca="1">HLOOKUP($H$4,'Met Data'!$A$2:$F$368,G429,FALSE)</f>
        <v>8.5593939393939298</v>
      </c>
      <c r="J429" s="133">
        <f ca="1">HLOOKUP($H$4,'Met Data'!$H$2:$M$368,G429,FALSE)*L429</f>
        <v>1.8696969696969601</v>
      </c>
      <c r="K429" s="106">
        <f ca="1">HLOOKUP($H$4,'Met Data'!$O$2:$T$368,G429,FALSE)</f>
        <v>2.0109048192884398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#N/A</v>
      </c>
      <c r="AH429" s="7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242</v>
      </c>
      <c r="H430" s="105">
        <f t="shared" ca="1" si="66"/>
        <v>45532</v>
      </c>
      <c r="I430" s="133">
        <f ca="1">HLOOKUP($H$4,'Met Data'!$A$2:$F$368,G430,FALSE)</f>
        <v>8.2121212121212093</v>
      </c>
      <c r="J430" s="133">
        <f ca="1">HLOOKUP($H$4,'Met Data'!$H$2:$M$368,G430,FALSE)*L430</f>
        <v>2.1333333333333302</v>
      </c>
      <c r="K430" s="106">
        <f ca="1">HLOOKUP($H$4,'Met Data'!$O$2:$T$368,G430,FALSE)</f>
        <v>1.9004966666128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#N/A</v>
      </c>
      <c r="AH430" s="7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243</v>
      </c>
      <c r="H431" s="105">
        <f t="shared" ca="1" si="66"/>
        <v>45533</v>
      </c>
      <c r="I431" s="133">
        <f ca="1">HLOOKUP($H$4,'Met Data'!$A$2:$F$368,G431,FALSE)</f>
        <v>8.8015151515151508</v>
      </c>
      <c r="J431" s="133">
        <f ca="1">HLOOKUP($H$4,'Met Data'!$H$2:$M$368,G431,FALSE)*L431</f>
        <v>1.3060606060605999</v>
      </c>
      <c r="K431" s="106">
        <f ca="1">HLOOKUP($H$4,'Met Data'!$O$2:$T$368,G431,FALSE)</f>
        <v>2.0203052831425601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#N/A</v>
      </c>
      <c r="AH431" s="7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244</v>
      </c>
      <c r="H432" s="105">
        <f t="shared" ca="1" si="66"/>
        <v>45534</v>
      </c>
      <c r="I432" s="133">
        <f ca="1">HLOOKUP($H$4,'Met Data'!$A$2:$F$368,G432,FALSE)</f>
        <v>7.8968181818181797</v>
      </c>
      <c r="J432" s="133">
        <f ca="1">HLOOKUP($H$4,'Met Data'!$H$2:$M$368,G432,FALSE)*L432</f>
        <v>0.73030303030303001</v>
      </c>
      <c r="K432" s="106">
        <f ca="1">HLOOKUP($H$4,'Met Data'!$O$2:$T$368,G432,FALSE)</f>
        <v>2.13768236411026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#N/A</v>
      </c>
      <c r="AH432" s="7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245</v>
      </c>
      <c r="H433" s="105">
        <f t="shared" ca="1" si="66"/>
        <v>45535</v>
      </c>
      <c r="I433" s="133">
        <f ca="1">HLOOKUP($H$4,'Met Data'!$A$2:$F$368,G433,FALSE)</f>
        <v>8.5848484848484805</v>
      </c>
      <c r="J433" s="133">
        <f ca="1">HLOOKUP($H$4,'Met Data'!$H$2:$M$368,G433,FALSE)*L433</f>
        <v>1.66363636363636</v>
      </c>
      <c r="K433" s="106">
        <f ca="1">HLOOKUP($H$4,'Met Data'!$O$2:$T$368,G433,FALSE)</f>
        <v>2.4306848632987301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#N/A</v>
      </c>
      <c r="AH433" s="7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246</v>
      </c>
      <c r="H434" s="105">
        <f t="shared" ca="1" si="66"/>
        <v>45536</v>
      </c>
      <c r="I434" s="133">
        <f ca="1">HLOOKUP($H$4,'Met Data'!$A$2:$F$368,G434,FALSE)</f>
        <v>9.0333333333333297</v>
      </c>
      <c r="J434" s="133">
        <f ca="1">HLOOKUP($H$4,'Met Data'!$H$2:$M$368,G434,FALSE)*L434</f>
        <v>1.2393939393939299</v>
      </c>
      <c r="K434" s="106">
        <f ca="1">HLOOKUP($H$4,'Met Data'!$O$2:$T$368,G434,FALSE)</f>
        <v>2.2838857553046599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#N/A</v>
      </c>
      <c r="AH434" s="7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247</v>
      </c>
      <c r="H435" s="105">
        <f t="shared" ca="1" si="66"/>
        <v>45537</v>
      </c>
      <c r="I435" s="133">
        <f ca="1">HLOOKUP($H$4,'Met Data'!$A$2:$F$368,G435,FALSE)</f>
        <v>8.7469696969696908</v>
      </c>
      <c r="J435" s="133">
        <f ca="1">HLOOKUP($H$4,'Met Data'!$H$2:$M$368,G435,FALSE)*L435</f>
        <v>1.06969696969696</v>
      </c>
      <c r="K435" s="106">
        <f ca="1">HLOOKUP($H$4,'Met Data'!$O$2:$T$368,G435,FALSE)</f>
        <v>2.13744572746974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#N/A</v>
      </c>
      <c r="AH435" s="7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248</v>
      </c>
      <c r="H436" s="105">
        <f t="shared" ca="1" si="66"/>
        <v>45538</v>
      </c>
      <c r="I436" s="133">
        <f ca="1">HLOOKUP($H$4,'Met Data'!$A$2:$F$368,G436,FALSE)</f>
        <v>8.7227272727272709</v>
      </c>
      <c r="J436" s="133">
        <f ca="1">HLOOKUP($H$4,'Met Data'!$H$2:$M$368,G436,FALSE)*L436</f>
        <v>1.0878787878787799</v>
      </c>
      <c r="K436" s="106">
        <f ca="1">HLOOKUP($H$4,'Met Data'!$O$2:$T$368,G436,FALSE)</f>
        <v>2.20158976988608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#N/A</v>
      </c>
      <c r="AH436" s="7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249</v>
      </c>
      <c r="H437" s="105">
        <f t="shared" ca="1" si="66"/>
        <v>45539</v>
      </c>
      <c r="I437" s="133">
        <f ca="1">HLOOKUP($H$4,'Met Data'!$A$2:$F$368,G437,FALSE)</f>
        <v>8.4803030303030305</v>
      </c>
      <c r="J437" s="133">
        <f ca="1">HLOOKUP($H$4,'Met Data'!$H$2:$M$368,G437,FALSE)*L437</f>
        <v>0.95151515151515098</v>
      </c>
      <c r="K437" s="106">
        <f ca="1">HLOOKUP($H$4,'Met Data'!$O$2:$T$368,G437,FALSE)</f>
        <v>2.0118416889679498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#N/A</v>
      </c>
      <c r="AH437" s="7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250</v>
      </c>
      <c r="H438" s="105">
        <f t="shared" ca="1" si="66"/>
        <v>45540</v>
      </c>
      <c r="I438" s="133">
        <f ca="1">HLOOKUP($H$4,'Met Data'!$A$2:$F$368,G438,FALSE)</f>
        <v>8.9078125000000004</v>
      </c>
      <c r="J438" s="133">
        <f ca="1">HLOOKUP($H$4,'Met Data'!$H$2:$M$368,G438,FALSE)*L438</f>
        <v>1.4151515151515099</v>
      </c>
      <c r="K438" s="106">
        <f ca="1">HLOOKUP($H$4,'Met Data'!$O$2:$T$368,G438,FALSE)</f>
        <v>2.43907717587116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#N/A</v>
      </c>
      <c r="AH438" s="7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251</v>
      </c>
      <c r="H439" s="105">
        <f t="shared" ca="1" si="66"/>
        <v>45541</v>
      </c>
      <c r="I439" s="133">
        <f ca="1">HLOOKUP($H$4,'Met Data'!$A$2:$F$368,G439,FALSE)</f>
        <v>8.9656249999999993</v>
      </c>
      <c r="J439" s="133">
        <f ca="1">HLOOKUP($H$4,'Met Data'!$H$2:$M$368,G439,FALSE)*L439</f>
        <v>0.51818181818181797</v>
      </c>
      <c r="K439" s="106">
        <f ca="1">HLOOKUP($H$4,'Met Data'!$O$2:$T$368,G439,FALSE)</f>
        <v>2.4631446914892501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#N/A</v>
      </c>
      <c r="AH439" s="7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252</v>
      </c>
      <c r="H440" s="105">
        <f t="shared" ca="1" si="66"/>
        <v>45542</v>
      </c>
      <c r="I440" s="133">
        <f ca="1">HLOOKUP($H$4,'Met Data'!$A$2:$F$368,G440,FALSE)</f>
        <v>8.6015625</v>
      </c>
      <c r="J440" s="133">
        <f ca="1">HLOOKUP($H$4,'Met Data'!$H$2:$M$368,G440,FALSE)*L440</f>
        <v>1.0757575757575699</v>
      </c>
      <c r="K440" s="106">
        <f ca="1">HLOOKUP($H$4,'Met Data'!$O$2:$T$368,G440,FALSE)</f>
        <v>2.5132482169425701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#N/A</v>
      </c>
      <c r="AH440" s="7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253</v>
      </c>
      <c r="H441" s="105">
        <f t="shared" ca="1" si="66"/>
        <v>45543</v>
      </c>
      <c r="I441" s="133">
        <f ca="1">HLOOKUP($H$4,'Met Data'!$A$2:$F$368,G441,FALSE)</f>
        <v>8.0227272727272698</v>
      </c>
      <c r="J441" s="133">
        <f ca="1">HLOOKUP($H$4,'Met Data'!$H$2:$M$368,G441,FALSE)*L441</f>
        <v>1.0878787878787799</v>
      </c>
      <c r="K441" s="106">
        <f ca="1">HLOOKUP($H$4,'Met Data'!$O$2:$T$368,G441,FALSE)</f>
        <v>2.2941202547295898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#N/A</v>
      </c>
      <c r="AH441" s="7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254</v>
      </c>
      <c r="H442" s="105">
        <f t="shared" ca="1" si="66"/>
        <v>45544</v>
      </c>
      <c r="I442" s="133">
        <f ca="1">HLOOKUP($H$4,'Met Data'!$A$2:$F$368,G442,FALSE)</f>
        <v>9.0060606060606005</v>
      </c>
      <c r="J442" s="133">
        <f ca="1">HLOOKUP($H$4,'Met Data'!$H$2:$M$368,G442,FALSE)*L442</f>
        <v>1.08181818181818</v>
      </c>
      <c r="K442" s="106">
        <f ca="1">HLOOKUP($H$4,'Met Data'!$O$2:$T$368,G442,FALSE)</f>
        <v>2.6251015131954198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#N/A</v>
      </c>
      <c r="AH442" s="7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255</v>
      </c>
      <c r="H443" s="105">
        <f t="shared" ca="1" si="66"/>
        <v>45545</v>
      </c>
      <c r="I443" s="133">
        <f ca="1">HLOOKUP($H$4,'Met Data'!$A$2:$F$368,G443,FALSE)</f>
        <v>9.7090909090909001</v>
      </c>
      <c r="J443" s="133">
        <f ca="1">HLOOKUP($H$4,'Met Data'!$H$2:$M$368,G443,FALSE)*L443</f>
        <v>2.0393939393939302</v>
      </c>
      <c r="K443" s="106">
        <f ca="1">HLOOKUP($H$4,'Met Data'!$O$2:$T$368,G443,FALSE)</f>
        <v>2.7986809667616899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#N/A</v>
      </c>
      <c r="AH443" s="7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256</v>
      </c>
      <c r="H444" s="105">
        <f t="shared" ca="1" si="66"/>
        <v>45546</v>
      </c>
      <c r="I444" s="133">
        <f ca="1">HLOOKUP($H$4,'Met Data'!$A$2:$F$368,G444,FALSE)</f>
        <v>9.6212121212121193</v>
      </c>
      <c r="J444" s="133">
        <f ca="1">HLOOKUP($H$4,'Met Data'!$H$2:$M$368,G444,FALSE)*L444</f>
        <v>1.4424242424242399</v>
      </c>
      <c r="K444" s="106">
        <f ca="1">HLOOKUP($H$4,'Met Data'!$O$2:$T$368,G444,FALSE)</f>
        <v>2.6610711999077199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#N/A</v>
      </c>
      <c r="AH444" s="7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257</v>
      </c>
      <c r="H445" s="105">
        <f t="shared" ca="1" si="66"/>
        <v>45547</v>
      </c>
      <c r="I445" s="133">
        <f ca="1">HLOOKUP($H$4,'Met Data'!$A$2:$F$368,G445,FALSE)</f>
        <v>9.3833333333333293</v>
      </c>
      <c r="J445" s="133">
        <f ca="1">HLOOKUP($H$4,'Met Data'!$H$2:$M$368,G445,FALSE)*L445</f>
        <v>1.5181818181818101</v>
      </c>
      <c r="K445" s="106">
        <f ca="1">HLOOKUP($H$4,'Met Data'!$O$2:$T$368,G445,FALSE)</f>
        <v>2.3076791368567799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#N/A</v>
      </c>
      <c r="AH445" s="7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258</v>
      </c>
      <c r="H446" s="105">
        <f t="shared" ca="1" si="66"/>
        <v>45548</v>
      </c>
      <c r="I446" s="133">
        <f ca="1">HLOOKUP($H$4,'Met Data'!$A$2:$F$368,G446,FALSE)</f>
        <v>9.8590909090909093</v>
      </c>
      <c r="J446" s="133">
        <f ca="1">HLOOKUP($H$4,'Met Data'!$H$2:$M$368,G446,FALSE)*L446</f>
        <v>1.0060606060606001</v>
      </c>
      <c r="K446" s="106">
        <f ca="1">HLOOKUP($H$4,'Met Data'!$O$2:$T$368,G446,FALSE)</f>
        <v>2.7166636421386499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#N/A</v>
      </c>
      <c r="AH446" s="7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259</v>
      </c>
      <c r="H447" s="105">
        <f t="shared" ca="1" si="66"/>
        <v>45549</v>
      </c>
      <c r="I447" s="133">
        <f ca="1">HLOOKUP($H$4,'Met Data'!$A$2:$F$368,G447,FALSE)</f>
        <v>10.654545454545399</v>
      </c>
      <c r="J447" s="133">
        <f ca="1">HLOOKUP($H$4,'Met Data'!$H$2:$M$368,G447,FALSE)*L447</f>
        <v>0.69090909090909003</v>
      </c>
      <c r="K447" s="106">
        <f ca="1">HLOOKUP($H$4,'Met Data'!$O$2:$T$368,G447,FALSE)</f>
        <v>2.8776450917507499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#N/A</v>
      </c>
      <c r="AH447" s="7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260</v>
      </c>
      <c r="H448" s="105">
        <f t="shared" ca="1" si="66"/>
        <v>45550</v>
      </c>
      <c r="I448" s="133">
        <f ca="1">HLOOKUP($H$4,'Met Data'!$A$2:$F$368,G448,FALSE)</f>
        <v>10.4757575757575</v>
      </c>
      <c r="J448" s="133">
        <f ca="1">HLOOKUP($H$4,'Met Data'!$H$2:$M$368,G448,FALSE)*L448</f>
        <v>0.112121212121212</v>
      </c>
      <c r="K448" s="106">
        <f ca="1">HLOOKUP($H$4,'Met Data'!$O$2:$T$368,G448,FALSE)</f>
        <v>2.9007479200825799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#N/A</v>
      </c>
      <c r="AH448" s="7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261</v>
      </c>
      <c r="H449" s="105">
        <f t="shared" ca="1" si="66"/>
        <v>45551</v>
      </c>
      <c r="I449" s="133">
        <f ca="1">HLOOKUP($H$4,'Met Data'!$A$2:$F$368,G449,FALSE)</f>
        <v>9.8469696969696905</v>
      </c>
      <c r="J449" s="133">
        <f ca="1">HLOOKUP($H$4,'Met Data'!$H$2:$M$368,G449,FALSE)*L449</f>
        <v>0.26969696969696899</v>
      </c>
      <c r="K449" s="106">
        <f ca="1">HLOOKUP($H$4,'Met Data'!$O$2:$T$368,G449,FALSE)</f>
        <v>2.7216431909543002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#N/A</v>
      </c>
      <c r="AH449" s="7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262</v>
      </c>
      <c r="H450" s="105">
        <f t="shared" ca="1" si="66"/>
        <v>45552</v>
      </c>
      <c r="I450" s="133">
        <f ca="1">HLOOKUP($H$4,'Met Data'!$A$2:$F$368,G450,FALSE)</f>
        <v>9.6045454545454501</v>
      </c>
      <c r="J450" s="133">
        <f ca="1">HLOOKUP($H$4,'Met Data'!$H$2:$M$368,G450,FALSE)*L450</f>
        <v>1.3212121212121199</v>
      </c>
      <c r="K450" s="106">
        <f ca="1">HLOOKUP($H$4,'Met Data'!$O$2:$T$368,G450,FALSE)</f>
        <v>2.6828140641286899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#N/A</v>
      </c>
      <c r="AH450" s="7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263</v>
      </c>
      <c r="H451" s="105">
        <f t="shared" ca="1" si="66"/>
        <v>45553</v>
      </c>
      <c r="I451" s="133">
        <f ca="1">HLOOKUP($H$4,'Met Data'!$A$2:$F$368,G451,FALSE)</f>
        <v>9.8772727272727199</v>
      </c>
      <c r="J451" s="133">
        <f ca="1">HLOOKUP($H$4,'Met Data'!$H$2:$M$368,G451,FALSE)*L451</f>
        <v>1.83636363636363</v>
      </c>
      <c r="K451" s="106">
        <f ca="1">HLOOKUP($H$4,'Met Data'!$O$2:$T$368,G451,FALSE)</f>
        <v>2.84418375617479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#N/A</v>
      </c>
      <c r="AH451" s="7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264</v>
      </c>
      <c r="H452" s="105">
        <f t="shared" ca="1" si="66"/>
        <v>45554</v>
      </c>
      <c r="I452" s="133">
        <f ca="1">HLOOKUP($H$4,'Met Data'!$A$2:$F$368,G452,FALSE)</f>
        <v>9.4984848484848392</v>
      </c>
      <c r="J452" s="133">
        <f ca="1">HLOOKUP($H$4,'Met Data'!$H$2:$M$368,G452,FALSE)*L452</f>
        <v>1.47272727272727</v>
      </c>
      <c r="K452" s="106">
        <f ca="1">HLOOKUP($H$4,'Met Data'!$O$2:$T$368,G452,FALSE)</f>
        <v>2.76130603025703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#N/A</v>
      </c>
      <c r="AH452" s="7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265</v>
      </c>
      <c r="H453" s="105">
        <f t="shared" ca="1" si="66"/>
        <v>45555</v>
      </c>
      <c r="I453" s="133">
        <f ca="1">HLOOKUP($H$4,'Met Data'!$A$2:$F$368,G453,FALSE)</f>
        <v>9.9712121212121207</v>
      </c>
      <c r="J453" s="133">
        <f ca="1">HLOOKUP($H$4,'Met Data'!$H$2:$M$368,G453,FALSE)*L453</f>
        <v>1.39090909090909</v>
      </c>
      <c r="K453" s="106">
        <f ca="1">HLOOKUP($H$4,'Met Data'!$O$2:$T$368,G453,FALSE)</f>
        <v>2.9434337638791899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#N/A</v>
      </c>
      <c r="AH453" s="7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266</v>
      </c>
      <c r="H454" s="105">
        <f t="shared" ca="1" si="66"/>
        <v>45556</v>
      </c>
      <c r="I454" s="133">
        <f ca="1">HLOOKUP($H$4,'Met Data'!$A$2:$F$368,G454,FALSE)</f>
        <v>9.6348484848484794</v>
      </c>
      <c r="J454" s="133">
        <f ca="1">HLOOKUP($H$4,'Met Data'!$H$2:$M$368,G454,FALSE)*L454</f>
        <v>1.4060606060606</v>
      </c>
      <c r="K454" s="106">
        <f ca="1">HLOOKUP($H$4,'Met Data'!$O$2:$T$368,G454,FALSE)</f>
        <v>2.8650949205126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#N/A</v>
      </c>
      <c r="AH454" s="7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267</v>
      </c>
      <c r="H455" s="105">
        <f t="shared" ca="1" si="66"/>
        <v>45557</v>
      </c>
      <c r="I455" s="133">
        <f ca="1">HLOOKUP($H$4,'Met Data'!$A$2:$F$368,G455,FALSE)</f>
        <v>9.4318181818181799</v>
      </c>
      <c r="J455" s="133">
        <f ca="1">HLOOKUP($H$4,'Met Data'!$H$2:$M$368,G455,FALSE)*L455</f>
        <v>0.86060606060606004</v>
      </c>
      <c r="K455" s="106">
        <f ca="1">HLOOKUP($H$4,'Met Data'!$O$2:$T$368,G455,FALSE)</f>
        <v>2.84690777824148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#N/A</v>
      </c>
      <c r="AH455" s="7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268</v>
      </c>
      <c r="H456" s="105">
        <f t="shared" ref="H456:H495" ca="1" si="76">H455+1</f>
        <v>45558</v>
      </c>
      <c r="I456" s="133">
        <f ca="1">HLOOKUP($H$4,'Met Data'!$A$2:$F$368,G456,FALSE)</f>
        <v>9.9181818181818109</v>
      </c>
      <c r="J456" s="133">
        <f ca="1">HLOOKUP($H$4,'Met Data'!$H$2:$M$368,G456,FALSE)*L456</f>
        <v>2.1454545454545402</v>
      </c>
      <c r="K456" s="106">
        <f ca="1">HLOOKUP($H$4,'Met Data'!$O$2:$T$368,G456,FALSE)</f>
        <v>2.75735755546836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#N/A</v>
      </c>
      <c r="AH456" s="7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269</v>
      </c>
      <c r="H457" s="105">
        <f t="shared" ca="1" si="76"/>
        <v>45559</v>
      </c>
      <c r="I457" s="133">
        <f ca="1">HLOOKUP($H$4,'Met Data'!$A$2:$F$368,G457,FALSE)</f>
        <v>9.4424242424242397</v>
      </c>
      <c r="J457" s="133">
        <f ca="1">HLOOKUP($H$4,'Met Data'!$H$2:$M$368,G457,FALSE)*L457</f>
        <v>2.4363636363636298</v>
      </c>
      <c r="K457" s="106">
        <f ca="1">HLOOKUP($H$4,'Met Data'!$O$2:$T$368,G457,FALSE)</f>
        <v>2.5822558734868299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#N/A</v>
      </c>
      <c r="AH457" s="7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270</v>
      </c>
      <c r="H458" s="105">
        <f t="shared" ca="1" si="76"/>
        <v>45560</v>
      </c>
      <c r="I458" s="133">
        <f ca="1">HLOOKUP($H$4,'Met Data'!$A$2:$F$368,G458,FALSE)</f>
        <v>10.2424242424242</v>
      </c>
      <c r="J458" s="133">
        <f ca="1">HLOOKUP($H$4,'Met Data'!$H$2:$M$368,G458,FALSE)*L458</f>
        <v>1.5363636363636299</v>
      </c>
      <c r="K458" s="106">
        <f ca="1">HLOOKUP($H$4,'Met Data'!$O$2:$T$368,G458,FALSE)</f>
        <v>3.0759435950739098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#N/A</v>
      </c>
      <c r="AH458" s="7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271</v>
      </c>
      <c r="H459" s="105">
        <f t="shared" ca="1" si="76"/>
        <v>45561</v>
      </c>
      <c r="I459" s="133">
        <f ca="1">HLOOKUP($H$4,'Met Data'!$A$2:$F$368,G459,FALSE)</f>
        <v>10.445454545454499</v>
      </c>
      <c r="J459" s="133">
        <f ca="1">HLOOKUP($H$4,'Met Data'!$H$2:$M$368,G459,FALSE)*L459</f>
        <v>0.384848484848484</v>
      </c>
      <c r="K459" s="106">
        <f ca="1">HLOOKUP($H$4,'Met Data'!$O$2:$T$368,G459,FALSE)</f>
        <v>3.0351526425456301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#N/A</v>
      </c>
      <c r="AH459" s="7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272</v>
      </c>
      <c r="H460" s="105">
        <f t="shared" ca="1" si="76"/>
        <v>45562</v>
      </c>
      <c r="I460" s="133">
        <f ca="1">HLOOKUP($H$4,'Met Data'!$A$2:$F$368,G460,FALSE)</f>
        <v>10.198484848484799</v>
      </c>
      <c r="J460" s="133">
        <f ca="1">HLOOKUP($H$4,'Met Data'!$H$2:$M$368,G460,FALSE)*L460</f>
        <v>2.6393939393939299</v>
      </c>
      <c r="K460" s="106">
        <f ca="1">HLOOKUP($H$4,'Met Data'!$O$2:$T$368,G460,FALSE)</f>
        <v>2.92273242129352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#N/A</v>
      </c>
      <c r="AH460" s="7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273</v>
      </c>
      <c r="H461" s="105">
        <f t="shared" ca="1" si="76"/>
        <v>45563</v>
      </c>
      <c r="I461" s="133">
        <f ca="1">HLOOKUP($H$4,'Met Data'!$A$2:$F$368,G461,FALSE)</f>
        <v>10.072727272727199</v>
      </c>
      <c r="J461" s="133">
        <f ca="1">HLOOKUP($H$4,'Met Data'!$H$2:$M$368,G461,FALSE)*L461</f>
        <v>2.21515151515151</v>
      </c>
      <c r="K461" s="106">
        <f ca="1">HLOOKUP($H$4,'Met Data'!$O$2:$T$368,G461,FALSE)</f>
        <v>3.0079671587405801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#N/A</v>
      </c>
      <c r="AH461" s="7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274</v>
      </c>
      <c r="H462" s="105">
        <f t="shared" ca="1" si="76"/>
        <v>45564</v>
      </c>
      <c r="I462" s="133">
        <f ca="1">HLOOKUP($H$4,'Met Data'!$A$2:$F$368,G462,FALSE)</f>
        <v>11.2515151515151</v>
      </c>
      <c r="J462" s="133">
        <f ca="1">HLOOKUP($H$4,'Met Data'!$H$2:$M$368,G462,FALSE)*L462</f>
        <v>0.33939393939393903</v>
      </c>
      <c r="K462" s="106">
        <f ca="1">HLOOKUP($H$4,'Met Data'!$O$2:$T$368,G462,FALSE)</f>
        <v>3.4114061949116499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#N/A</v>
      </c>
      <c r="AH462" s="7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275</v>
      </c>
      <c r="H463" s="105">
        <f t="shared" ca="1" si="76"/>
        <v>45565</v>
      </c>
      <c r="I463" s="133">
        <f ca="1">HLOOKUP($H$4,'Met Data'!$A$2:$F$368,G463,FALSE)</f>
        <v>11.2893939393939</v>
      </c>
      <c r="J463" s="133">
        <f ca="1">HLOOKUP($H$4,'Met Data'!$H$2:$M$368,G463,FALSE)*L463</f>
        <v>0.36060606060605999</v>
      </c>
      <c r="K463" s="106">
        <f ca="1">HLOOKUP($H$4,'Met Data'!$O$2:$T$368,G463,FALSE)</f>
        <v>3.4573036102364698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#N/A</v>
      </c>
      <c r="AH463" s="7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276</v>
      </c>
      <c r="H464" s="105">
        <f t="shared" ca="1" si="76"/>
        <v>45566</v>
      </c>
      <c r="I464" s="133">
        <f ca="1">HLOOKUP($H$4,'Met Data'!$A$2:$F$368,G464,FALSE)</f>
        <v>11.590909090908999</v>
      </c>
      <c r="J464" s="133">
        <f ca="1">HLOOKUP($H$4,'Met Data'!$H$2:$M$368,G464,FALSE)*L464</f>
        <v>0.86969696969696897</v>
      </c>
      <c r="K464" s="106">
        <f ca="1">HLOOKUP($H$4,'Met Data'!$O$2:$T$368,G464,FALSE)</f>
        <v>3.4181246576745901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#N/A</v>
      </c>
      <c r="AH464" s="7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277</v>
      </c>
      <c r="H465" s="105">
        <f t="shared" ca="1" si="76"/>
        <v>45567</v>
      </c>
      <c r="I465" s="133">
        <f ca="1">HLOOKUP($H$4,'Met Data'!$A$2:$F$368,G465,FALSE)</f>
        <v>10.8530303030303</v>
      </c>
      <c r="J465" s="133">
        <f ca="1">HLOOKUP($H$4,'Met Data'!$H$2:$M$368,G465,FALSE)*L465</f>
        <v>2.9272727272727201</v>
      </c>
      <c r="K465" s="106">
        <f ca="1">HLOOKUP($H$4,'Met Data'!$O$2:$T$368,G465,FALSE)</f>
        <v>3.28237222726839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#N/A</v>
      </c>
      <c r="AH465" s="7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278</v>
      </c>
      <c r="H466" s="105">
        <f t="shared" ca="1" si="76"/>
        <v>45568</v>
      </c>
      <c r="I466" s="133">
        <f ca="1">HLOOKUP($H$4,'Met Data'!$A$2:$F$368,G466,FALSE)</f>
        <v>10.580303030303</v>
      </c>
      <c r="J466" s="133">
        <f ca="1">HLOOKUP($H$4,'Met Data'!$H$2:$M$368,G466,FALSE)*L466</f>
        <v>3.0151515151515098</v>
      </c>
      <c r="K466" s="106">
        <f ca="1">HLOOKUP($H$4,'Met Data'!$O$2:$T$368,G466,FALSE)</f>
        <v>2.9435441276045902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#N/A</v>
      </c>
      <c r="AH466" s="7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279</v>
      </c>
      <c r="H467" s="105">
        <f t="shared" ca="1" si="76"/>
        <v>45569</v>
      </c>
      <c r="I467" s="133">
        <f ca="1">HLOOKUP($H$4,'Met Data'!$A$2:$F$368,G467,FALSE)</f>
        <v>10.5</v>
      </c>
      <c r="J467" s="133">
        <f ca="1">HLOOKUP($H$4,'Met Data'!$H$2:$M$368,G467,FALSE)*L467</f>
        <v>1.5060606060606001</v>
      </c>
      <c r="K467" s="106">
        <f ca="1">HLOOKUP($H$4,'Met Data'!$O$2:$T$368,G467,FALSE)</f>
        <v>3.3810413875387701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#N/A</v>
      </c>
      <c r="AH467" s="7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280</v>
      </c>
      <c r="H468" s="105">
        <f t="shared" ca="1" si="76"/>
        <v>45570</v>
      </c>
      <c r="I468" s="133">
        <f ca="1">HLOOKUP($H$4,'Met Data'!$A$2:$F$368,G468,FALSE)</f>
        <v>11.0757575757575</v>
      </c>
      <c r="J468" s="133">
        <f ca="1">HLOOKUP($H$4,'Met Data'!$H$2:$M$368,G468,FALSE)*L468</f>
        <v>0.86666666666666603</v>
      </c>
      <c r="K468" s="106">
        <f ca="1">HLOOKUP($H$4,'Met Data'!$O$2:$T$368,G468,FALSE)</f>
        <v>3.3814368699018198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#N/A</v>
      </c>
      <c r="AH468" s="7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281</v>
      </c>
      <c r="H469" s="105">
        <f t="shared" ca="1" si="76"/>
        <v>45571</v>
      </c>
      <c r="I469" s="133">
        <f ca="1">HLOOKUP($H$4,'Met Data'!$A$2:$F$368,G469,FALSE)</f>
        <v>11.1621212121212</v>
      </c>
      <c r="J469" s="133">
        <f ca="1">HLOOKUP($H$4,'Met Data'!$H$2:$M$368,G469,FALSE)*L469</f>
        <v>1.1424242424242399</v>
      </c>
      <c r="K469" s="106">
        <f ca="1">HLOOKUP($H$4,'Met Data'!$O$2:$T$368,G469,FALSE)</f>
        <v>3.44855016002714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#N/A</v>
      </c>
      <c r="AH469" s="7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282</v>
      </c>
      <c r="H470" s="105">
        <f t="shared" ca="1" si="76"/>
        <v>45572</v>
      </c>
      <c r="I470" s="133">
        <f ca="1">HLOOKUP($H$4,'Met Data'!$A$2:$F$368,G470,FALSE)</f>
        <v>10.442424242424201</v>
      </c>
      <c r="J470" s="133">
        <f ca="1">HLOOKUP($H$4,'Met Data'!$H$2:$M$368,G470,FALSE)*L470</f>
        <v>3.97272727272727</v>
      </c>
      <c r="K470" s="106">
        <f ca="1">HLOOKUP($H$4,'Met Data'!$O$2:$T$368,G470,FALSE)</f>
        <v>3.0735601882933201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#N/A</v>
      </c>
      <c r="AH470" s="7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283</v>
      </c>
      <c r="H471" s="105">
        <f t="shared" ca="1" si="76"/>
        <v>45573</v>
      </c>
      <c r="I471" s="133">
        <f ca="1">HLOOKUP($H$4,'Met Data'!$A$2:$F$368,G471,FALSE)</f>
        <v>10.1257575757575</v>
      </c>
      <c r="J471" s="133">
        <f ca="1">HLOOKUP($H$4,'Met Data'!$H$2:$M$368,G471,FALSE)*L471</f>
        <v>2.9363636363636298</v>
      </c>
      <c r="K471" s="106">
        <f ca="1">HLOOKUP($H$4,'Met Data'!$O$2:$T$368,G471,FALSE)</f>
        <v>2.8856583502815898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#N/A</v>
      </c>
      <c r="AH471" s="7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284</v>
      </c>
      <c r="H472" s="105">
        <f t="shared" ca="1" si="76"/>
        <v>45574</v>
      </c>
      <c r="I472" s="133">
        <f ca="1">HLOOKUP($H$4,'Met Data'!$A$2:$F$368,G472,FALSE)</f>
        <v>10.0590909090909</v>
      </c>
      <c r="J472" s="133">
        <f ca="1">HLOOKUP($H$4,'Met Data'!$H$2:$M$368,G472,FALSE)*L472</f>
        <v>2.5939393939393902</v>
      </c>
      <c r="K472" s="106">
        <f ca="1">HLOOKUP($H$4,'Met Data'!$O$2:$T$368,G472,FALSE)</f>
        <v>2.97068142496583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#N/A</v>
      </c>
      <c r="AH472" s="7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285</v>
      </c>
      <c r="H473" s="105">
        <f t="shared" ca="1" si="76"/>
        <v>45575</v>
      </c>
      <c r="I473" s="133">
        <f ca="1">HLOOKUP($H$4,'Met Data'!$A$2:$F$368,G473,FALSE)</f>
        <v>10.7469696969696</v>
      </c>
      <c r="J473" s="133">
        <f ca="1">HLOOKUP($H$4,'Met Data'!$H$2:$M$368,G473,FALSE)*L473</f>
        <v>1.8181818181818099</v>
      </c>
      <c r="K473" s="106">
        <f ca="1">HLOOKUP($H$4,'Met Data'!$O$2:$T$368,G473,FALSE)</f>
        <v>3.3415142660940802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#N/A</v>
      </c>
      <c r="AH473" s="7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286</v>
      </c>
      <c r="H474" s="105">
        <f t="shared" ca="1" si="76"/>
        <v>45576</v>
      </c>
      <c r="I474" s="133">
        <f ca="1">HLOOKUP($H$4,'Met Data'!$A$2:$F$368,G474,FALSE)</f>
        <v>12.012121212121199</v>
      </c>
      <c r="J474" s="133">
        <f ca="1">HLOOKUP($H$4,'Met Data'!$H$2:$M$368,G474,FALSE)*L474</f>
        <v>1.7393939393939299</v>
      </c>
      <c r="K474" s="106">
        <f ca="1">HLOOKUP($H$4,'Met Data'!$O$2:$T$368,G474,FALSE)</f>
        <v>3.8727634784268798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#N/A</v>
      </c>
      <c r="AH474" s="7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287</v>
      </c>
      <c r="H475" s="105">
        <f t="shared" ca="1" si="76"/>
        <v>45577</v>
      </c>
      <c r="I475" s="133">
        <f ca="1">HLOOKUP($H$4,'Met Data'!$A$2:$F$368,G475,FALSE)</f>
        <v>11.445454545454499</v>
      </c>
      <c r="J475" s="133">
        <f ca="1">HLOOKUP($H$4,'Met Data'!$H$2:$M$368,G475,FALSE)*L475</f>
        <v>3.22727272727272</v>
      </c>
      <c r="K475" s="106">
        <f ca="1">HLOOKUP($H$4,'Met Data'!$O$2:$T$368,G475,FALSE)</f>
        <v>3.7654187532628201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#N/A</v>
      </c>
      <c r="AH475" s="7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288</v>
      </c>
      <c r="H476" s="105">
        <f t="shared" ca="1" si="76"/>
        <v>45578</v>
      </c>
      <c r="I476" s="133">
        <f ca="1">HLOOKUP($H$4,'Met Data'!$A$2:$F$368,G476,FALSE)</f>
        <v>11.0863636363636</v>
      </c>
      <c r="J476" s="133">
        <f ca="1">HLOOKUP($H$4,'Met Data'!$H$2:$M$368,G476,FALSE)*L476</f>
        <v>1.8060606060605999</v>
      </c>
      <c r="K476" s="106">
        <f ca="1">HLOOKUP($H$4,'Met Data'!$O$2:$T$368,G476,FALSE)</f>
        <v>3.5839169020731898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#N/A</v>
      </c>
      <c r="AH476" s="7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289</v>
      </c>
      <c r="H477" s="105">
        <f t="shared" ca="1" si="76"/>
        <v>45579</v>
      </c>
      <c r="I477" s="133">
        <f ca="1">HLOOKUP($H$4,'Met Data'!$A$2:$F$368,G477,FALSE)</f>
        <v>10.820454545454499</v>
      </c>
      <c r="J477" s="133">
        <f ca="1">HLOOKUP($H$4,'Met Data'!$H$2:$M$368,G477,FALSE)*L477</f>
        <v>1.17272727272727</v>
      </c>
      <c r="K477" s="106">
        <f ca="1">HLOOKUP($H$4,'Met Data'!$O$2:$T$368,G477,FALSE)</f>
        <v>3.5135934353686902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#N/A</v>
      </c>
      <c r="AH477" s="7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290</v>
      </c>
      <c r="H478" s="105">
        <f t="shared" ca="1" si="76"/>
        <v>45580</v>
      </c>
      <c r="I478" s="133">
        <f ca="1">HLOOKUP($H$4,'Met Data'!$A$2:$F$368,G478,FALSE)</f>
        <v>11.382575757575699</v>
      </c>
      <c r="J478" s="133">
        <f ca="1">HLOOKUP($H$4,'Met Data'!$H$2:$M$368,G478,FALSE)*L478</f>
        <v>0.98181818181818103</v>
      </c>
      <c r="K478" s="106">
        <f ca="1">HLOOKUP($H$4,'Met Data'!$O$2:$T$368,G478,FALSE)</f>
        <v>3.66659887182134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#N/A</v>
      </c>
      <c r="AH478" s="7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291</v>
      </c>
      <c r="H479" s="105">
        <f t="shared" ca="1" si="76"/>
        <v>45581</v>
      </c>
      <c r="I479" s="133">
        <f ca="1">HLOOKUP($H$4,'Met Data'!$A$2:$F$368,G479,FALSE)</f>
        <v>12.1743939393939</v>
      </c>
      <c r="J479" s="133">
        <f ca="1">HLOOKUP($H$4,'Met Data'!$H$2:$M$368,G479,FALSE)*L479</f>
        <v>1.93030303030303</v>
      </c>
      <c r="K479" s="106">
        <f ca="1">HLOOKUP($H$4,'Met Data'!$O$2:$T$368,G479,FALSE)</f>
        <v>4.4221266913625099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#N/A</v>
      </c>
      <c r="AH479" s="7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292</v>
      </c>
      <c r="H480" s="105">
        <f t="shared" ca="1" si="76"/>
        <v>45582</v>
      </c>
      <c r="I480" s="133">
        <f ca="1">HLOOKUP($H$4,'Met Data'!$A$2:$F$368,G480,FALSE)</f>
        <v>11.5590909090909</v>
      </c>
      <c r="J480" s="133">
        <f ca="1">HLOOKUP($H$4,'Met Data'!$H$2:$M$368,G480,FALSE)*L480</f>
        <v>0.9</v>
      </c>
      <c r="K480" s="106">
        <f ca="1">HLOOKUP($H$4,'Met Data'!$O$2:$T$368,G480,FALSE)</f>
        <v>4.1615819400289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#N/A</v>
      </c>
      <c r="AH480" s="7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293</v>
      </c>
      <c r="H481" s="105">
        <f t="shared" ca="1" si="76"/>
        <v>45583</v>
      </c>
      <c r="I481" s="133">
        <f ca="1">HLOOKUP($H$4,'Met Data'!$A$2:$F$368,G481,FALSE)</f>
        <v>11.530303030302999</v>
      </c>
      <c r="J481" s="133">
        <f ca="1">HLOOKUP($H$4,'Met Data'!$H$2:$M$368,G481,FALSE)*L481</f>
        <v>2.16363636363636</v>
      </c>
      <c r="K481" s="106">
        <f ca="1">HLOOKUP($H$4,'Met Data'!$O$2:$T$368,G481,FALSE)</f>
        <v>4.1616928735003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#N/A</v>
      </c>
      <c r="AH481" s="7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294</v>
      </c>
      <c r="H482" s="105">
        <f t="shared" ca="1" si="76"/>
        <v>45584</v>
      </c>
      <c r="I482" s="133">
        <f ca="1">HLOOKUP($H$4,'Met Data'!$A$2:$F$368,G482,FALSE)</f>
        <v>11.592424242424199</v>
      </c>
      <c r="J482" s="133">
        <f ca="1">HLOOKUP($H$4,'Met Data'!$H$2:$M$368,G482,FALSE)*L482</f>
        <v>0.68787878787878698</v>
      </c>
      <c r="K482" s="106">
        <f ca="1">HLOOKUP($H$4,'Met Data'!$O$2:$T$368,G482,FALSE)</f>
        <v>4.1355638104854497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#N/A</v>
      </c>
      <c r="AH482" s="7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295</v>
      </c>
      <c r="H483" s="105">
        <f t="shared" ca="1" si="76"/>
        <v>45585</v>
      </c>
      <c r="I483" s="133">
        <f ca="1">HLOOKUP($H$4,'Met Data'!$A$2:$F$368,G483,FALSE)</f>
        <v>12.6712121212121</v>
      </c>
      <c r="J483" s="133">
        <f ca="1">HLOOKUP($H$4,'Met Data'!$H$2:$M$368,G483,FALSE)*L483</f>
        <v>0.91515151515151505</v>
      </c>
      <c r="K483" s="106">
        <f ca="1">HLOOKUP($H$4,'Met Data'!$O$2:$T$368,G483,FALSE)</f>
        <v>4.2548689124348202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#N/A</v>
      </c>
      <c r="AH483" s="7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296</v>
      </c>
      <c r="H484" s="105">
        <f t="shared" ca="1" si="76"/>
        <v>45586</v>
      </c>
      <c r="I484" s="133">
        <f ca="1">HLOOKUP($H$4,'Met Data'!$A$2:$F$368,G484,FALSE)</f>
        <v>11.5966666666666</v>
      </c>
      <c r="J484" s="133">
        <f ca="1">HLOOKUP($H$4,'Met Data'!$H$2:$M$368,G484,FALSE)*L484</f>
        <v>1.0757575757575699</v>
      </c>
      <c r="K484" s="106">
        <f ca="1">HLOOKUP($H$4,'Met Data'!$O$2:$T$368,G484,FALSE)</f>
        <v>3.8892850116651498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#N/A</v>
      </c>
      <c r="AH484" s="7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297</v>
      </c>
      <c r="H485" s="105">
        <f t="shared" ca="1" si="76"/>
        <v>45587</v>
      </c>
      <c r="I485" s="133">
        <f ca="1">HLOOKUP($H$4,'Met Data'!$A$2:$F$368,G485,FALSE)</f>
        <v>11.5331818181818</v>
      </c>
      <c r="J485" s="133">
        <f ca="1">HLOOKUP($H$4,'Met Data'!$H$2:$M$368,G485,FALSE)*L485</f>
        <v>1.5757575757575699</v>
      </c>
      <c r="K485" s="106">
        <f ca="1">HLOOKUP($H$4,'Met Data'!$O$2:$T$368,G485,FALSE)</f>
        <v>3.7538214127918499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#N/A</v>
      </c>
      <c r="AH485" s="7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298</v>
      </c>
      <c r="H486" s="105">
        <f t="shared" ca="1" si="76"/>
        <v>45588</v>
      </c>
      <c r="I486" s="133">
        <f ca="1">HLOOKUP($H$4,'Met Data'!$A$2:$F$368,G486,FALSE)</f>
        <v>11.6060606060606</v>
      </c>
      <c r="J486" s="133">
        <f ca="1">HLOOKUP($H$4,'Met Data'!$H$2:$M$368,G486,FALSE)*L486</f>
        <v>0.95454545454545403</v>
      </c>
      <c r="K486" s="106">
        <f ca="1">HLOOKUP($H$4,'Met Data'!$O$2:$T$368,G486,FALSE)</f>
        <v>3.9920282440950898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#N/A</v>
      </c>
      <c r="AH486" s="7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299</v>
      </c>
      <c r="H487" s="105">
        <f t="shared" ca="1" si="76"/>
        <v>45589</v>
      </c>
      <c r="I487" s="133">
        <f ca="1">HLOOKUP($H$4,'Met Data'!$A$2:$F$368,G487,FALSE)</f>
        <v>11.821212121212101</v>
      </c>
      <c r="J487" s="133">
        <f ca="1">HLOOKUP($H$4,'Met Data'!$H$2:$M$368,G487,FALSE)*L487</f>
        <v>0.13030303030303</v>
      </c>
      <c r="K487" s="106">
        <f ca="1">HLOOKUP($H$4,'Met Data'!$O$2:$T$368,G487,FALSE)</f>
        <v>3.94572673133468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#N/A</v>
      </c>
      <c r="AH487" s="7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300</v>
      </c>
      <c r="H488" s="105">
        <f t="shared" ca="1" si="76"/>
        <v>45590</v>
      </c>
      <c r="I488" s="133">
        <f ca="1">HLOOKUP($H$4,'Met Data'!$A$2:$F$368,G488,FALSE)</f>
        <v>12.8742424242424</v>
      </c>
      <c r="J488" s="133">
        <f ca="1">HLOOKUP($H$4,'Met Data'!$H$2:$M$368,G488,FALSE)*L488</f>
        <v>1.03939393939393</v>
      </c>
      <c r="K488" s="106">
        <f ca="1">HLOOKUP($H$4,'Met Data'!$O$2:$T$368,G488,FALSE)</f>
        <v>4.24133991088486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#N/A</v>
      </c>
      <c r="AH488" s="7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301</v>
      </c>
      <c r="H489" s="105">
        <f t="shared" ca="1" si="76"/>
        <v>45591</v>
      </c>
      <c r="I489" s="133">
        <f ca="1">HLOOKUP($H$4,'Met Data'!$A$2:$F$368,G489,FALSE)</f>
        <v>12.3921212121212</v>
      </c>
      <c r="J489" s="133">
        <f ca="1">HLOOKUP($H$4,'Met Data'!$H$2:$M$368,G489,FALSE)*L489</f>
        <v>1.66060606060606</v>
      </c>
      <c r="K489" s="106">
        <f ca="1">HLOOKUP($H$4,'Met Data'!$O$2:$T$368,G489,FALSE)</f>
        <v>3.98512648995679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#N/A</v>
      </c>
      <c r="AH489" s="7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302</v>
      </c>
      <c r="H490" s="105">
        <f t="shared" ca="1" si="76"/>
        <v>45592</v>
      </c>
      <c r="I490" s="133">
        <f ca="1">HLOOKUP($H$4,'Met Data'!$A$2:$F$368,G490,FALSE)</f>
        <v>13.0242424242424</v>
      </c>
      <c r="J490" s="133">
        <f ca="1">HLOOKUP($H$4,'Met Data'!$H$2:$M$368,G490,FALSE)*L490</f>
        <v>1.6848484848484799</v>
      </c>
      <c r="K490" s="106">
        <f ca="1">HLOOKUP($H$4,'Met Data'!$O$2:$T$368,G490,FALSE)</f>
        <v>4.06785476536513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#N/A</v>
      </c>
      <c r="AH490" s="7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303</v>
      </c>
      <c r="H491" s="105">
        <f t="shared" ca="1" si="76"/>
        <v>45593</v>
      </c>
      <c r="I491" s="133">
        <f ca="1">HLOOKUP($H$4,'Met Data'!$A$2:$F$368,G491,FALSE)</f>
        <v>13.2075757575757</v>
      </c>
      <c r="J491" s="133">
        <f ca="1">HLOOKUP($H$4,'Met Data'!$H$2:$M$368,G491,FALSE)*L491</f>
        <v>1</v>
      </c>
      <c r="K491" s="106">
        <f ca="1">HLOOKUP($H$4,'Met Data'!$O$2:$T$368,G491,FALSE)</f>
        <v>3.8638743234578601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#N/A</v>
      </c>
      <c r="AH491" s="7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304</v>
      </c>
      <c r="H492" s="105">
        <f t="shared" ca="1" si="76"/>
        <v>45594</v>
      </c>
      <c r="I492" s="133">
        <f ca="1">HLOOKUP($H$4,'Met Data'!$A$2:$F$368,G492,FALSE)</f>
        <v>12.865151515151499</v>
      </c>
      <c r="J492" s="133">
        <f ca="1">HLOOKUP($H$4,'Met Data'!$H$2:$M$368,G492,FALSE)*L492</f>
        <v>1.44848484848484</v>
      </c>
      <c r="K492" s="106">
        <f ca="1">HLOOKUP($H$4,'Met Data'!$O$2:$T$368,G492,FALSE)</f>
        <v>4.2171092806571897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#N/A</v>
      </c>
      <c r="AH492" s="7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305</v>
      </c>
      <c r="H493" s="105">
        <f t="shared" ca="1" si="76"/>
        <v>45595</v>
      </c>
      <c r="I493" s="133">
        <f ca="1">HLOOKUP($H$4,'Met Data'!$A$2:$F$368,G493,FALSE)</f>
        <v>12.8045454545454</v>
      </c>
      <c r="J493" s="133">
        <f ca="1">HLOOKUP($H$4,'Met Data'!$H$2:$M$368,G493,FALSE)*L493</f>
        <v>0.38787878787878699</v>
      </c>
      <c r="K493" s="106">
        <f ca="1">HLOOKUP($H$4,'Met Data'!$O$2:$T$368,G493,FALSE)</f>
        <v>4.4006301765887699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#N/A</v>
      </c>
      <c r="AH493" s="7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306</v>
      </c>
      <c r="H494" s="105">
        <f t="shared" ca="1" si="76"/>
        <v>45596</v>
      </c>
      <c r="I494" s="133">
        <f ca="1">HLOOKUP($H$4,'Met Data'!$A$2:$F$368,G494,FALSE)</f>
        <v>13.4363636363636</v>
      </c>
      <c r="J494" s="133">
        <f ca="1">HLOOKUP($H$4,'Met Data'!$H$2:$M$368,G494,FALSE)*L494</f>
        <v>0.82121212121212095</v>
      </c>
      <c r="K494" s="106">
        <f ca="1">HLOOKUP($H$4,'Met Data'!$O$2:$T$368,G494,FALSE)</f>
        <v>4.6060103377193604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#N/A</v>
      </c>
      <c r="AH494" s="7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307</v>
      </c>
      <c r="H495" s="107">
        <f t="shared" ca="1" si="76"/>
        <v>45597</v>
      </c>
      <c r="I495" s="135">
        <f ca="1">HLOOKUP($H$4,'Met Data'!$A$2:$F$368,G495,FALSE)</f>
        <v>12.756060606060601</v>
      </c>
      <c r="J495" s="133">
        <f ca="1">HLOOKUP($H$4,'Met Data'!$H$2:$M$368,G495,FALSE)*L495</f>
        <v>1.5727272727272701</v>
      </c>
      <c r="K495" s="108">
        <f ca="1">HLOOKUP($H$4,'Met Data'!$O$2:$T$368,G495,FALSE)</f>
        <v>4.4078340774843401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#N/A</v>
      </c>
      <c r="AH495" s="72" t="e">
        <f t="shared" ca="1" si="78"/>
        <v>#N/A</v>
      </c>
      <c r="AI495" s="3" t="e">
        <f t="shared" ca="1" si="79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T1" workbookViewId="0">
      <selection activeCell="AH14" sqref="AH14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45</v>
      </c>
      <c r="B1" s="58" t="s">
        <v>44</v>
      </c>
      <c r="C1" s="58" t="s">
        <v>56</v>
      </c>
      <c r="D1" s="58" t="s">
        <v>98</v>
      </c>
      <c r="E1" s="58" t="s">
        <v>81</v>
      </c>
      <c r="F1" s="58" t="s">
        <v>80</v>
      </c>
      <c r="G1" s="58" t="s">
        <v>79</v>
      </c>
      <c r="H1" s="58" t="s">
        <v>51</v>
      </c>
      <c r="I1" s="58" t="s">
        <v>65</v>
      </c>
      <c r="J1" s="58" t="s">
        <v>11</v>
      </c>
      <c r="K1" s="58" t="s">
        <v>77</v>
      </c>
      <c r="L1" s="58" t="s">
        <v>52</v>
      </c>
      <c r="M1" s="58" t="s">
        <v>84</v>
      </c>
      <c r="N1" s="58" t="s">
        <v>64</v>
      </c>
      <c r="O1" s="58" t="s">
        <v>86</v>
      </c>
      <c r="P1" s="58" t="s">
        <v>38</v>
      </c>
      <c r="Q1" s="58" t="s">
        <v>76</v>
      </c>
      <c r="R1" s="58" t="s">
        <v>35</v>
      </c>
      <c r="S1" s="58" t="s">
        <v>41</v>
      </c>
      <c r="T1" s="58" t="s">
        <v>92</v>
      </c>
      <c r="U1" s="58" t="s">
        <v>71</v>
      </c>
      <c r="V1" s="58" t="s">
        <v>54</v>
      </c>
      <c r="W1" s="58" t="s">
        <v>6</v>
      </c>
      <c r="X1" s="58" t="s">
        <v>55</v>
      </c>
      <c r="Y1" s="58" t="s">
        <v>59</v>
      </c>
      <c r="Z1" s="58" t="s">
        <v>49</v>
      </c>
      <c r="AA1" s="58" t="s">
        <v>61</v>
      </c>
      <c r="AB1" s="58" t="s">
        <v>37</v>
      </c>
      <c r="AC1" s="58" t="s">
        <v>7</v>
      </c>
      <c r="AD1" s="58" t="s">
        <v>63</v>
      </c>
      <c r="AE1" s="58" t="s">
        <v>95</v>
      </c>
      <c r="AF1" s="58" t="s">
        <v>57</v>
      </c>
      <c r="AG1" s="58" t="s">
        <v>60</v>
      </c>
      <c r="AH1" s="58" t="s">
        <v>8</v>
      </c>
      <c r="AI1" s="58" t="s">
        <v>90</v>
      </c>
      <c r="AJ1" s="58" t="s">
        <v>67</v>
      </c>
      <c r="AK1" s="58" t="s">
        <v>40</v>
      </c>
      <c r="AL1" s="58" t="s">
        <v>62</v>
      </c>
      <c r="AM1" s="58" t="s">
        <v>88</v>
      </c>
      <c r="AN1" s="58" t="s">
        <v>46</v>
      </c>
      <c r="AO1" s="58" t="s">
        <v>66</v>
      </c>
      <c r="AP1" s="58" t="s">
        <v>78</v>
      </c>
      <c r="AQ1" s="58" t="s">
        <v>97</v>
      </c>
      <c r="AR1" s="58" t="s">
        <v>75</v>
      </c>
      <c r="AS1" s="58" t="s">
        <v>89</v>
      </c>
      <c r="AT1" s="58" t="s">
        <v>53</v>
      </c>
      <c r="AU1" s="58" t="s">
        <v>39</v>
      </c>
      <c r="AV1" s="58" t="s">
        <v>99</v>
      </c>
      <c r="AW1" s="58" t="s">
        <v>96</v>
      </c>
      <c r="AX1" s="58" t="s">
        <v>48</v>
      </c>
      <c r="AY1" s="58" t="s">
        <v>32</v>
      </c>
      <c r="AZ1" s="59" t="s">
        <v>42</v>
      </c>
      <c r="BA1" s="1"/>
    </row>
    <row r="2" spans="1:53" x14ac:dyDescent="0.25">
      <c r="A2" s="14" t="s">
        <v>33</v>
      </c>
      <c r="B2" s="28" t="s">
        <v>33</v>
      </c>
      <c r="C2" s="28" t="s">
        <v>33</v>
      </c>
      <c r="D2" s="28" t="s">
        <v>33</v>
      </c>
      <c r="E2" s="28" t="s">
        <v>82</v>
      </c>
      <c r="F2" s="28" t="s">
        <v>33</v>
      </c>
      <c r="G2" s="28" t="s">
        <v>33</v>
      </c>
      <c r="H2" s="28" t="s">
        <v>33</v>
      </c>
      <c r="I2" s="28" t="s">
        <v>33</v>
      </c>
      <c r="J2" s="28" t="s">
        <v>33</v>
      </c>
      <c r="K2" s="28" t="s">
        <v>33</v>
      </c>
      <c r="L2" s="28" t="s">
        <v>33</v>
      </c>
      <c r="M2" s="28" t="s">
        <v>33</v>
      </c>
      <c r="N2" s="28" t="s">
        <v>33</v>
      </c>
      <c r="O2" s="28" t="s">
        <v>33</v>
      </c>
      <c r="P2" s="28" t="s">
        <v>33</v>
      </c>
      <c r="Q2" s="28" t="s">
        <v>33</v>
      </c>
      <c r="R2" s="28" t="s">
        <v>33</v>
      </c>
      <c r="S2" s="28" t="s">
        <v>33</v>
      </c>
      <c r="T2" s="28" t="s">
        <v>33</v>
      </c>
      <c r="U2" s="28" t="s">
        <v>33</v>
      </c>
      <c r="V2" s="28" t="s">
        <v>33</v>
      </c>
      <c r="W2" s="28" t="s">
        <v>93</v>
      </c>
      <c r="X2" s="28" t="s">
        <v>33</v>
      </c>
      <c r="Y2" s="28" t="s">
        <v>33</v>
      </c>
      <c r="Z2" s="28" t="s">
        <v>33</v>
      </c>
      <c r="AA2" s="28" t="s">
        <v>33</v>
      </c>
      <c r="AB2" s="28" t="s">
        <v>33</v>
      </c>
      <c r="AC2" s="28" t="s">
        <v>72</v>
      </c>
      <c r="AD2" s="28" t="s">
        <v>33</v>
      </c>
      <c r="AE2" s="28" t="s">
        <v>33</v>
      </c>
      <c r="AF2" s="28" t="s">
        <v>33</v>
      </c>
      <c r="AG2" s="28" t="s">
        <v>33</v>
      </c>
      <c r="AH2" s="28" t="s">
        <v>33</v>
      </c>
      <c r="AI2" s="28" t="s">
        <v>33</v>
      </c>
      <c r="AJ2" s="28" t="s">
        <v>68</v>
      </c>
      <c r="AK2" s="28" t="s">
        <v>33</v>
      </c>
      <c r="AL2" s="28" t="s">
        <v>33</v>
      </c>
      <c r="AM2" s="28" t="s">
        <v>33</v>
      </c>
      <c r="AN2" s="28" t="s">
        <v>33</v>
      </c>
      <c r="AO2" s="28" t="s">
        <v>33</v>
      </c>
      <c r="AP2" s="28" t="s">
        <v>33</v>
      </c>
      <c r="AQ2" s="28" t="s">
        <v>33</v>
      </c>
      <c r="AR2" s="28" t="s">
        <v>33</v>
      </c>
      <c r="AS2" s="28" t="s">
        <v>33</v>
      </c>
      <c r="AT2" s="28" t="s">
        <v>33</v>
      </c>
      <c r="AU2" s="28" t="s">
        <v>33</v>
      </c>
      <c r="AV2" s="28" t="s">
        <v>33</v>
      </c>
      <c r="AW2" s="28" t="s">
        <v>33</v>
      </c>
      <c r="AX2" s="28" t="s">
        <v>33</v>
      </c>
      <c r="AY2" s="28" t="s">
        <v>33</v>
      </c>
      <c r="AZ2" s="15" t="s">
        <v>31</v>
      </c>
    </row>
    <row r="3" spans="1:53" x14ac:dyDescent="0.25">
      <c r="A3" s="14"/>
      <c r="B3" s="28"/>
      <c r="C3" s="28"/>
      <c r="D3" s="28"/>
      <c r="E3" s="28" t="s">
        <v>83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94</v>
      </c>
      <c r="X3" s="28"/>
      <c r="Y3" s="28"/>
      <c r="Z3" s="28"/>
      <c r="AA3" s="28"/>
      <c r="AB3" s="28"/>
      <c r="AC3" s="28" t="s">
        <v>73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43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74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>
      <c r="AI6" t="s">
        <v>239</v>
      </c>
      <c r="AJ6" t="s">
        <v>241</v>
      </c>
    </row>
    <row r="7" spans="1:53" x14ac:dyDescent="0.25">
      <c r="A7" s="51" t="s">
        <v>31</v>
      </c>
      <c r="B7" s="52" t="s">
        <v>34</v>
      </c>
      <c r="C7" s="52" t="s">
        <v>36</v>
      </c>
      <c r="D7" s="52" t="s">
        <v>50</v>
      </c>
      <c r="E7" s="52" t="s">
        <v>58</v>
      </c>
      <c r="F7" s="52" t="s">
        <v>20</v>
      </c>
      <c r="G7" s="53" t="s">
        <v>70</v>
      </c>
      <c r="J7" s="35" t="s">
        <v>107</v>
      </c>
      <c r="L7" s="50" t="s">
        <v>108</v>
      </c>
      <c r="N7" s="47" t="s">
        <v>173</v>
      </c>
      <c r="P7" s="47" t="s">
        <v>174</v>
      </c>
      <c r="R7" s="47" t="s">
        <v>1</v>
      </c>
      <c r="U7" s="47" t="s">
        <v>3</v>
      </c>
      <c r="X7" s="129" t="s">
        <v>201</v>
      </c>
      <c r="Z7" s="129" t="s">
        <v>220</v>
      </c>
      <c r="AA7">
        <v>1.7</v>
      </c>
      <c r="AC7" t="s">
        <v>223</v>
      </c>
      <c r="AE7" t="s">
        <v>232</v>
      </c>
      <c r="AF7">
        <v>2</v>
      </c>
      <c r="AH7" t="s">
        <v>234</v>
      </c>
      <c r="AI7">
        <v>0.7</v>
      </c>
      <c r="AJ7">
        <v>0.76</v>
      </c>
    </row>
    <row r="8" spans="1:53" x14ac:dyDescent="0.25">
      <c r="A8" s="54" t="s">
        <v>32</v>
      </c>
      <c r="B8" s="55" t="s">
        <v>35</v>
      </c>
      <c r="C8" s="55" t="s">
        <v>45</v>
      </c>
      <c r="D8" s="55" t="s">
        <v>44</v>
      </c>
      <c r="E8" s="55" t="s">
        <v>59</v>
      </c>
      <c r="F8" s="55" t="s">
        <v>65</v>
      </c>
      <c r="G8" s="56" t="s">
        <v>56</v>
      </c>
      <c r="J8" s="14" t="s">
        <v>20</v>
      </c>
      <c r="L8" s="48" t="s">
        <v>21</v>
      </c>
      <c r="N8" s="48" t="s">
        <v>172</v>
      </c>
      <c r="P8" s="48" t="s">
        <v>181</v>
      </c>
      <c r="R8" s="48" t="s">
        <v>2</v>
      </c>
      <c r="S8">
        <v>1000</v>
      </c>
      <c r="U8" s="48" t="s">
        <v>194</v>
      </c>
      <c r="V8">
        <v>1</v>
      </c>
      <c r="X8" s="48" t="s">
        <v>202</v>
      </c>
      <c r="Z8" s="48" t="s">
        <v>208</v>
      </c>
      <c r="AA8">
        <v>1.35</v>
      </c>
      <c r="AC8" t="s">
        <v>231</v>
      </c>
      <c r="AE8" t="s">
        <v>233</v>
      </c>
      <c r="AF8">
        <v>3</v>
      </c>
      <c r="AH8" t="s">
        <v>72</v>
      </c>
      <c r="AI8">
        <v>1.1499999999999999</v>
      </c>
      <c r="AJ8">
        <v>1.22</v>
      </c>
    </row>
    <row r="9" spans="1:53" ht="15.75" thickBot="1" x14ac:dyDescent="0.3">
      <c r="A9" s="14"/>
      <c r="B9" s="28"/>
      <c r="C9" s="55" t="s">
        <v>44</v>
      </c>
      <c r="D9" s="55" t="s">
        <v>56</v>
      </c>
      <c r="E9" s="55" t="s">
        <v>61</v>
      </c>
      <c r="F9" s="55" t="s">
        <v>64</v>
      </c>
      <c r="G9" s="56" t="s">
        <v>98</v>
      </c>
      <c r="J9" s="16" t="s">
        <v>22</v>
      </c>
      <c r="L9" s="48" t="s">
        <v>23</v>
      </c>
      <c r="N9" s="48" t="s">
        <v>109</v>
      </c>
      <c r="P9" s="48" t="s">
        <v>183</v>
      </c>
      <c r="R9" s="48" t="s">
        <v>110</v>
      </c>
      <c r="S9">
        <v>1</v>
      </c>
      <c r="U9" s="48" t="s">
        <v>195</v>
      </c>
      <c r="V9">
        <v>2</v>
      </c>
      <c r="X9" s="48" t="s">
        <v>204</v>
      </c>
      <c r="Z9" s="48" t="s">
        <v>207</v>
      </c>
      <c r="AA9">
        <v>1</v>
      </c>
      <c r="AH9" t="s">
        <v>235</v>
      </c>
      <c r="AI9">
        <v>1.1499999999999999</v>
      </c>
      <c r="AJ9">
        <v>1.2</v>
      </c>
    </row>
    <row r="10" spans="1:53" ht="15.75" thickBot="1" x14ac:dyDescent="0.3">
      <c r="A10" s="14"/>
      <c r="B10" s="28"/>
      <c r="C10" s="55" t="s">
        <v>38</v>
      </c>
      <c r="D10" s="55" t="s">
        <v>51</v>
      </c>
      <c r="E10" s="55" t="s">
        <v>60</v>
      </c>
      <c r="F10" s="55" t="s">
        <v>63</v>
      </c>
      <c r="G10" s="56" t="s">
        <v>81</v>
      </c>
      <c r="L10" s="48" t="s">
        <v>24</v>
      </c>
      <c r="N10" s="48" t="s">
        <v>111</v>
      </c>
      <c r="P10" s="49" t="s">
        <v>182</v>
      </c>
      <c r="R10" s="49" t="s">
        <v>16</v>
      </c>
      <c r="S10">
        <v>1</v>
      </c>
      <c r="U10" s="49" t="s">
        <v>196</v>
      </c>
      <c r="V10">
        <v>3</v>
      </c>
      <c r="X10" s="49" t="s">
        <v>203</v>
      </c>
      <c r="Z10" s="48" t="s">
        <v>209</v>
      </c>
      <c r="AA10">
        <v>0.65</v>
      </c>
      <c r="AH10" t="s">
        <v>236</v>
      </c>
      <c r="AI10">
        <v>0.8</v>
      </c>
      <c r="AJ10">
        <v>0.83</v>
      </c>
    </row>
    <row r="11" spans="1:53" ht="15.75" thickBot="1" x14ac:dyDescent="0.3">
      <c r="A11" s="14"/>
      <c r="B11" s="28"/>
      <c r="C11" s="55" t="s">
        <v>41</v>
      </c>
      <c r="D11" s="55" t="s">
        <v>52</v>
      </c>
      <c r="E11" s="55" t="s">
        <v>40</v>
      </c>
      <c r="F11" s="55" t="s">
        <v>67</v>
      </c>
      <c r="G11" s="56" t="s">
        <v>80</v>
      </c>
      <c r="L11" s="48" t="s">
        <v>25</v>
      </c>
      <c r="N11" s="48" t="s">
        <v>112</v>
      </c>
      <c r="Z11" s="49" t="s">
        <v>221</v>
      </c>
      <c r="AA11">
        <v>0.3</v>
      </c>
      <c r="AH11" t="s">
        <v>237</v>
      </c>
      <c r="AI11">
        <v>1.17</v>
      </c>
      <c r="AJ11">
        <v>1.24</v>
      </c>
    </row>
    <row r="12" spans="1:53" x14ac:dyDescent="0.25">
      <c r="A12" s="14"/>
      <c r="B12" s="28"/>
      <c r="C12" s="55" t="s">
        <v>49</v>
      </c>
      <c r="D12" s="55" t="s">
        <v>35</v>
      </c>
      <c r="E12" s="55" t="s">
        <v>42</v>
      </c>
      <c r="F12" s="55" t="s">
        <v>40</v>
      </c>
      <c r="G12" s="56" t="s">
        <v>79</v>
      </c>
      <c r="L12" s="48" t="s">
        <v>26</v>
      </c>
      <c r="N12" s="48" t="s">
        <v>156</v>
      </c>
      <c r="AH12" t="s">
        <v>238</v>
      </c>
      <c r="AI12">
        <v>1.1599999999999999</v>
      </c>
      <c r="AJ12">
        <v>1.19</v>
      </c>
    </row>
    <row r="13" spans="1:53" ht="15.75" thickBot="1" x14ac:dyDescent="0.3">
      <c r="A13" s="14"/>
      <c r="B13" s="28"/>
      <c r="C13" s="55" t="s">
        <v>37</v>
      </c>
      <c r="D13" s="55" t="s">
        <v>54</v>
      </c>
      <c r="E13" s="28"/>
      <c r="F13" s="55" t="s">
        <v>62</v>
      </c>
      <c r="G13" s="56" t="s">
        <v>65</v>
      </c>
      <c r="L13" s="49" t="s">
        <v>113</v>
      </c>
      <c r="N13" s="49"/>
      <c r="AH13" t="s">
        <v>242</v>
      </c>
    </row>
    <row r="14" spans="1:53" x14ac:dyDescent="0.25">
      <c r="A14" s="14"/>
      <c r="B14" s="28"/>
      <c r="C14" s="55" t="s">
        <v>40</v>
      </c>
      <c r="D14" s="55" t="s">
        <v>55</v>
      </c>
      <c r="E14" s="28"/>
      <c r="F14" s="55" t="s">
        <v>66</v>
      </c>
      <c r="G14" s="56" t="s">
        <v>11</v>
      </c>
    </row>
    <row r="15" spans="1:53" x14ac:dyDescent="0.25">
      <c r="A15" s="14"/>
      <c r="B15" s="28"/>
      <c r="C15" s="55" t="s">
        <v>46</v>
      </c>
      <c r="D15" s="55" t="s">
        <v>49</v>
      </c>
      <c r="E15" s="28"/>
      <c r="F15" s="55" t="s">
        <v>69</v>
      </c>
      <c r="G15" s="56" t="s">
        <v>77</v>
      </c>
    </row>
    <row r="16" spans="1:53" x14ac:dyDescent="0.25">
      <c r="A16" s="14"/>
      <c r="B16" s="28"/>
      <c r="C16" s="55" t="s">
        <v>39</v>
      </c>
      <c r="D16" s="55" t="s">
        <v>37</v>
      </c>
      <c r="E16" s="28"/>
      <c r="F16" s="28"/>
      <c r="G16" s="56" t="s">
        <v>84</v>
      </c>
    </row>
    <row r="17" spans="1:7" x14ac:dyDescent="0.25">
      <c r="A17" s="14"/>
      <c r="B17" s="28"/>
      <c r="C17" s="55" t="s">
        <v>48</v>
      </c>
      <c r="D17" s="55" t="s">
        <v>57</v>
      </c>
      <c r="E17" s="28"/>
      <c r="F17" s="28"/>
      <c r="G17" s="56" t="s">
        <v>86</v>
      </c>
    </row>
    <row r="18" spans="1:7" x14ac:dyDescent="0.25">
      <c r="A18" s="14"/>
      <c r="B18" s="28"/>
      <c r="C18" s="55" t="s">
        <v>42</v>
      </c>
      <c r="D18" s="55" t="s">
        <v>53</v>
      </c>
      <c r="E18" s="28"/>
      <c r="F18" s="28"/>
      <c r="G18" s="56" t="s">
        <v>76</v>
      </c>
    </row>
    <row r="19" spans="1:7" x14ac:dyDescent="0.25">
      <c r="A19" s="14"/>
      <c r="B19" s="28"/>
      <c r="C19" s="55" t="s">
        <v>47</v>
      </c>
      <c r="D19" s="55" t="s">
        <v>47</v>
      </c>
      <c r="E19" s="28"/>
      <c r="F19" s="28"/>
      <c r="G19" s="56" t="s">
        <v>92</v>
      </c>
    </row>
    <row r="20" spans="1:7" x14ac:dyDescent="0.25">
      <c r="A20" s="14"/>
      <c r="B20" s="28"/>
      <c r="C20" s="28"/>
      <c r="D20" s="28"/>
      <c r="E20" s="28"/>
      <c r="F20" s="28"/>
      <c r="G20" s="56" t="s">
        <v>71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63</v>
      </c>
    </row>
    <row r="24" spans="1:7" x14ac:dyDescent="0.25">
      <c r="A24" s="14"/>
      <c r="B24" s="28"/>
      <c r="C24" s="28"/>
      <c r="D24" s="28"/>
      <c r="E24" s="28"/>
      <c r="F24" s="28"/>
      <c r="G24" s="56" t="s">
        <v>95</v>
      </c>
    </row>
    <row r="25" spans="1:7" x14ac:dyDescent="0.25">
      <c r="A25" s="14"/>
      <c r="B25" s="28"/>
      <c r="C25" s="28"/>
      <c r="D25" s="28"/>
      <c r="E25" s="28"/>
      <c r="F25" s="28"/>
      <c r="G25" s="56" t="s">
        <v>57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90</v>
      </c>
    </row>
    <row r="28" spans="1:7" x14ac:dyDescent="0.25">
      <c r="A28" s="14"/>
      <c r="B28" s="28"/>
      <c r="C28" s="28"/>
      <c r="D28" s="28"/>
      <c r="E28" s="28"/>
      <c r="F28" s="28"/>
      <c r="G28" s="56" t="s">
        <v>62</v>
      </c>
    </row>
    <row r="29" spans="1:7" x14ac:dyDescent="0.25">
      <c r="A29" s="14"/>
      <c r="B29" s="28"/>
      <c r="C29" s="28"/>
      <c r="D29" s="28"/>
      <c r="E29" s="28"/>
      <c r="F29" s="28"/>
      <c r="G29" s="56" t="s">
        <v>88</v>
      </c>
    </row>
    <row r="30" spans="1:7" x14ac:dyDescent="0.25">
      <c r="A30" s="14"/>
      <c r="B30" s="28"/>
      <c r="C30" s="28"/>
      <c r="D30" s="28"/>
      <c r="E30" s="28"/>
      <c r="F30" s="28"/>
      <c r="G30" s="56" t="s">
        <v>78</v>
      </c>
    </row>
    <row r="31" spans="1:7" x14ac:dyDescent="0.25">
      <c r="A31" s="14"/>
      <c r="B31" s="28"/>
      <c r="C31" s="28"/>
      <c r="D31" s="28"/>
      <c r="E31" s="28"/>
      <c r="F31" s="28"/>
      <c r="G31" s="56" t="s">
        <v>97</v>
      </c>
    </row>
    <row r="32" spans="1:7" x14ac:dyDescent="0.25">
      <c r="A32" s="14"/>
      <c r="B32" s="28"/>
      <c r="C32" s="28"/>
      <c r="D32" s="28"/>
      <c r="E32" s="28"/>
      <c r="F32" s="28"/>
      <c r="G32" s="56" t="s">
        <v>75</v>
      </c>
    </row>
    <row r="33" spans="1:7" x14ac:dyDescent="0.25">
      <c r="A33" s="14"/>
      <c r="B33" s="28"/>
      <c r="C33" s="28"/>
      <c r="D33" s="28"/>
      <c r="E33" s="28"/>
      <c r="F33" s="28"/>
      <c r="G33" s="56" t="s">
        <v>89</v>
      </c>
    </row>
    <row r="34" spans="1:7" x14ac:dyDescent="0.25">
      <c r="A34" s="14"/>
      <c r="B34" s="28"/>
      <c r="C34" s="28"/>
      <c r="D34" s="28"/>
      <c r="E34" s="28"/>
      <c r="F34" s="28"/>
      <c r="G34" s="56" t="s">
        <v>99</v>
      </c>
    </row>
    <row r="35" spans="1:7" x14ac:dyDescent="0.25">
      <c r="A35" s="14"/>
      <c r="B35" s="28"/>
      <c r="C35" s="28"/>
      <c r="D35" s="28"/>
      <c r="E35" s="28"/>
      <c r="F35" s="28"/>
      <c r="G35" s="56" t="s">
        <v>96</v>
      </c>
    </row>
    <row r="36" spans="1:7" x14ac:dyDescent="0.25">
      <c r="A36" s="14"/>
      <c r="B36" s="28"/>
      <c r="C36" s="28"/>
      <c r="D36" s="28"/>
      <c r="E36" s="28"/>
      <c r="F36" s="28"/>
      <c r="G36" s="56" t="s">
        <v>87</v>
      </c>
    </row>
    <row r="37" spans="1:7" x14ac:dyDescent="0.25">
      <c r="A37" s="14"/>
      <c r="B37" s="28"/>
      <c r="C37" s="28"/>
      <c r="D37" s="28"/>
      <c r="E37" s="28"/>
      <c r="F37" s="28"/>
      <c r="G37" s="56" t="s">
        <v>85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selection activeCell="D17" sqref="D17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80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17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12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10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13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10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17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17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80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80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80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80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80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33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e">
        <v>#N/A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</row>
    <row r="78" spans="1:33" x14ac:dyDescent="0.25">
      <c r="A78" t="e">
        <v>#N/A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</row>
    <row r="79" spans="1:33" x14ac:dyDescent="0.25">
      <c r="A79" t="e">
        <v>#N/A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</row>
    <row r="80" spans="1:33" x14ac:dyDescent="0.25">
      <c r="A80" t="e">
        <v>#N/A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</row>
    <row r="81" spans="1:33" x14ac:dyDescent="0.25">
      <c r="A81" t="e">
        <v>#N/A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</row>
    <row r="82" spans="1:33" x14ac:dyDescent="0.25">
      <c r="A82" t="e">
        <v>#N/A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</row>
    <row r="83" spans="1:33" x14ac:dyDescent="0.25">
      <c r="A83" t="e">
        <v>#N/A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6" t="s">
        <v>210</v>
      </c>
      <c r="B1" s="156"/>
      <c r="C1" s="156"/>
      <c r="D1" s="156"/>
      <c r="E1" s="156"/>
      <c r="F1" s="156"/>
      <c r="H1" s="156" t="s">
        <v>211</v>
      </c>
      <c r="I1" s="156"/>
      <c r="J1" s="156"/>
      <c r="K1" s="156"/>
      <c r="L1" s="156"/>
      <c r="M1" s="156"/>
      <c r="O1" s="156" t="s">
        <v>212</v>
      </c>
      <c r="P1" s="156"/>
      <c r="Q1" s="156"/>
      <c r="R1" s="156"/>
      <c r="S1" s="156"/>
      <c r="T1" s="156"/>
      <c r="V1" s="156"/>
      <c r="W1" s="156"/>
      <c r="X1" s="156"/>
      <c r="Y1" s="156"/>
      <c r="Z1" s="156"/>
      <c r="AA1" s="156"/>
    </row>
    <row r="2" spans="1:27" x14ac:dyDescent="0.25">
      <c r="A2" t="s">
        <v>102</v>
      </c>
      <c r="B2" t="s">
        <v>103</v>
      </c>
      <c r="C2" t="s">
        <v>9</v>
      </c>
      <c r="D2" t="s">
        <v>104</v>
      </c>
      <c r="E2" t="s">
        <v>105</v>
      </c>
      <c r="F2" t="s">
        <v>10</v>
      </c>
      <c r="H2" t="s">
        <v>102</v>
      </c>
      <c r="I2" t="s">
        <v>103</v>
      </c>
      <c r="J2" t="s">
        <v>9</v>
      </c>
      <c r="K2" t="s">
        <v>104</v>
      </c>
      <c r="L2" t="s">
        <v>105</v>
      </c>
      <c r="M2" t="s">
        <v>10</v>
      </c>
      <c r="O2" t="s">
        <v>102</v>
      </c>
      <c r="P2" t="s">
        <v>103</v>
      </c>
      <c r="Q2" t="s">
        <v>9</v>
      </c>
      <c r="R2" t="s">
        <v>104</v>
      </c>
      <c r="S2" t="s">
        <v>105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2023-02-14T00:56:31Z</dcterms:modified>
</cp:coreProperties>
</file>
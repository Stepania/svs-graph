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CFE1861E-B264-4417-B807-FC77CA6E6BB0}" xr6:coauthVersionLast="47" xr6:coauthVersionMax="47" xr10:uidLastSave="{00000000-0000-0000-0000-000000000000}"/>
  <bookViews>
    <workbookView xWindow="-120" yWindow="-120" windowWidth="29040" windowHeight="15225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ConceptDemo!$D$67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UL">ConceptDemo!$D$67</definedName>
    <definedName name="Efficiency">ConceptDemo!$D$66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ConceptDemo!$D$56</definedName>
    <definedName name="FollowingCropName">ConceptDemo!$D$54</definedName>
    <definedName name="FollowingCropType">ConceptDemo!$D$53</definedName>
    <definedName name="FollowingCropVariety">ConceptDemo!$D$55</definedName>
    <definedName name="FollowingDressingLoss">ConceptDemo!$G$54</definedName>
    <definedName name="FollowingEstablishDate">ConceptDemo!$D$57</definedName>
    <definedName name="FollowingEstablishmentDate">ConceptDemo!$D$57</definedName>
    <definedName name="FollowingEstablishStage">ConceptDemo!$G$57</definedName>
    <definedName name="FollowingFieldLoss">ConceptDemo!$G$53</definedName>
    <definedName name="FollowingHarvestDate">ConceptDemo!$D$58</definedName>
    <definedName name="FollowingHarvestStage">ConceptDemo!$G$58</definedName>
    <definedName name="FollowingMoistureLoss">ConceptDemo!$G$55</definedName>
    <definedName name="FollowingPopulation">ConceptDemo!$D$59</definedName>
    <definedName name="FollowingResidueIncorporation">ConceptDemo!$G$61</definedName>
    <definedName name="FollowingResidueRemoval">ConceptDemo!$G$60</definedName>
    <definedName name="FollowingResidueTreatment">ConceptDemo!$G$60</definedName>
    <definedName name="FollowingUnits">ConceptDemo!$D$61</definedName>
    <definedName name="FollowingYIeld">ConceptDemo!$D$60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ConceptDemo!$B$39</definedName>
    <definedName name="InitialN">ConceptDemo!$D$64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otato">ListMembers!$AH$2:$AH$4</definedName>
    <definedName name="PrePlantRain">ConceptDemo!$G$4</definedName>
    <definedName name="PriorCropName">ConceptDemo!$D$43</definedName>
    <definedName name="PriorCropNameFull">ConceptDemo!$D$45</definedName>
    <definedName name="PriorCropType">ConceptDemo!$D$42</definedName>
    <definedName name="PriorCropVariety">ConceptDemo!$D$44</definedName>
    <definedName name="PriorDressingLoss">ConceptDemo!$G$43</definedName>
    <definedName name="PriorEstablishDate">ConceptDemo!$D$46</definedName>
    <definedName name="PriorEstablishStage">ConceptDemo!$G$46</definedName>
    <definedName name="PriorFieldLoss">ConceptDemo!$G$42</definedName>
    <definedName name="PriorHarvestDate">ConceptDemo!$D$47</definedName>
    <definedName name="PriorHarvestStage">ConceptDemo!$G$47</definedName>
    <definedName name="PriorMoistureContent">ConceptDemo!$G$44</definedName>
    <definedName name="PriorPopulation">ConceptDemo!$D$48</definedName>
    <definedName name="PriorResidueIncorporation">ConceptDemo!$G$50</definedName>
    <definedName name="PriorResidueRemoval">ConceptDemo!$G$49</definedName>
    <definedName name="PriorResidueTreatment">ConceptDemo!$G$49</definedName>
    <definedName name="PriorSaleableYield">ConceptDemo!$B$50</definedName>
    <definedName name="PriorUnits">ConceptDemo!$D$50</definedName>
    <definedName name="PriorYield">ConceptDemo!$D$49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eed">ListMembers!$F$8:$F$38</definedName>
    <definedName name="Silver_beet">ListMembers!$AP$2:$AP$4</definedName>
    <definedName name="Spinach">ListMembers!$AQ$2:$AQ$4</definedName>
    <definedName name="Splits">ConceptDemo!$D$20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ConceptDemo!$D$39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ConceptDemo!$D$65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6" i="3" s="1"/>
  <c r="D67" i="1"/>
  <c r="B7" i="3" s="1"/>
  <c r="G4" i="1"/>
  <c r="B8" i="3" s="1"/>
  <c r="G5" i="1"/>
  <c r="B9" i="3" s="1"/>
  <c r="G6" i="1"/>
  <c r="B10" i="3" s="1"/>
  <c r="C20" i="1"/>
  <c r="B1" i="1"/>
  <c r="G50" i="1"/>
  <c r="B21" i="3" s="1"/>
  <c r="G61" i="1"/>
  <c r="B43" i="3" s="1"/>
  <c r="G15" i="1"/>
  <c r="B32" i="3" s="1"/>
  <c r="G60" i="1"/>
  <c r="B42" i="3" s="1"/>
  <c r="G49" i="1"/>
  <c r="B20" i="3" s="1"/>
  <c r="G14" i="1"/>
  <c r="B31" i="3" s="1"/>
  <c r="D19" i="1"/>
  <c r="B3" i="3" s="1"/>
  <c r="D9" i="1"/>
  <c r="D10" i="1" s="1"/>
  <c r="D7" i="1"/>
  <c r="D8" i="1" s="1"/>
  <c r="D66" i="1"/>
  <c r="B5" i="3" s="1"/>
  <c r="D65" i="1"/>
  <c r="B4" i="3" s="1"/>
  <c r="B2" i="3"/>
  <c r="D42" i="1"/>
  <c r="D43" i="1"/>
  <c r="D44" i="1"/>
  <c r="D54" i="1"/>
  <c r="D53" i="1"/>
  <c r="D55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J4" i="3" l="1"/>
  <c r="J3" i="3"/>
  <c r="B39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Q21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B1" i="4"/>
  <c r="A2" i="4"/>
  <c r="AG2" i="4"/>
  <c r="AF3" i="4"/>
  <c r="AE4" i="4"/>
  <c r="AD5" i="4"/>
  <c r="AC6" i="4"/>
  <c r="AB7" i="4"/>
  <c r="AA8" i="4"/>
  <c r="R9" i="4"/>
  <c r="E10" i="4"/>
  <c r="Z10" i="4"/>
  <c r="P11" i="4"/>
  <c r="C12" i="4"/>
  <c r="X12" i="4"/>
  <c r="N13" i="4"/>
  <c r="A14" i="4"/>
  <c r="V14" i="4"/>
  <c r="L15" i="4"/>
  <c r="AF15" i="4"/>
  <c r="S16" i="4"/>
  <c r="B17" i="4"/>
  <c r="O17" i="4"/>
  <c r="Z17" i="4"/>
  <c r="C18" i="4"/>
  <c r="N18" i="4"/>
  <c r="Y18" i="4"/>
  <c r="B19" i="4"/>
  <c r="M19" i="4"/>
  <c r="X19" i="4"/>
  <c r="A20" i="4"/>
  <c r="L20" i="4"/>
  <c r="W20" i="4"/>
  <c r="AG20" i="4"/>
  <c r="K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C1" i="4"/>
  <c r="B2" i="4"/>
  <c r="A3" i="4"/>
  <c r="G9" i="1" s="1"/>
  <c r="AG3" i="4"/>
  <c r="AF4" i="4"/>
  <c r="AE5" i="4"/>
  <c r="AD6" i="4"/>
  <c r="AC7" i="4"/>
  <c r="AB8" i="4"/>
  <c r="S9" i="4"/>
  <c r="I10" i="4"/>
  <c r="AC10" i="4"/>
  <c r="Q11" i="4"/>
  <c r="G12" i="4"/>
  <c r="AA12" i="4"/>
  <c r="O13" i="4"/>
  <c r="E14" i="4"/>
  <c r="Y14" i="4"/>
  <c r="M15" i="4"/>
  <c r="C16" i="4"/>
  <c r="T16" i="4"/>
  <c r="C17" i="4"/>
  <c r="R1" i="4"/>
  <c r="Q2" i="4"/>
  <c r="P3" i="4"/>
  <c r="O4" i="4"/>
  <c r="N5" i="4"/>
  <c r="M6" i="4"/>
  <c r="L7" i="4"/>
  <c r="K8" i="4"/>
  <c r="F9" i="4"/>
  <c r="AA9" i="4"/>
  <c r="Q10" i="4"/>
  <c r="D11" i="4"/>
  <c r="Y11" i="4"/>
  <c r="O12" i="4"/>
  <c r="B13" i="4"/>
  <c r="W13" i="4"/>
  <c r="M14" i="4"/>
  <c r="AG14" i="4"/>
  <c r="U15" i="4"/>
  <c r="K16" i="4"/>
  <c r="AA16" i="4"/>
  <c r="J17" i="4"/>
  <c r="T17" i="4"/>
  <c r="AE17" i="4"/>
  <c r="I18" i="4"/>
  <c r="S18" i="4"/>
  <c r="AD18" i="4"/>
  <c r="H19" i="4"/>
  <c r="R19" i="4"/>
  <c r="AC19" i="4"/>
  <c r="G20" i="4"/>
  <c r="Q20" i="4"/>
  <c r="AB20" i="4"/>
  <c r="F21" i="4"/>
  <c r="P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S1" i="4"/>
  <c r="R2" i="4"/>
  <c r="Q3" i="4"/>
  <c r="P4" i="4"/>
  <c r="O5" i="4"/>
  <c r="N6" i="4"/>
  <c r="M7" i="4"/>
  <c r="L8" i="4"/>
  <c r="J9" i="4"/>
  <c r="AD9" i="4"/>
  <c r="R10" i="4"/>
  <c r="H11" i="4"/>
  <c r="AB11" i="4"/>
  <c r="P12" i="4"/>
  <c r="F13" i="4"/>
  <c r="Z13" i="4"/>
  <c r="N14" i="4"/>
  <c r="D15" i="4"/>
  <c r="X15" i="4"/>
  <c r="L16" i="4"/>
  <c r="AB16" i="4"/>
  <c r="K17" i="4"/>
  <c r="V17" i="4"/>
  <c r="AG17" i="4"/>
  <c r="J18" i="4"/>
  <c r="U18" i="4"/>
  <c r="AF18" i="4"/>
  <c r="I19" i="4"/>
  <c r="T19" i="4"/>
  <c r="AE19" i="4"/>
  <c r="H20" i="4"/>
  <c r="S20" i="4"/>
  <c r="AD20" i="4"/>
  <c r="G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Z1" i="4"/>
  <c r="Y2" i="4"/>
  <c r="X3" i="4"/>
  <c r="W4" i="4"/>
  <c r="V5" i="4"/>
  <c r="U6" i="4"/>
  <c r="T7" i="4"/>
  <c r="S8" i="4"/>
  <c r="K9" i="4"/>
  <c r="A10" i="4"/>
  <c r="U10" i="4"/>
  <c r="I11" i="4"/>
  <c r="AF11" i="4"/>
  <c r="S12" i="4"/>
  <c r="G13" i="4"/>
  <c r="AD13" i="4"/>
  <c r="Q14" i="4"/>
  <c r="E15" i="4"/>
  <c r="AB15" i="4"/>
  <c r="O16" i="4"/>
  <c r="AE16" i="4"/>
  <c r="L17" i="4"/>
  <c r="AA1" i="4"/>
  <c r="Z2" i="4"/>
  <c r="Y3" i="4"/>
  <c r="X4" i="4"/>
  <c r="W5" i="4"/>
  <c r="V6" i="4"/>
  <c r="U7" i="4"/>
  <c r="T8" i="4"/>
  <c r="N9" i="4"/>
  <c r="B10" i="4"/>
  <c r="Y10" i="4"/>
  <c r="L11" i="4"/>
  <c r="AG11" i="4"/>
  <c r="W12" i="4"/>
  <c r="J13" i="4"/>
  <c r="AE13" i="4"/>
  <c r="U14" i="4"/>
  <c r="H15" i="4"/>
  <c r="AC15" i="4"/>
  <c r="R16" i="4"/>
  <c r="A17" i="4"/>
  <c r="N17" i="4"/>
  <c r="Y17" i="4"/>
  <c r="B18" i="4"/>
  <c r="M18" i="4"/>
  <c r="X18" i="4"/>
  <c r="A19" i="4"/>
  <c r="L19" i="4"/>
  <c r="W19" i="4"/>
  <c r="AG19" i="4"/>
  <c r="K20" i="4"/>
  <c r="V20" i="4"/>
  <c r="AF20" i="4"/>
  <c r="J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1" i="4"/>
  <c r="F5" i="4"/>
  <c r="B9" i="4"/>
  <c r="T11" i="4"/>
  <c r="F14" i="4"/>
  <c r="W16" i="4"/>
  <c r="AA17" i="4"/>
  <c r="P18" i="4"/>
  <c r="D19" i="4"/>
  <c r="Y19" i="4"/>
  <c r="N20" i="4"/>
  <c r="B21" i="4"/>
  <c r="V21" i="4"/>
  <c r="E22" i="4"/>
  <c r="U22" i="4"/>
  <c r="D23" i="4"/>
  <c r="T23" i="4"/>
  <c r="C24" i="4"/>
  <c r="S24" i="4"/>
  <c r="B25" i="4"/>
  <c r="R25" i="4"/>
  <c r="A26" i="4"/>
  <c r="Q26" i="4"/>
  <c r="AG26" i="4"/>
  <c r="P27" i="4"/>
  <c r="AF27" i="4"/>
  <c r="O28" i="4"/>
  <c r="AE28" i="4"/>
  <c r="N29" i="4"/>
  <c r="AD29" i="4"/>
  <c r="M30" i="4"/>
  <c r="AC30" i="4"/>
  <c r="I31" i="4"/>
  <c r="T31" i="4"/>
  <c r="AD31" i="4"/>
  <c r="H32" i="4"/>
  <c r="S32" i="4"/>
  <c r="AC32" i="4"/>
  <c r="G33" i="4"/>
  <c r="R33" i="4"/>
  <c r="AB33" i="4"/>
  <c r="D34" i="4"/>
  <c r="M34" i="4"/>
  <c r="V34" i="4"/>
  <c r="AE34" i="4"/>
  <c r="H35" i="4"/>
  <c r="Q35" i="4"/>
  <c r="Z35" i="4"/>
  <c r="B36" i="4"/>
  <c r="K36" i="4"/>
  <c r="T36" i="4"/>
  <c r="AC36" i="4"/>
  <c r="F37" i="4"/>
  <c r="O37" i="4"/>
  <c r="X37" i="4"/>
  <c r="AG37" i="4"/>
  <c r="I38" i="4"/>
  <c r="R38" i="4"/>
  <c r="AA38" i="4"/>
  <c r="D39" i="4"/>
  <c r="M39" i="4"/>
  <c r="V39" i="4"/>
  <c r="AE39" i="4"/>
  <c r="G40" i="4"/>
  <c r="P40" i="4"/>
  <c r="Y40" i="4"/>
  <c r="B41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F45" i="4"/>
  <c r="N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I2" i="4"/>
  <c r="E6" i="4"/>
  <c r="V9" i="4"/>
  <c r="H12" i="4"/>
  <c r="AC14" i="4"/>
  <c r="F17" i="4"/>
  <c r="AD17" i="4"/>
  <c r="R18" i="4"/>
  <c r="J2" i="4"/>
  <c r="F6" i="4"/>
  <c r="Z9" i="4"/>
  <c r="K12" i="4"/>
  <c r="AD14" i="4"/>
  <c r="I17" i="4"/>
  <c r="A18" i="4"/>
  <c r="V18" i="4"/>
  <c r="H3" i="4"/>
  <c r="D7" i="4"/>
  <c r="J10" i="4"/>
  <c r="AE12" i="4"/>
  <c r="P15" i="4"/>
  <c r="Q17" i="4"/>
  <c r="E18" i="4"/>
  <c r="Z18" i="4"/>
  <c r="O19" i="4"/>
  <c r="C20" i="4"/>
  <c r="X20" i="4"/>
  <c r="M21" i="4"/>
  <c r="AD21" i="4"/>
  <c r="M22" i="4"/>
  <c r="AC22" i="4"/>
  <c r="L23" i="4"/>
  <c r="AB23" i="4"/>
  <c r="K24" i="4"/>
  <c r="AA24" i="4"/>
  <c r="J25" i="4"/>
  <c r="Z25" i="4"/>
  <c r="I26" i="4"/>
  <c r="Y26" i="4"/>
  <c r="H27" i="4"/>
  <c r="X27" i="4"/>
  <c r="G28" i="4"/>
  <c r="W28" i="4"/>
  <c r="F29" i="4"/>
  <c r="V29" i="4"/>
  <c r="E30" i="4"/>
  <c r="U30" i="4"/>
  <c r="D31" i="4"/>
  <c r="N31" i="4"/>
  <c r="Y31" i="4"/>
  <c r="C32" i="4"/>
  <c r="M32" i="4"/>
  <c r="X32" i="4"/>
  <c r="B33" i="4"/>
  <c r="L33" i="4"/>
  <c r="W33" i="4"/>
  <c r="AF33" i="4"/>
  <c r="I34" i="4"/>
  <c r="R34" i="4"/>
  <c r="AA34" i="4"/>
  <c r="C35" i="4"/>
  <c r="L35" i="4"/>
  <c r="U35" i="4"/>
  <c r="AD35" i="4"/>
  <c r="G36" i="4"/>
  <c r="P36" i="4"/>
  <c r="Y36" i="4"/>
  <c r="A37" i="4"/>
  <c r="J37" i="4"/>
  <c r="S37" i="4"/>
  <c r="AB37" i="4"/>
  <c r="E38" i="4"/>
  <c r="N38" i="4"/>
  <c r="W38" i="4"/>
  <c r="AF38" i="4"/>
  <c r="H39" i="4"/>
  <c r="Q39" i="4"/>
  <c r="Z39" i="4"/>
  <c r="C40" i="4"/>
  <c r="L40" i="4"/>
  <c r="U40" i="4"/>
  <c r="AD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J45" i="4"/>
  <c r="R45" i="4"/>
  <c r="Z45" i="4"/>
  <c r="A46" i="4"/>
  <c r="I3" i="4"/>
  <c r="E7" i="4"/>
  <c r="M10" i="4"/>
  <c r="AF12" i="4"/>
  <c r="T15" i="4"/>
  <c r="R17" i="4"/>
  <c r="F18" i="4"/>
  <c r="AA18" i="4"/>
  <c r="P19" i="4"/>
  <c r="D20" i="4"/>
  <c r="Y20" i="4"/>
  <c r="N21" i="4"/>
  <c r="AE21" i="4"/>
  <c r="N22" i="4"/>
  <c r="AD22" i="4"/>
  <c r="M23" i="4"/>
  <c r="AC23" i="4"/>
  <c r="L24" i="4"/>
  <c r="AB24" i="4"/>
  <c r="K25" i="4"/>
  <c r="AA25" i="4"/>
  <c r="J26" i="4"/>
  <c r="Z26" i="4"/>
  <c r="I27" i="4"/>
  <c r="Y27" i="4"/>
  <c r="H28" i="4"/>
  <c r="X28" i="4"/>
  <c r="G29" i="4"/>
  <c r="W29" i="4"/>
  <c r="F30" i="4"/>
  <c r="V30" i="4"/>
  <c r="E31" i="4"/>
  <c r="O31" i="4"/>
  <c r="Z31" i="4"/>
  <c r="D32" i="4"/>
  <c r="N32" i="4"/>
  <c r="Y32" i="4"/>
  <c r="C33" i="4"/>
  <c r="M33" i="4"/>
  <c r="X33" i="4"/>
  <c r="A34" i="4"/>
  <c r="J34" i="4"/>
  <c r="S34" i="4"/>
  <c r="AB34" i="4"/>
  <c r="D35" i="4"/>
  <c r="M35" i="4"/>
  <c r="V35" i="4"/>
  <c r="AF35" i="4"/>
  <c r="H36" i="4"/>
  <c r="Q36" i="4"/>
  <c r="Z36" i="4"/>
  <c r="B37" i="4"/>
  <c r="K37" i="4"/>
  <c r="T37" i="4"/>
  <c r="AD37" i="4"/>
  <c r="F38" i="4"/>
  <c r="O38" i="4"/>
  <c r="X38" i="4"/>
  <c r="AG38" i="4"/>
  <c r="I39" i="4"/>
  <c r="R39" i="4"/>
  <c r="AB39" i="4"/>
  <c r="D40" i="4"/>
  <c r="M40" i="4"/>
  <c r="V40" i="4"/>
  <c r="AE40" i="4"/>
  <c r="G41" i="4"/>
  <c r="G4" i="4"/>
  <c r="C8" i="4"/>
  <c r="AG10" i="4"/>
  <c r="R13" i="4"/>
  <c r="D16" i="4"/>
  <c r="S17" i="4"/>
  <c r="H18" i="4"/>
  <c r="AC18" i="4"/>
  <c r="Q19" i="4"/>
  <c r="F20" i="4"/>
  <c r="AA20" i="4"/>
  <c r="O21" i="4"/>
  <c r="AF21" i="4"/>
  <c r="O22" i="4"/>
  <c r="AE22" i="4"/>
  <c r="N23" i="4"/>
  <c r="AD23" i="4"/>
  <c r="M24" i="4"/>
  <c r="AC24" i="4"/>
  <c r="L25" i="4"/>
  <c r="AB25" i="4"/>
  <c r="K26" i="4"/>
  <c r="AA26" i="4"/>
  <c r="J27" i="4"/>
  <c r="Z27" i="4"/>
  <c r="I28" i="4"/>
  <c r="Y28" i="4"/>
  <c r="H29" i="4"/>
  <c r="X29" i="4"/>
  <c r="G30" i="4"/>
  <c r="W30" i="4"/>
  <c r="F31" i="4"/>
  <c r="Q31" i="4"/>
  <c r="AB31" i="4"/>
  <c r="E32" i="4"/>
  <c r="P32" i="4"/>
  <c r="AA32" i="4"/>
  <c r="D33" i="4"/>
  <c r="O33" i="4"/>
  <c r="Z33" i="4"/>
  <c r="B34" i="4"/>
  <c r="K34" i="4"/>
  <c r="T34" i="4"/>
  <c r="AC34" i="4"/>
  <c r="E35" i="4"/>
  <c r="N35" i="4"/>
  <c r="X35" i="4"/>
  <c r="AG35" i="4"/>
  <c r="I36" i="4"/>
  <c r="R36" i="4"/>
  <c r="AA36" i="4"/>
  <c r="C37" i="4"/>
  <c r="L37" i="4"/>
  <c r="V37" i="4"/>
  <c r="AE37" i="4"/>
  <c r="G38" i="4"/>
  <c r="P38" i="4"/>
  <c r="Y38" i="4"/>
  <c r="A39" i="4"/>
  <c r="J39" i="4"/>
  <c r="T39" i="4"/>
  <c r="AC39" i="4"/>
  <c r="E40" i="4"/>
  <c r="N40" i="4"/>
  <c r="W40" i="4"/>
  <c r="AF40" i="4"/>
  <c r="H41" i="4"/>
  <c r="K1" i="4"/>
  <c r="I14" i="4"/>
  <c r="E19" i="4"/>
  <c r="O20" i="4"/>
  <c r="W21" i="4"/>
  <c r="V22" i="4"/>
  <c r="U23" i="4"/>
  <c r="T24" i="4"/>
  <c r="S25" i="4"/>
  <c r="R26" i="4"/>
  <c r="Q27" i="4"/>
  <c r="P28" i="4"/>
  <c r="O29" i="4"/>
  <c r="N30" i="4"/>
  <c r="J31" i="4"/>
  <c r="AE31" i="4"/>
  <c r="T32" i="4"/>
  <c r="H33" i="4"/>
  <c r="AC33" i="4"/>
  <c r="N34" i="4"/>
  <c r="AG34" i="4"/>
  <c r="R35" i="4"/>
  <c r="C36" i="4"/>
  <c r="U36" i="4"/>
  <c r="G37" i="4"/>
  <c r="Y37" i="4"/>
  <c r="J38" i="4"/>
  <c r="AC38" i="4"/>
  <c r="N39" i="4"/>
  <c r="AF39" i="4"/>
  <c r="Q40" i="4"/>
  <c r="C41" i="4"/>
  <c r="R41" i="4"/>
  <c r="AD41" i="4"/>
  <c r="I42" i="4"/>
  <c r="U42" i="4"/>
  <c r="A43" i="4"/>
  <c r="L43" i="4"/>
  <c r="Y43" i="4"/>
  <c r="D44" i="4"/>
  <c r="P44" i="4"/>
  <c r="AB44" i="4"/>
  <c r="G45" i="4"/>
  <c r="Q45" i="4"/>
  <c r="AB45" i="4"/>
  <c r="F46" i="4"/>
  <c r="O46" i="4"/>
  <c r="X46" i="4"/>
  <c r="AG46" i="4"/>
  <c r="I47" i="4"/>
  <c r="R47" i="4"/>
  <c r="AA47" i="4"/>
  <c r="D48" i="4"/>
  <c r="M48" i="4"/>
  <c r="V48" i="4"/>
  <c r="AE48" i="4"/>
  <c r="G49" i="4"/>
  <c r="P49" i="4"/>
  <c r="Y49" i="4"/>
  <c r="B50" i="4"/>
  <c r="K50" i="4"/>
  <c r="T50" i="4"/>
  <c r="AC50" i="4"/>
  <c r="E51" i="4"/>
  <c r="N51" i="4"/>
  <c r="W51" i="4"/>
  <c r="AG51" i="4"/>
  <c r="I52" i="4"/>
  <c r="R52" i="4"/>
  <c r="AA52" i="4"/>
  <c r="C53" i="4"/>
  <c r="L53" i="4"/>
  <c r="U53" i="4"/>
  <c r="AE53" i="4"/>
  <c r="G54" i="4"/>
  <c r="P54" i="4"/>
  <c r="Y54" i="4"/>
  <c r="A55" i="4"/>
  <c r="J55" i="4"/>
  <c r="S55" i="4"/>
  <c r="AC55" i="4"/>
  <c r="E56" i="4"/>
  <c r="N56" i="4"/>
  <c r="W56" i="4"/>
  <c r="AF56" i="4"/>
  <c r="H57" i="4"/>
  <c r="Q57" i="4"/>
  <c r="AA57" i="4"/>
  <c r="C58" i="4"/>
  <c r="L58" i="4"/>
  <c r="U58" i="4"/>
  <c r="AD58" i="4"/>
  <c r="F59" i="4"/>
  <c r="O59" i="4"/>
  <c r="Y59" i="4"/>
  <c r="A60" i="4"/>
  <c r="J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C9" i="4"/>
  <c r="AB17" i="4"/>
  <c r="Z19" i="4"/>
  <c r="C21" i="4"/>
  <c r="F22" i="4"/>
  <c r="E23" i="4"/>
  <c r="D24" i="4"/>
  <c r="C25" i="4"/>
  <c r="B26" i="4"/>
  <c r="A27" i="4"/>
  <c r="AG27" i="4"/>
  <c r="AF28" i="4"/>
  <c r="AE29" i="4"/>
  <c r="AD30" i="4"/>
  <c r="U31" i="4"/>
  <c r="I32" i="4"/>
  <c r="AD32" i="4"/>
  <c r="S33" i="4"/>
  <c r="E34" i="4"/>
  <c r="W34" i="4"/>
  <c r="I35" i="4"/>
  <c r="AA35" i="4"/>
  <c r="L36" i="4"/>
  <c r="AE36" i="4"/>
  <c r="P37" i="4"/>
  <c r="A38" i="4"/>
  <c r="S38" i="4"/>
  <c r="E39" i="4"/>
  <c r="W39" i="4"/>
  <c r="H40" i="4"/>
  <c r="AA40" i="4"/>
  <c r="L41" i="4"/>
  <c r="W41" i="4"/>
  <c r="C42" i="4"/>
  <c r="O42" i="4"/>
  <c r="AA42" i="4"/>
  <c r="F43" i="4"/>
  <c r="S43" i="4"/>
  <c r="AD43" i="4"/>
  <c r="J44" i="4"/>
  <c r="W44" i="4"/>
  <c r="A45" i="4"/>
  <c r="L45" i="4"/>
  <c r="W45" i="4"/>
  <c r="AG45" i="4"/>
  <c r="J46" i="4"/>
  <c r="S46" i="4"/>
  <c r="AB46" i="4"/>
  <c r="E47" i="4"/>
  <c r="N47" i="4"/>
  <c r="W47" i="4"/>
  <c r="AF47" i="4"/>
  <c r="H48" i="4"/>
  <c r="Q48" i="4"/>
  <c r="Z48" i="4"/>
  <c r="C49" i="4"/>
  <c r="L49" i="4"/>
  <c r="U49" i="4"/>
  <c r="AD49" i="4"/>
  <c r="F50" i="4"/>
  <c r="O50" i="4"/>
  <c r="X50" i="4"/>
  <c r="A51" i="4"/>
  <c r="J51" i="4"/>
  <c r="S51" i="4"/>
  <c r="AB51" i="4"/>
  <c r="D52" i="4"/>
  <c r="M52" i="4"/>
  <c r="V52" i="4"/>
  <c r="AF52" i="4"/>
  <c r="H53" i="4"/>
  <c r="Q53" i="4"/>
  <c r="Z53" i="4"/>
  <c r="B54" i="4"/>
  <c r="K54" i="4"/>
  <c r="T54" i="4"/>
  <c r="AD54" i="4"/>
  <c r="F55" i="4"/>
  <c r="O55" i="4"/>
  <c r="X55" i="4"/>
  <c r="AG55" i="4"/>
  <c r="I56" i="4"/>
  <c r="R56" i="4"/>
  <c r="AB56" i="4"/>
  <c r="D57" i="4"/>
  <c r="M57" i="4"/>
  <c r="A11" i="4"/>
  <c r="K18" i="4"/>
  <c r="AB19" i="4"/>
  <c r="E21" i="4"/>
  <c r="G22" i="4"/>
  <c r="F23" i="4"/>
  <c r="E24" i="4"/>
  <c r="D25" i="4"/>
  <c r="C26" i="4"/>
  <c r="B27" i="4"/>
  <c r="A28" i="4"/>
  <c r="AG28" i="4"/>
  <c r="AF29" i="4"/>
  <c r="AE30" i="4"/>
  <c r="V31" i="4"/>
  <c r="K32" i="4"/>
  <c r="AF32" i="4"/>
  <c r="T33" i="4"/>
  <c r="F34" i="4"/>
  <c r="Y34" i="4"/>
  <c r="J35" i="4"/>
  <c r="AB35" i="4"/>
  <c r="M36" i="4"/>
  <c r="AF36" i="4"/>
  <c r="Q37" i="4"/>
  <c r="B38" i="4"/>
  <c r="U38" i="4"/>
  <c r="F39" i="4"/>
  <c r="X39" i="4"/>
  <c r="I40" i="4"/>
  <c r="AB40" i="4"/>
  <c r="M41" i="4"/>
  <c r="Z41" i="4"/>
  <c r="D42" i="4"/>
  <c r="Q42" i="4"/>
  <c r="AC42" i="4"/>
  <c r="H43" i="4"/>
  <c r="T43" i="4"/>
  <c r="AG43" i="4"/>
  <c r="K44" i="4"/>
  <c r="X44" i="4"/>
  <c r="C45" i="4"/>
  <c r="M45" i="4"/>
  <c r="X45" i="4"/>
  <c r="B46" i="4"/>
  <c r="K46" i="4"/>
  <c r="T46" i="4"/>
  <c r="AD46" i="4"/>
  <c r="F47" i="4"/>
  <c r="O47" i="4"/>
  <c r="X47" i="4"/>
  <c r="AG47" i="4"/>
  <c r="I48" i="4"/>
  <c r="R48" i="4"/>
  <c r="AB48" i="4"/>
  <c r="D49" i="4"/>
  <c r="M49" i="4"/>
  <c r="V49" i="4"/>
  <c r="AE49" i="4"/>
  <c r="G50" i="4"/>
  <c r="P50" i="4"/>
  <c r="Z50" i="4"/>
  <c r="B51" i="4"/>
  <c r="K51" i="4"/>
  <c r="T51" i="4"/>
  <c r="AC51" i="4"/>
  <c r="E52" i="4"/>
  <c r="N52" i="4"/>
  <c r="X52" i="4"/>
  <c r="AG52" i="4"/>
  <c r="I53" i="4"/>
  <c r="R53" i="4"/>
  <c r="AA53" i="4"/>
  <c r="C54" i="4"/>
  <c r="L54" i="4"/>
  <c r="V54" i="4"/>
  <c r="AE54" i="4"/>
  <c r="G55" i="4"/>
  <c r="P55" i="4"/>
  <c r="Y55" i="4"/>
  <c r="A56" i="4"/>
  <c r="J56" i="4"/>
  <c r="T56" i="4"/>
  <c r="AC56" i="4"/>
  <c r="E57" i="4"/>
  <c r="N57" i="4"/>
  <c r="W57" i="4"/>
  <c r="AF57" i="4"/>
  <c r="H58" i="4"/>
  <c r="R58" i="4"/>
  <c r="AA58" i="4"/>
  <c r="C59" i="4"/>
  <c r="L59" i="4"/>
  <c r="U59" i="4"/>
  <c r="AD59" i="4"/>
  <c r="F60" i="4"/>
  <c r="P60" i="4"/>
  <c r="X60" i="4"/>
  <c r="AF60" i="4"/>
  <c r="G61" i="4"/>
  <c r="O61" i="4"/>
  <c r="W61" i="4"/>
  <c r="AE61" i="4"/>
  <c r="F62" i="4"/>
  <c r="N62" i="4"/>
  <c r="V62" i="4"/>
  <c r="AD62" i="4"/>
  <c r="V13" i="4"/>
  <c r="AG18" i="4"/>
  <c r="I20" i="4"/>
  <c r="S21" i="4"/>
  <c r="R22" i="4"/>
  <c r="Q23" i="4"/>
  <c r="P24" i="4"/>
  <c r="O25" i="4"/>
  <c r="N26" i="4"/>
  <c r="M27" i="4"/>
  <c r="L28" i="4"/>
  <c r="K29" i="4"/>
  <c r="J30" i="4"/>
  <c r="G31" i="4"/>
  <c r="AC31" i="4"/>
  <c r="Q32" i="4"/>
  <c r="E33" i="4"/>
  <c r="AA33" i="4"/>
  <c r="L34" i="4"/>
  <c r="AD34" i="4"/>
  <c r="P35" i="4"/>
  <c r="A36" i="4"/>
  <c r="S36" i="4"/>
  <c r="D37" i="4"/>
  <c r="W37" i="4"/>
  <c r="H38" i="4"/>
  <c r="Z38" i="4"/>
  <c r="L39" i="4"/>
  <c r="AD39" i="4"/>
  <c r="O40" i="4"/>
  <c r="AG40" i="4"/>
  <c r="P41" i="4"/>
  <c r="AB41" i="4"/>
  <c r="G42" i="4"/>
  <c r="T42" i="4"/>
  <c r="AE42" i="4"/>
  <c r="K43" i="4"/>
  <c r="X43" i="4"/>
  <c r="B44" i="4"/>
  <c r="O44" i="4"/>
  <c r="AA44" i="4"/>
  <c r="E45" i="4"/>
  <c r="P45" i="4"/>
  <c r="AA45" i="4"/>
  <c r="D46" i="4"/>
  <c r="N46" i="4"/>
  <c r="W46" i="4"/>
  <c r="AF46" i="4"/>
  <c r="H47" i="4"/>
  <c r="Q47" i="4"/>
  <c r="Z47" i="4"/>
  <c r="B48" i="4"/>
  <c r="L48" i="4"/>
  <c r="U48" i="4"/>
  <c r="AD48" i="4"/>
  <c r="F49" i="4"/>
  <c r="O49" i="4"/>
  <c r="X49" i="4"/>
  <c r="AG49" i="4"/>
  <c r="J50" i="4"/>
  <c r="S50" i="4"/>
  <c r="AB50" i="4"/>
  <c r="D51" i="4"/>
  <c r="M51" i="4"/>
  <c r="V51" i="4"/>
  <c r="AE51" i="4"/>
  <c r="H52" i="4"/>
  <c r="Q52" i="4"/>
  <c r="Z52" i="4"/>
  <c r="B53" i="4"/>
  <c r="K53" i="4"/>
  <c r="T53" i="4"/>
  <c r="AC53" i="4"/>
  <c r="F54" i="4"/>
  <c r="O54" i="4"/>
  <c r="X54" i="4"/>
  <c r="AG54" i="4"/>
  <c r="I55" i="4"/>
  <c r="R55" i="4"/>
  <c r="AA55" i="4"/>
  <c r="D56" i="4"/>
  <c r="M56" i="4"/>
  <c r="V56" i="4"/>
  <c r="AE56" i="4"/>
  <c r="G57" i="4"/>
  <c r="H4" i="4"/>
  <c r="G19" i="4"/>
  <c r="X21" i="4"/>
  <c r="V23" i="4"/>
  <c r="T25" i="4"/>
  <c r="R27" i="4"/>
  <c r="P29" i="4"/>
  <c r="L31" i="4"/>
  <c r="U32" i="4"/>
  <c r="AD33" i="4"/>
  <c r="A35" i="4"/>
  <c r="D36" i="4"/>
  <c r="H37" i="4"/>
  <c r="K38" i="4"/>
  <c r="O39" i="4"/>
  <c r="S40" i="4"/>
  <c r="S41" i="4"/>
  <c r="K42" i="4"/>
  <c r="B43" i="4"/>
  <c r="Z43" i="4"/>
  <c r="R44" i="4"/>
  <c r="H45" i="4"/>
  <c r="AC45" i="4"/>
  <c r="P46" i="4"/>
  <c r="A47" i="4"/>
  <c r="S47" i="4"/>
  <c r="E48" i="4"/>
  <c r="W48" i="4"/>
  <c r="H49" i="4"/>
  <c r="AA49" i="4"/>
  <c r="L50" i="4"/>
  <c r="AD50" i="4"/>
  <c r="O51" i="4"/>
  <c r="A52" i="4"/>
  <c r="S52" i="4"/>
  <c r="D53" i="4"/>
  <c r="W53" i="4"/>
  <c r="H54" i="4"/>
  <c r="Z54" i="4"/>
  <c r="K55" i="4"/>
  <c r="AD55" i="4"/>
  <c r="O56" i="4"/>
  <c r="AG56" i="4"/>
  <c r="P57" i="4"/>
  <c r="AC57" i="4"/>
  <c r="G58" i="4"/>
  <c r="T58" i="4"/>
  <c r="AF58" i="4"/>
  <c r="K59" i="4"/>
  <c r="W59" i="4"/>
  <c r="C60" i="4"/>
  <c r="N60" i="4"/>
  <c r="Z60" i="4"/>
  <c r="D61" i="4"/>
  <c r="N61" i="4"/>
  <c r="Y61" i="4"/>
  <c r="C62" i="4"/>
  <c r="M62" i="4"/>
  <c r="X62" i="4"/>
  <c r="B63" i="4"/>
  <c r="K63" i="4"/>
  <c r="T63" i="4"/>
  <c r="AC63" i="4"/>
  <c r="E64" i="4"/>
  <c r="N64" i="4"/>
  <c r="X64" i="4"/>
  <c r="AG64" i="4"/>
  <c r="I65" i="4"/>
  <c r="R65" i="4"/>
  <c r="AA65" i="4"/>
  <c r="C66" i="4"/>
  <c r="L66" i="4"/>
  <c r="V66" i="4"/>
  <c r="AE66" i="4"/>
  <c r="G67" i="4"/>
  <c r="P67" i="4"/>
  <c r="Y67" i="4"/>
  <c r="A68" i="4"/>
  <c r="J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G5" i="4"/>
  <c r="J19" i="4"/>
  <c r="AA21" i="4"/>
  <c r="Y23" i="4"/>
  <c r="W25" i="4"/>
  <c r="U27" i="4"/>
  <c r="S29" i="4"/>
  <c r="M31" i="4"/>
  <c r="V32" i="4"/>
  <c r="AE33" i="4"/>
  <c r="B35" i="4"/>
  <c r="E36" i="4"/>
  <c r="I37" i="4"/>
  <c r="M38" i="4"/>
  <c r="P39" i="4"/>
  <c r="T40" i="4"/>
  <c r="U41" i="4"/>
  <c r="L42" i="4"/>
  <c r="C43" i="4"/>
  <c r="AB43" i="4"/>
  <c r="S44" i="4"/>
  <c r="I45" i="4"/>
  <c r="AE45" i="4"/>
  <c r="Q46" i="4"/>
  <c r="B47" i="4"/>
  <c r="U47" i="4"/>
  <c r="F48" i="4"/>
  <c r="X48" i="4"/>
  <c r="I49" i="4"/>
  <c r="AB49" i="4"/>
  <c r="M50" i="4"/>
  <c r="AE50" i="4"/>
  <c r="Q51" i="4"/>
  <c r="B52" i="4"/>
  <c r="T52" i="4"/>
  <c r="E53" i="4"/>
  <c r="X53" i="4"/>
  <c r="I54" i="4"/>
  <c r="AA54" i="4"/>
  <c r="M55" i="4"/>
  <c r="AE55" i="4"/>
  <c r="P56" i="4"/>
  <c r="A57" i="4"/>
  <c r="S57" i="4"/>
  <c r="AD57" i="4"/>
  <c r="J58" i="4"/>
  <c r="V58" i="4"/>
  <c r="A59" i="4"/>
  <c r="M59" i="4"/>
  <c r="Z59" i="4"/>
  <c r="D60" i="4"/>
  <c r="Q60" i="4"/>
  <c r="AB60" i="4"/>
  <c r="E61" i="4"/>
  <c r="P61" i="4"/>
  <c r="AA61" i="4"/>
  <c r="D62" i="4"/>
  <c r="O62" i="4"/>
  <c r="Z62" i="4"/>
  <c r="C63" i="4"/>
  <c r="L63" i="4"/>
  <c r="U63" i="4"/>
  <c r="AD63" i="4"/>
  <c r="F64" i="4"/>
  <c r="P64" i="4"/>
  <c r="Y64" i="4"/>
  <c r="A65" i="4"/>
  <c r="J65" i="4"/>
  <c r="S65" i="4"/>
  <c r="AB65" i="4"/>
  <c r="D66" i="4"/>
  <c r="N66" i="4"/>
  <c r="W66" i="4"/>
  <c r="AF66" i="4"/>
  <c r="H67" i="4"/>
  <c r="Q67" i="4"/>
  <c r="Z67" i="4"/>
  <c r="B68" i="4"/>
  <c r="G16" i="4"/>
  <c r="P20" i="4"/>
  <c r="W22" i="4"/>
  <c r="U24" i="4"/>
  <c r="S26" i="4"/>
  <c r="Q28" i="4"/>
  <c r="O30" i="4"/>
  <c r="AG31" i="4"/>
  <c r="J33" i="4"/>
  <c r="O34" i="4"/>
  <c r="S35" i="4"/>
  <c r="W36" i="4"/>
  <c r="Z37" i="4"/>
  <c r="AD38" i="4"/>
  <c r="AG39" i="4"/>
  <c r="D41" i="4"/>
  <c r="AE41" i="4"/>
  <c r="V42" i="4"/>
  <c r="N43" i="4"/>
  <c r="E44" i="4"/>
  <c r="AC44" i="4"/>
  <c r="S45" i="4"/>
  <c r="G46" i="4"/>
  <c r="Y46" i="4"/>
  <c r="J47" i="4"/>
  <c r="AC47" i="4"/>
  <c r="N48" i="4"/>
  <c r="AF48" i="4"/>
  <c r="Q49" i="4"/>
  <c r="C50" i="4"/>
  <c r="U50" i="4"/>
  <c r="F51" i="4"/>
  <c r="Y51" i="4"/>
  <c r="J52" i="4"/>
  <c r="AB52" i="4"/>
  <c r="M53" i="4"/>
  <c r="AF53" i="4"/>
  <c r="Q54" i="4"/>
  <c r="B55" i="4"/>
  <c r="U55" i="4"/>
  <c r="F56" i="4"/>
  <c r="X56" i="4"/>
  <c r="I57" i="4"/>
  <c r="V57" i="4"/>
  <c r="B58" i="4"/>
  <c r="N58" i="4"/>
  <c r="Z58" i="4"/>
  <c r="E59" i="4"/>
  <c r="R59" i="4"/>
  <c r="AC59" i="4"/>
  <c r="I60" i="4"/>
  <c r="U60" i="4"/>
  <c r="AE60" i="4"/>
  <c r="I61" i="4"/>
  <c r="T61" i="4"/>
  <c r="AD61" i="4"/>
  <c r="H62" i="4"/>
  <c r="S62" i="4"/>
  <c r="AC62" i="4"/>
  <c r="F63" i="4"/>
  <c r="O63" i="4"/>
  <c r="Y63" i="4"/>
  <c r="A64" i="4"/>
  <c r="J64" i="4"/>
  <c r="S64" i="4"/>
  <c r="AB64" i="4"/>
  <c r="D65" i="4"/>
  <c r="M65" i="4"/>
  <c r="W65" i="4"/>
  <c r="AF65" i="4"/>
  <c r="H66" i="4"/>
  <c r="Q66" i="4"/>
  <c r="Z66" i="4"/>
  <c r="B67" i="4"/>
  <c r="K67" i="4"/>
  <c r="U67" i="4"/>
  <c r="AD67" i="4"/>
  <c r="F68" i="4"/>
  <c r="O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Z16" i="4"/>
  <c r="T20" i="4"/>
  <c r="Z22" i="4"/>
  <c r="X24" i="4"/>
  <c r="V26" i="4"/>
  <c r="T28" i="4"/>
  <c r="R30" i="4"/>
  <c r="A32" i="4"/>
  <c r="K33" i="4"/>
  <c r="Q34" i="4"/>
  <c r="T35" i="4"/>
  <c r="X36" i="4"/>
  <c r="AA37" i="4"/>
  <c r="AE38" i="4"/>
  <c r="A40" i="4"/>
  <c r="E41" i="4"/>
  <c r="AF41" i="4"/>
  <c r="Y42" i="4"/>
  <c r="P43" i="4"/>
  <c r="G44" i="4"/>
  <c r="AF44" i="4"/>
  <c r="T45" i="4"/>
  <c r="H46" i="4"/>
  <c r="Z46" i="4"/>
  <c r="K47" i="4"/>
  <c r="AD47" i="4"/>
  <c r="O48" i="4"/>
  <c r="AG48" i="4"/>
  <c r="S49" i="4"/>
  <c r="D50" i="4"/>
  <c r="V50" i="4"/>
  <c r="G51" i="4"/>
  <c r="Z51" i="4"/>
  <c r="K52" i="4"/>
  <c r="AC52" i="4"/>
  <c r="O53" i="4"/>
  <c r="AG53" i="4"/>
  <c r="R54" i="4"/>
  <c r="C55" i="4"/>
  <c r="V55" i="4"/>
  <c r="G56" i="4"/>
  <c r="Y56" i="4"/>
  <c r="K57" i="4"/>
  <c r="X57" i="4"/>
  <c r="D58" i="4"/>
  <c r="O58" i="4"/>
  <c r="AB58" i="4"/>
  <c r="G59" i="4"/>
  <c r="S59" i="4"/>
  <c r="AE59" i="4"/>
  <c r="K60" i="4"/>
  <c r="V60" i="4"/>
  <c r="AG60" i="4"/>
  <c r="K61" i="4"/>
  <c r="U61" i="4"/>
  <c r="AF61" i="4"/>
  <c r="J62" i="4"/>
  <c r="T62" i="4"/>
  <c r="AE62" i="4"/>
  <c r="G63" i="4"/>
  <c r="Q63" i="4"/>
  <c r="Z63" i="4"/>
  <c r="B64" i="4"/>
  <c r="K64" i="4"/>
  <c r="T64" i="4"/>
  <c r="AC64" i="4"/>
  <c r="E65" i="4"/>
  <c r="O65" i="4"/>
  <c r="X65" i="4"/>
  <c r="AG65" i="4"/>
  <c r="I66" i="4"/>
  <c r="R66" i="4"/>
  <c r="AA66" i="4"/>
  <c r="C67" i="4"/>
  <c r="M67" i="4"/>
  <c r="V67" i="4"/>
  <c r="AE67" i="4"/>
  <c r="G68" i="4"/>
  <c r="P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W17" i="4"/>
  <c r="AE20" i="4"/>
  <c r="A23" i="4"/>
  <c r="AF24" i="4"/>
  <c r="AD26" i="4"/>
  <c r="AB28" i="4"/>
  <c r="Z30" i="4"/>
  <c r="F32" i="4"/>
  <c r="P33" i="4"/>
  <c r="U34" i="4"/>
  <c r="Y35" i="4"/>
  <c r="AB36" i="4"/>
  <c r="AF37" i="4"/>
  <c r="B39" i="4"/>
  <c r="F40" i="4"/>
  <c r="J41" i="4"/>
  <c r="B42" i="4"/>
  <c r="Z42" i="4"/>
  <c r="Q43" i="4"/>
  <c r="I44" i="4"/>
  <c r="AG44" i="4"/>
  <c r="U45" i="4"/>
  <c r="I46" i="4"/>
  <c r="AA46" i="4"/>
  <c r="M47" i="4"/>
  <c r="AE47" i="4"/>
  <c r="P48" i="4"/>
  <c r="A49" i="4"/>
  <c r="T49" i="4"/>
  <c r="E50" i="4"/>
  <c r="W50" i="4"/>
  <c r="I51" i="4"/>
  <c r="AA51" i="4"/>
  <c r="L52" i="4"/>
  <c r="AD52" i="4"/>
  <c r="P53" i="4"/>
  <c r="A54" i="4"/>
  <c r="S54" i="4"/>
  <c r="E55" i="4"/>
  <c r="W55" i="4"/>
  <c r="H56" i="4"/>
  <c r="Z56" i="4"/>
  <c r="L57" i="4"/>
  <c r="Y57" i="4"/>
  <c r="E58" i="4"/>
  <c r="P58" i="4"/>
  <c r="AC58" i="4"/>
  <c r="I59" i="4"/>
  <c r="T59" i="4"/>
  <c r="AG59" i="4"/>
  <c r="L60" i="4"/>
  <c r="W60" i="4"/>
  <c r="A61" i="4"/>
  <c r="L61" i="4"/>
  <c r="V61" i="4"/>
  <c r="AG61" i="4"/>
  <c r="K62" i="4"/>
  <c r="U62" i="4"/>
  <c r="AF62" i="4"/>
  <c r="I63" i="4"/>
  <c r="R63" i="4"/>
  <c r="AA63" i="4"/>
  <c r="C64" i="4"/>
  <c r="L64" i="4"/>
  <c r="U64" i="4"/>
  <c r="AD64" i="4"/>
  <c r="G65" i="4"/>
  <c r="P65" i="4"/>
  <c r="Y65" i="4"/>
  <c r="A66" i="4"/>
  <c r="J66" i="4"/>
  <c r="S66" i="4"/>
  <c r="AB66" i="4"/>
  <c r="E67" i="4"/>
  <c r="N67" i="4"/>
  <c r="W67" i="4"/>
  <c r="AF67" i="4"/>
  <c r="H68" i="4"/>
  <c r="Q18" i="4"/>
  <c r="H21" i="4"/>
  <c r="I23" i="4"/>
  <c r="G25" i="4"/>
  <c r="E27" i="4"/>
  <c r="C29" i="4"/>
  <c r="A31" i="4"/>
  <c r="L32" i="4"/>
  <c r="U33" i="4"/>
  <c r="Z34" i="4"/>
  <c r="AC35" i="4"/>
  <c r="AG36" i="4"/>
  <c r="C38" i="4"/>
  <c r="G39" i="4"/>
  <c r="K40" i="4"/>
  <c r="N41" i="4"/>
  <c r="F42" i="4"/>
  <c r="AD42" i="4"/>
  <c r="U43" i="4"/>
  <c r="M44" i="4"/>
  <c r="D45" i="4"/>
  <c r="Y45" i="4"/>
  <c r="L46" i="4"/>
  <c r="AE46" i="4"/>
  <c r="P47" i="4"/>
  <c r="A48" i="4"/>
  <c r="T48" i="4"/>
  <c r="E49" i="4"/>
  <c r="W49" i="4"/>
  <c r="H50" i="4"/>
  <c r="AA50" i="4"/>
  <c r="L51" i="4"/>
  <c r="AD51" i="4"/>
  <c r="P52" i="4"/>
  <c r="A53" i="4"/>
  <c r="S53" i="4"/>
  <c r="D54" i="4"/>
  <c r="W54" i="4"/>
  <c r="H55" i="4"/>
  <c r="Z55" i="4"/>
  <c r="L56" i="4"/>
  <c r="AD56" i="4"/>
  <c r="O57" i="4"/>
  <c r="AB57" i="4"/>
  <c r="F58" i="4"/>
  <c r="S58" i="4"/>
  <c r="AE58" i="4"/>
  <c r="J59" i="4"/>
  <c r="V59" i="4"/>
  <c r="B60" i="4"/>
  <c r="M60" i="4"/>
  <c r="Y60" i="4"/>
  <c r="C61" i="4"/>
  <c r="M61" i="4"/>
  <c r="X61" i="4"/>
  <c r="B62" i="4"/>
  <c r="L62" i="4"/>
  <c r="W62" i="4"/>
  <c r="A63" i="4"/>
  <c r="J63" i="4"/>
  <c r="S63" i="4"/>
  <c r="AB63" i="4"/>
  <c r="D64" i="4"/>
  <c r="M64" i="4"/>
  <c r="V64" i="4"/>
  <c r="AF64" i="4"/>
  <c r="H65" i="4"/>
  <c r="Q65" i="4"/>
  <c r="Z65" i="4"/>
  <c r="B66" i="4"/>
  <c r="K66" i="4"/>
  <c r="T66" i="4"/>
  <c r="AD66" i="4"/>
  <c r="F67" i="4"/>
  <c r="O67" i="4"/>
  <c r="X67" i="4"/>
  <c r="AG67" i="4"/>
  <c r="I68" i="4"/>
  <c r="R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B77" i="4"/>
  <c r="J77" i="4"/>
  <c r="R77" i="4"/>
  <c r="Z77" i="4"/>
  <c r="A78" i="4"/>
  <c r="I78" i="4"/>
  <c r="Q78" i="4"/>
  <c r="Y78" i="4"/>
  <c r="AG78" i="4"/>
  <c r="H79" i="4"/>
  <c r="P79" i="4"/>
  <c r="X79" i="4"/>
  <c r="AF79" i="4"/>
  <c r="G80" i="4"/>
  <c r="O80" i="4"/>
  <c r="D8" i="4"/>
  <c r="AE25" i="4"/>
  <c r="AB32" i="4"/>
  <c r="N37" i="4"/>
  <c r="V41" i="4"/>
  <c r="T44" i="4"/>
  <c r="C47" i="4"/>
  <c r="K49" i="4"/>
  <c r="R51" i="4"/>
  <c r="Y53" i="4"/>
  <c r="AF55" i="4"/>
  <c r="AE57" i="4"/>
  <c r="N59" i="4"/>
  <c r="AC60" i="4"/>
  <c r="E62" i="4"/>
  <c r="M63" i="4"/>
  <c r="Q64" i="4"/>
  <c r="T65" i="4"/>
  <c r="X66" i="4"/>
  <c r="AA67" i="4"/>
  <c r="U68" i="4"/>
  <c r="D69" i="4"/>
  <c r="T69" i="4"/>
  <c r="C70" i="4"/>
  <c r="S70" i="4"/>
  <c r="B71" i="4"/>
  <c r="R71" i="4"/>
  <c r="A72" i="4"/>
  <c r="Q72" i="4"/>
  <c r="AG72" i="4"/>
  <c r="P73" i="4"/>
  <c r="AF73" i="4"/>
  <c r="O74" i="4"/>
  <c r="AE74" i="4"/>
  <c r="N75" i="4"/>
  <c r="AD75" i="4"/>
  <c r="M76" i="4"/>
  <c r="AC76" i="4"/>
  <c r="L77" i="4"/>
  <c r="AB77" i="4"/>
  <c r="K78" i="4"/>
  <c r="AA78" i="4"/>
  <c r="J79" i="4"/>
  <c r="Z79" i="4"/>
  <c r="I80" i="4"/>
  <c r="V80" i="4"/>
  <c r="AG80" i="4"/>
  <c r="J81" i="4"/>
  <c r="U81" i="4"/>
  <c r="AF81" i="4"/>
  <c r="I82" i="4"/>
  <c r="T82" i="4"/>
  <c r="AE82" i="4"/>
  <c r="H83" i="4"/>
  <c r="S83" i="4"/>
  <c r="AD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B22" i="4"/>
  <c r="AA29" i="4"/>
  <c r="F35" i="4"/>
  <c r="U39" i="4"/>
  <c r="E43" i="4"/>
  <c r="AF45" i="4"/>
  <c r="G48" i="4"/>
  <c r="N50" i="4"/>
  <c r="U52" i="4"/>
  <c r="AB54" i="4"/>
  <c r="C57" i="4"/>
  <c r="W58" i="4"/>
  <c r="E60" i="4"/>
  <c r="Q61" i="4"/>
  <c r="AA62" i="4"/>
  <c r="AE63" i="4"/>
  <c r="B65" i="4"/>
  <c r="F66" i="4"/>
  <c r="I67" i="4"/>
  <c r="L68" i="4"/>
  <c r="AC68" i="4"/>
  <c r="L69" i="4"/>
  <c r="AB69" i="4"/>
  <c r="K70" i="4"/>
  <c r="AA70" i="4"/>
  <c r="J71" i="4"/>
  <c r="Z71" i="4"/>
  <c r="I72" i="4"/>
  <c r="Y72" i="4"/>
  <c r="H73" i="4"/>
  <c r="X73" i="4"/>
  <c r="G74" i="4"/>
  <c r="W74" i="4"/>
  <c r="F75" i="4"/>
  <c r="V75" i="4"/>
  <c r="E76" i="4"/>
  <c r="U76" i="4"/>
  <c r="D77" i="4"/>
  <c r="T77" i="4"/>
  <c r="C78" i="4"/>
  <c r="S78" i="4"/>
  <c r="B79" i="4"/>
  <c r="R79" i="4"/>
  <c r="A80" i="4"/>
  <c r="Q80" i="4"/>
  <c r="AA80" i="4"/>
  <c r="E81" i="4"/>
  <c r="P81" i="4"/>
  <c r="Z81" i="4"/>
  <c r="D82" i="4"/>
  <c r="O82" i="4"/>
  <c r="Y82" i="4"/>
  <c r="C83" i="4"/>
  <c r="N83" i="4"/>
  <c r="X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J22" i="4"/>
  <c r="B30" i="4"/>
  <c r="K35" i="4"/>
  <c r="Y39" i="4"/>
  <c r="J43" i="4"/>
  <c r="C46" i="4"/>
  <c r="J48" i="4"/>
  <c r="R50" i="4"/>
  <c r="Y52" i="4"/>
  <c r="AF54" i="4"/>
  <c r="F57" i="4"/>
  <c r="X58" i="4"/>
  <c r="H60" i="4"/>
  <c r="S61" i="4"/>
  <c r="AB62" i="4"/>
  <c r="AG63" i="4"/>
  <c r="C65" i="4"/>
  <c r="G66" i="4"/>
  <c r="J67" i="4"/>
  <c r="M68" i="4"/>
  <c r="AD68" i="4"/>
  <c r="M69" i="4"/>
  <c r="AC69" i="4"/>
  <c r="L70" i="4"/>
  <c r="AB70" i="4"/>
  <c r="K71" i="4"/>
  <c r="AA71" i="4"/>
  <c r="J72" i="4"/>
  <c r="Z72" i="4"/>
  <c r="I73" i="4"/>
  <c r="Y73" i="4"/>
  <c r="H74" i="4"/>
  <c r="X74" i="4"/>
  <c r="G75" i="4"/>
  <c r="W75" i="4"/>
  <c r="F76" i="4"/>
  <c r="V76" i="4"/>
  <c r="E77" i="4"/>
  <c r="U77" i="4"/>
  <c r="D78" i="4"/>
  <c r="T78" i="4"/>
  <c r="C79" i="4"/>
  <c r="S79" i="4"/>
  <c r="B80" i="4"/>
  <c r="R80" i="4"/>
  <c r="AB80" i="4"/>
  <c r="F81" i="4"/>
  <c r="Q81" i="4"/>
  <c r="AA81" i="4"/>
  <c r="E82" i="4"/>
  <c r="P82" i="4"/>
  <c r="Z82" i="4"/>
  <c r="D83" i="4"/>
  <c r="O83" i="4"/>
  <c r="Y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R88" i="4"/>
  <c r="AA88" i="4"/>
  <c r="C89" i="4"/>
  <c r="L89" i="4"/>
  <c r="U89" i="4"/>
  <c r="AD89" i="4"/>
  <c r="G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H24" i="4"/>
  <c r="W31" i="4"/>
  <c r="O36" i="4"/>
  <c r="AC40" i="4"/>
  <c r="A44" i="4"/>
  <c r="V46" i="4"/>
  <c r="AC48" i="4"/>
  <c r="C51" i="4"/>
  <c r="J53" i="4"/>
  <c r="Q55" i="4"/>
  <c r="U57" i="4"/>
  <c r="D59" i="4"/>
  <c r="T60" i="4"/>
  <c r="AC61" i="4"/>
  <c r="E63" i="4"/>
  <c r="I64" i="4"/>
  <c r="L65" i="4"/>
  <c r="P66" i="4"/>
  <c r="S67" i="4"/>
  <c r="Q68" i="4"/>
  <c r="A69" i="4"/>
  <c r="Q69" i="4"/>
  <c r="AG69" i="4"/>
  <c r="P70" i="4"/>
  <c r="AF70" i="4"/>
  <c r="O71" i="4"/>
  <c r="AE71" i="4"/>
  <c r="N72" i="4"/>
  <c r="AD72" i="4"/>
  <c r="M73" i="4"/>
  <c r="AC73" i="4"/>
  <c r="L74" i="4"/>
  <c r="AB74" i="4"/>
  <c r="K75" i="4"/>
  <c r="AA75" i="4"/>
  <c r="J76" i="4"/>
  <c r="Z76" i="4"/>
  <c r="I77" i="4"/>
  <c r="Y77" i="4"/>
  <c r="H78" i="4"/>
  <c r="X78" i="4"/>
  <c r="G79" i="4"/>
  <c r="W79" i="4"/>
  <c r="F80" i="4"/>
  <c r="T80" i="4"/>
  <c r="AE80" i="4"/>
  <c r="I81" i="4"/>
  <c r="S81" i="4"/>
  <c r="AD81" i="4"/>
  <c r="H82" i="4"/>
  <c r="R82" i="4"/>
  <c r="AC82" i="4"/>
  <c r="G83" i="4"/>
  <c r="Q83" i="4"/>
  <c r="AB83" i="4"/>
  <c r="F84" i="4"/>
  <c r="O84" i="4"/>
  <c r="X84" i="4"/>
  <c r="AG84" i="4"/>
  <c r="I85" i="4"/>
  <c r="R85" i="4"/>
  <c r="AB85" i="4"/>
  <c r="D86" i="4"/>
  <c r="M86" i="4"/>
  <c r="V86" i="4"/>
  <c r="AE86" i="4"/>
  <c r="G87" i="4"/>
  <c r="P87" i="4"/>
  <c r="Z87" i="4"/>
  <c r="B88" i="4"/>
  <c r="K88" i="4"/>
  <c r="T88" i="4"/>
  <c r="AC88" i="4"/>
  <c r="E89" i="4"/>
  <c r="N89" i="4"/>
  <c r="X89" i="4"/>
  <c r="AG89" i="4"/>
  <c r="I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X11" i="4"/>
  <c r="AG32" i="4"/>
  <c r="AA41" i="4"/>
  <c r="G47" i="4"/>
  <c r="U51" i="4"/>
  <c r="B56" i="4"/>
  <c r="Q59" i="4"/>
  <c r="G62" i="4"/>
  <c r="R64" i="4"/>
  <c r="Y66" i="4"/>
  <c r="V68" i="4"/>
  <c r="U69" i="4"/>
  <c r="T70" i="4"/>
  <c r="S71" i="4"/>
  <c r="R72" i="4"/>
  <c r="Q73" i="4"/>
  <c r="P74" i="4"/>
  <c r="O75" i="4"/>
  <c r="N76" i="4"/>
  <c r="M77" i="4"/>
  <c r="L78" i="4"/>
  <c r="K79" i="4"/>
  <c r="J80" i="4"/>
  <c r="A81" i="4"/>
  <c r="V81" i="4"/>
  <c r="J82" i="4"/>
  <c r="AF82" i="4"/>
  <c r="T83" i="4"/>
  <c r="H84" i="4"/>
  <c r="Z84" i="4"/>
  <c r="L85" i="4"/>
  <c r="AD85" i="4"/>
  <c r="O86" i="4"/>
  <c r="AG86" i="4"/>
  <c r="S87" i="4"/>
  <c r="D88" i="4"/>
  <c r="V88" i="4"/>
  <c r="H89" i="4"/>
  <c r="Z89" i="4"/>
  <c r="K90" i="4"/>
  <c r="AB90" i="4"/>
  <c r="K91" i="4"/>
  <c r="AA91" i="4"/>
  <c r="J92" i="4"/>
  <c r="Z92" i="4"/>
  <c r="I93" i="4"/>
  <c r="Y93" i="4"/>
  <c r="H94" i="4"/>
  <c r="X94" i="4"/>
  <c r="G95" i="4"/>
  <c r="W95" i="4"/>
  <c r="F96" i="4"/>
  <c r="V96" i="4"/>
  <c r="E97" i="4"/>
  <c r="U97" i="4"/>
  <c r="D98" i="4"/>
  <c r="T98" i="4"/>
  <c r="C99" i="4"/>
  <c r="S99" i="4"/>
  <c r="B100" i="4"/>
  <c r="R100" i="4"/>
  <c r="A101" i="4"/>
  <c r="Q101" i="4"/>
  <c r="AG101" i="4"/>
  <c r="P102" i="4"/>
  <c r="AF102" i="4"/>
  <c r="O103" i="4"/>
  <c r="AE103" i="4"/>
  <c r="N104" i="4"/>
  <c r="AD104" i="4"/>
  <c r="M105" i="4"/>
  <c r="AC105" i="4"/>
  <c r="L106" i="4"/>
  <c r="AB106" i="4"/>
  <c r="K107" i="4"/>
  <c r="AA107" i="4"/>
  <c r="J108" i="4"/>
  <c r="Z108" i="4"/>
  <c r="D109" i="4"/>
  <c r="O109" i="4"/>
  <c r="Z109" i="4"/>
  <c r="C110" i="4"/>
  <c r="N110" i="4"/>
  <c r="Y110" i="4"/>
  <c r="B111" i="4"/>
  <c r="M111" i="4"/>
  <c r="AF19" i="4"/>
  <c r="G34" i="4"/>
  <c r="R42" i="4"/>
  <c r="Y47" i="4"/>
  <c r="F52" i="4"/>
  <c r="U56" i="4"/>
  <c r="AB59" i="4"/>
  <c r="R62" i="4"/>
  <c r="AA64" i="4"/>
  <c r="A67" i="4"/>
  <c r="Z68" i="4"/>
  <c r="Y69" i="4"/>
  <c r="X70" i="4"/>
  <c r="W71" i="4"/>
  <c r="V72" i="4"/>
  <c r="U73" i="4"/>
  <c r="T74" i="4"/>
  <c r="S75" i="4"/>
  <c r="R76" i="4"/>
  <c r="Q77" i="4"/>
  <c r="P78" i="4"/>
  <c r="O79" i="4"/>
  <c r="N80" i="4"/>
  <c r="C81" i="4"/>
  <c r="Y81" i="4"/>
  <c r="M82" i="4"/>
  <c r="A83" i="4"/>
  <c r="W83" i="4"/>
  <c r="J84" i="4"/>
  <c r="AC84" i="4"/>
  <c r="N85" i="4"/>
  <c r="AF85" i="4"/>
  <c r="Q86" i="4"/>
  <c r="C87" i="4"/>
  <c r="U87" i="4"/>
  <c r="F88" i="4"/>
  <c r="Y88" i="4"/>
  <c r="J89" i="4"/>
  <c r="AB89" i="4"/>
  <c r="M90" i="4"/>
  <c r="AD90" i="4"/>
  <c r="M91" i="4"/>
  <c r="AC91" i="4"/>
  <c r="L92" i="4"/>
  <c r="AB92" i="4"/>
  <c r="K93" i="4"/>
  <c r="AA93" i="4"/>
  <c r="J94" i="4"/>
  <c r="Z94" i="4"/>
  <c r="I95" i="4"/>
  <c r="Y95" i="4"/>
  <c r="H96" i="4"/>
  <c r="X96" i="4"/>
  <c r="G97" i="4"/>
  <c r="W97" i="4"/>
  <c r="F98" i="4"/>
  <c r="V98" i="4"/>
  <c r="E99" i="4"/>
  <c r="U99" i="4"/>
  <c r="D100" i="4"/>
  <c r="T100" i="4"/>
  <c r="C101" i="4"/>
  <c r="S101" i="4"/>
  <c r="B102" i="4"/>
  <c r="R102" i="4"/>
  <c r="A103" i="4"/>
  <c r="Q103" i="4"/>
  <c r="AG103" i="4"/>
  <c r="P104" i="4"/>
  <c r="AF104" i="4"/>
  <c r="O105" i="4"/>
  <c r="AE105" i="4"/>
  <c r="N106" i="4"/>
  <c r="AD106" i="4"/>
  <c r="M107" i="4"/>
  <c r="AC107" i="4"/>
  <c r="L108" i="4"/>
  <c r="AB108" i="4"/>
  <c r="G109" i="4"/>
  <c r="R109" i="4"/>
  <c r="AB109" i="4"/>
  <c r="F110" i="4"/>
  <c r="Q110" i="4"/>
  <c r="AA110" i="4"/>
  <c r="E111" i="4"/>
  <c r="F26" i="4"/>
  <c r="R37" i="4"/>
  <c r="Y44" i="4"/>
  <c r="N49" i="4"/>
  <c r="AB53" i="4"/>
  <c r="AG57" i="4"/>
  <c r="AD60" i="4"/>
  <c r="N63" i="4"/>
  <c r="U65" i="4"/>
  <c r="AC67" i="4"/>
  <c r="E69" i="4"/>
  <c r="D70" i="4"/>
  <c r="C71" i="4"/>
  <c r="B72" i="4"/>
  <c r="A73" i="4"/>
  <c r="AG73" i="4"/>
  <c r="AF74" i="4"/>
  <c r="AE75" i="4"/>
  <c r="AD76" i="4"/>
  <c r="AC77" i="4"/>
  <c r="AB78" i="4"/>
  <c r="AA79" i="4"/>
  <c r="W80" i="4"/>
  <c r="K81" i="4"/>
  <c r="AG81" i="4"/>
  <c r="U82" i="4"/>
  <c r="I83" i="4"/>
  <c r="AE83" i="4"/>
  <c r="Q84" i="4"/>
  <c r="B85" i="4"/>
  <c r="U85" i="4"/>
  <c r="F86" i="4"/>
  <c r="X86" i="4"/>
  <c r="J87" i="4"/>
  <c r="AC27" i="4"/>
  <c r="Q38" i="4"/>
  <c r="K45" i="4"/>
  <c r="AC49" i="4"/>
  <c r="J54" i="4"/>
  <c r="K58" i="4"/>
  <c r="F61" i="4"/>
  <c r="V63" i="4"/>
  <c r="AC65" i="4"/>
  <c r="D68" i="4"/>
  <c r="F69" i="4"/>
  <c r="E70" i="4"/>
  <c r="D71" i="4"/>
  <c r="C72" i="4"/>
  <c r="B73" i="4"/>
  <c r="A74" i="4"/>
  <c r="AG74" i="4"/>
  <c r="AF75" i="4"/>
  <c r="AE76" i="4"/>
  <c r="AD77" i="4"/>
  <c r="AC78" i="4"/>
  <c r="AB79" i="4"/>
  <c r="Y80" i="4"/>
  <c r="M81" i="4"/>
  <c r="A82" i="4"/>
  <c r="W82" i="4"/>
  <c r="K83" i="4"/>
  <c r="AF83" i="4"/>
  <c r="R84" i="4"/>
  <c r="D85" i="4"/>
  <c r="V85" i="4"/>
  <c r="G86" i="4"/>
  <c r="Y86" i="4"/>
  <c r="K87" i="4"/>
  <c r="R31" i="4"/>
  <c r="X40" i="4"/>
  <c r="R46" i="4"/>
  <c r="AF50" i="4"/>
  <c r="N55" i="4"/>
  <c r="B59" i="4"/>
  <c r="AB61" i="4"/>
  <c r="H64" i="4"/>
  <c r="O66" i="4"/>
  <c r="N68" i="4"/>
  <c r="N69" i="4"/>
  <c r="M70" i="4"/>
  <c r="L71" i="4"/>
  <c r="K72" i="4"/>
  <c r="J73" i="4"/>
  <c r="I74" i="4"/>
  <c r="H75" i="4"/>
  <c r="G76" i="4"/>
  <c r="F77" i="4"/>
  <c r="E78" i="4"/>
  <c r="D79" i="4"/>
  <c r="C80" i="4"/>
  <c r="AD80" i="4"/>
  <c r="R81" i="4"/>
  <c r="G82" i="4"/>
  <c r="AB82" i="4"/>
  <c r="P83" i="4"/>
  <c r="E84" i="4"/>
  <c r="W84" i="4"/>
  <c r="H85" i="4"/>
  <c r="Z85" i="4"/>
  <c r="AG23" i="4"/>
  <c r="V47" i="4"/>
  <c r="M58" i="4"/>
  <c r="K65" i="4"/>
  <c r="V69" i="4"/>
  <c r="F72" i="4"/>
  <c r="Y74" i="4"/>
  <c r="N77" i="4"/>
  <c r="AE79" i="4"/>
  <c r="AC81" i="4"/>
  <c r="V83" i="4"/>
  <c r="E85" i="4"/>
  <c r="P86" i="4"/>
  <c r="T87" i="4"/>
  <c r="M88" i="4"/>
  <c r="A89" i="4"/>
  <c r="AA89" i="4"/>
  <c r="T90" i="4"/>
  <c r="E91" i="4"/>
  <c r="AB91" i="4"/>
  <c r="R92" i="4"/>
  <c r="C93" i="4"/>
  <c r="Z93" i="4"/>
  <c r="P94" i="4"/>
  <c r="A95" i="4"/>
  <c r="X95" i="4"/>
  <c r="N96" i="4"/>
  <c r="AF96" i="4"/>
  <c r="V97" i="4"/>
  <c r="L98" i="4"/>
  <c r="AD98" i="4"/>
  <c r="T99" i="4"/>
  <c r="J100" i="4"/>
  <c r="AB100" i="4"/>
  <c r="R101" i="4"/>
  <c r="H102" i="4"/>
  <c r="Z102" i="4"/>
  <c r="P103" i="4"/>
  <c r="F104" i="4"/>
  <c r="X104" i="4"/>
  <c r="N105" i="4"/>
  <c r="D106" i="4"/>
  <c r="V106" i="4"/>
  <c r="L107" i="4"/>
  <c r="B108" i="4"/>
  <c r="T108" i="4"/>
  <c r="F109" i="4"/>
  <c r="T109" i="4"/>
  <c r="A110" i="4"/>
  <c r="P110" i="4"/>
  <c r="AD110" i="4"/>
  <c r="J111" i="4"/>
  <c r="W111" i="4"/>
  <c r="AG111" i="4"/>
  <c r="K112" i="4"/>
  <c r="V112" i="4"/>
  <c r="AE112" i="4"/>
  <c r="G113" i="4"/>
  <c r="P113" i="4"/>
  <c r="Y113" i="4"/>
  <c r="A114" i="4"/>
  <c r="J114" i="4"/>
  <c r="T114" i="4"/>
  <c r="AC114" i="4"/>
  <c r="E115" i="4"/>
  <c r="N115" i="4"/>
  <c r="W115" i="4"/>
  <c r="AF115" i="4"/>
  <c r="H116" i="4"/>
  <c r="R116" i="4"/>
  <c r="AA116" i="4"/>
  <c r="C117" i="4"/>
  <c r="L117" i="4"/>
  <c r="U117" i="4"/>
  <c r="AD117" i="4"/>
  <c r="F118" i="4"/>
  <c r="O118" i="4"/>
  <c r="W118" i="4"/>
  <c r="AE118" i="4"/>
  <c r="F119" i="4"/>
  <c r="N119" i="4"/>
  <c r="V119" i="4"/>
  <c r="AD119" i="4"/>
  <c r="E120" i="4"/>
  <c r="M120" i="4"/>
  <c r="D28" i="4"/>
  <c r="Y48" i="4"/>
  <c r="AA59" i="4"/>
  <c r="AE65" i="4"/>
  <c r="AD69" i="4"/>
  <c r="S72" i="4"/>
  <c r="C75" i="4"/>
  <c r="V77" i="4"/>
  <c r="K80" i="4"/>
  <c r="B82" i="4"/>
  <c r="AA83" i="4"/>
  <c r="M85" i="4"/>
  <c r="U86" i="4"/>
  <c r="X87" i="4"/>
  <c r="N88" i="4"/>
  <c r="D89" i="4"/>
  <c r="AF89" i="4"/>
  <c r="U90" i="4"/>
  <c r="H91" i="4"/>
  <c r="AF91" i="4"/>
  <c r="S92" i="4"/>
  <c r="F93" i="4"/>
  <c r="AD93" i="4"/>
  <c r="Q94" i="4"/>
  <c r="D95" i="4"/>
  <c r="AB95" i="4"/>
  <c r="O96" i="4"/>
  <c r="B97" i="4"/>
  <c r="Z97" i="4"/>
  <c r="M98" i="4"/>
  <c r="AG98" i="4"/>
  <c r="X99" i="4"/>
  <c r="K100" i="4"/>
  <c r="AE100" i="4"/>
  <c r="V101" i="4"/>
  <c r="I102" i="4"/>
  <c r="AC102" i="4"/>
  <c r="T103" i="4"/>
  <c r="G104" i="4"/>
  <c r="AA104" i="4"/>
  <c r="R105" i="4"/>
  <c r="E106" i="4"/>
  <c r="Y106" i="4"/>
  <c r="P107" i="4"/>
  <c r="C108" i="4"/>
  <c r="W108" i="4"/>
  <c r="I109" i="4"/>
  <c r="V109" i="4"/>
  <c r="B110" i="4"/>
  <c r="R110" i="4"/>
  <c r="AF110" i="4"/>
  <c r="L111" i="4"/>
  <c r="X111" i="4"/>
  <c r="A112" i="4"/>
  <c r="L112" i="4"/>
  <c r="W112" i="4"/>
  <c r="AF112" i="4"/>
  <c r="H113" i="4"/>
  <c r="Q113" i="4"/>
  <c r="Z113" i="4"/>
  <c r="J36" i="4"/>
  <c r="C52" i="4"/>
  <c r="H61" i="4"/>
  <c r="R67" i="4"/>
  <c r="U70" i="4"/>
  <c r="E73" i="4"/>
  <c r="X75" i="4"/>
  <c r="M78" i="4"/>
  <c r="Z80" i="4"/>
  <c r="Q82" i="4"/>
  <c r="I84" i="4"/>
  <c r="W85" i="4"/>
  <c r="AD86" i="4"/>
  <c r="AC87" i="4"/>
  <c r="S88" i="4"/>
  <c r="M89" i="4"/>
  <c r="C90" i="4"/>
  <c r="Y90" i="4"/>
  <c r="P91" i="4"/>
  <c r="C92" i="4"/>
  <c r="W92" i="4"/>
  <c r="V38" i="4"/>
  <c r="G53" i="4"/>
  <c r="P62" i="4"/>
  <c r="E68" i="4"/>
  <c r="AC70" i="4"/>
  <c r="R73" i="4"/>
  <c r="B76" i="4"/>
  <c r="U78" i="4"/>
  <c r="B81" i="4"/>
  <c r="X82" i="4"/>
  <c r="N84" i="4"/>
  <c r="AE85" i="4"/>
  <c r="B87" i="4"/>
  <c r="AD87" i="4"/>
  <c r="W88" i="4"/>
  <c r="Q89" i="4"/>
  <c r="D90" i="4"/>
  <c r="AC90" i="4"/>
  <c r="S91" i="4"/>
  <c r="D92" i="4"/>
  <c r="AA92" i="4"/>
  <c r="Q93" i="4"/>
  <c r="B94" i="4"/>
  <c r="Y94" i="4"/>
  <c r="O95" i="4"/>
  <c r="AG95" i="4"/>
  <c r="W96" i="4"/>
  <c r="M97" i="4"/>
  <c r="AE97" i="4"/>
  <c r="U98" i="4"/>
  <c r="K99" i="4"/>
  <c r="AC99" i="4"/>
  <c r="S100" i="4"/>
  <c r="I101" i="4"/>
  <c r="AA101" i="4"/>
  <c r="Q102" i="4"/>
  <c r="G103" i="4"/>
  <c r="Y103" i="4"/>
  <c r="O104" i="4"/>
  <c r="E105" i="4"/>
  <c r="W105" i="4"/>
  <c r="M106" i="4"/>
  <c r="C107" i="4"/>
  <c r="U107" i="4"/>
  <c r="K108" i="4"/>
  <c r="AF108" i="4"/>
  <c r="L109" i="4"/>
  <c r="AA109" i="4"/>
  <c r="I110" i="4"/>
  <c r="V110" i="4"/>
  <c r="U19" i="4"/>
  <c r="T57" i="4"/>
  <c r="I69" i="4"/>
  <c r="Q74" i="4"/>
  <c r="T79" i="4"/>
  <c r="L83" i="4"/>
  <c r="L86" i="4"/>
  <c r="J88" i="4"/>
  <c r="V89" i="4"/>
  <c r="D91" i="4"/>
  <c r="O92" i="4"/>
  <c r="S93" i="4"/>
  <c r="U94" i="4"/>
  <c r="T95" i="4"/>
  <c r="AA96" i="4"/>
  <c r="AC97" i="4"/>
  <c r="AB98" i="4"/>
  <c r="AB99" i="4"/>
  <c r="AA100" i="4"/>
  <c r="AD101" i="4"/>
  <c r="AG102" i="4"/>
  <c r="AF103" i="4"/>
  <c r="B105" i="4"/>
  <c r="A106" i="4"/>
  <c r="D107" i="4"/>
  <c r="D108" i="4"/>
  <c r="B109" i="4"/>
  <c r="Y109" i="4"/>
  <c r="M110" i="4"/>
  <c r="D111" i="4"/>
  <c r="T111" i="4"/>
  <c r="C112" i="4"/>
  <c r="P112" i="4"/>
  <c r="AB112" i="4"/>
  <c r="I113" i="4"/>
  <c r="U113" i="4"/>
  <c r="AF113" i="4"/>
  <c r="I114" i="4"/>
  <c r="U114" i="4"/>
  <c r="AE114" i="4"/>
  <c r="H115" i="4"/>
  <c r="S115" i="4"/>
  <c r="AC115" i="4"/>
  <c r="F116" i="4"/>
  <c r="P116" i="4"/>
  <c r="AB116" i="4"/>
  <c r="E117" i="4"/>
  <c r="O117" i="4"/>
  <c r="Z117" i="4"/>
  <c r="C118" i="4"/>
  <c r="M118" i="4"/>
  <c r="V118" i="4"/>
  <c r="AF118" i="4"/>
  <c r="H119" i="4"/>
  <c r="Q119" i="4"/>
  <c r="Z119" i="4"/>
  <c r="B120" i="4"/>
  <c r="K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C34" i="4"/>
  <c r="R60" i="4"/>
  <c r="H70" i="4"/>
  <c r="P75" i="4"/>
  <c r="S80" i="4"/>
  <c r="AG83" i="4"/>
  <c r="AA86" i="4"/>
  <c r="O88" i="4"/>
  <c r="B90" i="4"/>
  <c r="L91" i="4"/>
  <c r="T92" i="4"/>
  <c r="V93" i="4"/>
  <c r="AC94" i="4"/>
  <c r="AE95" i="4"/>
  <c r="AD96" i="4"/>
  <c r="AD97" i="4"/>
  <c r="AC98" i="4"/>
  <c r="AF99" i="4"/>
  <c r="B101" i="4"/>
  <c r="A102" i="4"/>
  <c r="D103" i="4"/>
  <c r="C104" i="4"/>
  <c r="F105" i="4"/>
  <c r="F106" i="4"/>
  <c r="E107" i="4"/>
  <c r="G108" i="4"/>
  <c r="C109" i="4"/>
  <c r="AD109" i="4"/>
  <c r="S110" i="4"/>
  <c r="G111" i="4"/>
  <c r="U111" i="4"/>
  <c r="D112" i="4"/>
  <c r="Q112" i="4"/>
  <c r="AD112" i="4"/>
  <c r="J113" i="4"/>
  <c r="V113" i="4"/>
  <c r="AG113" i="4"/>
  <c r="L114" i="4"/>
  <c r="V114" i="4"/>
  <c r="AF114" i="4"/>
  <c r="I115" i="4"/>
  <c r="T115" i="4"/>
  <c r="AD115" i="4"/>
  <c r="G116" i="4"/>
  <c r="S116" i="4"/>
  <c r="AC116" i="4"/>
  <c r="F117" i="4"/>
  <c r="Q117" i="4"/>
  <c r="AA117" i="4"/>
  <c r="D118" i="4"/>
  <c r="N118" i="4"/>
  <c r="X118" i="4"/>
  <c r="AG118" i="4"/>
  <c r="I119" i="4"/>
  <c r="R119" i="4"/>
  <c r="AA119" i="4"/>
  <c r="C120" i="4"/>
  <c r="L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M42" i="4"/>
  <c r="D63" i="4"/>
  <c r="G71" i="4"/>
  <c r="O76" i="4"/>
  <c r="H81" i="4"/>
  <c r="S84" i="4"/>
  <c r="F87" i="4"/>
  <c r="AB88" i="4"/>
  <c r="H90" i="4"/>
  <c r="T91" i="4"/>
  <c r="AE92" i="4"/>
  <c r="AG93" i="4"/>
  <c r="AF94" i="4"/>
  <c r="AF95" i="4"/>
  <c r="AE96" i="4"/>
  <c r="A98" i="4"/>
  <c r="D99" i="4"/>
  <c r="C100" i="4"/>
  <c r="F101" i="4"/>
  <c r="E102" i="4"/>
  <c r="H103" i="4"/>
  <c r="H104" i="4"/>
  <c r="G105" i="4"/>
  <c r="I106" i="4"/>
  <c r="H107" i="4"/>
  <c r="O108" i="4"/>
  <c r="J109" i="4"/>
  <c r="AE109" i="4"/>
  <c r="U110" i="4"/>
  <c r="H111" i="4"/>
  <c r="Y111" i="4"/>
  <c r="F112" i="4"/>
  <c r="S112" i="4"/>
  <c r="AG112" i="4"/>
  <c r="K113" i="4"/>
  <c r="W113" i="4"/>
  <c r="B114" i="4"/>
  <c r="M114" i="4"/>
  <c r="W114" i="4"/>
  <c r="AG114" i="4"/>
  <c r="K115" i="4"/>
  <c r="U115" i="4"/>
  <c r="AE115" i="4"/>
  <c r="J116" i="4"/>
  <c r="T116" i="4"/>
  <c r="AD116" i="4"/>
  <c r="G117" i="4"/>
  <c r="R117" i="4"/>
  <c r="AB117" i="4"/>
  <c r="E118" i="4"/>
  <c r="P118" i="4"/>
  <c r="Y118" i="4"/>
  <c r="A119" i="4"/>
  <c r="J119" i="4"/>
  <c r="S119" i="4"/>
  <c r="AB119" i="4"/>
  <c r="D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AC43" i="4"/>
  <c r="W63" i="4"/>
  <c r="T71" i="4"/>
  <c r="W76" i="4"/>
  <c r="N81" i="4"/>
  <c r="AA84" i="4"/>
  <c r="L87" i="4"/>
  <c r="AE88" i="4"/>
  <c r="L90" i="4"/>
  <c r="U91" i="4"/>
  <c r="A93" i="4"/>
  <c r="A94" i="4"/>
  <c r="AG94" i="4"/>
  <c r="C96" i="4"/>
  <c r="F97" i="4"/>
  <c r="E98" i="4"/>
  <c r="H99" i="4"/>
  <c r="G100" i="4"/>
  <c r="J101" i="4"/>
  <c r="J102" i="4"/>
  <c r="I103" i="4"/>
  <c r="K104" i="4"/>
  <c r="J105" i="4"/>
  <c r="Q106" i="4"/>
  <c r="S107" i="4"/>
  <c r="R108" i="4"/>
  <c r="K109" i="4"/>
  <c r="AG109" i="4"/>
  <c r="X110" i="4"/>
  <c r="I111" i="4"/>
  <c r="Z111" i="4"/>
  <c r="G112" i="4"/>
  <c r="T112" i="4"/>
  <c r="A113" i="4"/>
  <c r="M113" i="4"/>
  <c r="X113" i="4"/>
  <c r="D114" i="4"/>
  <c r="N114" i="4"/>
  <c r="X114" i="4"/>
  <c r="A115" i="4"/>
  <c r="L115" i="4"/>
  <c r="V115" i="4"/>
  <c r="AG115" i="4"/>
  <c r="K116" i="4"/>
  <c r="U116" i="4"/>
  <c r="AE116" i="4"/>
  <c r="I117" i="4"/>
  <c r="S117" i="4"/>
  <c r="AC117" i="4"/>
  <c r="H118" i="4"/>
  <c r="Q118" i="4"/>
  <c r="Z118" i="4"/>
  <c r="B119" i="4"/>
  <c r="K119" i="4"/>
  <c r="T119" i="4"/>
  <c r="AC119" i="4"/>
  <c r="F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AF49" i="4"/>
  <c r="AG66" i="4"/>
  <c r="AA72" i="4"/>
  <c r="AG77" i="4"/>
  <c r="L82" i="4"/>
  <c r="Q85" i="4"/>
  <c r="AB87" i="4"/>
  <c r="I89" i="4"/>
  <c r="V90" i="4"/>
  <c r="B92" i="4"/>
  <c r="J93" i="4"/>
  <c r="I94" i="4"/>
  <c r="L95" i="4"/>
  <c r="K96" i="4"/>
  <c r="N97" i="4"/>
  <c r="N98" i="4"/>
  <c r="M99" i="4"/>
  <c r="O100" i="4"/>
  <c r="N101" i="4"/>
  <c r="U102" i="4"/>
  <c r="W103" i="4"/>
  <c r="V104" i="4"/>
  <c r="V105" i="4"/>
  <c r="U106" i="4"/>
  <c r="X107" i="4"/>
  <c r="AA108" i="4"/>
  <c r="Q109" i="4"/>
  <c r="H110" i="4"/>
  <c r="AC110" i="4"/>
  <c r="P111" i="4"/>
  <c r="AC111" i="4"/>
  <c r="I112" i="4"/>
  <c r="Y112" i="4"/>
  <c r="C113" i="4"/>
  <c r="O113" i="4"/>
  <c r="AC113" i="4"/>
  <c r="F114" i="4"/>
  <c r="P114" i="4"/>
  <c r="Z114" i="4"/>
  <c r="D115" i="4"/>
  <c r="O115" i="4"/>
  <c r="Y115" i="4"/>
  <c r="C116" i="4"/>
  <c r="M116" i="4"/>
  <c r="W116" i="4"/>
  <c r="A117" i="4"/>
  <c r="K117" i="4"/>
  <c r="V117" i="4"/>
  <c r="AG117" i="4"/>
  <c r="J118" i="4"/>
  <c r="S118" i="4"/>
  <c r="AB118" i="4"/>
  <c r="D119" i="4"/>
  <c r="M119" i="4"/>
  <c r="W119" i="4"/>
  <c r="AF119" i="4"/>
  <c r="H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O45" i="4"/>
  <c r="D74" i="4"/>
  <c r="C86" i="4"/>
  <c r="Q90" i="4"/>
  <c r="R93" i="4"/>
  <c r="P96" i="4"/>
  <c r="L99" i="4"/>
  <c r="Z101" i="4"/>
  <c r="W104" i="4"/>
  <c r="T107" i="4"/>
  <c r="W109" i="4"/>
  <c r="Q111" i="4"/>
  <c r="X112" i="4"/>
  <c r="S113" i="4"/>
  <c r="Q114" i="4"/>
  <c r="M115" i="4"/>
  <c r="E116" i="4"/>
  <c r="B117" i="4"/>
  <c r="AE117" i="4"/>
  <c r="U118" i="4"/>
  <c r="O119" i="4"/>
  <c r="G120" i="4"/>
  <c r="AA120" i="4"/>
  <c r="Q121" i="4"/>
  <c r="F122" i="4"/>
  <c r="Y122" i="4"/>
  <c r="O123" i="4"/>
  <c r="D124" i="4"/>
  <c r="W124" i="4"/>
  <c r="M125" i="4"/>
  <c r="B126" i="4"/>
  <c r="U126" i="4"/>
  <c r="I127" i="4"/>
  <c r="Y127" i="4"/>
  <c r="H128" i="4"/>
  <c r="X128" i="4"/>
  <c r="G129" i="4"/>
  <c r="W129" i="4"/>
  <c r="F130" i="4"/>
  <c r="V130" i="4"/>
  <c r="E131" i="4"/>
  <c r="P131" i="4"/>
  <c r="AB131" i="4"/>
  <c r="E132" i="4"/>
  <c r="O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N54" i="4"/>
  <c r="A77" i="4"/>
  <c r="H86" i="4"/>
  <c r="AG90" i="4"/>
  <c r="E94" i="4"/>
  <c r="S96" i="4"/>
  <c r="P99" i="4"/>
  <c r="M102" i="4"/>
  <c r="AE104" i="4"/>
  <c r="AB107" i="4"/>
  <c r="E110" i="4"/>
  <c r="R111" i="4"/>
  <c r="Z112" i="4"/>
  <c r="AA113" i="4"/>
  <c r="R114" i="4"/>
  <c r="P115" i="4"/>
  <c r="L116" i="4"/>
  <c r="D117" i="4"/>
  <c r="A118" i="4"/>
  <c r="AA118" i="4"/>
  <c r="P119" i="4"/>
  <c r="I120" i="4"/>
  <c r="AF120" i="4"/>
  <c r="R121" i="4"/>
  <c r="H122" i="4"/>
  <c r="AD122" i="4"/>
  <c r="P123" i="4"/>
  <c r="F124" i="4"/>
  <c r="AB124" i="4"/>
  <c r="N125" i="4"/>
  <c r="D126" i="4"/>
  <c r="Z126" i="4"/>
  <c r="K127" i="4"/>
  <c r="AA127" i="4"/>
  <c r="J128" i="4"/>
  <c r="Z128" i="4"/>
  <c r="I129" i="4"/>
  <c r="Y129" i="4"/>
  <c r="H130" i="4"/>
  <c r="X130" i="4"/>
  <c r="G131" i="4"/>
  <c r="S131" i="4"/>
  <c r="AC131" i="4"/>
  <c r="F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E108" i="4"/>
  <c r="N124" i="4"/>
  <c r="L126" i="4"/>
  <c r="A127" i="4"/>
  <c r="AG127" i="4"/>
  <c r="AF128" i="4"/>
  <c r="AE129" i="4"/>
  <c r="AD130" i="4"/>
  <c r="V131" i="4"/>
  <c r="U132" i="4"/>
  <c r="D133" i="4"/>
  <c r="T133" i="4"/>
  <c r="K134" i="4"/>
  <c r="AA134" i="4"/>
  <c r="J135" i="4"/>
  <c r="A136" i="4"/>
  <c r="Q136" i="4"/>
  <c r="AG136" i="4"/>
  <c r="X137" i="4"/>
  <c r="G138" i="4"/>
  <c r="W138" i="4"/>
  <c r="N139" i="4"/>
  <c r="AD139" i="4"/>
  <c r="E140" i="4"/>
  <c r="AC140" i="4"/>
  <c r="L141" i="4"/>
  <c r="Q56" i="4"/>
  <c r="AF78" i="4"/>
  <c r="O87" i="4"/>
  <c r="C91" i="4"/>
  <c r="M94" i="4"/>
  <c r="J97" i="4"/>
  <c r="AA99" i="4"/>
  <c r="X102" i="4"/>
  <c r="U105" i="4"/>
  <c r="AF107" i="4"/>
  <c r="J110" i="4"/>
  <c r="AB111" i="4"/>
  <c r="AA112" i="4"/>
  <c r="AD113" i="4"/>
  <c r="Y114" i="4"/>
  <c r="Q115" i="4"/>
  <c r="N116" i="4"/>
  <c r="J117" i="4"/>
  <c r="B118" i="4"/>
  <c r="AC118" i="4"/>
  <c r="U119" i="4"/>
  <c r="J120" i="4"/>
  <c r="A121" i="4"/>
  <c r="W121" i="4"/>
  <c r="I122" i="4"/>
  <c r="AF122" i="4"/>
  <c r="U123" i="4"/>
  <c r="G124" i="4"/>
  <c r="AD124" i="4"/>
  <c r="S125" i="4"/>
  <c r="E126" i="4"/>
  <c r="AB126" i="4"/>
  <c r="L127" i="4"/>
  <c r="AB127" i="4"/>
  <c r="K128" i="4"/>
  <c r="AA128" i="4"/>
  <c r="J129" i="4"/>
  <c r="Z129" i="4"/>
  <c r="I130" i="4"/>
  <c r="Y130" i="4"/>
  <c r="H131" i="4"/>
  <c r="T131" i="4"/>
  <c r="AD131" i="4"/>
  <c r="G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AD105" i="4"/>
  <c r="C125" i="4"/>
  <c r="P128" i="4"/>
  <c r="N130" i="4"/>
  <c r="L131" i="4"/>
  <c r="K132" i="4"/>
  <c r="AC132" i="4"/>
  <c r="L133" i="4"/>
  <c r="C134" i="4"/>
  <c r="S134" i="4"/>
  <c r="B135" i="4"/>
  <c r="R135" i="4"/>
  <c r="I136" i="4"/>
  <c r="Y136" i="4"/>
  <c r="H137" i="4"/>
  <c r="AF137" i="4"/>
  <c r="O138" i="4"/>
  <c r="F139" i="4"/>
  <c r="V139" i="4"/>
  <c r="M140" i="4"/>
  <c r="D141" i="4"/>
  <c r="T141" i="4"/>
  <c r="S128" i="4"/>
  <c r="V133" i="4"/>
  <c r="AC134" i="4"/>
  <c r="L135" i="4"/>
  <c r="AB135" i="4"/>
  <c r="S136" i="4"/>
  <c r="B137" i="4"/>
  <c r="R137" i="4"/>
  <c r="I138" i="4"/>
  <c r="Y138" i="4"/>
  <c r="P139" i="4"/>
  <c r="AF139" i="4"/>
  <c r="W140" i="4"/>
  <c r="N141" i="4"/>
  <c r="Z73" i="4"/>
  <c r="Z64" i="4"/>
  <c r="L79" i="4"/>
  <c r="A88" i="4"/>
  <c r="X91" i="4"/>
  <c r="R94" i="4"/>
  <c r="O97" i="4"/>
  <c r="L100" i="4"/>
  <c r="Y102" i="4"/>
  <c r="Z105" i="4"/>
  <c r="S108" i="4"/>
  <c r="K110" i="4"/>
  <c r="AE111" i="4"/>
  <c r="B113" i="4"/>
  <c r="AE113" i="4"/>
  <c r="AB114" i="4"/>
  <c r="X115" i="4"/>
  <c r="O116" i="4"/>
  <c r="M117" i="4"/>
  <c r="I118" i="4"/>
  <c r="AD118" i="4"/>
  <c r="X119" i="4"/>
  <c r="P120" i="4"/>
  <c r="B121" i="4"/>
  <c r="Y121" i="4"/>
  <c r="N122" i="4"/>
  <c r="AG122" i="4"/>
  <c r="W123" i="4"/>
  <c r="L124" i="4"/>
  <c r="AE124" i="4"/>
  <c r="U125" i="4"/>
  <c r="J126" i="4"/>
  <c r="AC126" i="4"/>
  <c r="P127" i="4"/>
  <c r="AF127" i="4"/>
  <c r="O128" i="4"/>
  <c r="AE128" i="4"/>
  <c r="N129" i="4"/>
  <c r="AD129" i="4"/>
  <c r="M130" i="4"/>
  <c r="AC130" i="4"/>
  <c r="K131" i="4"/>
  <c r="U131" i="4"/>
  <c r="AE131" i="4"/>
  <c r="J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S89" i="4"/>
  <c r="AF132" i="4"/>
  <c r="C137" i="4"/>
  <c r="Q139" i="4"/>
  <c r="G141" i="4"/>
  <c r="C138" i="4"/>
  <c r="B139" i="4"/>
  <c r="A140" i="4"/>
  <c r="Y140" i="4"/>
  <c r="P141" i="4"/>
  <c r="W68" i="4"/>
  <c r="X81" i="4"/>
  <c r="E88" i="4"/>
  <c r="G92" i="4"/>
  <c r="H95" i="4"/>
  <c r="R97" i="4"/>
  <c r="W100" i="4"/>
  <c r="L103" i="4"/>
  <c r="Z110" i="4"/>
  <c r="AF111" i="4"/>
  <c r="E113" i="4"/>
  <c r="E114" i="4"/>
  <c r="AD114" i="4"/>
  <c r="AA115" i="4"/>
  <c r="V116" i="4"/>
  <c r="N117" i="4"/>
  <c r="K118" i="4"/>
  <c r="C119" i="4"/>
  <c r="Y119" i="4"/>
  <c r="R120" i="4"/>
  <c r="G121" i="4"/>
  <c r="Z121" i="4"/>
  <c r="P122" i="4"/>
  <c r="E123" i="4"/>
  <c r="X123" i="4"/>
  <c r="V125" i="4"/>
  <c r="Q127" i="4"/>
  <c r="O129" i="4"/>
  <c r="AF131" i="4"/>
  <c r="AB133" i="4"/>
  <c r="Z135" i="4"/>
  <c r="P137" i="4"/>
  <c r="AE138" i="4"/>
  <c r="U140" i="4"/>
  <c r="AB141" i="4"/>
  <c r="C132" i="4"/>
  <c r="K136" i="4"/>
  <c r="A138" i="4"/>
  <c r="AG138" i="4"/>
  <c r="X139" i="4"/>
  <c r="O140" i="4"/>
  <c r="F141" i="4"/>
  <c r="AD141" i="4"/>
  <c r="AF84" i="4"/>
  <c r="L119" i="4"/>
  <c r="M123" i="4"/>
  <c r="AD125" i="4"/>
  <c r="X127" i="4"/>
  <c r="F129" i="4"/>
  <c r="U130" i="4"/>
  <c r="AA131" i="4"/>
  <c r="X132" i="4"/>
  <c r="O133" i="4"/>
  <c r="AE133" i="4"/>
  <c r="N134" i="4"/>
  <c r="E135" i="4"/>
  <c r="AC135" i="4"/>
  <c r="T136" i="4"/>
  <c r="K137" i="4"/>
  <c r="AA137" i="4"/>
  <c r="R138" i="4"/>
  <c r="A139" i="4"/>
  <c r="Y139" i="4"/>
  <c r="H140" i="4"/>
  <c r="X140" i="4"/>
  <c r="W141" i="4"/>
  <c r="AB137" i="4"/>
  <c r="AA138" i="4"/>
  <c r="R139" i="4"/>
  <c r="Q140" i="4"/>
  <c r="H141" i="4"/>
  <c r="AF141" i="4"/>
  <c r="AE68" i="4"/>
  <c r="AG82" i="4"/>
  <c r="AG88" i="4"/>
  <c r="K92" i="4"/>
  <c r="P95" i="4"/>
  <c r="I98" i="4"/>
  <c r="Z100" i="4"/>
  <c r="X103" i="4"/>
  <c r="T106" i="4"/>
  <c r="A109" i="4"/>
  <c r="AG110" i="4"/>
  <c r="H112" i="4"/>
  <c r="F113" i="4"/>
  <c r="G114" i="4"/>
  <c r="C115" i="4"/>
  <c r="AB115" i="4"/>
  <c r="X116" i="4"/>
  <c r="T117" i="4"/>
  <c r="L118" i="4"/>
  <c r="E119" i="4"/>
  <c r="AE119" i="4"/>
  <c r="S120" i="4"/>
  <c r="I121" i="4"/>
  <c r="AE121" i="4"/>
  <c r="Q122" i="4"/>
  <c r="G123" i="4"/>
  <c r="AC123" i="4"/>
  <c r="O124" i="4"/>
  <c r="E125" i="4"/>
  <c r="AA125" i="4"/>
  <c r="M126" i="4"/>
  <c r="C127" i="4"/>
  <c r="S127" i="4"/>
  <c r="B128" i="4"/>
  <c r="R128" i="4"/>
  <c r="A129" i="4"/>
  <c r="Q129" i="4"/>
  <c r="AG129" i="4"/>
  <c r="P130" i="4"/>
  <c r="AF130" i="4"/>
  <c r="M131" i="4"/>
  <c r="W131" i="4"/>
  <c r="B132" i="4"/>
  <c r="L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B71" i="4"/>
  <c r="F83" i="4"/>
  <c r="R89" i="4"/>
  <c r="B93" i="4"/>
  <c r="Q95" i="4"/>
  <c r="Q98" i="4"/>
  <c r="K101" i="4"/>
  <c r="AB103" i="4"/>
  <c r="AC106" i="4"/>
  <c r="N109" i="4"/>
  <c r="A111" i="4"/>
  <c r="N112" i="4"/>
  <c r="N113" i="4"/>
  <c r="H114" i="4"/>
  <c r="F115" i="4"/>
  <c r="B116" i="4"/>
  <c r="Z116" i="4"/>
  <c r="W117" i="4"/>
  <c r="R118" i="4"/>
  <c r="G119" i="4"/>
  <c r="AG119" i="4"/>
  <c r="X120" i="4"/>
  <c r="J121" i="4"/>
  <c r="AG121" i="4"/>
  <c r="V122" i="4"/>
  <c r="H123" i="4"/>
  <c r="AE123" i="4"/>
  <c r="T124" i="4"/>
  <c r="F125" i="4"/>
  <c r="AC125" i="4"/>
  <c r="R126" i="4"/>
  <c r="D127" i="4"/>
  <c r="T127" i="4"/>
  <c r="C128" i="4"/>
  <c r="B129" i="4"/>
  <c r="R129" i="4"/>
  <c r="A130" i="4"/>
  <c r="Q130" i="4"/>
  <c r="AG130" i="4"/>
  <c r="N131" i="4"/>
  <c r="X131" i="4"/>
  <c r="M132" i="4"/>
  <c r="W132" i="4"/>
  <c r="AE132" i="4"/>
  <c r="F133" i="4"/>
  <c r="N133" i="4"/>
  <c r="AD133" i="4"/>
  <c r="E134" i="4"/>
  <c r="M134" i="4"/>
  <c r="U134" i="4"/>
  <c r="D135" i="4"/>
  <c r="T135" i="4"/>
  <c r="C136" i="4"/>
  <c r="AA136" i="4"/>
  <c r="J137" i="4"/>
  <c r="Z137" i="4"/>
  <c r="Q138" i="4"/>
  <c r="H139" i="4"/>
  <c r="G140" i="4"/>
  <c r="AE140" i="4"/>
  <c r="V141" i="4"/>
  <c r="N93" i="4"/>
  <c r="G96" i="4"/>
  <c r="Y98" i="4"/>
  <c r="Y101" i="4"/>
  <c r="S104" i="4"/>
  <c r="AG106" i="4"/>
  <c r="S109" i="4"/>
  <c r="O111" i="4"/>
  <c r="O112" i="4"/>
  <c r="R113" i="4"/>
  <c r="O114" i="4"/>
  <c r="G115" i="4"/>
  <c r="D116" i="4"/>
  <c r="AF116" i="4"/>
  <c r="Y117" i="4"/>
  <c r="T118" i="4"/>
  <c r="A120" i="4"/>
  <c r="Z120" i="4"/>
  <c r="O121" i="4"/>
  <c r="A122" i="4"/>
  <c r="X122" i="4"/>
  <c r="AF123" i="4"/>
  <c r="V124" i="4"/>
  <c r="K125" i="4"/>
  <c r="T126" i="4"/>
  <c r="H127" i="4"/>
  <c r="G128" i="4"/>
  <c r="W128" i="4"/>
  <c r="V129" i="4"/>
  <c r="E130" i="4"/>
  <c r="D131" i="4"/>
  <c r="O131" i="4"/>
  <c r="D132" i="4"/>
  <c r="N132" i="4"/>
  <c r="G133" i="4"/>
  <c r="W133" i="4"/>
  <c r="F134" i="4"/>
  <c r="V134" i="4"/>
  <c r="AD134" i="4"/>
  <c r="M135" i="4"/>
  <c r="U135" i="4"/>
  <c r="D136" i="4"/>
  <c r="L136" i="4"/>
  <c r="AB136" i="4"/>
  <c r="S137" i="4"/>
  <c r="B138" i="4"/>
  <c r="J138" i="4"/>
  <c r="Z138" i="4"/>
  <c r="I139" i="4"/>
  <c r="AG139" i="4"/>
  <c r="P140" i="4"/>
  <c r="AF140" i="4"/>
  <c r="O141" i="4"/>
  <c r="AE141" i="4"/>
  <c r="T137" i="4"/>
  <c r="K138" i="4"/>
  <c r="S138" i="4"/>
  <c r="J139" i="4"/>
  <c r="Z139" i="4"/>
  <c r="I140" i="4"/>
  <c r="AG140" i="4"/>
  <c r="X141" i="4"/>
  <c r="D39" i="1"/>
  <c r="D57" i="1"/>
  <c r="B38" i="3" s="1"/>
  <c r="B29" i="3"/>
  <c r="P3" i="3" s="1"/>
  <c r="B27" i="3"/>
  <c r="D47" i="1"/>
  <c r="R14" i="1" s="1"/>
  <c r="D46" i="1"/>
  <c r="D56" i="1"/>
  <c r="D45" i="1"/>
  <c r="G47" i="1" s="1"/>
  <c r="B22" i="3"/>
  <c r="D13" i="3"/>
  <c r="D4" i="3"/>
  <c r="G53" i="1" l="1"/>
  <c r="G58" i="1"/>
  <c r="P2" i="3"/>
  <c r="D58" i="1"/>
  <c r="B40" i="3" s="1"/>
  <c r="D13" i="1"/>
  <c r="G11" i="1"/>
  <c r="G10" i="1"/>
  <c r="D12" i="1"/>
  <c r="G13" i="1"/>
  <c r="G12" i="1"/>
  <c r="D50" i="1"/>
  <c r="D48" i="1" s="1"/>
  <c r="D49" i="1"/>
  <c r="G46" i="1"/>
  <c r="G44" i="1"/>
  <c r="G43" i="1"/>
  <c r="G42" i="1"/>
  <c r="G54" i="1"/>
  <c r="G57" i="1"/>
  <c r="G55" i="1"/>
  <c r="D60" i="1"/>
  <c r="D61" i="1"/>
  <c r="D59" i="1" s="1" a="1"/>
  <c r="D59" i="1" s="1"/>
  <c r="H4" i="3"/>
  <c r="D11" i="1" l="1"/>
  <c r="B14" i="1" s="1"/>
  <c r="C14" i="1" s="1"/>
  <c r="C12" i="1"/>
  <c r="B61" i="1"/>
  <c r="B50" i="1"/>
  <c r="B26" i="3"/>
  <c r="B28" i="3"/>
  <c r="B25" i="3"/>
  <c r="B30" i="3"/>
  <c r="B24" i="3"/>
  <c r="B34" i="3" l="1"/>
  <c r="C62" i="1"/>
  <c r="B12" i="3"/>
  <c r="C51" i="1"/>
  <c r="B33" i="3"/>
  <c r="B37" i="3"/>
  <c r="B36" i="3"/>
  <c r="B35" i="3"/>
  <c r="B41" i="3"/>
  <c r="B39" i="3"/>
  <c r="B11" i="3"/>
  <c r="B19" i="3"/>
  <c r="B15" i="3"/>
  <c r="B14" i="3"/>
  <c r="B13" i="3"/>
  <c r="B17" i="3"/>
  <c r="B18" i="3"/>
  <c r="B16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s="1"/>
  <c r="B23" i="3"/>
  <c r="G495" i="3" l="1"/>
  <c r="J495" i="3" s="1"/>
  <c r="I494" i="3"/>
  <c r="K494" i="3"/>
  <c r="K495" i="3" l="1"/>
  <c r="I495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N16" i="3" s="1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" i="3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AD34" i="3" s="1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P20" i="3"/>
  <c r="O20" i="3" s="1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P36" i="3"/>
  <c r="X36" i="3"/>
  <c r="S37" i="3"/>
  <c r="AA37" i="3"/>
  <c r="V38" i="3"/>
  <c r="Q39" i="3"/>
  <c r="Y39" i="3"/>
  <c r="T40" i="3"/>
  <c r="AB40" i="3"/>
  <c r="T5" i="3"/>
  <c r="AB5" i="3"/>
  <c r="W6" i="3"/>
  <c r="R7" i="3"/>
  <c r="Z7" i="3"/>
  <c r="U8" i="3"/>
  <c r="P9" i="3"/>
  <c r="AD9" i="3" s="1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P33" i="3"/>
  <c r="X33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O35" i="3" s="1"/>
  <c r="X35" i="3"/>
  <c r="S36" i="3"/>
  <c r="U5" i="3"/>
  <c r="T10" i="3"/>
  <c r="S15" i="3"/>
  <c r="R20" i="3"/>
  <c r="Q25" i="3"/>
  <c r="P30" i="3"/>
  <c r="AD30" i="3" s="1"/>
  <c r="T34" i="3"/>
  <c r="Z36" i="3"/>
  <c r="U38" i="3"/>
  <c r="X39" i="3"/>
  <c r="AA40" i="3"/>
  <c r="Z41" i="3"/>
  <c r="AA42" i="3"/>
  <c r="AB43" i="3"/>
  <c r="Z44" i="3"/>
  <c r="AA45" i="3"/>
  <c r="Y46" i="3"/>
  <c r="Z47" i="3"/>
  <c r="AA48" i="3"/>
  <c r="Y49" i="3"/>
  <c r="Z50" i="3"/>
  <c r="X51" i="3"/>
  <c r="Y52" i="3"/>
  <c r="Y53" i="3"/>
  <c r="V54" i="3"/>
  <c r="S55" i="3"/>
  <c r="P56" i="3"/>
  <c r="Z56" i="3"/>
  <c r="U57" i="3"/>
  <c r="P58" i="3"/>
  <c r="O58" i="3" s="1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P6" i="3"/>
  <c r="AB10" i="3"/>
  <c r="AA15" i="3"/>
  <c r="Z20" i="3"/>
  <c r="Y25" i="3"/>
  <c r="X30" i="3"/>
  <c r="AA34" i="3"/>
  <c r="AA36" i="3"/>
  <c r="W38" i="3"/>
  <c r="Z39" i="3"/>
  <c r="P41" i="3"/>
  <c r="Q42" i="3"/>
  <c r="AB42" i="3"/>
  <c r="P44" i="3"/>
  <c r="AD44" i="3" s="1"/>
  <c r="AA44" i="3"/>
  <c r="AB45" i="3"/>
  <c r="P47" i="3"/>
  <c r="AD47" i="3" s="1"/>
  <c r="AA47" i="3"/>
  <c r="AB48" i="3"/>
  <c r="Z49" i="3"/>
  <c r="AA50" i="3"/>
  <c r="AB51" i="3"/>
  <c r="Z52" i="3"/>
  <c r="Z53" i="3"/>
  <c r="W54" i="3"/>
  <c r="T55" i="3"/>
  <c r="R56" i="3"/>
  <c r="AA56" i="3"/>
  <c r="V57" i="3"/>
  <c r="Q58" i="3"/>
  <c r="Y58" i="3"/>
  <c r="T59" i="3"/>
  <c r="AB59" i="3"/>
  <c r="W60" i="3"/>
  <c r="R61" i="3"/>
  <c r="Z61" i="3"/>
  <c r="U62" i="3"/>
  <c r="AE62" i="3" s="1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X6" i="3"/>
  <c r="W11" i="3"/>
  <c r="V16" i="3"/>
  <c r="U21" i="3"/>
  <c r="AE21" i="3" s="1"/>
  <c r="T26" i="3"/>
  <c r="S31" i="3"/>
  <c r="AB34" i="3"/>
  <c r="T37" i="3"/>
  <c r="X38" i="3"/>
  <c r="AA39" i="3"/>
  <c r="Q41" i="3"/>
  <c r="R42" i="3"/>
  <c r="P43" i="3"/>
  <c r="Q44" i="3"/>
  <c r="R45" i="3"/>
  <c r="P46" i="3"/>
  <c r="Q47" i="3"/>
  <c r="AB47" i="3"/>
  <c r="P49" i="3"/>
  <c r="Q50" i="3"/>
  <c r="AB50" i="3"/>
  <c r="P52" i="3"/>
  <c r="AA52" i="3"/>
  <c r="AA53" i="3"/>
  <c r="X54" i="3"/>
  <c r="W55" i="3"/>
  <c r="S56" i="3"/>
  <c r="AB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S7" i="3"/>
  <c r="R12" i="3"/>
  <c r="Q17" i="3"/>
  <c r="P22" i="3"/>
  <c r="AB26" i="3"/>
  <c r="AA31" i="3"/>
  <c r="V35" i="3"/>
  <c r="U37" i="3"/>
  <c r="AE37" i="3" s="1"/>
  <c r="Y38" i="3"/>
  <c r="AB39" i="3"/>
  <c r="R41" i="3"/>
  <c r="S42" i="3"/>
  <c r="T43" i="3"/>
  <c r="R44" i="3"/>
  <c r="S45" i="3"/>
  <c r="Q46" i="3"/>
  <c r="R47" i="3"/>
  <c r="S48" i="3"/>
  <c r="Q49" i="3"/>
  <c r="R50" i="3"/>
  <c r="P51" i="3"/>
  <c r="Q52" i="3"/>
  <c r="R53" i="3"/>
  <c r="AB53" i="3"/>
  <c r="Y54" i="3"/>
  <c r="X55" i="3"/>
  <c r="T56" i="3"/>
  <c r="P57" i="3"/>
  <c r="X57" i="3"/>
  <c r="S58" i="3"/>
  <c r="AA58" i="3"/>
  <c r="AA7" i="3"/>
  <c r="Z12" i="3"/>
  <c r="Y17" i="3"/>
  <c r="X22" i="3"/>
  <c r="W27" i="3"/>
  <c r="V32" i="3"/>
  <c r="W35" i="3"/>
  <c r="V37" i="3"/>
  <c r="P39" i="3"/>
  <c r="S40" i="3"/>
  <c r="V41" i="3"/>
  <c r="T42" i="3"/>
  <c r="U43" i="3"/>
  <c r="S44" i="3"/>
  <c r="T45" i="3"/>
  <c r="U46" i="3"/>
  <c r="S47" i="3"/>
  <c r="T48" i="3"/>
  <c r="R49" i="3"/>
  <c r="S50" i="3"/>
  <c r="T51" i="3"/>
  <c r="R52" i="3"/>
  <c r="S53" i="3"/>
  <c r="P54" i="3"/>
  <c r="AB54" i="3"/>
  <c r="Y55" i="3"/>
  <c r="U56" i="3"/>
  <c r="Q57" i="3"/>
  <c r="Y57" i="3"/>
  <c r="T58" i="3"/>
  <c r="AB58" i="3"/>
  <c r="W59" i="3"/>
  <c r="R60" i="3"/>
  <c r="Z60" i="3"/>
  <c r="U61" i="3"/>
  <c r="P62" i="3"/>
  <c r="O62" i="3" s="1"/>
  <c r="X62" i="3"/>
  <c r="S63" i="3"/>
  <c r="AA63" i="3"/>
  <c r="V64" i="3"/>
  <c r="Q65" i="3"/>
  <c r="Y65" i="3"/>
  <c r="T66" i="3"/>
  <c r="AB66" i="3"/>
  <c r="V8" i="3"/>
  <c r="W19" i="3"/>
  <c r="Y33" i="3"/>
  <c r="R39" i="3"/>
  <c r="Y41" i="3"/>
  <c r="X44" i="3"/>
  <c r="T47" i="3"/>
  <c r="X49" i="3"/>
  <c r="W52" i="3"/>
  <c r="P55" i="3"/>
  <c r="X56" i="3"/>
  <c r="V58" i="3"/>
  <c r="Z59" i="3"/>
  <c r="P61" i="3"/>
  <c r="S62" i="3"/>
  <c r="V63" i="3"/>
  <c r="Y64" i="3"/>
  <c r="AB65" i="3"/>
  <c r="R67" i="3"/>
  <c r="S68" i="3"/>
  <c r="T69" i="3"/>
  <c r="R70" i="3"/>
  <c r="S71" i="3"/>
  <c r="Q72" i="3"/>
  <c r="R73" i="3"/>
  <c r="S74" i="3"/>
  <c r="Q75" i="3"/>
  <c r="R76" i="3"/>
  <c r="P77" i="3"/>
  <c r="AA77" i="3"/>
  <c r="W78" i="3"/>
  <c r="S79" i="3"/>
  <c r="AB79" i="3"/>
  <c r="X80" i="3"/>
  <c r="T81" i="3"/>
  <c r="Q82" i="3"/>
  <c r="Z82" i="3"/>
  <c r="V83" i="3"/>
  <c r="R84" i="3"/>
  <c r="AA84" i="3"/>
  <c r="W85" i="3"/>
  <c r="S86" i="3"/>
  <c r="P87" i="3"/>
  <c r="Y87" i="3"/>
  <c r="U88" i="3"/>
  <c r="AE88" i="3" s="1"/>
  <c r="Q89" i="3"/>
  <c r="Z89" i="3"/>
  <c r="V90" i="3"/>
  <c r="R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Q9" i="3"/>
  <c r="S23" i="3"/>
  <c r="S34" i="3"/>
  <c r="S39" i="3"/>
  <c r="U42" i="3"/>
  <c r="Y44" i="3"/>
  <c r="X47" i="3"/>
  <c r="T50" i="3"/>
  <c r="X52" i="3"/>
  <c r="Q55" i="3"/>
  <c r="R57" i="3"/>
  <c r="W58" i="3"/>
  <c r="Q60" i="3"/>
  <c r="T61" i="3"/>
  <c r="W62" i="3"/>
  <c r="Z63" i="3"/>
  <c r="P65" i="3"/>
  <c r="S66" i="3"/>
  <c r="V67" i="3"/>
  <c r="T68" i="3"/>
  <c r="U69" i="3"/>
  <c r="AE69" i="3" s="1"/>
  <c r="S70" i="3"/>
  <c r="T71" i="3"/>
  <c r="U72" i="3"/>
  <c r="AE72" i="3" s="1"/>
  <c r="S73" i="3"/>
  <c r="T74" i="3"/>
  <c r="R75" i="3"/>
  <c r="S76" i="3"/>
  <c r="R77" i="3"/>
  <c r="AB77" i="3"/>
  <c r="X78" i="3"/>
  <c r="T79" i="3"/>
  <c r="P80" i="3"/>
  <c r="Y80" i="3"/>
  <c r="V81" i="3"/>
  <c r="R82" i="3"/>
  <c r="AA82" i="3"/>
  <c r="W83" i="3"/>
  <c r="S84" i="3"/>
  <c r="AB84" i="3"/>
  <c r="X85" i="3"/>
  <c r="U86" i="3"/>
  <c r="AE86" i="3" s="1"/>
  <c r="Q87" i="3"/>
  <c r="Z87" i="3"/>
  <c r="V88" i="3"/>
  <c r="R89" i="3"/>
  <c r="AA89" i="3"/>
  <c r="W90" i="3"/>
  <c r="T91" i="3"/>
  <c r="P92" i="3"/>
  <c r="O92" i="3" s="1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O100" i="3" s="1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Y9" i="3"/>
  <c r="AA23" i="3"/>
  <c r="Q36" i="3"/>
  <c r="T39" i="3"/>
  <c r="Y42" i="3"/>
  <c r="U45" i="3"/>
  <c r="Y47" i="3"/>
  <c r="U50" i="3"/>
  <c r="AE50" i="3" s="1"/>
  <c r="T53" i="3"/>
  <c r="R55" i="3"/>
  <c r="S57" i="3"/>
  <c r="P59" i="3"/>
  <c r="S60" i="3"/>
  <c r="V61" i="3"/>
  <c r="Y62" i="3"/>
  <c r="AB63" i="3"/>
  <c r="R65" i="3"/>
  <c r="U66" i="3"/>
  <c r="AE66" i="3" s="1"/>
  <c r="W67" i="3"/>
  <c r="U68" i="3"/>
  <c r="V69" i="3"/>
  <c r="W70" i="3"/>
  <c r="U71" i="3"/>
  <c r="AE71" i="3" s="1"/>
  <c r="V72" i="3"/>
  <c r="T73" i="3"/>
  <c r="U74" i="3"/>
  <c r="AE74" i="3" s="1"/>
  <c r="V75" i="3"/>
  <c r="T76" i="3"/>
  <c r="T77" i="3"/>
  <c r="P78" i="3"/>
  <c r="Y78" i="3"/>
  <c r="U79" i="3"/>
  <c r="AE79" i="3" s="1"/>
  <c r="Q80" i="3"/>
  <c r="AA80" i="3"/>
  <c r="W81" i="3"/>
  <c r="S82" i="3"/>
  <c r="AB82" i="3"/>
  <c r="X83" i="3"/>
  <c r="T84" i="3"/>
  <c r="P85" i="3"/>
  <c r="Z85" i="3"/>
  <c r="V86" i="3"/>
  <c r="R87" i="3"/>
  <c r="AA87" i="3"/>
  <c r="W88" i="3"/>
  <c r="S89" i="3"/>
  <c r="AB89" i="3"/>
  <c r="Y90" i="3"/>
  <c r="U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P105" i="3"/>
  <c r="N105" i="3" s="1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U13" i="3"/>
  <c r="V24" i="3"/>
  <c r="R36" i="3"/>
  <c r="U40" i="3"/>
  <c r="Z42" i="3"/>
  <c r="V45" i="3"/>
  <c r="U48" i="3"/>
  <c r="Y50" i="3"/>
  <c r="U53" i="3"/>
  <c r="Z55" i="3"/>
  <c r="T57" i="3"/>
  <c r="Q59" i="3"/>
  <c r="T60" i="3"/>
  <c r="W61" i="3"/>
  <c r="Z62" i="3"/>
  <c r="P64" i="3"/>
  <c r="S65" i="3"/>
  <c r="V66" i="3"/>
  <c r="X67" i="3"/>
  <c r="Y68" i="3"/>
  <c r="W69" i="3"/>
  <c r="X70" i="3"/>
  <c r="V71" i="3"/>
  <c r="W72" i="3"/>
  <c r="X73" i="3"/>
  <c r="V74" i="3"/>
  <c r="W75" i="3"/>
  <c r="U76" i="3"/>
  <c r="U77" i="3"/>
  <c r="AE77" i="3" s="1"/>
  <c r="Q78" i="3"/>
  <c r="Z78" i="3"/>
  <c r="V79" i="3"/>
  <c r="S80" i="3"/>
  <c r="AB80" i="3"/>
  <c r="X81" i="3"/>
  <c r="T82" i="3"/>
  <c r="P83" i="3"/>
  <c r="Y83" i="3"/>
  <c r="U84" i="3"/>
  <c r="R85" i="3"/>
  <c r="AA85" i="3"/>
  <c r="W86" i="3"/>
  <c r="S87" i="3"/>
  <c r="AB87" i="3"/>
  <c r="X88" i="3"/>
  <c r="T89" i="3"/>
  <c r="Q90" i="3"/>
  <c r="Z90" i="3"/>
  <c r="V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O102" i="3" s="1"/>
  <c r="X102" i="3"/>
  <c r="S103" i="3"/>
  <c r="AA103" i="3"/>
  <c r="V104" i="3"/>
  <c r="Q105" i="3"/>
  <c r="P14" i="3"/>
  <c r="O14" i="3" s="1"/>
  <c r="R28" i="3"/>
  <c r="Y36" i="3"/>
  <c r="V40" i="3"/>
  <c r="V43" i="3"/>
  <c r="Z45" i="3"/>
  <c r="V48" i="3"/>
  <c r="U51" i="3"/>
  <c r="V53" i="3"/>
  <c r="AA55" i="3"/>
  <c r="Z57" i="3"/>
  <c r="R59" i="3"/>
  <c r="U60" i="3"/>
  <c r="X61" i="3"/>
  <c r="AA62" i="3"/>
  <c r="Q64" i="3"/>
  <c r="T65" i="3"/>
  <c r="W66" i="3"/>
  <c r="Y67" i="3"/>
  <c r="Z68" i="3"/>
  <c r="X69" i="3"/>
  <c r="Y70" i="3"/>
  <c r="Z71" i="3"/>
  <c r="X72" i="3"/>
  <c r="Y73" i="3"/>
  <c r="W74" i="3"/>
  <c r="X75" i="3"/>
  <c r="Y76" i="3"/>
  <c r="V77" i="3"/>
  <c r="R78" i="3"/>
  <c r="AA78" i="3"/>
  <c r="X79" i="3"/>
  <c r="T80" i="3"/>
  <c r="P81" i="3"/>
  <c r="Y81" i="3"/>
  <c r="U82" i="3"/>
  <c r="AE82" i="3" s="1"/>
  <c r="Q83" i="3"/>
  <c r="Z83" i="3"/>
  <c r="W84" i="3"/>
  <c r="S85" i="3"/>
  <c r="AB85" i="3"/>
  <c r="X86" i="3"/>
  <c r="T87" i="3"/>
  <c r="P88" i="3"/>
  <c r="Y88" i="3"/>
  <c r="V89" i="3"/>
  <c r="R90" i="3"/>
  <c r="AA90" i="3"/>
  <c r="W91" i="3"/>
  <c r="S92" i="3"/>
  <c r="AA92" i="3"/>
  <c r="V93" i="3"/>
  <c r="Q94" i="3"/>
  <c r="Y94" i="3"/>
  <c r="T95" i="3"/>
  <c r="AB95" i="3"/>
  <c r="W96" i="3"/>
  <c r="R97" i="3"/>
  <c r="Z97" i="3"/>
  <c r="U98" i="3"/>
  <c r="AE98" i="3" s="1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P107" i="3"/>
  <c r="X14" i="3"/>
  <c r="Z28" i="3"/>
  <c r="AB37" i="3"/>
  <c r="W40" i="3"/>
  <c r="W43" i="3"/>
  <c r="V46" i="3"/>
  <c r="W48" i="3"/>
  <c r="V51" i="3"/>
  <c r="Q54" i="3"/>
  <c r="AB55" i="3"/>
  <c r="AA57" i="3"/>
  <c r="V59" i="3"/>
  <c r="Y60" i="3"/>
  <c r="AB61" i="3"/>
  <c r="R63" i="3"/>
  <c r="U64" i="3"/>
  <c r="X65" i="3"/>
  <c r="AA66" i="3"/>
  <c r="Z67" i="3"/>
  <c r="AA68" i="3"/>
  <c r="AB69" i="3"/>
  <c r="Z70" i="3"/>
  <c r="AA71" i="3"/>
  <c r="Y72" i="3"/>
  <c r="Z73" i="3"/>
  <c r="AA74" i="3"/>
  <c r="Y75" i="3"/>
  <c r="Z76" i="3"/>
  <c r="T18" i="3"/>
  <c r="U29" i="3"/>
  <c r="P38" i="3"/>
  <c r="W41" i="3"/>
  <c r="X43" i="3"/>
  <c r="W46" i="3"/>
  <c r="V49" i="3"/>
  <c r="W51" i="3"/>
  <c r="T54" i="3"/>
  <c r="V56" i="3"/>
  <c r="AB57" i="3"/>
  <c r="X59" i="3"/>
  <c r="AA60" i="3"/>
  <c r="AB18" i="3"/>
  <c r="Q33" i="3"/>
  <c r="Q38" i="3"/>
  <c r="X41" i="3"/>
  <c r="W44" i="3"/>
  <c r="X46" i="3"/>
  <c r="W49" i="3"/>
  <c r="S52" i="3"/>
  <c r="U54" i="3"/>
  <c r="AE54" i="3" s="1"/>
  <c r="W56" i="3"/>
  <c r="U58" i="3"/>
  <c r="AE58" i="3" s="1"/>
  <c r="Y59" i="3"/>
  <c r="AB60" i="3"/>
  <c r="R62" i="3"/>
  <c r="U63" i="3"/>
  <c r="X64" i="3"/>
  <c r="AA65" i="3"/>
  <c r="Q67" i="3"/>
  <c r="R68" i="3"/>
  <c r="P69" i="3"/>
  <c r="N69" i="3" s="1"/>
  <c r="Q70" i="3"/>
  <c r="R71" i="3"/>
  <c r="P72" i="3"/>
  <c r="Q73" i="3"/>
  <c r="AB73" i="3"/>
  <c r="P75" i="3"/>
  <c r="Q76" i="3"/>
  <c r="AB76" i="3"/>
  <c r="Z77" i="3"/>
  <c r="V78" i="3"/>
  <c r="R79" i="3"/>
  <c r="AA79" i="3"/>
  <c r="W80" i="3"/>
  <c r="S81" i="3"/>
  <c r="AB81" i="3"/>
  <c r="Y82" i="3"/>
  <c r="U83" i="3"/>
  <c r="Q84" i="3"/>
  <c r="Z84" i="3"/>
  <c r="V85" i="3"/>
  <c r="R86" i="3"/>
  <c r="AA86" i="3"/>
  <c r="X87" i="3"/>
  <c r="T88" i="3"/>
  <c r="P89" i="3"/>
  <c r="Q62" i="3"/>
  <c r="AA70" i="3"/>
  <c r="X77" i="3"/>
  <c r="V80" i="3"/>
  <c r="T83" i="3"/>
  <c r="Q86" i="3"/>
  <c r="AB88" i="3"/>
  <c r="P91" i="3"/>
  <c r="AB92" i="3"/>
  <c r="T94" i="3"/>
  <c r="Q96" i="3"/>
  <c r="AA97" i="3"/>
  <c r="S99" i="3"/>
  <c r="P101" i="3"/>
  <c r="AD101" i="3" s="1"/>
  <c r="Z102" i="3"/>
  <c r="R104" i="3"/>
  <c r="AA105" i="3"/>
  <c r="Q107" i="3"/>
  <c r="R108" i="3"/>
  <c r="P109" i="3"/>
  <c r="Q110" i="3"/>
  <c r="AB110" i="3"/>
  <c r="P112" i="3"/>
  <c r="Q113" i="3"/>
  <c r="AB113" i="3"/>
  <c r="AA114" i="3"/>
  <c r="X115" i="3"/>
  <c r="T116" i="3"/>
  <c r="P117" i="3"/>
  <c r="Y117" i="3"/>
  <c r="V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T63" i="3"/>
  <c r="AB71" i="3"/>
  <c r="S78" i="3"/>
  <c r="Q81" i="3"/>
  <c r="AB83" i="3"/>
  <c r="Y86" i="3"/>
  <c r="W89" i="3"/>
  <c r="Q91" i="3"/>
  <c r="P93" i="3"/>
  <c r="Z94" i="3"/>
  <c r="R96" i="3"/>
  <c r="AB97" i="3"/>
  <c r="Y99" i="3"/>
  <c r="Q101" i="3"/>
  <c r="AA102" i="3"/>
  <c r="X104" i="3"/>
  <c r="AB105" i="3"/>
  <c r="R107" i="3"/>
  <c r="S108" i="3"/>
  <c r="Q109" i="3"/>
  <c r="R110" i="3"/>
  <c r="S111" i="3"/>
  <c r="Q112" i="3"/>
  <c r="R113" i="3"/>
  <c r="P114" i="3"/>
  <c r="AB114" i="3"/>
  <c r="Y115" i="3"/>
  <c r="U116" i="3"/>
  <c r="Q117" i="3"/>
  <c r="AA117" i="3"/>
  <c r="W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AD142" i="3" s="1"/>
  <c r="X142" i="3"/>
  <c r="S143" i="3"/>
  <c r="AA143" i="3"/>
  <c r="V144" i="3"/>
  <c r="Q145" i="3"/>
  <c r="Y145" i="3"/>
  <c r="T146" i="3"/>
  <c r="AB146" i="3"/>
  <c r="W147" i="3"/>
  <c r="R148" i="3"/>
  <c r="Z148" i="3"/>
  <c r="U149" i="3"/>
  <c r="P150" i="3"/>
  <c r="O150" i="3" s="1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W64" i="3"/>
  <c r="P73" i="3"/>
  <c r="U78" i="3"/>
  <c r="AE78" i="3" s="1"/>
  <c r="R81" i="3"/>
  <c r="P84" i="3"/>
  <c r="Z86" i="3"/>
  <c r="X89" i="3"/>
  <c r="X91" i="3"/>
  <c r="Q93" i="3"/>
  <c r="AA94" i="3"/>
  <c r="X96" i="3"/>
  <c r="P98" i="3"/>
  <c r="Z99" i="3"/>
  <c r="W101" i="3"/>
  <c r="AB102" i="3"/>
  <c r="Y104" i="3"/>
  <c r="P106" i="3"/>
  <c r="S107" i="3"/>
  <c r="T108" i="3"/>
  <c r="U109" i="3"/>
  <c r="AE109" i="3" s="1"/>
  <c r="S110" i="3"/>
  <c r="T111" i="3"/>
  <c r="R112" i="3"/>
  <c r="S113" i="3"/>
  <c r="S114" i="3"/>
  <c r="P115" i="3"/>
  <c r="Z115" i="3"/>
  <c r="V116" i="3"/>
  <c r="S117" i="3"/>
  <c r="AB117" i="3"/>
  <c r="X118" i="3"/>
  <c r="T119" i="3"/>
  <c r="AB119" i="3"/>
  <c r="W120" i="3"/>
  <c r="R121" i="3"/>
  <c r="Z121" i="3"/>
  <c r="U122" i="3"/>
  <c r="AE122" i="3" s="1"/>
  <c r="P123" i="3"/>
  <c r="X123" i="3"/>
  <c r="S124" i="3"/>
  <c r="AA124" i="3"/>
  <c r="V125" i="3"/>
  <c r="Q126" i="3"/>
  <c r="Y126" i="3"/>
  <c r="T127" i="3"/>
  <c r="AB127" i="3"/>
  <c r="W128" i="3"/>
  <c r="R129" i="3"/>
  <c r="Z129" i="3"/>
  <c r="U130" i="3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AE138" i="3" s="1"/>
  <c r="P139" i="3"/>
  <c r="X139" i="3"/>
  <c r="S140" i="3"/>
  <c r="AA140" i="3"/>
  <c r="V141" i="3"/>
  <c r="Q142" i="3"/>
  <c r="Y142" i="3"/>
  <c r="T143" i="3"/>
  <c r="AB143" i="3"/>
  <c r="W144" i="3"/>
  <c r="R145" i="3"/>
  <c r="Z145" i="3"/>
  <c r="U146" i="3"/>
  <c r="AE146" i="3" s="1"/>
  <c r="P147" i="3"/>
  <c r="N147" i="3" s="1"/>
  <c r="X147" i="3"/>
  <c r="S148" i="3"/>
  <c r="AA148" i="3"/>
  <c r="V149" i="3"/>
  <c r="Q150" i="3"/>
  <c r="Y150" i="3"/>
  <c r="T151" i="3"/>
  <c r="AB151" i="3"/>
  <c r="W152" i="3"/>
  <c r="R153" i="3"/>
  <c r="Z153" i="3"/>
  <c r="U154" i="3"/>
  <c r="P155" i="3"/>
  <c r="X155" i="3"/>
  <c r="Z65" i="3"/>
  <c r="AA73" i="3"/>
  <c r="P79" i="3"/>
  <c r="Z81" i="3"/>
  <c r="X84" i="3"/>
  <c r="U87" i="3"/>
  <c r="Y89" i="3"/>
  <c r="Y91" i="3"/>
  <c r="W93" i="3"/>
  <c r="AB94" i="3"/>
  <c r="Y96" i="3"/>
  <c r="V98" i="3"/>
  <c r="AA99" i="3"/>
  <c r="X101" i="3"/>
  <c r="U103" i="3"/>
  <c r="Z104" i="3"/>
  <c r="T106" i="3"/>
  <c r="W107" i="3"/>
  <c r="U108" i="3"/>
  <c r="V109" i="3"/>
  <c r="T110" i="3"/>
  <c r="U111" i="3"/>
  <c r="AE111" i="3" s="1"/>
  <c r="V112" i="3"/>
  <c r="T113" i="3"/>
  <c r="T114" i="3"/>
  <c r="Q115" i="3"/>
  <c r="AA115" i="3"/>
  <c r="X116" i="3"/>
  <c r="T117" i="3"/>
  <c r="P118" i="3"/>
  <c r="N118" i="3" s="1"/>
  <c r="Y118" i="3"/>
  <c r="U119" i="3"/>
  <c r="P120" i="3"/>
  <c r="N120" i="3" s="1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AE135" i="3" s="1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AD152" i="3" s="1"/>
  <c r="P67" i="3"/>
  <c r="O67" i="3" s="1"/>
  <c r="AB74" i="3"/>
  <c r="Q79" i="3"/>
  <c r="AA81" i="3"/>
  <c r="Y84" i="3"/>
  <c r="V87" i="3"/>
  <c r="S90" i="3"/>
  <c r="Z91" i="3"/>
  <c r="X93" i="3"/>
  <c r="U95" i="3"/>
  <c r="AE95" i="3" s="1"/>
  <c r="Z96" i="3"/>
  <c r="W98" i="3"/>
  <c r="T100" i="3"/>
  <c r="Y101" i="3"/>
  <c r="V103" i="3"/>
  <c r="S105" i="3"/>
  <c r="V106" i="3"/>
  <c r="X107" i="3"/>
  <c r="V108" i="3"/>
  <c r="W109" i="3"/>
  <c r="X110" i="3"/>
  <c r="V111" i="3"/>
  <c r="W112" i="3"/>
  <c r="U113" i="3"/>
  <c r="U114" i="3"/>
  <c r="AE114" i="3" s="1"/>
  <c r="R115" i="3"/>
  <c r="P116" i="3"/>
  <c r="Y116" i="3"/>
  <c r="U117" i="3"/>
  <c r="AE117" i="3" s="1"/>
  <c r="Q118" i="3"/>
  <c r="Z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Q68" i="3"/>
  <c r="Z75" i="3"/>
  <c r="Y79" i="3"/>
  <c r="V82" i="3"/>
  <c r="T85" i="3"/>
  <c r="Q88" i="3"/>
  <c r="T90" i="3"/>
  <c r="T92" i="3"/>
  <c r="Y93" i="3"/>
  <c r="V95" i="3"/>
  <c r="S97" i="3"/>
  <c r="X98" i="3"/>
  <c r="U100" i="3"/>
  <c r="R102" i="3"/>
  <c r="W103" i="3"/>
  <c r="T105" i="3"/>
  <c r="W106" i="3"/>
  <c r="Y107" i="3"/>
  <c r="Z108" i="3"/>
  <c r="X109" i="3"/>
  <c r="Y110" i="3"/>
  <c r="W111" i="3"/>
  <c r="X112" i="3"/>
  <c r="Y113" i="3"/>
  <c r="V114" i="3"/>
  <c r="S115" i="3"/>
  <c r="Q116" i="3"/>
  <c r="Z116" i="3"/>
  <c r="V117" i="3"/>
  <c r="R118" i="3"/>
  <c r="AA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O138" i="3" s="1"/>
  <c r="X138" i="3"/>
  <c r="S139" i="3"/>
  <c r="AA139" i="3"/>
  <c r="AB68" i="3"/>
  <c r="AA76" i="3"/>
  <c r="Z79" i="3"/>
  <c r="W82" i="3"/>
  <c r="U85" i="3"/>
  <c r="AE85" i="3" s="1"/>
  <c r="S88" i="3"/>
  <c r="U90" i="3"/>
  <c r="U92" i="3"/>
  <c r="AE92" i="3" s="1"/>
  <c r="R94" i="3"/>
  <c r="W95" i="3"/>
  <c r="T97" i="3"/>
  <c r="Q99" i="3"/>
  <c r="V100" i="3"/>
  <c r="S102" i="3"/>
  <c r="P104" i="3"/>
  <c r="U105" i="3"/>
  <c r="AE105" i="3" s="1"/>
  <c r="X106" i="3"/>
  <c r="Z107" i="3"/>
  <c r="AA108" i="3"/>
  <c r="Y109" i="3"/>
  <c r="Z110" i="3"/>
  <c r="AA111" i="3"/>
  <c r="Y112" i="3"/>
  <c r="Z113" i="3"/>
  <c r="W114" i="3"/>
  <c r="V115" i="3"/>
  <c r="R116" i="3"/>
  <c r="P70" i="3"/>
  <c r="W77" i="3"/>
  <c r="U80" i="3"/>
  <c r="R83" i="3"/>
  <c r="P86" i="3"/>
  <c r="AA88" i="3"/>
  <c r="AB90" i="3"/>
  <c r="V92" i="3"/>
  <c r="S94" i="3"/>
  <c r="P96" i="3"/>
  <c r="AD96" i="3" s="1"/>
  <c r="U97" i="3"/>
  <c r="AE97" i="3" s="1"/>
  <c r="R99" i="3"/>
  <c r="AB100" i="3"/>
  <c r="T102" i="3"/>
  <c r="Q104" i="3"/>
  <c r="Y105" i="3"/>
  <c r="AB106" i="3"/>
  <c r="AA107" i="3"/>
  <c r="AB108" i="3"/>
  <c r="P110" i="3"/>
  <c r="AA110" i="3"/>
  <c r="AB111" i="3"/>
  <c r="Z112" i="3"/>
  <c r="AA113" i="3"/>
  <c r="X114" i="3"/>
  <c r="W115" i="3"/>
  <c r="S116" i="3"/>
  <c r="AB116" i="3"/>
  <c r="X117" i="3"/>
  <c r="T118" i="3"/>
  <c r="Q119" i="3"/>
  <c r="Y119" i="3"/>
  <c r="T120" i="3"/>
  <c r="AB120" i="3"/>
  <c r="W121" i="3"/>
  <c r="R122" i="3"/>
  <c r="Z122" i="3"/>
  <c r="U123" i="3"/>
  <c r="P124" i="3"/>
  <c r="X124" i="3"/>
  <c r="S125" i="3"/>
  <c r="AA116" i="3"/>
  <c r="Q122" i="3"/>
  <c r="U126" i="3"/>
  <c r="AA128" i="3"/>
  <c r="T131" i="3"/>
  <c r="Z133" i="3"/>
  <c r="S136" i="3"/>
  <c r="Y138" i="3"/>
  <c r="X140" i="3"/>
  <c r="U142" i="3"/>
  <c r="AE142" i="3" s="1"/>
  <c r="Y143" i="3"/>
  <c r="AB144" i="3"/>
  <c r="R146" i="3"/>
  <c r="U147" i="3"/>
  <c r="X148" i="3"/>
  <c r="AA149" i="3"/>
  <c r="Q151" i="3"/>
  <c r="T152" i="3"/>
  <c r="U153" i="3"/>
  <c r="V154" i="3"/>
  <c r="T155" i="3"/>
  <c r="T156" i="3"/>
  <c r="Q157" i="3"/>
  <c r="AA157" i="3"/>
  <c r="Z158" i="3"/>
  <c r="W159" i="3"/>
  <c r="T160" i="3"/>
  <c r="S161" i="3"/>
  <c r="P162" i="3"/>
  <c r="Z162" i="3"/>
  <c r="Y163" i="3"/>
  <c r="V164" i="3"/>
  <c r="S165" i="3"/>
  <c r="R166" i="3"/>
  <c r="AB166" i="3"/>
  <c r="Y167" i="3"/>
  <c r="V168" i="3"/>
  <c r="R169" i="3"/>
  <c r="Z169" i="3"/>
  <c r="U170" i="3"/>
  <c r="P171" i="3"/>
  <c r="N171" i="3" s="1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AE202" i="3" s="1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N211" i="3" s="1"/>
  <c r="X211" i="3"/>
  <c r="S212" i="3"/>
  <c r="AA212" i="3"/>
  <c r="V213" i="3"/>
  <c r="Q214" i="3"/>
  <c r="Y214" i="3"/>
  <c r="T215" i="3"/>
  <c r="AB215" i="3"/>
  <c r="W216" i="3"/>
  <c r="R217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W117" i="3"/>
  <c r="Y122" i="3"/>
  <c r="V126" i="3"/>
  <c r="AB128" i="3"/>
  <c r="U131" i="3"/>
  <c r="AE131" i="3" s="1"/>
  <c r="AA133" i="3"/>
  <c r="T136" i="3"/>
  <c r="Z138" i="3"/>
  <c r="Q141" i="3"/>
  <c r="V142" i="3"/>
  <c r="Q144" i="3"/>
  <c r="T145" i="3"/>
  <c r="W146" i="3"/>
  <c r="Z147" i="3"/>
  <c r="P149" i="3"/>
  <c r="S150" i="3"/>
  <c r="V151" i="3"/>
  <c r="X152" i="3"/>
  <c r="V153" i="3"/>
  <c r="W154" i="3"/>
  <c r="U155" i="3"/>
  <c r="U156" i="3"/>
  <c r="AE156" i="3" s="1"/>
  <c r="R157" i="3"/>
  <c r="Q158" i="3"/>
  <c r="AA158" i="3"/>
  <c r="X159" i="3"/>
  <c r="W160" i="3"/>
  <c r="T161" i="3"/>
  <c r="Q162" i="3"/>
  <c r="P163" i="3"/>
  <c r="Z163" i="3"/>
  <c r="W164" i="3"/>
  <c r="V165" i="3"/>
  <c r="S166" i="3"/>
  <c r="P167" i="3"/>
  <c r="AA167" i="3"/>
  <c r="W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N184" i="3" s="1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X192" i="3"/>
  <c r="S193" i="3"/>
  <c r="AA193" i="3"/>
  <c r="V194" i="3"/>
  <c r="Q195" i="3"/>
  <c r="Y195" i="3"/>
  <c r="T196" i="3"/>
  <c r="AB196" i="3"/>
  <c r="W197" i="3"/>
  <c r="R198" i="3"/>
  <c r="Z198" i="3"/>
  <c r="U199" i="3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P208" i="3"/>
  <c r="X208" i="3"/>
  <c r="S209" i="3"/>
  <c r="AA209" i="3"/>
  <c r="V210" i="3"/>
  <c r="Q211" i="3"/>
  <c r="Y211" i="3"/>
  <c r="T212" i="3"/>
  <c r="AB212" i="3"/>
  <c r="W213" i="3"/>
  <c r="R214" i="3"/>
  <c r="S118" i="3"/>
  <c r="T123" i="3"/>
  <c r="P127" i="3"/>
  <c r="V129" i="3"/>
  <c r="AB131" i="3"/>
  <c r="U134" i="3"/>
  <c r="AE134" i="3" s="1"/>
  <c r="AA136" i="3"/>
  <c r="T139" i="3"/>
  <c r="R141" i="3"/>
  <c r="AB142" i="3"/>
  <c r="R144" i="3"/>
  <c r="U145" i="3"/>
  <c r="X146" i="3"/>
  <c r="AA147" i="3"/>
  <c r="Q149" i="3"/>
  <c r="T150" i="3"/>
  <c r="W151" i="3"/>
  <c r="Y152" i="3"/>
  <c r="W153" i="3"/>
  <c r="X154" i="3"/>
  <c r="Y155" i="3"/>
  <c r="V156" i="3"/>
  <c r="S157" i="3"/>
  <c r="R158" i="3"/>
  <c r="AB158" i="3"/>
  <c r="Y159" i="3"/>
  <c r="X160" i="3"/>
  <c r="U161" i="3"/>
  <c r="R162" i="3"/>
  <c r="Q163" i="3"/>
  <c r="AA163" i="3"/>
  <c r="X164" i="3"/>
  <c r="W165" i="3"/>
  <c r="T166" i="3"/>
  <c r="Q167" i="3"/>
  <c r="AB167" i="3"/>
  <c r="X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N181" i="3" s="1"/>
  <c r="X181" i="3"/>
  <c r="S182" i="3"/>
  <c r="AA182" i="3"/>
  <c r="V183" i="3"/>
  <c r="Q184" i="3"/>
  <c r="Y184" i="3"/>
  <c r="T185" i="3"/>
  <c r="AB185" i="3"/>
  <c r="W186" i="3"/>
  <c r="R187" i="3"/>
  <c r="Z187" i="3"/>
  <c r="U188" i="3"/>
  <c r="P189" i="3"/>
  <c r="N189" i="3" s="1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N197" i="3" s="1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AB118" i="3"/>
  <c r="AB123" i="3"/>
  <c r="Q127" i="3"/>
  <c r="W129" i="3"/>
  <c r="P132" i="3"/>
  <c r="V134" i="3"/>
  <c r="AB136" i="3"/>
  <c r="U139" i="3"/>
  <c r="S141" i="3"/>
  <c r="P143" i="3"/>
  <c r="S144" i="3"/>
  <c r="V145" i="3"/>
  <c r="Y146" i="3"/>
  <c r="AB147" i="3"/>
  <c r="R149" i="3"/>
  <c r="U150" i="3"/>
  <c r="X151" i="3"/>
  <c r="Z152" i="3"/>
  <c r="AA153" i="3"/>
  <c r="Y154" i="3"/>
  <c r="Z155" i="3"/>
  <c r="W156" i="3"/>
  <c r="V157" i="3"/>
  <c r="S158" i="3"/>
  <c r="P159" i="3"/>
  <c r="AB159" i="3"/>
  <c r="Y160" i="3"/>
  <c r="V161" i="3"/>
  <c r="U162" i="3"/>
  <c r="AE162" i="3" s="1"/>
  <c r="R163" i="3"/>
  <c r="AB163" i="3"/>
  <c r="AA164" i="3"/>
  <c r="X165" i="3"/>
  <c r="U166" i="3"/>
  <c r="T167" i="3"/>
  <c r="P168" i="3"/>
  <c r="Y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19" i="3"/>
  <c r="W124" i="3"/>
  <c r="X127" i="3"/>
  <c r="Q130" i="3"/>
  <c r="W132" i="3"/>
  <c r="P135" i="3"/>
  <c r="N135" i="3" s="1"/>
  <c r="V137" i="3"/>
  <c r="AB139" i="3"/>
  <c r="Y141" i="3"/>
  <c r="Q143" i="3"/>
  <c r="T144" i="3"/>
  <c r="W145" i="3"/>
  <c r="Z146" i="3"/>
  <c r="P148" i="3"/>
  <c r="O148" i="3" s="1"/>
  <c r="S149" i="3"/>
  <c r="V150" i="3"/>
  <c r="Y151" i="3"/>
  <c r="AA152" i="3"/>
  <c r="AB153" i="3"/>
  <c r="Z154" i="3"/>
  <c r="AA155" i="3"/>
  <c r="X156" i="3"/>
  <c r="W157" i="3"/>
  <c r="T158" i="3"/>
  <c r="Q159" i="3"/>
  <c r="P160" i="3"/>
  <c r="O160" i="3" s="1"/>
  <c r="Z160" i="3"/>
  <c r="W161" i="3"/>
  <c r="V162" i="3"/>
  <c r="S163" i="3"/>
  <c r="P164" i="3"/>
  <c r="AD164" i="3" s="1"/>
  <c r="AB164" i="3"/>
  <c r="Y165" i="3"/>
  <c r="V166" i="3"/>
  <c r="U167" i="3"/>
  <c r="AE167" i="3" s="1"/>
  <c r="Q168" i="3"/>
  <c r="Z168" i="3"/>
  <c r="V169" i="3"/>
  <c r="Q170" i="3"/>
  <c r="Y170" i="3"/>
  <c r="T171" i="3"/>
  <c r="AB171" i="3"/>
  <c r="W172" i="3"/>
  <c r="R173" i="3"/>
  <c r="Z173" i="3"/>
  <c r="U174" i="3"/>
  <c r="AE174" i="3" s="1"/>
  <c r="P175" i="3"/>
  <c r="AD175" i="3" s="1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P191" i="3"/>
  <c r="O191" i="3" s="1"/>
  <c r="X191" i="3"/>
  <c r="S192" i="3"/>
  <c r="AA192" i="3"/>
  <c r="V193" i="3"/>
  <c r="Q194" i="3"/>
  <c r="Y194" i="3"/>
  <c r="T195" i="3"/>
  <c r="AB195" i="3"/>
  <c r="W196" i="3"/>
  <c r="R197" i="3"/>
  <c r="Z197" i="3"/>
  <c r="U198" i="3"/>
  <c r="S120" i="3"/>
  <c r="R125" i="3"/>
  <c r="Y127" i="3"/>
  <c r="R130" i="3"/>
  <c r="X132" i="3"/>
  <c r="Q135" i="3"/>
  <c r="W137" i="3"/>
  <c r="P140" i="3"/>
  <c r="Z141" i="3"/>
  <c r="V143" i="3"/>
  <c r="Y144" i="3"/>
  <c r="AB145" i="3"/>
  <c r="R147" i="3"/>
  <c r="U148" i="3"/>
  <c r="X149" i="3"/>
  <c r="AA150" i="3"/>
  <c r="Q152" i="3"/>
  <c r="AB152" i="3"/>
  <c r="P154" i="3"/>
  <c r="Q155" i="3"/>
  <c r="AB155" i="3"/>
  <c r="AA156" i="3"/>
  <c r="X157" i="3"/>
  <c r="U158" i="3"/>
  <c r="T159" i="3"/>
  <c r="Q160" i="3"/>
  <c r="AA160" i="3"/>
  <c r="Z161" i="3"/>
  <c r="W162" i="3"/>
  <c r="T163" i="3"/>
  <c r="S164" i="3"/>
  <c r="P165" i="3"/>
  <c r="Z165" i="3"/>
  <c r="Y166" i="3"/>
  <c r="V167" i="3"/>
  <c r="R168" i="3"/>
  <c r="AA168" i="3"/>
  <c r="W169" i="3"/>
  <c r="R170" i="3"/>
  <c r="AA120" i="3"/>
  <c r="Z125" i="3"/>
  <c r="S128" i="3"/>
  <c r="Y130" i="3"/>
  <c r="R133" i="3"/>
  <c r="X135" i="3"/>
  <c r="Q138" i="3"/>
  <c r="V140" i="3"/>
  <c r="AA141" i="3"/>
  <c r="W143" i="3"/>
  <c r="Z144" i="3"/>
  <c r="P146" i="3"/>
  <c r="S147" i="3"/>
  <c r="V148" i="3"/>
  <c r="Y149" i="3"/>
  <c r="AB150" i="3"/>
  <c r="R152" i="3"/>
  <c r="S153" i="3"/>
  <c r="Q154" i="3"/>
  <c r="R155" i="3"/>
  <c r="P156" i="3"/>
  <c r="N156" i="3" s="1"/>
  <c r="AB156" i="3"/>
  <c r="Y157" i="3"/>
  <c r="V158" i="3"/>
  <c r="U159" i="3"/>
  <c r="AE159" i="3" s="1"/>
  <c r="R160" i="3"/>
  <c r="AB160" i="3"/>
  <c r="AA161" i="3"/>
  <c r="X162" i="3"/>
  <c r="U163" i="3"/>
  <c r="AE163" i="3" s="1"/>
  <c r="T164" i="3"/>
  <c r="Q165" i="3"/>
  <c r="AA165" i="3"/>
  <c r="Z166" i="3"/>
  <c r="W167" i="3"/>
  <c r="S168" i="3"/>
  <c r="AB168" i="3"/>
  <c r="X169" i="3"/>
  <c r="S170" i="3"/>
  <c r="V121" i="3"/>
  <c r="AA125" i="3"/>
  <c r="T128" i="3"/>
  <c r="Z130" i="3"/>
  <c r="S133" i="3"/>
  <c r="Y135" i="3"/>
  <c r="R138" i="3"/>
  <c r="W140" i="3"/>
  <c r="T142" i="3"/>
  <c r="X143" i="3"/>
  <c r="AA144" i="3"/>
  <c r="Q146" i="3"/>
  <c r="T147" i="3"/>
  <c r="W148" i="3"/>
  <c r="Z149" i="3"/>
  <c r="P151" i="3"/>
  <c r="S152" i="3"/>
  <c r="T153" i="3"/>
  <c r="R154" i="3"/>
  <c r="S155" i="3"/>
  <c r="S156" i="3"/>
  <c r="P157" i="3"/>
  <c r="Z157" i="3"/>
  <c r="Y158" i="3"/>
  <c r="V159" i="3"/>
  <c r="S160" i="3"/>
  <c r="R161" i="3"/>
  <c r="AB161" i="3"/>
  <c r="Y162" i="3"/>
  <c r="X163" i="3"/>
  <c r="U164" i="3"/>
  <c r="R165" i="3"/>
  <c r="Q166" i="3"/>
  <c r="AA166" i="3"/>
  <c r="X167" i="3"/>
  <c r="T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Z170" i="3"/>
  <c r="S173" i="3"/>
  <c r="Y175" i="3"/>
  <c r="R178" i="3"/>
  <c r="X180" i="3"/>
  <c r="W182" i="3"/>
  <c r="T184" i="3"/>
  <c r="Y185" i="3"/>
  <c r="V187" i="3"/>
  <c r="S189" i="3"/>
  <c r="X190" i="3"/>
  <c r="U192" i="3"/>
  <c r="R194" i="3"/>
  <c r="U195" i="3"/>
  <c r="AE195" i="3" s="1"/>
  <c r="X196" i="3"/>
  <c r="AA197" i="3"/>
  <c r="P199" i="3"/>
  <c r="AA199" i="3"/>
  <c r="AB200" i="3"/>
  <c r="P202" i="3"/>
  <c r="AA202" i="3"/>
  <c r="AB203" i="3"/>
  <c r="Z204" i="3"/>
  <c r="AA205" i="3"/>
  <c r="AB206" i="3"/>
  <c r="Z207" i="3"/>
  <c r="AA208" i="3"/>
  <c r="Y209" i="3"/>
  <c r="Z210" i="3"/>
  <c r="Z211" i="3"/>
  <c r="W212" i="3"/>
  <c r="T213" i="3"/>
  <c r="S214" i="3"/>
  <c r="AB214" i="3"/>
  <c r="X215" i="3"/>
  <c r="T216" i="3"/>
  <c r="P217" i="3"/>
  <c r="Y217" i="3"/>
  <c r="V218" i="3"/>
  <c r="R219" i="3"/>
  <c r="AA219" i="3"/>
  <c r="W220" i="3"/>
  <c r="S221" i="3"/>
  <c r="AB221" i="3"/>
  <c r="X222" i="3"/>
  <c r="U223" i="3"/>
  <c r="AE223" i="3" s="1"/>
  <c r="Q224" i="3"/>
  <c r="Z224" i="3"/>
  <c r="V225" i="3"/>
  <c r="R226" i="3"/>
  <c r="AA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A170" i="3"/>
  <c r="T173" i="3"/>
  <c r="Z175" i="3"/>
  <c r="S178" i="3"/>
  <c r="Y180" i="3"/>
  <c r="X182" i="3"/>
  <c r="U184" i="3"/>
  <c r="R186" i="3"/>
  <c r="W187" i="3"/>
  <c r="T189" i="3"/>
  <c r="Q191" i="3"/>
  <c r="V192" i="3"/>
  <c r="S194" i="3"/>
  <c r="V195" i="3"/>
  <c r="Y196" i="3"/>
  <c r="AB197" i="3"/>
  <c r="Q199" i="3"/>
  <c r="R200" i="3"/>
  <c r="P201" i="3"/>
  <c r="Q202" i="3"/>
  <c r="AB202" i="3"/>
  <c r="P204" i="3"/>
  <c r="Q205" i="3"/>
  <c r="AB205" i="3"/>
  <c r="P207" i="3"/>
  <c r="AA207" i="3"/>
  <c r="AB208" i="3"/>
  <c r="P210" i="3"/>
  <c r="AA210" i="3"/>
  <c r="AA211" i="3"/>
  <c r="X212" i="3"/>
  <c r="U213" i="3"/>
  <c r="AE213" i="3" s="1"/>
  <c r="T214" i="3"/>
  <c r="P215" i="3"/>
  <c r="Y215" i="3"/>
  <c r="U216" i="3"/>
  <c r="AE216" i="3" s="1"/>
  <c r="Q217" i="3"/>
  <c r="AA217" i="3"/>
  <c r="W218" i="3"/>
  <c r="S219" i="3"/>
  <c r="AB219" i="3"/>
  <c r="X220" i="3"/>
  <c r="T221" i="3"/>
  <c r="P222" i="3"/>
  <c r="O222" i="3" s="1"/>
  <c r="Z222" i="3"/>
  <c r="V223" i="3"/>
  <c r="R224" i="3"/>
  <c r="AA224" i="3"/>
  <c r="W225" i="3"/>
  <c r="S226" i="3"/>
  <c r="AB226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U171" i="3"/>
  <c r="AE171" i="3" s="1"/>
  <c r="AA173" i="3"/>
  <c r="T176" i="3"/>
  <c r="Z178" i="3"/>
  <c r="S181" i="3"/>
  <c r="Q183" i="3"/>
  <c r="V184" i="3"/>
  <c r="S186" i="3"/>
  <c r="P188" i="3"/>
  <c r="U189" i="3"/>
  <c r="R191" i="3"/>
  <c r="AB192" i="3"/>
  <c r="T194" i="3"/>
  <c r="W195" i="3"/>
  <c r="Z196" i="3"/>
  <c r="P198" i="3"/>
  <c r="O198" i="3" s="1"/>
  <c r="R199" i="3"/>
  <c r="S200" i="3"/>
  <c r="Q201" i="3"/>
  <c r="R202" i="3"/>
  <c r="S203" i="3"/>
  <c r="Q204" i="3"/>
  <c r="R205" i="3"/>
  <c r="P206" i="3"/>
  <c r="Q207" i="3"/>
  <c r="R208" i="3"/>
  <c r="P209" i="3"/>
  <c r="AD209" i="3" s="1"/>
  <c r="Q210" i="3"/>
  <c r="AB210" i="3"/>
  <c r="AB211" i="3"/>
  <c r="Y212" i="3"/>
  <c r="X213" i="3"/>
  <c r="U214" i="3"/>
  <c r="AE214" i="3" s="1"/>
  <c r="Q215" i="3"/>
  <c r="Z215" i="3"/>
  <c r="V216" i="3"/>
  <c r="S217" i="3"/>
  <c r="AB217" i="3"/>
  <c r="X218" i="3"/>
  <c r="T219" i="3"/>
  <c r="P220" i="3"/>
  <c r="N220" i="3" s="1"/>
  <c r="Y220" i="3"/>
  <c r="U221" i="3"/>
  <c r="AE221" i="3" s="1"/>
  <c r="R222" i="3"/>
  <c r="AA222" i="3"/>
  <c r="W223" i="3"/>
  <c r="S224" i="3"/>
  <c r="AB224" i="3"/>
  <c r="X225" i="3"/>
  <c r="T226" i="3"/>
  <c r="Q227" i="3"/>
  <c r="Y227" i="3"/>
  <c r="T228" i="3"/>
  <c r="AB228" i="3"/>
  <c r="W229" i="3"/>
  <c r="R230" i="3"/>
  <c r="Z230" i="3"/>
  <c r="U231" i="3"/>
  <c r="P232" i="3"/>
  <c r="O232" i="3" s="1"/>
  <c r="X232" i="3"/>
  <c r="S233" i="3"/>
  <c r="AA233" i="3"/>
  <c r="V234" i="3"/>
  <c r="Q235" i="3"/>
  <c r="Y235" i="3"/>
  <c r="T236" i="3"/>
  <c r="AB236" i="3"/>
  <c r="W237" i="3"/>
  <c r="R238" i="3"/>
  <c r="Z238" i="3"/>
  <c r="U239" i="3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O248" i="3" s="1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X264" i="3"/>
  <c r="S265" i="3"/>
  <c r="AA265" i="3"/>
  <c r="V266" i="3"/>
  <c r="Q267" i="3"/>
  <c r="Y267" i="3"/>
  <c r="T268" i="3"/>
  <c r="V171" i="3"/>
  <c r="AB173" i="3"/>
  <c r="U176" i="3"/>
  <c r="AE176" i="3" s="1"/>
  <c r="AA178" i="3"/>
  <c r="T181" i="3"/>
  <c r="R183" i="3"/>
  <c r="AB184" i="3"/>
  <c r="T186" i="3"/>
  <c r="Q188" i="3"/>
  <c r="AA189" i="3"/>
  <c r="S191" i="3"/>
  <c r="P193" i="3"/>
  <c r="X194" i="3"/>
  <c r="AA195" i="3"/>
  <c r="Q197" i="3"/>
  <c r="T198" i="3"/>
  <c r="S199" i="3"/>
  <c r="T200" i="3"/>
  <c r="U201" i="3"/>
  <c r="AE201" i="3" s="1"/>
  <c r="S202" i="3"/>
  <c r="T203" i="3"/>
  <c r="R204" i="3"/>
  <c r="S205" i="3"/>
  <c r="T206" i="3"/>
  <c r="R207" i="3"/>
  <c r="S208" i="3"/>
  <c r="Q209" i="3"/>
  <c r="R210" i="3"/>
  <c r="S211" i="3"/>
  <c r="P212" i="3"/>
  <c r="Z212" i="3"/>
  <c r="Y213" i="3"/>
  <c r="V214" i="3"/>
  <c r="R215" i="3"/>
  <c r="AA215" i="3"/>
  <c r="X216" i="3"/>
  <c r="T217" i="3"/>
  <c r="P218" i="3"/>
  <c r="AD218" i="3" s="1"/>
  <c r="Y218" i="3"/>
  <c r="U219" i="3"/>
  <c r="AE219" i="3" s="1"/>
  <c r="Q220" i="3"/>
  <c r="Z220" i="3"/>
  <c r="W221" i="3"/>
  <c r="S222" i="3"/>
  <c r="AB222" i="3"/>
  <c r="X223" i="3"/>
  <c r="T224" i="3"/>
  <c r="P225" i="3"/>
  <c r="Y225" i="3"/>
  <c r="V226" i="3"/>
  <c r="R227" i="3"/>
  <c r="Z227" i="3"/>
  <c r="U228" i="3"/>
  <c r="AE228" i="3" s="1"/>
  <c r="P229" i="3"/>
  <c r="AD229" i="3" s="1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N253" i="3" s="1"/>
  <c r="X253" i="3"/>
  <c r="S254" i="3"/>
  <c r="AA254" i="3"/>
  <c r="V255" i="3"/>
  <c r="Q256" i="3"/>
  <c r="Y256" i="3"/>
  <c r="T257" i="3"/>
  <c r="AB257" i="3"/>
  <c r="W258" i="3"/>
  <c r="R259" i="3"/>
  <c r="Z259" i="3"/>
  <c r="U260" i="3"/>
  <c r="P172" i="3"/>
  <c r="N172" i="3" s="1"/>
  <c r="V174" i="3"/>
  <c r="AB176" i="3"/>
  <c r="U179" i="3"/>
  <c r="AE179" i="3" s="1"/>
  <c r="AA181" i="3"/>
  <c r="S183" i="3"/>
  <c r="P185" i="3"/>
  <c r="Z186" i="3"/>
  <c r="R188" i="3"/>
  <c r="AB189" i="3"/>
  <c r="Y191" i="3"/>
  <c r="Q193" i="3"/>
  <c r="Z194" i="3"/>
  <c r="P196" i="3"/>
  <c r="S197" i="3"/>
  <c r="V198" i="3"/>
  <c r="W199" i="3"/>
  <c r="U200" i="3"/>
  <c r="AE200" i="3" s="1"/>
  <c r="V201" i="3"/>
  <c r="T202" i="3"/>
  <c r="U203" i="3"/>
  <c r="V204" i="3"/>
  <c r="T205" i="3"/>
  <c r="U206" i="3"/>
  <c r="S207" i="3"/>
  <c r="T208" i="3"/>
  <c r="U209" i="3"/>
  <c r="S210" i="3"/>
  <c r="T211" i="3"/>
  <c r="Q212" i="3"/>
  <c r="P213" i="3"/>
  <c r="Z213" i="3"/>
  <c r="W214" i="3"/>
  <c r="S215" i="3"/>
  <c r="P216" i="3"/>
  <c r="Y216" i="3"/>
  <c r="U217" i="3"/>
  <c r="AE217" i="3" s="1"/>
  <c r="Q218" i="3"/>
  <c r="Z218" i="3"/>
  <c r="V219" i="3"/>
  <c r="R220" i="3"/>
  <c r="AB220" i="3"/>
  <c r="X221" i="3"/>
  <c r="T222" i="3"/>
  <c r="P223" i="3"/>
  <c r="O223" i="3" s="1"/>
  <c r="Y223" i="3"/>
  <c r="U224" i="3"/>
  <c r="AE224" i="3" s="1"/>
  <c r="Q225" i="3"/>
  <c r="AA225" i="3"/>
  <c r="W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Q172" i="3"/>
  <c r="W174" i="3"/>
  <c r="P177" i="3"/>
  <c r="V179" i="3"/>
  <c r="AB181" i="3"/>
  <c r="Y183" i="3"/>
  <c r="Q185" i="3"/>
  <c r="AA186" i="3"/>
  <c r="X188" i="3"/>
  <c r="P190" i="3"/>
  <c r="O190" i="3" s="1"/>
  <c r="Z191" i="3"/>
  <c r="W193" i="3"/>
  <c r="AA194" i="3"/>
  <c r="Q196" i="3"/>
  <c r="T197" i="3"/>
  <c r="W198" i="3"/>
  <c r="X199" i="3"/>
  <c r="V200" i="3"/>
  <c r="W201" i="3"/>
  <c r="X202" i="3"/>
  <c r="V203" i="3"/>
  <c r="W204" i="3"/>
  <c r="U205" i="3"/>
  <c r="V206" i="3"/>
  <c r="W207" i="3"/>
  <c r="U208" i="3"/>
  <c r="AE208" i="3" s="1"/>
  <c r="V209" i="3"/>
  <c r="T210" i="3"/>
  <c r="U211" i="3"/>
  <c r="AE211" i="3" s="1"/>
  <c r="R212" i="3"/>
  <c r="Q213" i="3"/>
  <c r="AA213" i="3"/>
  <c r="X214" i="3"/>
  <c r="U215" i="3"/>
  <c r="AE215" i="3" s="1"/>
  <c r="Q216" i="3"/>
  <c r="Z216" i="3"/>
  <c r="V217" i="3"/>
  <c r="R218" i="3"/>
  <c r="AA218" i="3"/>
  <c r="W219" i="3"/>
  <c r="T220" i="3"/>
  <c r="P221" i="3"/>
  <c r="Y221" i="3"/>
  <c r="U222" i="3"/>
  <c r="AE222" i="3" s="1"/>
  <c r="Q223" i="3"/>
  <c r="Z223" i="3"/>
  <c r="V224" i="3"/>
  <c r="S225" i="3"/>
  <c r="AB225" i="3"/>
  <c r="X226" i="3"/>
  <c r="T227" i="3"/>
  <c r="AB227" i="3"/>
  <c r="W228" i="3"/>
  <c r="R229" i="3"/>
  <c r="Z229" i="3"/>
  <c r="U230" i="3"/>
  <c r="P231" i="3"/>
  <c r="AD231" i="3" s="1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O239" i="3" s="1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X172" i="3"/>
  <c r="Q175" i="3"/>
  <c r="W177" i="3"/>
  <c r="P180" i="3"/>
  <c r="O180" i="3" s="1"/>
  <c r="P182" i="3"/>
  <c r="Z183" i="3"/>
  <c r="W185" i="3"/>
  <c r="AB186" i="3"/>
  <c r="Y188" i="3"/>
  <c r="V190" i="3"/>
  <c r="AA191" i="3"/>
  <c r="X193" i="3"/>
  <c r="AB194" i="3"/>
  <c r="R196" i="3"/>
  <c r="U197" i="3"/>
  <c r="AE197" i="3" s="1"/>
  <c r="X198" i="3"/>
  <c r="Y199" i="3"/>
  <c r="Z200" i="3"/>
  <c r="X201" i="3"/>
  <c r="Y202" i="3"/>
  <c r="W203" i="3"/>
  <c r="X204" i="3"/>
  <c r="Y205" i="3"/>
  <c r="W206" i="3"/>
  <c r="X207" i="3"/>
  <c r="V208" i="3"/>
  <c r="W209" i="3"/>
  <c r="X210" i="3"/>
  <c r="V211" i="3"/>
  <c r="U212" i="3"/>
  <c r="R213" i="3"/>
  <c r="AB213" i="3"/>
  <c r="Z214" i="3"/>
  <c r="V215" i="3"/>
  <c r="R216" i="3"/>
  <c r="AA216" i="3"/>
  <c r="W217" i="3"/>
  <c r="S218" i="3"/>
  <c r="AB218" i="3"/>
  <c r="Y219" i="3"/>
  <c r="U220" i="3"/>
  <c r="AE220" i="3" s="1"/>
  <c r="Q221" i="3"/>
  <c r="Z221" i="3"/>
  <c r="V222" i="3"/>
  <c r="R223" i="3"/>
  <c r="AA223" i="3"/>
  <c r="X224" i="3"/>
  <c r="T225" i="3"/>
  <c r="P226" i="3"/>
  <c r="Y226" i="3"/>
  <c r="U227" i="3"/>
  <c r="AE227" i="3" s="1"/>
  <c r="P228" i="3"/>
  <c r="O228" i="3" s="1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Y172" i="3"/>
  <c r="R175" i="3"/>
  <c r="X177" i="3"/>
  <c r="Q180" i="3"/>
  <c r="V182" i="3"/>
  <c r="AA183" i="3"/>
  <c r="X185" i="3"/>
  <c r="U187" i="3"/>
  <c r="AE187" i="3" s="1"/>
  <c r="Z188" i="3"/>
  <c r="W190" i="3"/>
  <c r="T192" i="3"/>
  <c r="Y193" i="3"/>
  <c r="S195" i="3"/>
  <c r="V196" i="3"/>
  <c r="Y197" i="3"/>
  <c r="AB198" i="3"/>
  <c r="Z199" i="3"/>
  <c r="AA200" i="3"/>
  <c r="Y201" i="3"/>
  <c r="Z202" i="3"/>
  <c r="AA203" i="3"/>
  <c r="Y204" i="3"/>
  <c r="Z205" i="3"/>
  <c r="X206" i="3"/>
  <c r="Y207" i="3"/>
  <c r="Z208" i="3"/>
  <c r="X209" i="3"/>
  <c r="Y210" i="3"/>
  <c r="W211" i="3"/>
  <c r="V212" i="3"/>
  <c r="S213" i="3"/>
  <c r="P214" i="3"/>
  <c r="N214" i="3" s="1"/>
  <c r="AA214" i="3"/>
  <c r="W215" i="3"/>
  <c r="S216" i="3"/>
  <c r="AB216" i="3"/>
  <c r="X217" i="3"/>
  <c r="T218" i="3"/>
  <c r="Q219" i="3"/>
  <c r="Z219" i="3"/>
  <c r="V220" i="3"/>
  <c r="R221" i="3"/>
  <c r="AA221" i="3"/>
  <c r="W222" i="3"/>
  <c r="S223" i="3"/>
  <c r="P224" i="3"/>
  <c r="Y224" i="3"/>
  <c r="U225" i="3"/>
  <c r="AE225" i="3" s="1"/>
  <c r="Q226" i="3"/>
  <c r="Z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V238" i="3"/>
  <c r="U243" i="3"/>
  <c r="AB245" i="3"/>
  <c r="U248" i="3"/>
  <c r="AE248" i="3" s="1"/>
  <c r="R250" i="3"/>
  <c r="AB251" i="3"/>
  <c r="T253" i="3"/>
  <c r="Q255" i="3"/>
  <c r="AA256" i="3"/>
  <c r="S258" i="3"/>
  <c r="P260" i="3"/>
  <c r="N260" i="3" s="1"/>
  <c r="R261" i="3"/>
  <c r="S262" i="3"/>
  <c r="Q263" i="3"/>
  <c r="R264" i="3"/>
  <c r="P265" i="3"/>
  <c r="Q266" i="3"/>
  <c r="R267" i="3"/>
  <c r="P268" i="3"/>
  <c r="P269" i="3"/>
  <c r="O269" i="3" s="1"/>
  <c r="Z269" i="3"/>
  <c r="W270" i="3"/>
  <c r="V271" i="3"/>
  <c r="S272" i="3"/>
  <c r="P273" i="3"/>
  <c r="N273" i="3" s="1"/>
  <c r="AB273" i="3"/>
  <c r="Y274" i="3"/>
  <c r="V275" i="3"/>
  <c r="U276" i="3"/>
  <c r="R277" i="3"/>
  <c r="AB277" i="3"/>
  <c r="AA278" i="3"/>
  <c r="X279" i="3"/>
  <c r="T280" i="3"/>
  <c r="P281" i="3"/>
  <c r="Z281" i="3"/>
  <c r="V282" i="3"/>
  <c r="R283" i="3"/>
  <c r="AA283" i="3"/>
  <c r="W284" i="3"/>
  <c r="S285" i="3"/>
  <c r="AB285" i="3"/>
  <c r="Y286" i="3"/>
  <c r="U287" i="3"/>
  <c r="AE287" i="3" s="1"/>
  <c r="Q288" i="3"/>
  <c r="Z288" i="3"/>
  <c r="V289" i="3"/>
  <c r="R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O337" i="3" s="1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O353" i="3" s="1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Q239" i="3"/>
  <c r="P244" i="3"/>
  <c r="V246" i="3"/>
  <c r="AA248" i="3"/>
  <c r="S250" i="3"/>
  <c r="P252" i="3"/>
  <c r="Z253" i="3"/>
  <c r="R255" i="3"/>
  <c r="AB256" i="3"/>
  <c r="Y258" i="3"/>
  <c r="Q260" i="3"/>
  <c r="S261" i="3"/>
  <c r="T262" i="3"/>
  <c r="R263" i="3"/>
  <c r="S264" i="3"/>
  <c r="T265" i="3"/>
  <c r="R266" i="3"/>
  <c r="S267" i="3"/>
  <c r="Q268" i="3"/>
  <c r="Q269" i="3"/>
  <c r="AA269" i="3"/>
  <c r="Z270" i="3"/>
  <c r="W271" i="3"/>
  <c r="T272" i="3"/>
  <c r="S273" i="3"/>
  <c r="P274" i="3"/>
  <c r="Z274" i="3"/>
  <c r="Y275" i="3"/>
  <c r="V276" i="3"/>
  <c r="S277" i="3"/>
  <c r="R278" i="3"/>
  <c r="AB278" i="3"/>
  <c r="Y279" i="3"/>
  <c r="U280" i="3"/>
  <c r="AE280" i="3" s="1"/>
  <c r="R281" i="3"/>
  <c r="AA281" i="3"/>
  <c r="W282" i="3"/>
  <c r="S283" i="3"/>
  <c r="AB283" i="3"/>
  <c r="X284" i="3"/>
  <c r="T285" i="3"/>
  <c r="Q286" i="3"/>
  <c r="Z286" i="3"/>
  <c r="V287" i="3"/>
  <c r="R288" i="3"/>
  <c r="AA288" i="3"/>
  <c r="W289" i="3"/>
  <c r="S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AD326" i="3" s="1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P342" i="3"/>
  <c r="AD342" i="3" s="1"/>
  <c r="X342" i="3"/>
  <c r="S343" i="3"/>
  <c r="AA343" i="3"/>
  <c r="V344" i="3"/>
  <c r="Q345" i="3"/>
  <c r="Y345" i="3"/>
  <c r="T346" i="3"/>
  <c r="Y239" i="3"/>
  <c r="Q244" i="3"/>
  <c r="W246" i="3"/>
  <c r="AB248" i="3"/>
  <c r="Y250" i="3"/>
  <c r="Q252" i="3"/>
  <c r="AA253" i="3"/>
  <c r="X255" i="3"/>
  <c r="P257" i="3"/>
  <c r="Z258" i="3"/>
  <c r="V260" i="3"/>
  <c r="T261" i="3"/>
  <c r="U262" i="3"/>
  <c r="AE262" i="3" s="1"/>
  <c r="V263" i="3"/>
  <c r="T264" i="3"/>
  <c r="U265" i="3"/>
  <c r="S266" i="3"/>
  <c r="T267" i="3"/>
  <c r="U268" i="3"/>
  <c r="R269" i="3"/>
  <c r="AB269" i="3"/>
  <c r="AA270" i="3"/>
  <c r="X271" i="3"/>
  <c r="U272" i="3"/>
  <c r="T273" i="3"/>
  <c r="Q274" i="3"/>
  <c r="AA274" i="3"/>
  <c r="Z275" i="3"/>
  <c r="W276" i="3"/>
  <c r="T277" i="3"/>
  <c r="S278" i="3"/>
  <c r="P279" i="3"/>
  <c r="Z279" i="3"/>
  <c r="W280" i="3"/>
  <c r="S281" i="3"/>
  <c r="AB281" i="3"/>
  <c r="X282" i="3"/>
  <c r="T283" i="3"/>
  <c r="P284" i="3"/>
  <c r="Y284" i="3"/>
  <c r="V285" i="3"/>
  <c r="R286" i="3"/>
  <c r="AA286" i="3"/>
  <c r="W287" i="3"/>
  <c r="S288" i="3"/>
  <c r="AB288" i="3"/>
  <c r="X289" i="3"/>
  <c r="U290" i="3"/>
  <c r="P291" i="3"/>
  <c r="N291" i="3" s="1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AD299" i="3" s="1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AD331" i="3" s="1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T240" i="3"/>
  <c r="X244" i="3"/>
  <c r="Q247" i="3"/>
  <c r="P249" i="3"/>
  <c r="Z250" i="3"/>
  <c r="W252" i="3"/>
  <c r="AB253" i="3"/>
  <c r="Y255" i="3"/>
  <c r="V257" i="3"/>
  <c r="AA258" i="3"/>
  <c r="W260" i="3"/>
  <c r="X261" i="3"/>
  <c r="V262" i="3"/>
  <c r="W263" i="3"/>
  <c r="U264" i="3"/>
  <c r="V265" i="3"/>
  <c r="W266" i="3"/>
  <c r="U267" i="3"/>
  <c r="AE267" i="3" s="1"/>
  <c r="V268" i="3"/>
  <c r="S269" i="3"/>
  <c r="R270" i="3"/>
  <c r="AB270" i="3"/>
  <c r="Y271" i="3"/>
  <c r="X272" i="3"/>
  <c r="U273" i="3"/>
  <c r="AE273" i="3" s="1"/>
  <c r="R274" i="3"/>
  <c r="Q275" i="3"/>
  <c r="AA275" i="3"/>
  <c r="X276" i="3"/>
  <c r="W277" i="3"/>
  <c r="T278" i="3"/>
  <c r="Q279" i="3"/>
  <c r="AB279" i="3"/>
  <c r="X280" i="3"/>
  <c r="T281" i="3"/>
  <c r="P282" i="3"/>
  <c r="Y282" i="3"/>
  <c r="U283" i="3"/>
  <c r="AE283" i="3" s="1"/>
  <c r="Q284" i="3"/>
  <c r="AA284" i="3"/>
  <c r="W285" i="3"/>
  <c r="S286" i="3"/>
  <c r="AB286" i="3"/>
  <c r="X287" i="3"/>
  <c r="T288" i="3"/>
  <c r="P289" i="3"/>
  <c r="Z289" i="3"/>
  <c r="V290" i="3"/>
  <c r="Q291" i="3"/>
  <c r="Y291" i="3"/>
  <c r="T292" i="3"/>
  <c r="AB292" i="3"/>
  <c r="W293" i="3"/>
  <c r="R294" i="3"/>
  <c r="Z294" i="3"/>
  <c r="U295" i="3"/>
  <c r="AE295" i="3" s="1"/>
  <c r="P296" i="3"/>
  <c r="N296" i="3" s="1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O312" i="3" s="1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AB240" i="3"/>
  <c r="Y244" i="3"/>
  <c r="R247" i="3"/>
  <c r="V249" i="3"/>
  <c r="AA250" i="3"/>
  <c r="X252" i="3"/>
  <c r="U254" i="3"/>
  <c r="AE254" i="3" s="1"/>
  <c r="Z255" i="3"/>
  <c r="W257" i="3"/>
  <c r="T259" i="3"/>
  <c r="X260" i="3"/>
  <c r="Y261" i="3"/>
  <c r="W262" i="3"/>
  <c r="X263" i="3"/>
  <c r="Y264" i="3"/>
  <c r="W265" i="3"/>
  <c r="X266" i="3"/>
  <c r="V267" i="3"/>
  <c r="W268" i="3"/>
  <c r="T269" i="3"/>
  <c r="S270" i="3"/>
  <c r="P271" i="3"/>
  <c r="Z271" i="3"/>
  <c r="Y272" i="3"/>
  <c r="V273" i="3"/>
  <c r="S274" i="3"/>
  <c r="R275" i="3"/>
  <c r="AB275" i="3"/>
  <c r="Y276" i="3"/>
  <c r="X277" i="3"/>
  <c r="U278" i="3"/>
  <c r="AE278" i="3" s="1"/>
  <c r="R279" i="3"/>
  <c r="P280" i="3"/>
  <c r="O280" i="3" s="1"/>
  <c r="Y280" i="3"/>
  <c r="U281" i="3"/>
  <c r="Q282" i="3"/>
  <c r="Z282" i="3"/>
  <c r="V283" i="3"/>
  <c r="S284" i="3"/>
  <c r="AB284" i="3"/>
  <c r="X285" i="3"/>
  <c r="T286" i="3"/>
  <c r="P287" i="3"/>
  <c r="Y287" i="3"/>
  <c r="U288" i="3"/>
  <c r="R289" i="3"/>
  <c r="AA289" i="3"/>
  <c r="W290" i="3"/>
  <c r="R291" i="3"/>
  <c r="Z291" i="3"/>
  <c r="U292" i="3"/>
  <c r="P293" i="3"/>
  <c r="AD293" i="3" s="1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W241" i="3"/>
  <c r="S245" i="3"/>
  <c r="Y247" i="3"/>
  <c r="W249" i="3"/>
  <c r="T251" i="3"/>
  <c r="Y252" i="3"/>
  <c r="V254" i="3"/>
  <c r="S256" i="3"/>
  <c r="X257" i="3"/>
  <c r="U259" i="3"/>
  <c r="AE259" i="3" s="1"/>
  <c r="Y260" i="3"/>
  <c r="Z261" i="3"/>
  <c r="AA262" i="3"/>
  <c r="Y263" i="3"/>
  <c r="Z264" i="3"/>
  <c r="X265" i="3"/>
  <c r="Y266" i="3"/>
  <c r="Z267" i="3"/>
  <c r="X268" i="3"/>
  <c r="W269" i="3"/>
  <c r="T270" i="3"/>
  <c r="Q271" i="3"/>
  <c r="P272" i="3"/>
  <c r="Z272" i="3"/>
  <c r="W273" i="3"/>
  <c r="V274" i="3"/>
  <c r="S275" i="3"/>
  <c r="P276" i="3"/>
  <c r="AB276" i="3"/>
  <c r="Y277" i="3"/>
  <c r="V278" i="3"/>
  <c r="U279" i="3"/>
  <c r="Q280" i="3"/>
  <c r="Z280" i="3"/>
  <c r="V281" i="3"/>
  <c r="R282" i="3"/>
  <c r="AA282" i="3"/>
  <c r="X283" i="3"/>
  <c r="T284" i="3"/>
  <c r="P285" i="3"/>
  <c r="Y285" i="3"/>
  <c r="U286" i="3"/>
  <c r="AE286" i="3" s="1"/>
  <c r="Q287" i="3"/>
  <c r="Z287" i="3"/>
  <c r="W288" i="3"/>
  <c r="S289" i="3"/>
  <c r="AB289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R242" i="3"/>
  <c r="T245" i="3"/>
  <c r="Z247" i="3"/>
  <c r="X249" i="3"/>
  <c r="U251" i="3"/>
  <c r="AE251" i="3" s="1"/>
  <c r="R253" i="3"/>
  <c r="W254" i="3"/>
  <c r="T256" i="3"/>
  <c r="Q258" i="3"/>
  <c r="V259" i="3"/>
  <c r="P261" i="3"/>
  <c r="AA261" i="3"/>
  <c r="AB262" i="3"/>
  <c r="Z263" i="3"/>
  <c r="AA264" i="3"/>
  <c r="AB265" i="3"/>
  <c r="Z266" i="3"/>
  <c r="AA267" i="3"/>
  <c r="Y268" i="3"/>
  <c r="X269" i="3"/>
  <c r="U270" i="3"/>
  <c r="AE270" i="3" s="1"/>
  <c r="R271" i="3"/>
  <c r="Q272" i="3"/>
  <c r="AA272" i="3"/>
  <c r="X273" i="3"/>
  <c r="W274" i="3"/>
  <c r="T275" i="3"/>
  <c r="Q276" i="3"/>
  <c r="P277" i="3"/>
  <c r="Z277" i="3"/>
  <c r="W278" i="3"/>
  <c r="V279" i="3"/>
  <c r="R280" i="3"/>
  <c r="AA280" i="3"/>
  <c r="W281" i="3"/>
  <c r="S282" i="3"/>
  <c r="P283" i="3"/>
  <c r="AD283" i="3" s="1"/>
  <c r="Y283" i="3"/>
  <c r="U284" i="3"/>
  <c r="Q285" i="3"/>
  <c r="Z285" i="3"/>
  <c r="V286" i="3"/>
  <c r="R287" i="3"/>
  <c r="AB287" i="3"/>
  <c r="X288" i="3"/>
  <c r="T289" i="3"/>
  <c r="P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P303" i="3"/>
  <c r="N303" i="3" s="1"/>
  <c r="Z242" i="3"/>
  <c r="AA245" i="3"/>
  <c r="T248" i="3"/>
  <c r="Q250" i="3"/>
  <c r="V251" i="3"/>
  <c r="S253" i="3"/>
  <c r="P255" i="3"/>
  <c r="N255" i="3" s="1"/>
  <c r="U256" i="3"/>
  <c r="R258" i="3"/>
  <c r="AB259" i="3"/>
  <c r="Q261" i="3"/>
  <c r="AB261" i="3"/>
  <c r="P263" i="3"/>
  <c r="O263" i="3" s="1"/>
  <c r="Q264" i="3"/>
  <c r="AB264" i="3"/>
  <c r="P266" i="3"/>
  <c r="AA266" i="3"/>
  <c r="AB267" i="3"/>
  <c r="AB268" i="3"/>
  <c r="Y269" i="3"/>
  <c r="V270" i="3"/>
  <c r="U271" i="3"/>
  <c r="R272" i="3"/>
  <c r="AB272" i="3"/>
  <c r="AA273" i="3"/>
  <c r="X274" i="3"/>
  <c r="U275" i="3"/>
  <c r="T276" i="3"/>
  <c r="Q277" i="3"/>
  <c r="AA277" i="3"/>
  <c r="Z278" i="3"/>
  <c r="W279" i="3"/>
  <c r="S280" i="3"/>
  <c r="AB280" i="3"/>
  <c r="X281" i="3"/>
  <c r="U282" i="3"/>
  <c r="AE282" i="3" s="1"/>
  <c r="Q283" i="3"/>
  <c r="Z283" i="3"/>
  <c r="V284" i="3"/>
  <c r="R285" i="3"/>
  <c r="AA285" i="3"/>
  <c r="W286" i="3"/>
  <c r="T287" i="3"/>
  <c r="P288" i="3"/>
  <c r="Y288" i="3"/>
  <c r="U289" i="3"/>
  <c r="Q290" i="3"/>
  <c r="Z290" i="3"/>
  <c r="U291" i="3"/>
  <c r="AE291" i="3" s="1"/>
  <c r="P292" i="3"/>
  <c r="N292" i="3" s="1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N308" i="3" s="1"/>
  <c r="X308" i="3"/>
  <c r="S309" i="3"/>
  <c r="AA309" i="3"/>
  <c r="V310" i="3"/>
  <c r="Q311" i="3"/>
  <c r="S299" i="3"/>
  <c r="X303" i="3"/>
  <c r="Q306" i="3"/>
  <c r="W308" i="3"/>
  <c r="P311" i="3"/>
  <c r="AD311" i="3" s="1"/>
  <c r="AA312" i="3"/>
  <c r="X314" i="3"/>
  <c r="P316" i="3"/>
  <c r="Z317" i="3"/>
  <c r="W319" i="3"/>
  <c r="AB320" i="3"/>
  <c r="Y322" i="3"/>
  <c r="AB323" i="3"/>
  <c r="R325" i="3"/>
  <c r="U326" i="3"/>
  <c r="X327" i="3"/>
  <c r="Y328" i="3"/>
  <c r="W329" i="3"/>
  <c r="X330" i="3"/>
  <c r="Y331" i="3"/>
  <c r="W332" i="3"/>
  <c r="X333" i="3"/>
  <c r="V334" i="3"/>
  <c r="W335" i="3"/>
  <c r="X336" i="3"/>
  <c r="V337" i="3"/>
  <c r="W338" i="3"/>
  <c r="U339" i="3"/>
  <c r="V340" i="3"/>
  <c r="W341" i="3"/>
  <c r="U342" i="3"/>
  <c r="AE342" i="3" s="1"/>
  <c r="T343" i="3"/>
  <c r="Q344" i="3"/>
  <c r="AA344" i="3"/>
  <c r="Z345" i="3"/>
  <c r="W346" i="3"/>
  <c r="S347" i="3"/>
  <c r="AB347" i="3"/>
  <c r="X348" i="3"/>
  <c r="U349" i="3"/>
  <c r="AE349" i="3" s="1"/>
  <c r="Q350" i="3"/>
  <c r="Z350" i="3"/>
  <c r="V351" i="3"/>
  <c r="R352" i="3"/>
  <c r="AA352" i="3"/>
  <c r="W353" i="3"/>
  <c r="T354" i="3"/>
  <c r="P355" i="3"/>
  <c r="Y355" i="3"/>
  <c r="U356" i="3"/>
  <c r="Q357" i="3"/>
  <c r="Z357" i="3"/>
  <c r="V358" i="3"/>
  <c r="S359" i="3"/>
  <c r="AB359" i="3"/>
  <c r="X360" i="3"/>
  <c r="T361" i="3"/>
  <c r="P362" i="3"/>
  <c r="Y362" i="3"/>
  <c r="U363" i="3"/>
  <c r="AE363" i="3" s="1"/>
  <c r="R364" i="3"/>
  <c r="AA364" i="3"/>
  <c r="W365" i="3"/>
  <c r="R366" i="3"/>
  <c r="Z366" i="3"/>
  <c r="U367" i="3"/>
  <c r="P368" i="3"/>
  <c r="O368" i="3" s="1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AD400" i="3" s="1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N408" i="3" s="1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N416" i="3" s="1"/>
  <c r="X416" i="3"/>
  <c r="S417" i="3"/>
  <c r="AA417" i="3"/>
  <c r="V418" i="3"/>
  <c r="Q419" i="3"/>
  <c r="Y419" i="3"/>
  <c r="T420" i="3"/>
  <c r="AA299" i="3"/>
  <c r="R304" i="3"/>
  <c r="X306" i="3"/>
  <c r="Q309" i="3"/>
  <c r="W311" i="3"/>
  <c r="AB312" i="3"/>
  <c r="Y314" i="3"/>
  <c r="V316" i="3"/>
  <c r="AA317" i="3"/>
  <c r="X319" i="3"/>
  <c r="U321" i="3"/>
  <c r="Z322" i="3"/>
  <c r="P324" i="3"/>
  <c r="S325" i="3"/>
  <c r="V326" i="3"/>
  <c r="Y327" i="3"/>
  <c r="Z328" i="3"/>
  <c r="AA329" i="3"/>
  <c r="Y330" i="3"/>
  <c r="Z331" i="3"/>
  <c r="X332" i="3"/>
  <c r="Y333" i="3"/>
  <c r="Z334" i="3"/>
  <c r="X335" i="3"/>
  <c r="Y336" i="3"/>
  <c r="W337" i="3"/>
  <c r="X338" i="3"/>
  <c r="Y339" i="3"/>
  <c r="W340" i="3"/>
  <c r="X341" i="3"/>
  <c r="V342" i="3"/>
  <c r="U343" i="3"/>
  <c r="AE343" i="3" s="1"/>
  <c r="R344" i="3"/>
  <c r="AB344" i="3"/>
  <c r="AA345" i="3"/>
  <c r="X346" i="3"/>
  <c r="T347" i="3"/>
  <c r="P348" i="3"/>
  <c r="N348" i="3" s="1"/>
  <c r="Z348" i="3"/>
  <c r="V349" i="3"/>
  <c r="R350" i="3"/>
  <c r="AA350" i="3"/>
  <c r="W351" i="3"/>
  <c r="S352" i="3"/>
  <c r="AB352" i="3"/>
  <c r="Y353" i="3"/>
  <c r="U354" i="3"/>
  <c r="AE354" i="3" s="1"/>
  <c r="Q355" i="3"/>
  <c r="Z355" i="3"/>
  <c r="V356" i="3"/>
  <c r="R357" i="3"/>
  <c r="AA357" i="3"/>
  <c r="X358" i="3"/>
  <c r="T359" i="3"/>
  <c r="P360" i="3"/>
  <c r="O360" i="3" s="1"/>
  <c r="Y360" i="3"/>
  <c r="U361" i="3"/>
  <c r="AE361" i="3" s="1"/>
  <c r="Q362" i="3"/>
  <c r="Z362" i="3"/>
  <c r="W363" i="3"/>
  <c r="S364" i="3"/>
  <c r="AB364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N373" i="3" s="1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O413" i="3" s="1"/>
  <c r="X413" i="3"/>
  <c r="V300" i="3"/>
  <c r="S304" i="3"/>
  <c r="Y306" i="3"/>
  <c r="R309" i="3"/>
  <c r="X311" i="3"/>
  <c r="U313" i="3"/>
  <c r="AE313" i="3" s="1"/>
  <c r="Z314" i="3"/>
  <c r="W316" i="3"/>
  <c r="T318" i="3"/>
  <c r="Y319" i="3"/>
  <c r="V321" i="3"/>
  <c r="Q323" i="3"/>
  <c r="T324" i="3"/>
  <c r="W325" i="3"/>
  <c r="Z326" i="3"/>
  <c r="P328" i="3"/>
  <c r="AA328" i="3"/>
  <c r="AB329" i="3"/>
  <c r="Z330" i="3"/>
  <c r="AA331" i="3"/>
  <c r="AB332" i="3"/>
  <c r="Z333" i="3"/>
  <c r="AA334" i="3"/>
  <c r="Y335" i="3"/>
  <c r="Z336" i="3"/>
  <c r="AA337" i="3"/>
  <c r="Y338" i="3"/>
  <c r="Z339" i="3"/>
  <c r="X340" i="3"/>
  <c r="Y341" i="3"/>
  <c r="Y342" i="3"/>
  <c r="V343" i="3"/>
  <c r="S344" i="3"/>
  <c r="R345" i="3"/>
  <c r="AB345" i="3"/>
  <c r="Y346" i="3"/>
  <c r="U347" i="3"/>
  <c r="R348" i="3"/>
  <c r="AA348" i="3"/>
  <c r="W349" i="3"/>
  <c r="S350" i="3"/>
  <c r="AB350" i="3"/>
  <c r="X351" i="3"/>
  <c r="T352" i="3"/>
  <c r="Q353" i="3"/>
  <c r="Z353" i="3"/>
  <c r="V354" i="3"/>
  <c r="R355" i="3"/>
  <c r="AA355" i="3"/>
  <c r="W356" i="3"/>
  <c r="S357" i="3"/>
  <c r="P358" i="3"/>
  <c r="O358" i="3" s="1"/>
  <c r="Y358" i="3"/>
  <c r="U359" i="3"/>
  <c r="AE359" i="3" s="1"/>
  <c r="Q360" i="3"/>
  <c r="Z360" i="3"/>
  <c r="V361" i="3"/>
  <c r="R362" i="3"/>
  <c r="AB362" i="3"/>
  <c r="X363" i="3"/>
  <c r="T364" i="3"/>
  <c r="P365" i="3"/>
  <c r="O365" i="3" s="1"/>
  <c r="Y365" i="3"/>
  <c r="T366" i="3"/>
  <c r="AB366" i="3"/>
  <c r="W367" i="3"/>
  <c r="R368" i="3"/>
  <c r="Z368" i="3"/>
  <c r="U369" i="3"/>
  <c r="P370" i="3"/>
  <c r="N370" i="3" s="1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Q301" i="3"/>
  <c r="Z304" i="3"/>
  <c r="S307" i="3"/>
  <c r="Y309" i="3"/>
  <c r="Y311" i="3"/>
  <c r="V313" i="3"/>
  <c r="S315" i="3"/>
  <c r="X316" i="3"/>
  <c r="U318" i="3"/>
  <c r="AE318" i="3" s="1"/>
  <c r="R320" i="3"/>
  <c r="W321" i="3"/>
  <c r="S323" i="3"/>
  <c r="V324" i="3"/>
  <c r="Y325" i="3"/>
  <c r="AB326" i="3"/>
  <c r="Q328" i="3"/>
  <c r="AB328" i="3"/>
  <c r="P330" i="3"/>
  <c r="O330" i="3" s="1"/>
  <c r="Q331" i="3"/>
  <c r="AB331" i="3"/>
  <c r="P333" i="3"/>
  <c r="AA333" i="3"/>
  <c r="AB334" i="3"/>
  <c r="P336" i="3"/>
  <c r="O336" i="3" s="1"/>
  <c r="AA336" i="3"/>
  <c r="AB337" i="3"/>
  <c r="Z338" i="3"/>
  <c r="AA339" i="3"/>
  <c r="AB340" i="3"/>
  <c r="Z341" i="3"/>
  <c r="Z342" i="3"/>
  <c r="W343" i="3"/>
  <c r="T344" i="3"/>
  <c r="S345" i="3"/>
  <c r="P346" i="3"/>
  <c r="Z346" i="3"/>
  <c r="W347" i="3"/>
  <c r="S348" i="3"/>
  <c r="AB348" i="3"/>
  <c r="X349" i="3"/>
  <c r="T350" i="3"/>
  <c r="P351" i="3"/>
  <c r="Y351" i="3"/>
  <c r="V352" i="3"/>
  <c r="R353" i="3"/>
  <c r="AA353" i="3"/>
  <c r="W354" i="3"/>
  <c r="S355" i="3"/>
  <c r="AB355" i="3"/>
  <c r="X356" i="3"/>
  <c r="U357" i="3"/>
  <c r="AE357" i="3" s="1"/>
  <c r="Q358" i="3"/>
  <c r="Z358" i="3"/>
  <c r="V359" i="3"/>
  <c r="R360" i="3"/>
  <c r="AA360" i="3"/>
  <c r="W361" i="3"/>
  <c r="T362" i="3"/>
  <c r="P363" i="3"/>
  <c r="N363" i="3" s="1"/>
  <c r="Y363" i="3"/>
  <c r="U364" i="3"/>
  <c r="Q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P375" i="3"/>
  <c r="N375" i="3" s="1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AD383" i="3" s="1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O391" i="3" s="1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Y301" i="3"/>
  <c r="AA304" i="3"/>
  <c r="T307" i="3"/>
  <c r="Z309" i="3"/>
  <c r="R312" i="3"/>
  <c r="W313" i="3"/>
  <c r="T315" i="3"/>
  <c r="Q317" i="3"/>
  <c r="V318" i="3"/>
  <c r="S320" i="3"/>
  <c r="P322" i="3"/>
  <c r="AD322" i="3" s="1"/>
  <c r="T323" i="3"/>
  <c r="W324" i="3"/>
  <c r="Z325" i="3"/>
  <c r="P327" i="3"/>
  <c r="R328" i="3"/>
  <c r="S329" i="3"/>
  <c r="Q330" i="3"/>
  <c r="R331" i="3"/>
  <c r="P332" i="3"/>
  <c r="AD332" i="3" s="1"/>
  <c r="Q333" i="3"/>
  <c r="R334" i="3"/>
  <c r="P335" i="3"/>
  <c r="Q336" i="3"/>
  <c r="AB336" i="3"/>
  <c r="P338" i="3"/>
  <c r="Q339" i="3"/>
  <c r="AB339" i="3"/>
  <c r="P341" i="3"/>
  <c r="AD341" i="3" s="1"/>
  <c r="AA341" i="3"/>
  <c r="AA342" i="3"/>
  <c r="X343" i="3"/>
  <c r="W344" i="3"/>
  <c r="T345" i="3"/>
  <c r="Q346" i="3"/>
  <c r="AB346" i="3"/>
  <c r="X347" i="3"/>
  <c r="T348" i="3"/>
  <c r="P349" i="3"/>
  <c r="Y349" i="3"/>
  <c r="U350" i="3"/>
  <c r="AE350" i="3" s="1"/>
  <c r="Q351" i="3"/>
  <c r="AA351" i="3"/>
  <c r="W352" i="3"/>
  <c r="S353" i="3"/>
  <c r="AB353" i="3"/>
  <c r="X354" i="3"/>
  <c r="T355" i="3"/>
  <c r="P356" i="3"/>
  <c r="Z356" i="3"/>
  <c r="V357" i="3"/>
  <c r="R358" i="3"/>
  <c r="AA358" i="3"/>
  <c r="W359" i="3"/>
  <c r="S360" i="3"/>
  <c r="AB360" i="3"/>
  <c r="Y361" i="3"/>
  <c r="U362" i="3"/>
  <c r="AE362" i="3" s="1"/>
  <c r="Q363" i="3"/>
  <c r="Z363" i="3"/>
  <c r="V364" i="3"/>
  <c r="R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N380" i="3" s="1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X388" i="3"/>
  <c r="S389" i="3"/>
  <c r="AA389" i="3"/>
  <c r="V390" i="3"/>
  <c r="Q391" i="3"/>
  <c r="Y391" i="3"/>
  <c r="T392" i="3"/>
  <c r="AB392" i="3"/>
  <c r="W393" i="3"/>
  <c r="R394" i="3"/>
  <c r="Z394" i="3"/>
  <c r="T302" i="3"/>
  <c r="U305" i="3"/>
  <c r="AE305" i="3" s="1"/>
  <c r="AA307" i="3"/>
  <c r="T310" i="3"/>
  <c r="S312" i="3"/>
  <c r="P314" i="3"/>
  <c r="U315" i="3"/>
  <c r="AE315" i="3" s="1"/>
  <c r="R317" i="3"/>
  <c r="AB318" i="3"/>
  <c r="T320" i="3"/>
  <c r="Q322" i="3"/>
  <c r="U323" i="3"/>
  <c r="AE323" i="3" s="1"/>
  <c r="X324" i="3"/>
  <c r="AA325" i="3"/>
  <c r="Q327" i="3"/>
  <c r="S328" i="3"/>
  <c r="T329" i="3"/>
  <c r="R330" i="3"/>
  <c r="S331" i="3"/>
  <c r="T332" i="3"/>
  <c r="R333" i="3"/>
  <c r="S334" i="3"/>
  <c r="Q335" i="3"/>
  <c r="R336" i="3"/>
  <c r="S337" i="3"/>
  <c r="Q338" i="3"/>
  <c r="R339" i="3"/>
  <c r="P340" i="3"/>
  <c r="Q341" i="3"/>
  <c r="R342" i="3"/>
  <c r="AB342" i="3"/>
  <c r="Y343" i="3"/>
  <c r="X344" i="3"/>
  <c r="U345" i="3"/>
  <c r="R346" i="3"/>
  <c r="P347" i="3"/>
  <c r="Y347" i="3"/>
  <c r="U348" i="3"/>
  <c r="AE348" i="3" s="1"/>
  <c r="Q349" i="3"/>
  <c r="Z349" i="3"/>
  <c r="V350" i="3"/>
  <c r="S351" i="3"/>
  <c r="AB351" i="3"/>
  <c r="X352" i="3"/>
  <c r="T353" i="3"/>
  <c r="P354" i="3"/>
  <c r="Y354" i="3"/>
  <c r="U355" i="3"/>
  <c r="AE355" i="3" s="1"/>
  <c r="R356" i="3"/>
  <c r="AA356" i="3"/>
  <c r="W357" i="3"/>
  <c r="S358" i="3"/>
  <c r="AB358" i="3"/>
  <c r="X359" i="3"/>
  <c r="T360" i="3"/>
  <c r="Q361" i="3"/>
  <c r="Z361" i="3"/>
  <c r="V362" i="3"/>
  <c r="R363" i="3"/>
  <c r="AA363" i="3"/>
  <c r="W364" i="3"/>
  <c r="S365" i="3"/>
  <c r="AB365" i="3"/>
  <c r="W366" i="3"/>
  <c r="R367" i="3"/>
  <c r="Z367" i="3"/>
  <c r="U368" i="3"/>
  <c r="AE368" i="3" s="1"/>
  <c r="P369" i="3"/>
  <c r="O369" i="3" s="1"/>
  <c r="X369" i="3"/>
  <c r="S370" i="3"/>
  <c r="AA370" i="3"/>
  <c r="V371" i="3"/>
  <c r="Q372" i="3"/>
  <c r="Y372" i="3"/>
  <c r="T373" i="3"/>
  <c r="AB373" i="3"/>
  <c r="W374" i="3"/>
  <c r="R375" i="3"/>
  <c r="AB302" i="3"/>
  <c r="V305" i="3"/>
  <c r="AB307" i="3"/>
  <c r="U310" i="3"/>
  <c r="AE310" i="3" s="1"/>
  <c r="T312" i="3"/>
  <c r="Q314" i="3"/>
  <c r="AA315" i="3"/>
  <c r="S317" i="3"/>
  <c r="P319" i="3"/>
  <c r="N319" i="3" s="1"/>
  <c r="Z320" i="3"/>
  <c r="R322" i="3"/>
  <c r="Y323" i="3"/>
  <c r="AB324" i="3"/>
  <c r="R326" i="3"/>
  <c r="U327" i="3"/>
  <c r="T328" i="3"/>
  <c r="U329" i="3"/>
  <c r="AE329" i="3" s="1"/>
  <c r="V330" i="3"/>
  <c r="T331" i="3"/>
  <c r="U332" i="3"/>
  <c r="AE332" i="3" s="1"/>
  <c r="S333" i="3"/>
  <c r="T334" i="3"/>
  <c r="U335" i="3"/>
  <c r="S336" i="3"/>
  <c r="T337" i="3"/>
  <c r="R338" i="3"/>
  <c r="S339" i="3"/>
  <c r="T340" i="3"/>
  <c r="R341" i="3"/>
  <c r="S342" i="3"/>
  <c r="P343" i="3"/>
  <c r="AB343" i="3"/>
  <c r="Y344" i="3"/>
  <c r="V345" i="3"/>
  <c r="U346" i="3"/>
  <c r="Q347" i="3"/>
  <c r="Z347" i="3"/>
  <c r="V348" i="3"/>
  <c r="R349" i="3"/>
  <c r="AA349" i="3"/>
  <c r="X350" i="3"/>
  <c r="T351" i="3"/>
  <c r="P352" i="3"/>
  <c r="Y352" i="3"/>
  <c r="U353" i="3"/>
  <c r="AE353" i="3" s="1"/>
  <c r="Q354" i="3"/>
  <c r="Z354" i="3"/>
  <c r="W355" i="3"/>
  <c r="S356" i="3"/>
  <c r="AB356" i="3"/>
  <c r="X357" i="3"/>
  <c r="T358" i="3"/>
  <c r="P359" i="3"/>
  <c r="AD359" i="3" s="1"/>
  <c r="Y359" i="3"/>
  <c r="V360" i="3"/>
  <c r="R361" i="3"/>
  <c r="AA361" i="3"/>
  <c r="W362" i="3"/>
  <c r="S363" i="3"/>
  <c r="AB363" i="3"/>
  <c r="X364" i="3"/>
  <c r="U365" i="3"/>
  <c r="AE365" i="3" s="1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N374" i="3" s="1"/>
  <c r="X374" i="3"/>
  <c r="S375" i="3"/>
  <c r="AA375" i="3"/>
  <c r="V376" i="3"/>
  <c r="Q377" i="3"/>
  <c r="Y377" i="3"/>
  <c r="T378" i="3"/>
  <c r="AB378" i="3"/>
  <c r="W379" i="3"/>
  <c r="W303" i="3"/>
  <c r="P306" i="3"/>
  <c r="V308" i="3"/>
  <c r="AB310" i="3"/>
  <c r="Z312" i="3"/>
  <c r="R314" i="3"/>
  <c r="AB315" i="3"/>
  <c r="Y317" i="3"/>
  <c r="Q319" i="3"/>
  <c r="AA320" i="3"/>
  <c r="X322" i="3"/>
  <c r="AA323" i="3"/>
  <c r="Q325" i="3"/>
  <c r="T326" i="3"/>
  <c r="W327" i="3"/>
  <c r="X328" i="3"/>
  <c r="V329" i="3"/>
  <c r="W330" i="3"/>
  <c r="U331" i="3"/>
  <c r="AE331" i="3" s="1"/>
  <c r="V332" i="3"/>
  <c r="W333" i="3"/>
  <c r="U334" i="3"/>
  <c r="V335" i="3"/>
  <c r="T336" i="3"/>
  <c r="U337" i="3"/>
  <c r="AE337" i="3" s="1"/>
  <c r="V338" i="3"/>
  <c r="T339" i="3"/>
  <c r="U340" i="3"/>
  <c r="AE340" i="3" s="1"/>
  <c r="S341" i="3"/>
  <c r="T342" i="3"/>
  <c r="Q343" i="3"/>
  <c r="AH343" i="3" s="1"/>
  <c r="P344" i="3"/>
  <c r="Z344" i="3"/>
  <c r="W345" i="3"/>
  <c r="V346" i="3"/>
  <c r="R347" i="3"/>
  <c r="AA347" i="3"/>
  <c r="W348" i="3"/>
  <c r="S349" i="3"/>
  <c r="P350" i="3"/>
  <c r="Y350" i="3"/>
  <c r="U351" i="3"/>
  <c r="Q352" i="3"/>
  <c r="Z352" i="3"/>
  <c r="V353" i="3"/>
  <c r="R354" i="3"/>
  <c r="AB354" i="3"/>
  <c r="X355" i="3"/>
  <c r="T356" i="3"/>
  <c r="P357" i="3"/>
  <c r="N357" i="3" s="1"/>
  <c r="Y357" i="3"/>
  <c r="U358" i="3"/>
  <c r="AE358" i="3" s="1"/>
  <c r="Q359" i="3"/>
  <c r="AA359" i="3"/>
  <c r="W360" i="3"/>
  <c r="S361" i="3"/>
  <c r="AB361" i="3"/>
  <c r="X362" i="3"/>
  <c r="T363" i="3"/>
  <c r="P364" i="3"/>
  <c r="N364" i="3" s="1"/>
  <c r="Z364" i="3"/>
  <c r="V365" i="3"/>
  <c r="Q366" i="3"/>
  <c r="Y366" i="3"/>
  <c r="T367" i="3"/>
  <c r="AB367" i="3"/>
  <c r="W368" i="3"/>
  <c r="R369" i="3"/>
  <c r="Z369" i="3"/>
  <c r="U370" i="3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O379" i="3" s="1"/>
  <c r="Z375" i="3"/>
  <c r="Q380" i="3"/>
  <c r="V381" i="3"/>
  <c r="S383" i="3"/>
  <c r="P385" i="3"/>
  <c r="U386" i="3"/>
  <c r="AE386" i="3" s="1"/>
  <c r="R388" i="3"/>
  <c r="AB389" i="3"/>
  <c r="T391" i="3"/>
  <c r="Q393" i="3"/>
  <c r="AA394" i="3"/>
  <c r="Q396" i="3"/>
  <c r="T397" i="3"/>
  <c r="W398" i="3"/>
  <c r="Z399" i="3"/>
  <c r="AA400" i="3"/>
  <c r="Y401" i="3"/>
  <c r="Z402" i="3"/>
  <c r="X403" i="3"/>
  <c r="Y404" i="3"/>
  <c r="Z405" i="3"/>
  <c r="X406" i="3"/>
  <c r="Y407" i="3"/>
  <c r="W408" i="3"/>
  <c r="X409" i="3"/>
  <c r="Y410" i="3"/>
  <c r="V411" i="3"/>
  <c r="S412" i="3"/>
  <c r="R413" i="3"/>
  <c r="AB413" i="3"/>
  <c r="X414" i="3"/>
  <c r="T415" i="3"/>
  <c r="Q416" i="3"/>
  <c r="Z416" i="3"/>
  <c r="V417" i="3"/>
  <c r="R418" i="3"/>
  <c r="AA418" i="3"/>
  <c r="W419" i="3"/>
  <c r="S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N456" i="3" s="1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U376" i="3"/>
  <c r="AE376" i="3" s="1"/>
  <c r="R380" i="3"/>
  <c r="AB381" i="3"/>
  <c r="T383" i="3"/>
  <c r="Q385" i="3"/>
  <c r="AA386" i="3"/>
  <c r="S388" i="3"/>
  <c r="P390" i="3"/>
  <c r="N390" i="3" s="1"/>
  <c r="Z391" i="3"/>
  <c r="R393" i="3"/>
  <c r="AB394" i="3"/>
  <c r="R396" i="3"/>
  <c r="U397" i="3"/>
  <c r="X398" i="3"/>
  <c r="AA399" i="3"/>
  <c r="AB400" i="3"/>
  <c r="Z401" i="3"/>
  <c r="AA402" i="3"/>
  <c r="AB403" i="3"/>
  <c r="Z404" i="3"/>
  <c r="AA405" i="3"/>
  <c r="Y406" i="3"/>
  <c r="Z407" i="3"/>
  <c r="AA408" i="3"/>
  <c r="Y409" i="3"/>
  <c r="Z410" i="3"/>
  <c r="W411" i="3"/>
  <c r="V412" i="3"/>
  <c r="S413" i="3"/>
  <c r="P414" i="3"/>
  <c r="AD414" i="3" s="1"/>
  <c r="Y414" i="3"/>
  <c r="V415" i="3"/>
  <c r="R416" i="3"/>
  <c r="AA416" i="3"/>
  <c r="W417" i="3"/>
  <c r="S418" i="3"/>
  <c r="AB418" i="3"/>
  <c r="X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O437" i="3" s="1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N453" i="3" s="1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O461" i="3" s="1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N469" i="3" s="1"/>
  <c r="X469" i="3"/>
  <c r="S470" i="3"/>
  <c r="AA470" i="3"/>
  <c r="V471" i="3"/>
  <c r="Q472" i="3"/>
  <c r="Y472" i="3"/>
  <c r="T473" i="3"/>
  <c r="AB473" i="3"/>
  <c r="W474" i="3"/>
  <c r="R475" i="3"/>
  <c r="Z475" i="3"/>
  <c r="P377" i="3"/>
  <c r="S380" i="3"/>
  <c r="P382" i="3"/>
  <c r="N382" i="3" s="1"/>
  <c r="Z383" i="3"/>
  <c r="R385" i="3"/>
  <c r="AB386" i="3"/>
  <c r="Y388" i="3"/>
  <c r="Q390" i="3"/>
  <c r="AA391" i="3"/>
  <c r="X393" i="3"/>
  <c r="P395" i="3"/>
  <c r="AD395" i="3" s="1"/>
  <c r="S396" i="3"/>
  <c r="V397" i="3"/>
  <c r="Y398" i="3"/>
  <c r="AB399" i="3"/>
  <c r="P401" i="3"/>
  <c r="Q402" i="3"/>
  <c r="AB402" i="3"/>
  <c r="P404" i="3"/>
  <c r="O404" i="3" s="1"/>
  <c r="AA404" i="3"/>
  <c r="AB405" i="3"/>
  <c r="P407" i="3"/>
  <c r="N407" i="3" s="1"/>
  <c r="AA407" i="3"/>
  <c r="AB408" i="3"/>
  <c r="Z409" i="3"/>
  <c r="AA410" i="3"/>
  <c r="X411" i="3"/>
  <c r="W412" i="3"/>
  <c r="T413" i="3"/>
  <c r="Q414" i="3"/>
  <c r="AA414" i="3"/>
  <c r="W415" i="3"/>
  <c r="S416" i="3"/>
  <c r="AB416" i="3"/>
  <c r="X417" i="3"/>
  <c r="T418" i="3"/>
  <c r="P419" i="3"/>
  <c r="Z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P434" i="3"/>
  <c r="N434" i="3" s="1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N450" i="3" s="1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X377" i="3"/>
  <c r="Y380" i="3"/>
  <c r="Q382" i="3"/>
  <c r="AA383" i="3"/>
  <c r="X385" i="3"/>
  <c r="P387" i="3"/>
  <c r="Z388" i="3"/>
  <c r="W390" i="3"/>
  <c r="AB391" i="3"/>
  <c r="Y393" i="3"/>
  <c r="U395" i="3"/>
  <c r="X396" i="3"/>
  <c r="AA397" i="3"/>
  <c r="Q399" i="3"/>
  <c r="S400" i="3"/>
  <c r="Q401" i="3"/>
  <c r="R402" i="3"/>
  <c r="P403" i="3"/>
  <c r="Q404" i="3"/>
  <c r="R405" i="3"/>
  <c r="S378" i="3"/>
  <c r="Z380" i="3"/>
  <c r="W382" i="3"/>
  <c r="AB383" i="3"/>
  <c r="Y385" i="3"/>
  <c r="V387" i="3"/>
  <c r="AA388" i="3"/>
  <c r="X390" i="3"/>
  <c r="U392" i="3"/>
  <c r="AE392" i="3" s="1"/>
  <c r="Z393" i="3"/>
  <c r="V395" i="3"/>
  <c r="Y396" i="3"/>
  <c r="AB397" i="3"/>
  <c r="R399" i="3"/>
  <c r="T400" i="3"/>
  <c r="R401" i="3"/>
  <c r="S402" i="3"/>
  <c r="T403" i="3"/>
  <c r="R404" i="3"/>
  <c r="S405" i="3"/>
  <c r="Q406" i="3"/>
  <c r="R407" i="3"/>
  <c r="S408" i="3"/>
  <c r="Q409" i="3"/>
  <c r="R410" i="3"/>
  <c r="P411" i="3"/>
  <c r="AB411" i="3"/>
  <c r="Y412" i="3"/>
  <c r="V413" i="3"/>
  <c r="T414" i="3"/>
  <c r="P415" i="3"/>
  <c r="Y415" i="3"/>
  <c r="U416" i="3"/>
  <c r="AE416" i="3" s="1"/>
  <c r="Q417" i="3"/>
  <c r="Z417" i="3"/>
  <c r="W418" i="3"/>
  <c r="S419" i="3"/>
  <c r="AB419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AD436" i="3" s="1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AA378" i="3"/>
  <c r="AA380" i="3"/>
  <c r="X382" i="3"/>
  <c r="U384" i="3"/>
  <c r="AE384" i="3" s="1"/>
  <c r="Z385" i="3"/>
  <c r="W387" i="3"/>
  <c r="T389" i="3"/>
  <c r="Y390" i="3"/>
  <c r="V392" i="3"/>
  <c r="S394" i="3"/>
  <c r="W395" i="3"/>
  <c r="Z396" i="3"/>
  <c r="P398" i="3"/>
  <c r="S399" i="3"/>
  <c r="U400" i="3"/>
  <c r="AE400" i="3" s="1"/>
  <c r="V401" i="3"/>
  <c r="T402" i="3"/>
  <c r="U403" i="3"/>
  <c r="AE403" i="3" s="1"/>
  <c r="S404" i="3"/>
  <c r="T405" i="3"/>
  <c r="U406" i="3"/>
  <c r="AE406" i="3" s="1"/>
  <c r="S407" i="3"/>
  <c r="T408" i="3"/>
  <c r="R409" i="3"/>
  <c r="S410" i="3"/>
  <c r="S411" i="3"/>
  <c r="P412" i="3"/>
  <c r="N412" i="3" s="1"/>
  <c r="Z412" i="3"/>
  <c r="Y413" i="3"/>
  <c r="U414" i="3"/>
  <c r="Q415" i="3"/>
  <c r="Z415" i="3"/>
  <c r="V416" i="3"/>
  <c r="R417" i="3"/>
  <c r="AB417" i="3"/>
  <c r="X418" i="3"/>
  <c r="T419" i="3"/>
  <c r="P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AD441" i="3" s="1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AD449" i="3" s="1"/>
  <c r="X449" i="3"/>
  <c r="S450" i="3"/>
  <c r="AA450" i="3"/>
  <c r="V451" i="3"/>
  <c r="Q452" i="3"/>
  <c r="V379" i="3"/>
  <c r="T381" i="3"/>
  <c r="Y382" i="3"/>
  <c r="V384" i="3"/>
  <c r="S386" i="3"/>
  <c r="X387" i="3"/>
  <c r="U389" i="3"/>
  <c r="AE389" i="3" s="1"/>
  <c r="R391" i="3"/>
  <c r="W392" i="3"/>
  <c r="T394" i="3"/>
  <c r="X395" i="3"/>
  <c r="AA396" i="3"/>
  <c r="Q398" i="3"/>
  <c r="T399" i="3"/>
  <c r="V400" i="3"/>
  <c r="W401" i="3"/>
  <c r="U402" i="3"/>
  <c r="AE402" i="3" s="1"/>
  <c r="V403" i="3"/>
  <c r="W404" i="3"/>
  <c r="U405" i="3"/>
  <c r="V406" i="3"/>
  <c r="T407" i="3"/>
  <c r="U408" i="3"/>
  <c r="AE408" i="3" s="1"/>
  <c r="V409" i="3"/>
  <c r="T410" i="3"/>
  <c r="T411" i="3"/>
  <c r="Q412" i="3"/>
  <c r="AA412" i="3"/>
  <c r="Z413" i="3"/>
  <c r="V414" i="3"/>
  <c r="R415" i="3"/>
  <c r="AA415" i="3"/>
  <c r="W416" i="3"/>
  <c r="T417" i="3"/>
  <c r="P418" i="3"/>
  <c r="Y418" i="3"/>
  <c r="U419" i="3"/>
  <c r="AE419" i="3" s="1"/>
  <c r="Q420" i="3"/>
  <c r="Z420" i="3"/>
  <c r="U421" i="3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X379" i="3"/>
  <c r="U381" i="3"/>
  <c r="R383" i="3"/>
  <c r="W384" i="3"/>
  <c r="T386" i="3"/>
  <c r="Q388" i="3"/>
  <c r="V389" i="3"/>
  <c r="S391" i="3"/>
  <c r="P393" i="3"/>
  <c r="U394" i="3"/>
  <c r="AE394" i="3" s="1"/>
  <c r="P396" i="3"/>
  <c r="S397" i="3"/>
  <c r="V398" i="3"/>
  <c r="Y399" i="3"/>
  <c r="W400" i="3"/>
  <c r="X401" i="3"/>
  <c r="Y402" i="3"/>
  <c r="W403" i="3"/>
  <c r="X404" i="3"/>
  <c r="V405" i="3"/>
  <c r="W406" i="3"/>
  <c r="X407" i="3"/>
  <c r="V408" i="3"/>
  <c r="W409" i="3"/>
  <c r="U410" i="3"/>
  <c r="U411" i="3"/>
  <c r="AE411" i="3" s="1"/>
  <c r="R412" i="3"/>
  <c r="Q413" i="3"/>
  <c r="AA413" i="3"/>
  <c r="W414" i="3"/>
  <c r="S415" i="3"/>
  <c r="AB415" i="3"/>
  <c r="Y416" i="3"/>
  <c r="U417" i="3"/>
  <c r="AE417" i="3" s="1"/>
  <c r="Q418" i="3"/>
  <c r="Z418" i="3"/>
  <c r="V419" i="3"/>
  <c r="R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X427" i="3"/>
  <c r="S428" i="3"/>
  <c r="AA428" i="3"/>
  <c r="V429" i="3"/>
  <c r="Q430" i="3"/>
  <c r="Y430" i="3"/>
  <c r="T431" i="3"/>
  <c r="AB431" i="3"/>
  <c r="W432" i="3"/>
  <c r="R433" i="3"/>
  <c r="Z433" i="3"/>
  <c r="U434" i="3"/>
  <c r="P435" i="3"/>
  <c r="O435" i="3" s="1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N443" i="3" s="1"/>
  <c r="X443" i="3"/>
  <c r="S444" i="3"/>
  <c r="AA444" i="3"/>
  <c r="V445" i="3"/>
  <c r="Q446" i="3"/>
  <c r="Y446" i="3"/>
  <c r="T447" i="3"/>
  <c r="AB447" i="3"/>
  <c r="W448" i="3"/>
  <c r="R449" i="3"/>
  <c r="P406" i="3"/>
  <c r="N406" i="3" s="1"/>
  <c r="U413" i="3"/>
  <c r="AE413" i="3" s="1"/>
  <c r="R419" i="3"/>
  <c r="S424" i="3"/>
  <c r="R429" i="3"/>
  <c r="Q434" i="3"/>
  <c r="P439" i="3"/>
  <c r="N439" i="3" s="1"/>
  <c r="AB443" i="3"/>
  <c r="S447" i="3"/>
  <c r="Y449" i="3"/>
  <c r="T451" i="3"/>
  <c r="Z452" i="3"/>
  <c r="P454" i="3"/>
  <c r="S455" i="3"/>
  <c r="V456" i="3"/>
  <c r="Y457" i="3"/>
  <c r="AB458" i="3"/>
  <c r="Q460" i="3"/>
  <c r="Q461" i="3"/>
  <c r="P462" i="3"/>
  <c r="N462" i="3" s="1"/>
  <c r="P463" i="3"/>
  <c r="AA463" i="3"/>
  <c r="Z464" i="3"/>
  <c r="W465" i="3"/>
  <c r="T466" i="3"/>
  <c r="S467" i="3"/>
  <c r="P468" i="3"/>
  <c r="Z468" i="3"/>
  <c r="Y469" i="3"/>
  <c r="V470" i="3"/>
  <c r="S471" i="3"/>
  <c r="R472" i="3"/>
  <c r="AB472" i="3"/>
  <c r="Y473" i="3"/>
  <c r="X474" i="3"/>
  <c r="U475" i="3"/>
  <c r="R476" i="3"/>
  <c r="AA476" i="3"/>
  <c r="X477" i="3"/>
  <c r="T478" i="3"/>
  <c r="P479" i="3"/>
  <c r="O479" i="3" s="1"/>
  <c r="Y479" i="3"/>
  <c r="U480" i="3"/>
  <c r="AE480" i="3" s="1"/>
  <c r="Q481" i="3"/>
  <c r="Z481" i="3"/>
  <c r="W482" i="3"/>
  <c r="S483" i="3"/>
  <c r="AB483" i="3"/>
  <c r="X484" i="3"/>
  <c r="T485" i="3"/>
  <c r="P486" i="3"/>
  <c r="N486" i="3" s="1"/>
  <c r="Y486" i="3"/>
  <c r="V487" i="3"/>
  <c r="R488" i="3"/>
  <c r="Z488" i="3"/>
  <c r="U489" i="3"/>
  <c r="P490" i="3"/>
  <c r="O490" i="3" s="1"/>
  <c r="X490" i="3"/>
  <c r="S491" i="3"/>
  <c r="AA491" i="3"/>
  <c r="V492" i="3"/>
  <c r="Q493" i="3"/>
  <c r="Y493" i="3"/>
  <c r="T494" i="3"/>
  <c r="AB494" i="3"/>
  <c r="W495" i="3"/>
  <c r="Q407" i="3"/>
  <c r="S414" i="3"/>
  <c r="AA419" i="3"/>
  <c r="AA424" i="3"/>
  <c r="Z429" i="3"/>
  <c r="Y434" i="3"/>
  <c r="X439" i="3"/>
  <c r="W444" i="3"/>
  <c r="X447" i="3"/>
  <c r="Z449" i="3"/>
  <c r="W451" i="3"/>
  <c r="AA452" i="3"/>
  <c r="Q454" i="3"/>
  <c r="T455" i="3"/>
  <c r="W456" i="3"/>
  <c r="Z457" i="3"/>
  <c r="P459" i="3"/>
  <c r="R460" i="3"/>
  <c r="R461" i="3"/>
  <c r="Q462" i="3"/>
  <c r="R463" i="3"/>
  <c r="AB463" i="3"/>
  <c r="AA464" i="3"/>
  <c r="X465" i="3"/>
  <c r="U466" i="3"/>
  <c r="T467" i="3"/>
  <c r="Q468" i="3"/>
  <c r="AA468" i="3"/>
  <c r="Z469" i="3"/>
  <c r="W470" i="3"/>
  <c r="T471" i="3"/>
  <c r="S472" i="3"/>
  <c r="P473" i="3"/>
  <c r="AD473" i="3" s="1"/>
  <c r="Z473" i="3"/>
  <c r="Y474" i="3"/>
  <c r="V475" i="3"/>
  <c r="S476" i="3"/>
  <c r="P477" i="3"/>
  <c r="Y477" i="3"/>
  <c r="U478" i="3"/>
  <c r="AE478" i="3" s="1"/>
  <c r="Q479" i="3"/>
  <c r="Z479" i="3"/>
  <c r="V480" i="3"/>
  <c r="R481" i="3"/>
  <c r="AB481" i="3"/>
  <c r="X482" i="3"/>
  <c r="T483" i="3"/>
  <c r="P484" i="3"/>
  <c r="AD484" i="3" s="1"/>
  <c r="Y484" i="3"/>
  <c r="U485" i="3"/>
  <c r="AE485" i="3" s="1"/>
  <c r="Q486" i="3"/>
  <c r="AA486" i="3"/>
  <c r="W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N495" i="3" s="1"/>
  <c r="X495" i="3"/>
  <c r="AB407" i="3"/>
  <c r="AB414" i="3"/>
  <c r="W420" i="3"/>
  <c r="V425" i="3"/>
  <c r="U430" i="3"/>
  <c r="AE430" i="3" s="1"/>
  <c r="T435" i="3"/>
  <c r="S440" i="3"/>
  <c r="R445" i="3"/>
  <c r="AA447" i="3"/>
  <c r="Q450" i="3"/>
  <c r="X451" i="3"/>
  <c r="R453" i="3"/>
  <c r="U454" i="3"/>
  <c r="AE454" i="3" s="1"/>
  <c r="X455" i="3"/>
  <c r="AA456" i="3"/>
  <c r="Q458" i="3"/>
  <c r="T459" i="3"/>
  <c r="S460" i="3"/>
  <c r="T461" i="3"/>
  <c r="T462" i="3"/>
  <c r="S463" i="3"/>
  <c r="R464" i="3"/>
  <c r="AB464" i="3"/>
  <c r="Y465" i="3"/>
  <c r="X466" i="3"/>
  <c r="U467" i="3"/>
  <c r="AE467" i="3" s="1"/>
  <c r="R468" i="3"/>
  <c r="Q469" i="3"/>
  <c r="AA469" i="3"/>
  <c r="X470" i="3"/>
  <c r="W471" i="3"/>
  <c r="T472" i="3"/>
  <c r="Q473" i="3"/>
  <c r="P474" i="3"/>
  <c r="AD474" i="3" s="1"/>
  <c r="Z474" i="3"/>
  <c r="W475" i="3"/>
  <c r="U476" i="3"/>
  <c r="AE476" i="3" s="1"/>
  <c r="Q477" i="3"/>
  <c r="Z477" i="3"/>
  <c r="V478" i="3"/>
  <c r="R479" i="3"/>
  <c r="AA479" i="3"/>
  <c r="W480" i="3"/>
  <c r="T481" i="3"/>
  <c r="P482" i="3"/>
  <c r="N482" i="3" s="1"/>
  <c r="Y482" i="3"/>
  <c r="U483" i="3"/>
  <c r="AE483" i="3" s="1"/>
  <c r="Q484" i="3"/>
  <c r="Z484" i="3"/>
  <c r="V485" i="3"/>
  <c r="S486" i="3"/>
  <c r="AB486" i="3"/>
  <c r="X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P409" i="3"/>
  <c r="X415" i="3"/>
  <c r="R421" i="3"/>
  <c r="Q426" i="3"/>
  <c r="P431" i="3"/>
  <c r="AB435" i="3"/>
  <c r="AA440" i="3"/>
  <c r="Z445" i="3"/>
  <c r="S448" i="3"/>
  <c r="T450" i="3"/>
  <c r="AB451" i="3"/>
  <c r="T453" i="3"/>
  <c r="W454" i="3"/>
  <c r="Z455" i="3"/>
  <c r="P457" i="3"/>
  <c r="N457" i="3" s="1"/>
  <c r="S458" i="3"/>
  <c r="V459" i="3"/>
  <c r="V460" i="3"/>
  <c r="U461" i="3"/>
  <c r="AE461" i="3" s="1"/>
  <c r="U462" i="3"/>
  <c r="AE462" i="3" s="1"/>
  <c r="T463" i="3"/>
  <c r="S464" i="3"/>
  <c r="P465" i="3"/>
  <c r="Z465" i="3"/>
  <c r="Y466" i="3"/>
  <c r="V467" i="3"/>
  <c r="S468" i="3"/>
  <c r="R469" i="3"/>
  <c r="AB469" i="3"/>
  <c r="Y470" i="3"/>
  <c r="X471" i="3"/>
  <c r="U472" i="3"/>
  <c r="AE472" i="3" s="1"/>
  <c r="R473" i="3"/>
  <c r="Q474" i="3"/>
  <c r="AA474" i="3"/>
  <c r="X475" i="3"/>
  <c r="V476" i="3"/>
  <c r="R477" i="3"/>
  <c r="AA477" i="3"/>
  <c r="W478" i="3"/>
  <c r="S479" i="3"/>
  <c r="AB479" i="3"/>
  <c r="Y480" i="3"/>
  <c r="U481" i="3"/>
  <c r="AE481" i="3" s="1"/>
  <c r="Q482" i="3"/>
  <c r="Z482" i="3"/>
  <c r="V483" i="3"/>
  <c r="R484" i="3"/>
  <c r="AA484" i="3"/>
  <c r="X485" i="3"/>
  <c r="T486" i="3"/>
  <c r="P487" i="3"/>
  <c r="Y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Q410" i="3"/>
  <c r="T416" i="3"/>
  <c r="Z421" i="3"/>
  <c r="Y426" i="3"/>
  <c r="X431" i="3"/>
  <c r="W436" i="3"/>
  <c r="V441" i="3"/>
  <c r="P446" i="3"/>
  <c r="V448" i="3"/>
  <c r="U450" i="3"/>
  <c r="AE450" i="3" s="1"/>
  <c r="R452" i="3"/>
  <c r="U453" i="3"/>
  <c r="X454" i="3"/>
  <c r="AA455" i="3"/>
  <c r="Q457" i="3"/>
  <c r="T458" i="3"/>
  <c r="W459" i="3"/>
  <c r="W460" i="3"/>
  <c r="V461" i="3"/>
  <c r="W462" i="3"/>
  <c r="W463" i="3"/>
  <c r="T464" i="3"/>
  <c r="Q465" i="3"/>
  <c r="P466" i="3"/>
  <c r="Z466" i="3"/>
  <c r="W467" i="3"/>
  <c r="V468" i="3"/>
  <c r="S469" i="3"/>
  <c r="P470" i="3"/>
  <c r="AB470" i="3"/>
  <c r="Y471" i="3"/>
  <c r="V472" i="3"/>
  <c r="U473" i="3"/>
  <c r="AE473" i="3" s="1"/>
  <c r="R474" i="3"/>
  <c r="AB474" i="3"/>
  <c r="AA475" i="3"/>
  <c r="W476" i="3"/>
  <c r="S477" i="3"/>
  <c r="AB477" i="3"/>
  <c r="X478" i="3"/>
  <c r="T479" i="3"/>
  <c r="Q480" i="3"/>
  <c r="Z480" i="3"/>
  <c r="V481" i="3"/>
  <c r="R482" i="3"/>
  <c r="AA482" i="3"/>
  <c r="W483" i="3"/>
  <c r="S484" i="3"/>
  <c r="P485" i="3"/>
  <c r="Y485" i="3"/>
  <c r="U486" i="3"/>
  <c r="AE486" i="3" s="1"/>
  <c r="Q487" i="3"/>
  <c r="Z487" i="3"/>
  <c r="V488" i="3"/>
  <c r="Q489" i="3"/>
  <c r="Y489" i="3"/>
  <c r="T490" i="3"/>
  <c r="AB490" i="3"/>
  <c r="W491" i="3"/>
  <c r="R492" i="3"/>
  <c r="Z492" i="3"/>
  <c r="U493" i="3"/>
  <c r="AE493" i="3" s="1"/>
  <c r="P494" i="3"/>
  <c r="N494" i="3" s="1"/>
  <c r="X494" i="3"/>
  <c r="S495" i="3"/>
  <c r="AA495" i="3"/>
  <c r="AB410" i="3"/>
  <c r="P417" i="3"/>
  <c r="U422" i="3"/>
  <c r="AE422" i="3" s="1"/>
  <c r="T427" i="3"/>
  <c r="S432" i="3"/>
  <c r="R437" i="3"/>
  <c r="Q442" i="3"/>
  <c r="U446" i="3"/>
  <c r="AE446" i="3" s="1"/>
  <c r="AA448" i="3"/>
  <c r="Y450" i="3"/>
  <c r="S452" i="3"/>
  <c r="V453" i="3"/>
  <c r="Y454" i="3"/>
  <c r="AB455" i="3"/>
  <c r="R457" i="3"/>
  <c r="U458" i="3"/>
  <c r="AE458" i="3" s="1"/>
  <c r="X459" i="3"/>
  <c r="Y460" i="3"/>
  <c r="Y461" i="3"/>
  <c r="X462" i="3"/>
  <c r="X463" i="3"/>
  <c r="U464" i="3"/>
  <c r="R465" i="3"/>
  <c r="Q466" i="3"/>
  <c r="AA466" i="3"/>
  <c r="X467" i="3"/>
  <c r="W468" i="3"/>
  <c r="T469" i="3"/>
  <c r="Q470" i="3"/>
  <c r="P471" i="3"/>
  <c r="Z471" i="3"/>
  <c r="W472" i="3"/>
  <c r="V473" i="3"/>
  <c r="S474" i="3"/>
  <c r="P475" i="3"/>
  <c r="AD475" i="3" s="1"/>
  <c r="AB475" i="3"/>
  <c r="X476" i="3"/>
  <c r="T477" i="3"/>
  <c r="P478" i="3"/>
  <c r="O478" i="3" s="1"/>
  <c r="Y478" i="3"/>
  <c r="V479" i="3"/>
  <c r="R480" i="3"/>
  <c r="AA480" i="3"/>
  <c r="W481" i="3"/>
  <c r="S482" i="3"/>
  <c r="AB482" i="3"/>
  <c r="X483" i="3"/>
  <c r="U484" i="3"/>
  <c r="AE484" i="3" s="1"/>
  <c r="Q485" i="3"/>
  <c r="Z485" i="3"/>
  <c r="V486" i="3"/>
  <c r="R487" i="3"/>
  <c r="AA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AA411" i="3"/>
  <c r="Y417" i="3"/>
  <c r="P423" i="3"/>
  <c r="N423" i="3" s="1"/>
  <c r="AB427" i="3"/>
  <c r="AA432" i="3"/>
  <c r="Z437" i="3"/>
  <c r="Y442" i="3"/>
  <c r="X446" i="3"/>
  <c r="Q449" i="3"/>
  <c r="AB450" i="3"/>
  <c r="W452" i="3"/>
  <c r="Z453" i="3"/>
  <c r="P455" i="3"/>
  <c r="N455" i="3" s="1"/>
  <c r="S456" i="3"/>
  <c r="V457" i="3"/>
  <c r="Y458" i="3"/>
  <c r="AA459" i="3"/>
  <c r="Z460" i="3"/>
  <c r="Z461" i="3"/>
  <c r="Y462" i="3"/>
  <c r="Y463" i="3"/>
  <c r="V464" i="3"/>
  <c r="U465" i="3"/>
  <c r="AE465" i="3" s="1"/>
  <c r="R466" i="3"/>
  <c r="AB466" i="3"/>
  <c r="AA467" i="3"/>
  <c r="X468" i="3"/>
  <c r="U469" i="3"/>
  <c r="T470" i="3"/>
  <c r="Q471" i="3"/>
  <c r="AA471" i="3"/>
  <c r="Z472" i="3"/>
  <c r="W473" i="3"/>
  <c r="T474" i="3"/>
  <c r="S475" i="3"/>
  <c r="P476" i="3"/>
  <c r="Y476" i="3"/>
  <c r="U477" i="3"/>
  <c r="AE477" i="3" s="1"/>
  <c r="Q478" i="3"/>
  <c r="AA478" i="3"/>
  <c r="W479" i="3"/>
  <c r="S480" i="3"/>
  <c r="AB480" i="3"/>
  <c r="X481" i="3"/>
  <c r="T482" i="3"/>
  <c r="P483" i="3"/>
  <c r="AD483" i="3" s="1"/>
  <c r="Z483" i="3"/>
  <c r="V484" i="3"/>
  <c r="R485" i="3"/>
  <c r="AA485" i="3"/>
  <c r="W486" i="3"/>
  <c r="S487" i="3"/>
  <c r="AB487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X412" i="3"/>
  <c r="U418" i="3"/>
  <c r="AE418" i="3" s="1"/>
  <c r="X423" i="3"/>
  <c r="W428" i="3"/>
  <c r="V433" i="3"/>
  <c r="U438" i="3"/>
  <c r="AE438" i="3" s="1"/>
  <c r="T443" i="3"/>
  <c r="P447" i="3"/>
  <c r="AD447" i="3" s="1"/>
  <c r="V449" i="3"/>
  <c r="P451" i="3"/>
  <c r="AD451" i="3" s="1"/>
  <c r="Y452" i="3"/>
  <c r="AB453" i="3"/>
  <c r="R455" i="3"/>
  <c r="U456" i="3"/>
  <c r="AE456" i="3" s="1"/>
  <c r="X457" i="3"/>
  <c r="AA458" i="3"/>
  <c r="AB459" i="3"/>
  <c r="AA460" i="3"/>
  <c r="AB461" i="3"/>
  <c r="AB462" i="3"/>
  <c r="Z463" i="3"/>
  <c r="W464" i="3"/>
  <c r="V465" i="3"/>
  <c r="S466" i="3"/>
  <c r="P467" i="3"/>
  <c r="AB467" i="3"/>
  <c r="Y468" i="3"/>
  <c r="V469" i="3"/>
  <c r="U470" i="3"/>
  <c r="AE470" i="3" s="1"/>
  <c r="R471" i="3"/>
  <c r="AB471" i="3"/>
  <c r="AA472" i="3"/>
  <c r="X473" i="3"/>
  <c r="U474" i="3"/>
  <c r="AE474" i="3" s="1"/>
  <c r="T475" i="3"/>
  <c r="Q476" i="3"/>
  <c r="Z476" i="3"/>
  <c r="V477" i="3"/>
  <c r="S478" i="3"/>
  <c r="AB478" i="3"/>
  <c r="X479" i="3"/>
  <c r="T480" i="3"/>
  <c r="P481" i="3"/>
  <c r="Y481" i="3"/>
  <c r="U482" i="3"/>
  <c r="AE482" i="3" s="1"/>
  <c r="R483" i="3"/>
  <c r="AA483" i="3"/>
  <c r="W484" i="3"/>
  <c r="S485" i="3"/>
  <c r="AB485" i="3"/>
  <c r="X486" i="3"/>
  <c r="T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R17" i="1"/>
  <c r="AE28" i="3"/>
  <c r="AE60" i="3"/>
  <c r="AD20" i="3"/>
  <c r="AE57" i="3"/>
  <c r="AE17" i="3"/>
  <c r="AE25" i="3"/>
  <c r="AE18" i="3"/>
  <c r="N49" i="3"/>
  <c r="AE8" i="3"/>
  <c r="AE40" i="3"/>
  <c r="AE56" i="3"/>
  <c r="AD32" i="3"/>
  <c r="AE27" i="3"/>
  <c r="AE31" i="3"/>
  <c r="AE46" i="3"/>
  <c r="AE41" i="3"/>
  <c r="AE55" i="3"/>
  <c r="AD63" i="3"/>
  <c r="N79" i="3"/>
  <c r="O69" i="3"/>
  <c r="O51" i="3"/>
  <c r="AE26" i="3"/>
  <c r="AE42" i="3"/>
  <c r="AE35" i="3"/>
  <c r="N41" i="3"/>
  <c r="AE32" i="3"/>
  <c r="AE48" i="3"/>
  <c r="AE45" i="3"/>
  <c r="AE19" i="3"/>
  <c r="AE6" i="3"/>
  <c r="AE38" i="3"/>
  <c r="AE64" i="3"/>
  <c r="AD110" i="3"/>
  <c r="AE147" i="3"/>
  <c r="AE15" i="3"/>
  <c r="AE61" i="3"/>
  <c r="AE137" i="3"/>
  <c r="AE68" i="3"/>
  <c r="AE75" i="3"/>
  <c r="AE104" i="3"/>
  <c r="AE51" i="3"/>
  <c r="AE120" i="3"/>
  <c r="AE43" i="3"/>
  <c r="AE7" i="3"/>
  <c r="AE87" i="3"/>
  <c r="AD106" i="3"/>
  <c r="AE76" i="3"/>
  <c r="AE83" i="3"/>
  <c r="AD103" i="3"/>
  <c r="AD56" i="3"/>
  <c r="AE133" i="3"/>
  <c r="AE13" i="3"/>
  <c r="AE84" i="3"/>
  <c r="AE91" i="3"/>
  <c r="AD80" i="3"/>
  <c r="AE100" i="3"/>
  <c r="AE123" i="3"/>
  <c r="AE139" i="3"/>
  <c r="AE113" i="3"/>
  <c r="AE129" i="3"/>
  <c r="N146" i="3"/>
  <c r="AE119" i="3"/>
  <c r="AE141" i="3"/>
  <c r="O60" i="3"/>
  <c r="AE130" i="3"/>
  <c r="AE145" i="3"/>
  <c r="AE150" i="3"/>
  <c r="AE149" i="3"/>
  <c r="AE153" i="3"/>
  <c r="AE108" i="3"/>
  <c r="AE148" i="3"/>
  <c r="AD129" i="3"/>
  <c r="O87" i="3"/>
  <c r="AE144" i="3"/>
  <c r="O141" i="3"/>
  <c r="AE96" i="3"/>
  <c r="AE29" i="3"/>
  <c r="AE112" i="3"/>
  <c r="N82" i="3"/>
  <c r="AE102" i="3"/>
  <c r="AH113" i="3"/>
  <c r="AE128" i="3"/>
  <c r="AE63" i="3"/>
  <c r="AE106" i="3"/>
  <c r="AE93" i="3"/>
  <c r="AE158" i="3"/>
  <c r="AE126" i="3"/>
  <c r="AE198" i="3"/>
  <c r="AE180" i="3"/>
  <c r="AE169" i="3"/>
  <c r="AE188" i="3"/>
  <c r="N202" i="3"/>
  <c r="AE164" i="3"/>
  <c r="AE206" i="3"/>
  <c r="N143" i="3"/>
  <c r="AE199" i="3"/>
  <c r="AE116" i="3"/>
  <c r="AD174" i="3"/>
  <c r="AE170" i="3"/>
  <c r="O205" i="3"/>
  <c r="AE212" i="3"/>
  <c r="AE203" i="3"/>
  <c r="AD123" i="3"/>
  <c r="AE168" i="3"/>
  <c r="AD265" i="3"/>
  <c r="AH126" i="3"/>
  <c r="AE90" i="3"/>
  <c r="AE81" i="3"/>
  <c r="O151" i="3"/>
  <c r="AE194" i="3"/>
  <c r="O176" i="3"/>
  <c r="AD186" i="3"/>
  <c r="O193" i="3"/>
  <c r="AE231" i="3"/>
  <c r="AE302" i="3"/>
  <c r="AE205" i="3"/>
  <c r="AE182" i="3"/>
  <c r="AE237" i="3"/>
  <c r="AE292" i="3"/>
  <c r="AE258" i="3"/>
  <c r="O127" i="3"/>
  <c r="O245" i="3"/>
  <c r="AE243" i="3"/>
  <c r="AE154" i="3"/>
  <c r="AE288" i="3"/>
  <c r="AE304" i="3"/>
  <c r="N153" i="3"/>
  <c r="AE181" i="3"/>
  <c r="N242" i="3"/>
  <c r="AE172" i="3"/>
  <c r="AE207" i="3"/>
  <c r="AE239" i="3"/>
  <c r="AE226" i="3"/>
  <c r="AE161" i="3"/>
  <c r="AE190" i="3"/>
  <c r="AE192" i="3"/>
  <c r="AE284" i="3"/>
  <c r="AE300" i="3"/>
  <c r="AE290" i="3"/>
  <c r="AE234" i="3"/>
  <c r="AE296" i="3"/>
  <c r="AH255" i="3"/>
  <c r="AE276" i="3"/>
  <c r="AE364" i="3"/>
  <c r="AE380" i="3"/>
  <c r="AE333" i="3"/>
  <c r="AE247" i="3"/>
  <c r="AE289" i="3"/>
  <c r="AE189" i="3"/>
  <c r="AE322" i="3"/>
  <c r="AE370" i="3"/>
  <c r="N300" i="3"/>
  <c r="AE166" i="3"/>
  <c r="AE339" i="3"/>
  <c r="N278" i="3"/>
  <c r="AD264" i="3"/>
  <c r="AD287" i="3"/>
  <c r="O303" i="3"/>
  <c r="AE344" i="3"/>
  <c r="AE264" i="3"/>
  <c r="AE307" i="3"/>
  <c r="AE185" i="3"/>
  <c r="AE334" i="3"/>
  <c r="AE366" i="3"/>
  <c r="AE382" i="3"/>
  <c r="AE335" i="3"/>
  <c r="AE351" i="3"/>
  <c r="AE367" i="3"/>
  <c r="AE184" i="3"/>
  <c r="AD225" i="3"/>
  <c r="AE244" i="3"/>
  <c r="AE356" i="3"/>
  <c r="AE372" i="3"/>
  <c r="AE232" i="3"/>
  <c r="AE341" i="3"/>
  <c r="AE252" i="3"/>
  <c r="AE269" i="3"/>
  <c r="AE346" i="3"/>
  <c r="AE378" i="3"/>
  <c r="AE271" i="3"/>
  <c r="AE260" i="3"/>
  <c r="N295" i="3"/>
  <c r="AE320" i="3"/>
  <c r="AE352" i="3"/>
  <c r="AE275" i="3"/>
  <c r="AE268" i="3"/>
  <c r="AE249" i="3"/>
  <c r="O285" i="3"/>
  <c r="AE326" i="3"/>
  <c r="AE374" i="3"/>
  <c r="AE327" i="3"/>
  <c r="AE347" i="3"/>
  <c r="AE272" i="3"/>
  <c r="AE245" i="3"/>
  <c r="O415" i="3"/>
  <c r="N195" i="3"/>
  <c r="N276" i="3"/>
  <c r="N343" i="3"/>
  <c r="O390" i="3"/>
  <c r="AE414" i="3"/>
  <c r="AD333" i="3"/>
  <c r="AD349" i="3"/>
  <c r="O427" i="3"/>
  <c r="AE436" i="3"/>
  <c r="AE468" i="3"/>
  <c r="AE369" i="3"/>
  <c r="AD384" i="3"/>
  <c r="N338" i="3"/>
  <c r="AD388" i="3"/>
  <c r="O402" i="3"/>
  <c r="AD433" i="3"/>
  <c r="AE410" i="3"/>
  <c r="AE177" i="3"/>
  <c r="N313" i="3"/>
  <c r="N345" i="3"/>
  <c r="N352" i="3"/>
  <c r="AE373" i="3"/>
  <c r="AE265" i="3"/>
  <c r="N367" i="3"/>
  <c r="AE395" i="3"/>
  <c r="AE281" i="3"/>
  <c r="AE256" i="3"/>
  <c r="AD403" i="3"/>
  <c r="AE399" i="3"/>
  <c r="AE321" i="3"/>
  <c r="AE209" i="3"/>
  <c r="N315" i="3"/>
  <c r="O450" i="3"/>
  <c r="AD324" i="3"/>
  <c r="AE469" i="3"/>
  <c r="O463" i="3"/>
  <c r="AE475" i="3"/>
  <c r="AE433" i="3"/>
  <c r="O477" i="3"/>
  <c r="AE421" i="3"/>
  <c r="AD454" i="3"/>
  <c r="N425" i="3"/>
  <c r="AE464" i="3"/>
  <c r="O356" i="3"/>
  <c r="AD394" i="3"/>
  <c r="N489" i="3"/>
  <c r="AE381" i="3"/>
  <c r="AE445" i="3"/>
  <c r="N465" i="3"/>
  <c r="AE489" i="3"/>
  <c r="O429" i="3"/>
  <c r="O432" i="3"/>
  <c r="AE405" i="3"/>
  <c r="AE488" i="3"/>
  <c r="AE439" i="3"/>
  <c r="N471" i="3"/>
  <c r="O366" i="3"/>
  <c r="AD426" i="3"/>
  <c r="N401" i="3"/>
  <c r="AD476" i="3"/>
  <c r="AE434" i="3"/>
  <c r="AE466" i="3"/>
  <c r="N466" i="3"/>
  <c r="N491" i="3"/>
  <c r="O458" i="3"/>
  <c r="N385" i="3"/>
  <c r="AE453" i="3"/>
  <c r="AE479" i="3"/>
  <c r="AE427" i="3"/>
  <c r="AE401" i="3"/>
  <c r="O481" i="3"/>
  <c r="AE471" i="3"/>
  <c r="AD387" i="3"/>
  <c r="O9" i="3"/>
  <c r="N112" i="3"/>
  <c r="AD303" i="3"/>
  <c r="AD143" i="3"/>
  <c r="O262" i="3"/>
  <c r="N9" i="3"/>
  <c r="O186" i="3"/>
  <c r="AD263" i="3"/>
  <c r="N186" i="3"/>
  <c r="AD104" i="3"/>
  <c r="O16" i="3"/>
  <c r="AD118" i="3"/>
  <c r="AD49" i="3"/>
  <c r="AD295" i="3"/>
  <c r="N67" i="3"/>
  <c r="N38" i="3"/>
  <c r="O295" i="3"/>
  <c r="O80" i="3"/>
  <c r="O234" i="3"/>
  <c r="O118" i="3"/>
  <c r="N80" i="3"/>
  <c r="AD146" i="3"/>
  <c r="O146" i="3"/>
  <c r="O49" i="3"/>
  <c r="O293" i="3"/>
  <c r="N302" i="3"/>
  <c r="N293" i="3"/>
  <c r="N142" i="3"/>
  <c r="AE53" i="3"/>
  <c r="AD362" i="3"/>
  <c r="N20" i="3"/>
  <c r="O82" i="3"/>
  <c r="AD82" i="3"/>
  <c r="AH18" i="3"/>
  <c r="N264" i="3"/>
  <c r="N151" i="3"/>
  <c r="AD151" i="3"/>
  <c r="AD390" i="3"/>
  <c r="N141" i="3"/>
  <c r="AD141" i="3"/>
  <c r="N239" i="3"/>
  <c r="AD239" i="3"/>
  <c r="AD193" i="3"/>
  <c r="N124" i="3"/>
  <c r="O124" i="3"/>
  <c r="AD124" i="3"/>
  <c r="N110" i="3"/>
  <c r="AD69" i="3"/>
  <c r="N106" i="3"/>
  <c r="O106" i="3"/>
  <c r="AD45" i="3"/>
  <c r="N14" i="3"/>
  <c r="AD14" i="3"/>
  <c r="AD192" i="3"/>
  <c r="AE218" i="3"/>
  <c r="AD79" i="3"/>
  <c r="O79" i="3"/>
  <c r="N349" i="3"/>
  <c r="O349" i="3"/>
  <c r="N332" i="3"/>
  <c r="N317" i="3"/>
  <c r="O317" i="3"/>
  <c r="AD317" i="3"/>
  <c r="AE230" i="3"/>
  <c r="AE14" i="3"/>
  <c r="AE101" i="3"/>
  <c r="AD313" i="3"/>
  <c r="N229" i="3" l="1"/>
  <c r="N263" i="3"/>
  <c r="O229" i="3"/>
  <c r="AG304" i="3"/>
  <c r="AH269" i="3"/>
  <c r="AG212" i="3"/>
  <c r="N435" i="3"/>
  <c r="AH469" i="3"/>
  <c r="AH22" i="3"/>
  <c r="AH50" i="3"/>
  <c r="AH11" i="3"/>
  <c r="N191" i="3"/>
  <c r="O142" i="3"/>
  <c r="AD16" i="3"/>
  <c r="AD435" i="3"/>
  <c r="AH346" i="3"/>
  <c r="AH183" i="3"/>
  <c r="N179" i="3"/>
  <c r="AD179" i="3"/>
  <c r="AH39" i="3"/>
  <c r="N160" i="3"/>
  <c r="AD160" i="3"/>
  <c r="AH80" i="3"/>
  <c r="N35" i="3"/>
  <c r="AH309" i="3"/>
  <c r="AG150" i="3"/>
  <c r="AH105" i="3"/>
  <c r="AH210" i="3"/>
  <c r="AH32" i="3"/>
  <c r="AH7" i="3"/>
  <c r="AD220" i="3"/>
  <c r="AD138" i="3"/>
  <c r="AD443" i="3"/>
  <c r="AD35" i="3"/>
  <c r="AD135" i="3"/>
  <c r="N138" i="3"/>
  <c r="AD214" i="3"/>
  <c r="O214" i="3"/>
  <c r="AH138" i="3"/>
  <c r="O449" i="3"/>
  <c r="AD184" i="3"/>
  <c r="O439" i="3"/>
  <c r="N164" i="3"/>
  <c r="AD269" i="3"/>
  <c r="N449" i="3"/>
  <c r="O380" i="3"/>
  <c r="AD337" i="3"/>
  <c r="O184" i="3"/>
  <c r="AD439" i="3"/>
  <c r="AD404" i="3"/>
  <c r="N269" i="3"/>
  <c r="AD147" i="3"/>
  <c r="O451" i="3"/>
  <c r="N404" i="3"/>
  <c r="O147" i="3"/>
  <c r="O220" i="3"/>
  <c r="O175" i="3"/>
  <c r="N175" i="3"/>
  <c r="AD471" i="3"/>
  <c r="O471" i="3"/>
  <c r="O189" i="3"/>
  <c r="AH451" i="3"/>
  <c r="N326" i="3"/>
  <c r="AH222" i="3"/>
  <c r="O384" i="3"/>
  <c r="AD189" i="3"/>
  <c r="AG244" i="3"/>
  <c r="AH168" i="3"/>
  <c r="AD415" i="3"/>
  <c r="N369" i="3"/>
  <c r="O265" i="3"/>
  <c r="O359" i="3"/>
  <c r="AH230" i="3"/>
  <c r="O135" i="3"/>
  <c r="N265" i="3"/>
  <c r="AD308" i="3"/>
  <c r="O164" i="3"/>
  <c r="O465" i="3"/>
  <c r="AD481" i="3"/>
  <c r="O466" i="3"/>
  <c r="N331" i="3"/>
  <c r="N475" i="3"/>
  <c r="N451" i="3"/>
  <c r="N341" i="3"/>
  <c r="AH376" i="3"/>
  <c r="AH357" i="3"/>
  <c r="AH218" i="3"/>
  <c r="O332" i="3"/>
  <c r="O475" i="3"/>
  <c r="AD466" i="3"/>
  <c r="O443" i="3"/>
  <c r="N391" i="3"/>
  <c r="N481" i="3"/>
  <c r="O341" i="3"/>
  <c r="AD373" i="3"/>
  <c r="O373" i="3"/>
  <c r="AH245" i="3"/>
  <c r="AH48" i="3"/>
  <c r="AH26" i="3"/>
  <c r="AH256" i="3"/>
  <c r="AH363" i="3"/>
  <c r="AH221" i="3"/>
  <c r="AH324" i="3"/>
  <c r="AG394" i="3"/>
  <c r="AH229" i="3"/>
  <c r="O383" i="3"/>
  <c r="O436" i="3"/>
  <c r="AD358" i="3"/>
  <c r="AH313" i="3"/>
  <c r="N383" i="3"/>
  <c r="N436" i="3"/>
  <c r="N359" i="3"/>
  <c r="AD356" i="3"/>
  <c r="AH270" i="3"/>
  <c r="AG285" i="3"/>
  <c r="AD345" i="3"/>
  <c r="AD495" i="3"/>
  <c r="N384" i="3"/>
  <c r="AH393" i="3"/>
  <c r="AG302" i="3"/>
  <c r="AH385" i="3"/>
  <c r="O403" i="3"/>
  <c r="O345" i="3"/>
  <c r="AD276" i="3"/>
  <c r="O308" i="3"/>
  <c r="AD463" i="3"/>
  <c r="AD367" i="3"/>
  <c r="AD477" i="3"/>
  <c r="O276" i="3"/>
  <c r="AD369" i="3"/>
  <c r="N477" i="3"/>
  <c r="AD450" i="3"/>
  <c r="O331" i="3"/>
  <c r="O367" i="3"/>
  <c r="N433" i="3"/>
  <c r="AH452" i="3"/>
  <c r="N415" i="3"/>
  <c r="N463" i="3"/>
  <c r="O433" i="3"/>
  <c r="AH494" i="3"/>
  <c r="AH398" i="3"/>
  <c r="AH389" i="3"/>
  <c r="AG124" i="3"/>
  <c r="AH61" i="3"/>
  <c r="AG441" i="3"/>
  <c r="AH68" i="3"/>
  <c r="AG465" i="3"/>
  <c r="AH396" i="3"/>
  <c r="AH442" i="3"/>
  <c r="AG338" i="3"/>
  <c r="AH481" i="3"/>
  <c r="AG170" i="3"/>
  <c r="AG254" i="3"/>
  <c r="AH179" i="3"/>
  <c r="AH252" i="3"/>
  <c r="AH228" i="3"/>
  <c r="AH341" i="3"/>
  <c r="AH395" i="3"/>
  <c r="AH355" i="3"/>
  <c r="AH278" i="3"/>
  <c r="AH204" i="3"/>
  <c r="AG61" i="3"/>
  <c r="AG101" i="3"/>
  <c r="AG153" i="3"/>
  <c r="AG34" i="3"/>
  <c r="AH43" i="3"/>
  <c r="N340" i="3"/>
  <c r="AD340" i="3"/>
  <c r="O340" i="3"/>
  <c r="N460" i="3"/>
  <c r="AD460" i="3"/>
  <c r="O460" i="3"/>
  <c r="AH427" i="3"/>
  <c r="AG428" i="3"/>
  <c r="AG359" i="3"/>
  <c r="AH423" i="3"/>
  <c r="AH361" i="3"/>
  <c r="AG199" i="3"/>
  <c r="O454" i="3"/>
  <c r="N454" i="3"/>
  <c r="N464" i="3"/>
  <c r="O464" i="3"/>
  <c r="AD464" i="3"/>
  <c r="AD478" i="3"/>
  <c r="N478" i="3"/>
  <c r="AG379" i="3"/>
  <c r="N334" i="3"/>
  <c r="AD334" i="3"/>
  <c r="O334" i="3"/>
  <c r="O325" i="3"/>
  <c r="N325" i="3"/>
  <c r="AD325" i="3"/>
  <c r="O310" i="3"/>
  <c r="N310" i="3"/>
  <c r="AD310" i="3"/>
  <c r="AD338" i="3"/>
  <c r="O338" i="3"/>
  <c r="N339" i="3"/>
  <c r="AD339" i="3"/>
  <c r="O339" i="3"/>
  <c r="N376" i="3"/>
  <c r="O376" i="3"/>
  <c r="AD376" i="3"/>
  <c r="N379" i="3"/>
  <c r="AD379" i="3"/>
  <c r="N389" i="3"/>
  <c r="AD389" i="3"/>
  <c r="O389" i="3"/>
  <c r="N318" i="3"/>
  <c r="O318" i="3"/>
  <c r="AD318" i="3"/>
  <c r="AD301" i="3"/>
  <c r="N301" i="3"/>
  <c r="O301" i="3"/>
  <c r="AE345" i="3"/>
  <c r="AG345" i="3"/>
  <c r="N297" i="3"/>
  <c r="AD297" i="3"/>
  <c r="O297" i="3"/>
  <c r="AD188" i="3"/>
  <c r="N188" i="3"/>
  <c r="O188" i="3"/>
  <c r="AH375" i="3"/>
  <c r="N307" i="3"/>
  <c r="AD307" i="3"/>
  <c r="O307" i="3"/>
  <c r="AD262" i="3"/>
  <c r="N262" i="3"/>
  <c r="N192" i="3"/>
  <c r="O192" i="3"/>
  <c r="N226" i="3"/>
  <c r="O226" i="3"/>
  <c r="AD226" i="3"/>
  <c r="N208" i="3"/>
  <c r="O208" i="3"/>
  <c r="AD208" i="3"/>
  <c r="N223" i="3"/>
  <c r="AD223" i="3"/>
  <c r="O183" i="3"/>
  <c r="N183" i="3"/>
  <c r="AD183" i="3"/>
  <c r="N207" i="3"/>
  <c r="AD207" i="3"/>
  <c r="O207" i="3"/>
  <c r="N259" i="3"/>
  <c r="AD259" i="3"/>
  <c r="O259" i="3"/>
  <c r="O104" i="3"/>
  <c r="N104" i="3"/>
  <c r="AD157" i="3"/>
  <c r="O157" i="3"/>
  <c r="N157" i="3"/>
  <c r="AG142" i="3"/>
  <c r="AD65" i="3"/>
  <c r="N65" i="3"/>
  <c r="O65" i="3"/>
  <c r="AH404" i="3"/>
  <c r="AG490" i="3"/>
  <c r="AG346" i="3"/>
  <c r="AG282" i="3"/>
  <c r="AH455" i="3"/>
  <c r="AH483" i="3"/>
  <c r="AH418" i="3"/>
  <c r="AH425" i="3"/>
  <c r="AG352" i="3"/>
  <c r="AH303" i="3"/>
  <c r="AH414" i="3"/>
  <c r="O313" i="3"/>
  <c r="O110" i="3"/>
  <c r="O174" i="3"/>
  <c r="O123" i="3"/>
  <c r="AD380" i="3"/>
  <c r="AG423" i="3"/>
  <c r="AG452" i="3"/>
  <c r="AG371" i="3"/>
  <c r="AG251" i="3"/>
  <c r="AH259" i="3"/>
  <c r="AH149" i="3"/>
  <c r="AH206" i="3"/>
  <c r="AH480" i="3"/>
  <c r="AD360" i="3"/>
  <c r="O56" i="3"/>
  <c r="N174" i="3"/>
  <c r="N123" i="3"/>
  <c r="O462" i="3"/>
  <c r="N337" i="3"/>
  <c r="AD67" i="3"/>
  <c r="AD462" i="3"/>
  <c r="AH477" i="3"/>
  <c r="AH476" i="3"/>
  <c r="AH482" i="3"/>
  <c r="AH462" i="3"/>
  <c r="AH390" i="3"/>
  <c r="AH333" i="3"/>
  <c r="AD432" i="3"/>
  <c r="AG393" i="3"/>
  <c r="AH299" i="3"/>
  <c r="AG303" i="3"/>
  <c r="N426" i="3"/>
  <c r="AH444" i="3"/>
  <c r="AH492" i="3"/>
  <c r="O495" i="3"/>
  <c r="O489" i="3"/>
  <c r="N458" i="3"/>
  <c r="AD434" i="3"/>
  <c r="AG411" i="3"/>
  <c r="AH466" i="3"/>
  <c r="AH266" i="3"/>
  <c r="AH473" i="3"/>
  <c r="AG485" i="3"/>
  <c r="AG376" i="3"/>
  <c r="AH331" i="3"/>
  <c r="AG360" i="3"/>
  <c r="AH160" i="3"/>
  <c r="AG139" i="3"/>
  <c r="AH120" i="3"/>
  <c r="AG461" i="3"/>
  <c r="AG320" i="3"/>
  <c r="AG436" i="3"/>
  <c r="AG362" i="3"/>
  <c r="AG309" i="3"/>
  <c r="AI309" i="3" s="1"/>
  <c r="AH161" i="3"/>
  <c r="O414" i="3"/>
  <c r="AG339" i="3"/>
  <c r="N414" i="3"/>
  <c r="AG209" i="3"/>
  <c r="AG283" i="3"/>
  <c r="AH490" i="3"/>
  <c r="AG384" i="3"/>
  <c r="AH67" i="3"/>
  <c r="AG429" i="3"/>
  <c r="O385" i="3"/>
  <c r="AD385" i="3"/>
  <c r="AH29" i="3"/>
  <c r="N366" i="3"/>
  <c r="AH438" i="3"/>
  <c r="AH358" i="3"/>
  <c r="AG386" i="3"/>
  <c r="AG319" i="3"/>
  <c r="AH295" i="3"/>
  <c r="AG426" i="3"/>
  <c r="AH365" i="3"/>
  <c r="AG263" i="3"/>
  <c r="AG294" i="3"/>
  <c r="O434" i="3"/>
  <c r="O476" i="3"/>
  <c r="AG377" i="3"/>
  <c r="AG292" i="3"/>
  <c r="AH286" i="3"/>
  <c r="AH12" i="3"/>
  <c r="AH56" i="3"/>
  <c r="AG14" i="3"/>
  <c r="AH440" i="3"/>
  <c r="AG477" i="3"/>
  <c r="AG482" i="3"/>
  <c r="AI482" i="3" s="1"/>
  <c r="AG340" i="3"/>
  <c r="AG265" i="3"/>
  <c r="AH35" i="3"/>
  <c r="AG484" i="3"/>
  <c r="AH489" i="3"/>
  <c r="AG261" i="3"/>
  <c r="AG312" i="3"/>
  <c r="AG354" i="3"/>
  <c r="AH268" i="3"/>
  <c r="AG134" i="3"/>
  <c r="AG238" i="3"/>
  <c r="AG216" i="3"/>
  <c r="AG248" i="3"/>
  <c r="AH215" i="3"/>
  <c r="AG74" i="3"/>
  <c r="AH201" i="3"/>
  <c r="AG11" i="3"/>
  <c r="AG20" i="3"/>
  <c r="AH474" i="3"/>
  <c r="AH337" i="3"/>
  <c r="AG470" i="3"/>
  <c r="AG364" i="3"/>
  <c r="AH443" i="3"/>
  <c r="AG440" i="3"/>
  <c r="AG291" i="3"/>
  <c r="AH290" i="3"/>
  <c r="AH236" i="3"/>
  <c r="AH262" i="3"/>
  <c r="AH196" i="3"/>
  <c r="AG480" i="3"/>
  <c r="AG109" i="3"/>
  <c r="O482" i="3"/>
  <c r="N479" i="3"/>
  <c r="AH176" i="3"/>
  <c r="AH94" i="3"/>
  <c r="AG476" i="3"/>
  <c r="AH484" i="3"/>
  <c r="AG469" i="3"/>
  <c r="AH302" i="3"/>
  <c r="AG270" i="3"/>
  <c r="AG211" i="3"/>
  <c r="AH234" i="3"/>
  <c r="AG237" i="3"/>
  <c r="AH180" i="3"/>
  <c r="AH214" i="3"/>
  <c r="AH281" i="3"/>
  <c r="AH225" i="3"/>
  <c r="AG132" i="3"/>
  <c r="AG114" i="3"/>
  <c r="AH159" i="3"/>
  <c r="AH89" i="3"/>
  <c r="AG88" i="3"/>
  <c r="AH144" i="3"/>
  <c r="AH10" i="3"/>
  <c r="AH207" i="3"/>
  <c r="AG494" i="3"/>
  <c r="AG316" i="3"/>
  <c r="AH315" i="3"/>
  <c r="AH291" i="3"/>
  <c r="AG165" i="3"/>
  <c r="AH145" i="3"/>
  <c r="AG131" i="3"/>
  <c r="AG127" i="3"/>
  <c r="AG45" i="3"/>
  <c r="AG49" i="3"/>
  <c r="AH125" i="3"/>
  <c r="AH220" i="3"/>
  <c r="AG198" i="3"/>
  <c r="AH123" i="3"/>
  <c r="AH117" i="3"/>
  <c r="AG57" i="3"/>
  <c r="AG30" i="3"/>
  <c r="AG483" i="3"/>
  <c r="AG446" i="3"/>
  <c r="AH470" i="3"/>
  <c r="AG390" i="3"/>
  <c r="AH403" i="3"/>
  <c r="AG66" i="3"/>
  <c r="AG493" i="3"/>
  <c r="AH400" i="3"/>
  <c r="AG478" i="3"/>
  <c r="AG472" i="3"/>
  <c r="AH465" i="3"/>
  <c r="AG424" i="3"/>
  <c r="AG383" i="3"/>
  <c r="AG368" i="3"/>
  <c r="AH217" i="3"/>
  <c r="AG87" i="3"/>
  <c r="AH478" i="3"/>
  <c r="AI478" i="3" s="1"/>
  <c r="AH406" i="3"/>
  <c r="AH130" i="3"/>
  <c r="AG47" i="3"/>
  <c r="AG481" i="3"/>
  <c r="AH432" i="3"/>
  <c r="AG475" i="3"/>
  <c r="AG430" i="3"/>
  <c r="AH434" i="3"/>
  <c r="AH408" i="3"/>
  <c r="AH422" i="3"/>
  <c r="AH464" i="3"/>
  <c r="AH435" i="3"/>
  <c r="AH402" i="3"/>
  <c r="AG443" i="3"/>
  <c r="AI443" i="3" s="1"/>
  <c r="AG381" i="3"/>
  <c r="AG356" i="3"/>
  <c r="AH407" i="3"/>
  <c r="AH316" i="3"/>
  <c r="AG367" i="3"/>
  <c r="AG322" i="3"/>
  <c r="AG289" i="3"/>
  <c r="AG255" i="3"/>
  <c r="AI255" i="3" s="1"/>
  <c r="AG232" i="3"/>
  <c r="AH301" i="3"/>
  <c r="AG233" i="3"/>
  <c r="AH153" i="3"/>
  <c r="AG188" i="3"/>
  <c r="AG231" i="3"/>
  <c r="AH182" i="3"/>
  <c r="AH240" i="3"/>
  <c r="AG242" i="3"/>
  <c r="AH190" i="3"/>
  <c r="AG130" i="3"/>
  <c r="AH66" i="3"/>
  <c r="AG451" i="3"/>
  <c r="AH491" i="3"/>
  <c r="AH495" i="3"/>
  <c r="AH446" i="3"/>
  <c r="AH485" i="3"/>
  <c r="AH420" i="3"/>
  <c r="AG417" i="3"/>
  <c r="AG495" i="3"/>
  <c r="AG399" i="3"/>
  <c r="AG327" i="3"/>
  <c r="AH417" i="3"/>
  <c r="AG310" i="3"/>
  <c r="AG259" i="3"/>
  <c r="AG286" i="3"/>
  <c r="AH208" i="3"/>
  <c r="AH193" i="3"/>
  <c r="AG106" i="3"/>
  <c r="AG83" i="3"/>
  <c r="AH108" i="3"/>
  <c r="AH128" i="3"/>
  <c r="AH64" i="3"/>
  <c r="AG58" i="3"/>
  <c r="AH78" i="3"/>
  <c r="AH54" i="3"/>
  <c r="AH46" i="3"/>
  <c r="AH17" i="3"/>
  <c r="AG200" i="3"/>
  <c r="AH191" i="3"/>
  <c r="AH141" i="3"/>
  <c r="AH102" i="3"/>
  <c r="AH298" i="3"/>
  <c r="AH60" i="3"/>
  <c r="AG149" i="3"/>
  <c r="AG84" i="3"/>
  <c r="AH410" i="3"/>
  <c r="AG460" i="3"/>
  <c r="AH344" i="3"/>
  <c r="AH328" i="3"/>
  <c r="AH457" i="3"/>
  <c r="AG349" i="3"/>
  <c r="AG335" i="3"/>
  <c r="AH254" i="3"/>
  <c r="AH62" i="3"/>
  <c r="AH31" i="3"/>
  <c r="AH426" i="3"/>
  <c r="AH448" i="3"/>
  <c r="AH386" i="3"/>
  <c r="AH383" i="3"/>
  <c r="AG287" i="3"/>
  <c r="AH415" i="3"/>
  <c r="AG342" i="3"/>
  <c r="AH356" i="3"/>
  <c r="AG268" i="3"/>
  <c r="AG288" i="3"/>
  <c r="AG298" i="3"/>
  <c r="AH235" i="3"/>
  <c r="AG215" i="3"/>
  <c r="AG227" i="3"/>
  <c r="AH277" i="3"/>
  <c r="AG226" i="3"/>
  <c r="AH232" i="3"/>
  <c r="AI232" i="3" s="1"/>
  <c r="AH205" i="3"/>
  <c r="AH233" i="3"/>
  <c r="AH127" i="3"/>
  <c r="AH198" i="3"/>
  <c r="AI198" i="3" s="1"/>
  <c r="AG206" i="3"/>
  <c r="AH428" i="3"/>
  <c r="AG456" i="3"/>
  <c r="AH472" i="3"/>
  <c r="AG389" i="3"/>
  <c r="AH382" i="3"/>
  <c r="AH458" i="3"/>
  <c r="AH436" i="3"/>
  <c r="AG334" i="3"/>
  <c r="AG406" i="3"/>
  <c r="AG450" i="3"/>
  <c r="AG463" i="3"/>
  <c r="AH449" i="3"/>
  <c r="AG448" i="3"/>
  <c r="AH310" i="3"/>
  <c r="AG370" i="3"/>
  <c r="AH450" i="3"/>
  <c r="AH370" i="3"/>
  <c r="AG432" i="3"/>
  <c r="AG385" i="3"/>
  <c r="AH460" i="3"/>
  <c r="AG445" i="3"/>
  <c r="AG402" i="3"/>
  <c r="AH431" i="3"/>
  <c r="AG358" i="3"/>
  <c r="AH354" i="3"/>
  <c r="AH288" i="3"/>
  <c r="AH345" i="3"/>
  <c r="AG374" i="3"/>
  <c r="AH320" i="3"/>
  <c r="AH387" i="3"/>
  <c r="AH332" i="3"/>
  <c r="AG331" i="3"/>
  <c r="AI331" i="3" s="1"/>
  <c r="AH397" i="3"/>
  <c r="AG275" i="3"/>
  <c r="AG341" i="3"/>
  <c r="AG305" i="3"/>
  <c r="AH296" i="3"/>
  <c r="AH352" i="3"/>
  <c r="AG351" i="3"/>
  <c r="AG306" i="3"/>
  <c r="AH317" i="3"/>
  <c r="AH284" i="3"/>
  <c r="AG307" i="3"/>
  <c r="AG361" i="3"/>
  <c r="AH327" i="3"/>
  <c r="AH250" i="3"/>
  <c r="AG269" i="3"/>
  <c r="AI269" i="3" s="1"/>
  <c r="AH294" i="3"/>
  <c r="AI294" i="3" s="1"/>
  <c r="AG266" i="3"/>
  <c r="AH261" i="3"/>
  <c r="AG222" i="3"/>
  <c r="AH181" i="3"/>
  <c r="AH272" i="3"/>
  <c r="AG186" i="3"/>
  <c r="AH178" i="3"/>
  <c r="AH58" i="3"/>
  <c r="AH98" i="3"/>
  <c r="AH14" i="3"/>
  <c r="AH416" i="3"/>
  <c r="AH459" i="3"/>
  <c r="AH430" i="3"/>
  <c r="AG415" i="3"/>
  <c r="AH467" i="3"/>
  <c r="AH374" i="3"/>
  <c r="AH441" i="3"/>
  <c r="AI441" i="3" s="1"/>
  <c r="AH378" i="3"/>
  <c r="AG336" i="3"/>
  <c r="AH224" i="3"/>
  <c r="AH325" i="3"/>
  <c r="AH292" i="3"/>
  <c r="AH339" i="3"/>
  <c r="AH367" i="3"/>
  <c r="AH349" i="3"/>
  <c r="AG378" i="3"/>
  <c r="AG388" i="3"/>
  <c r="AG290" i="3"/>
  <c r="AH369" i="3"/>
  <c r="AG398" i="3"/>
  <c r="AG300" i="3"/>
  <c r="AH314" i="3"/>
  <c r="AH238" i="3"/>
  <c r="AG296" i="3"/>
  <c r="AG249" i="3"/>
  <c r="AH251" i="3"/>
  <c r="AI251" i="3" s="1"/>
  <c r="AH267" i="3"/>
  <c r="AH226" i="3"/>
  <c r="AG213" i="3"/>
  <c r="AH293" i="3"/>
  <c r="AH263" i="3"/>
  <c r="AG236" i="3"/>
  <c r="AG207" i="3"/>
  <c r="AG204" i="3"/>
  <c r="AH151" i="3"/>
  <c r="AH166" i="3"/>
  <c r="AG174" i="3"/>
  <c r="AG214" i="3"/>
  <c r="AH143" i="3"/>
  <c r="AH147" i="3"/>
  <c r="AH92" i="3"/>
  <c r="AG104" i="3"/>
  <c r="AH137" i="3"/>
  <c r="AH76" i="3"/>
  <c r="AH90" i="3"/>
  <c r="AH82" i="3"/>
  <c r="AH40" i="3"/>
  <c r="AG68" i="3"/>
  <c r="AI68" i="3" s="1"/>
  <c r="AG40" i="3"/>
  <c r="AH37" i="3"/>
  <c r="AG8" i="3"/>
  <c r="AG53" i="3"/>
  <c r="AG33" i="3"/>
  <c r="AH34" i="3"/>
  <c r="AH49" i="3"/>
  <c r="AG94" i="3"/>
  <c r="AH44" i="3"/>
  <c r="AH52" i="3"/>
  <c r="AH9" i="3"/>
  <c r="AH23" i="3"/>
  <c r="AG437" i="3"/>
  <c r="AG387" i="3"/>
  <c r="AG439" i="3"/>
  <c r="AH388" i="3"/>
  <c r="AG412" i="3"/>
  <c r="AH468" i="3"/>
  <c r="AH439" i="3"/>
  <c r="AG366" i="3"/>
  <c r="AH411" i="3"/>
  <c r="AG333" i="3"/>
  <c r="AH318" i="3"/>
  <c r="AH424" i="3"/>
  <c r="AG323" i="3"/>
  <c r="AH322" i="3"/>
  <c r="AG420" i="3"/>
  <c r="AG299" i="3"/>
  <c r="AH353" i="3"/>
  <c r="AH351" i="3"/>
  <c r="AG380" i="3"/>
  <c r="AG353" i="3"/>
  <c r="AH258" i="3"/>
  <c r="AH308" i="3"/>
  <c r="AH329" i="3"/>
  <c r="AH372" i="3"/>
  <c r="AG350" i="3"/>
  <c r="AG234" i="3"/>
  <c r="AG223" i="3"/>
  <c r="AG190" i="3"/>
  <c r="AG166" i="3"/>
  <c r="AH287" i="3"/>
  <c r="AG239" i="3"/>
  <c r="AG230" i="3"/>
  <c r="AG218" i="3"/>
  <c r="AI218" i="3" s="1"/>
  <c r="AH154" i="3"/>
  <c r="AH162" i="3"/>
  <c r="AH237" i="3"/>
  <c r="AH241" i="3"/>
  <c r="AH185" i="3"/>
  <c r="AG187" i="3"/>
  <c r="AG69" i="3"/>
  <c r="AG191" i="3"/>
  <c r="AG122" i="3"/>
  <c r="AH83" i="3"/>
  <c r="AH96" i="3"/>
  <c r="AG81" i="3"/>
  <c r="AH79" i="3"/>
  <c r="AH116" i="3"/>
  <c r="AH25" i="3"/>
  <c r="AH33" i="3"/>
  <c r="AI33" i="3" s="1"/>
  <c r="AG44" i="3"/>
  <c r="AG32" i="3"/>
  <c r="AG7" i="3"/>
  <c r="AI7" i="3" s="1"/>
  <c r="AH20" i="3"/>
  <c r="AH456" i="3"/>
  <c r="AG414" i="3"/>
  <c r="AG447" i="3"/>
  <c r="AG425" i="3"/>
  <c r="AG419" i="3"/>
  <c r="AG347" i="3"/>
  <c r="AH274" i="3"/>
  <c r="AH371" i="3"/>
  <c r="AI371" i="3" s="1"/>
  <c r="AG400" i="3"/>
  <c r="AH381" i="3"/>
  <c r="AH326" i="3"/>
  <c r="AG325" i="3"/>
  <c r="AH334" i="3"/>
  <c r="AI334" i="3" s="1"/>
  <c r="AH285" i="3"/>
  <c r="AH246" i="3"/>
  <c r="AG276" i="3"/>
  <c r="AH289" i="3"/>
  <c r="AH248" i="3"/>
  <c r="AG246" i="3"/>
  <c r="AG245" i="3"/>
  <c r="AH275" i="3"/>
  <c r="AH171" i="3"/>
  <c r="AG154" i="3"/>
  <c r="AH139" i="3"/>
  <c r="AI139" i="3" s="1"/>
  <c r="AH173" i="3"/>
  <c r="AH118" i="3"/>
  <c r="AG99" i="3"/>
  <c r="AH36" i="3"/>
  <c r="AG10" i="3"/>
  <c r="AH335" i="3"/>
  <c r="AH227" i="3"/>
  <c r="AG202" i="3"/>
  <c r="AH152" i="3"/>
  <c r="AH100" i="3"/>
  <c r="AH148" i="3"/>
  <c r="AH104" i="3"/>
  <c r="AG62" i="3"/>
  <c r="AD458" i="3"/>
  <c r="AD351" i="3"/>
  <c r="N351" i="3"/>
  <c r="AG357" i="3"/>
  <c r="AH399" i="3"/>
  <c r="AG457" i="3"/>
  <c r="AH279" i="3"/>
  <c r="AG280" i="3"/>
  <c r="N258" i="3"/>
  <c r="O258" i="3"/>
  <c r="AG157" i="3"/>
  <c r="AH156" i="3"/>
  <c r="AG110" i="3"/>
  <c r="AD50" i="3"/>
  <c r="N50" i="3"/>
  <c r="O50" i="3"/>
  <c r="AH63" i="3"/>
  <c r="AG64" i="3"/>
  <c r="N122" i="3"/>
  <c r="O122" i="3"/>
  <c r="AD122" i="3"/>
  <c r="AH99" i="3"/>
  <c r="AI99" i="3" s="1"/>
  <c r="AD107" i="3"/>
  <c r="N107" i="3"/>
  <c r="AD85" i="3"/>
  <c r="O85" i="3"/>
  <c r="N85" i="3"/>
  <c r="N26" i="3"/>
  <c r="AD26" i="3"/>
  <c r="O26" i="3"/>
  <c r="AG46" i="3"/>
  <c r="AH45" i="3"/>
  <c r="O103" i="3"/>
  <c r="AD479" i="3"/>
  <c r="O457" i="3"/>
  <c r="N472" i="3"/>
  <c r="AD472" i="3"/>
  <c r="O472" i="3"/>
  <c r="AD290" i="3"/>
  <c r="N290" i="3"/>
  <c r="O445" i="3"/>
  <c r="AD445" i="3"/>
  <c r="N445" i="3"/>
  <c r="N438" i="3"/>
  <c r="AD438" i="3"/>
  <c r="AD378" i="3"/>
  <c r="N378" i="3"/>
  <c r="O378" i="3"/>
  <c r="O424" i="3"/>
  <c r="AD424" i="3"/>
  <c r="AG413" i="3"/>
  <c r="AH412" i="3"/>
  <c r="AD309" i="3"/>
  <c r="O309" i="3"/>
  <c r="N309" i="3"/>
  <c r="AH461" i="3"/>
  <c r="AH437" i="3"/>
  <c r="AG438" i="3"/>
  <c r="N411" i="3"/>
  <c r="AD411" i="3"/>
  <c r="O411" i="3"/>
  <c r="AH409" i="3"/>
  <c r="AG410" i="3"/>
  <c r="AG363" i="3"/>
  <c r="AD284" i="3"/>
  <c r="O284" i="3"/>
  <c r="N284" i="3"/>
  <c r="N254" i="3"/>
  <c r="AD254" i="3"/>
  <c r="AG281" i="3"/>
  <c r="AH280" i="3"/>
  <c r="AH359" i="3"/>
  <c r="N224" i="3"/>
  <c r="O224" i="3"/>
  <c r="AH175" i="3"/>
  <c r="N217" i="3"/>
  <c r="AD217" i="3"/>
  <c r="N170" i="3"/>
  <c r="AD170" i="3"/>
  <c r="O170" i="3"/>
  <c r="AD211" i="3"/>
  <c r="O211" i="3"/>
  <c r="N190" i="3"/>
  <c r="AD190" i="3"/>
  <c r="AG162" i="3"/>
  <c r="N152" i="3"/>
  <c r="O152" i="3"/>
  <c r="AG63" i="3"/>
  <c r="AH28" i="3"/>
  <c r="AE121" i="3"/>
  <c r="AG121" i="3"/>
  <c r="AG39" i="3"/>
  <c r="AI39" i="3" s="1"/>
  <c r="AG60" i="3"/>
  <c r="AH59" i="3"/>
  <c r="N28" i="3"/>
  <c r="AD28" i="3"/>
  <c r="AG19" i="3"/>
  <c r="AG48" i="3"/>
  <c r="AI48" i="3" s="1"/>
  <c r="AH47" i="3"/>
  <c r="O63" i="3"/>
  <c r="N103" i="3"/>
  <c r="O209" i="3"/>
  <c r="AG65" i="3"/>
  <c r="N492" i="3"/>
  <c r="O492" i="3"/>
  <c r="AG459" i="3"/>
  <c r="O428" i="3"/>
  <c r="N428" i="3"/>
  <c r="AD428" i="3"/>
  <c r="O493" i="3"/>
  <c r="N493" i="3"/>
  <c r="O467" i="3"/>
  <c r="N467" i="3"/>
  <c r="AD467" i="3"/>
  <c r="AH479" i="3"/>
  <c r="AG365" i="3"/>
  <c r="AH364" i="3"/>
  <c r="AG343" i="3"/>
  <c r="AI343" i="3" s="1"/>
  <c r="N361" i="3"/>
  <c r="AD361" i="3"/>
  <c r="O361" i="3"/>
  <c r="N388" i="3"/>
  <c r="O388" i="3"/>
  <c r="O292" i="3"/>
  <c r="AD292" i="3"/>
  <c r="N289" i="3"/>
  <c r="AD289" i="3"/>
  <c r="O289" i="3"/>
  <c r="AH391" i="3"/>
  <c r="AE396" i="3"/>
  <c r="AG396" i="3"/>
  <c r="AH311" i="3"/>
  <c r="AG301" i="3"/>
  <c r="AH300" i="3"/>
  <c r="N251" i="3"/>
  <c r="AD251" i="3"/>
  <c r="O251" i="3"/>
  <c r="AG235" i="3"/>
  <c r="AG167" i="3"/>
  <c r="N245" i="3"/>
  <c r="AD245" i="3"/>
  <c r="AH24" i="3"/>
  <c r="AG25" i="3"/>
  <c r="AE279" i="3"/>
  <c r="AG279" i="3"/>
  <c r="N281" i="3"/>
  <c r="AD281" i="3"/>
  <c r="O281" i="3"/>
  <c r="AH124" i="3"/>
  <c r="AG75" i="3"/>
  <c r="AG17" i="3"/>
  <c r="N63" i="3"/>
  <c r="N209" i="3"/>
  <c r="O395" i="3"/>
  <c r="O217" i="3"/>
  <c r="N193" i="3"/>
  <c r="AD278" i="3"/>
  <c r="AH445" i="3"/>
  <c r="AG129" i="3"/>
  <c r="AG79" i="3"/>
  <c r="AG176" i="3"/>
  <c r="AG247" i="3"/>
  <c r="AG326" i="3"/>
  <c r="AD258" i="3"/>
  <c r="N395" i="3"/>
  <c r="O278" i="3"/>
  <c r="AG262" i="3"/>
  <c r="AI262" i="3" s="1"/>
  <c r="O485" i="3"/>
  <c r="N485" i="3"/>
  <c r="AG401" i="3"/>
  <c r="AH401" i="3"/>
  <c r="AD180" i="3"/>
  <c r="N180" i="3"/>
  <c r="AH307" i="3"/>
  <c r="AG308" i="3"/>
  <c r="AD277" i="3"/>
  <c r="N277" i="3"/>
  <c r="N127" i="3"/>
  <c r="AD127" i="3"/>
  <c r="AD78" i="3"/>
  <c r="N78" i="3"/>
  <c r="AD266" i="3"/>
  <c r="N266" i="3"/>
  <c r="AG172" i="3"/>
  <c r="N249" i="3"/>
  <c r="O249" i="3"/>
  <c r="AD177" i="3"/>
  <c r="O177" i="3"/>
  <c r="N215" i="3"/>
  <c r="O215" i="3"/>
  <c r="AD215" i="3"/>
  <c r="AH170" i="3"/>
  <c r="AI170" i="3" s="1"/>
  <c r="AG78" i="3"/>
  <c r="AH77" i="3"/>
  <c r="O74" i="3"/>
  <c r="N74" i="3"/>
  <c r="AD74" i="3"/>
  <c r="AH158" i="3"/>
  <c r="AG159" i="3"/>
  <c r="AD139" i="3"/>
  <c r="O139" i="3"/>
  <c r="N139" i="3"/>
  <c r="AG73" i="3"/>
  <c r="AH110" i="3"/>
  <c r="AD126" i="3"/>
  <c r="N126" i="3"/>
  <c r="O126" i="3"/>
  <c r="AD31" i="3"/>
  <c r="O31" i="3"/>
  <c r="N31" i="3"/>
  <c r="N51" i="3"/>
  <c r="AD51" i="3"/>
  <c r="N59" i="3"/>
  <c r="O59" i="3"/>
  <c r="AD59" i="3"/>
  <c r="N381" i="3"/>
  <c r="AD381" i="3"/>
  <c r="O381" i="3"/>
  <c r="N461" i="3"/>
  <c r="AD461" i="3"/>
  <c r="AG491" i="3"/>
  <c r="AG434" i="3"/>
  <c r="AH433" i="3"/>
  <c r="N448" i="3"/>
  <c r="O448" i="3"/>
  <c r="AD448" i="3"/>
  <c r="N487" i="3"/>
  <c r="O487" i="3"/>
  <c r="AD487" i="3"/>
  <c r="AD455" i="3"/>
  <c r="O455" i="3"/>
  <c r="N323" i="3"/>
  <c r="O323" i="3"/>
  <c r="AH394" i="3"/>
  <c r="AH453" i="3"/>
  <c r="AD272" i="3"/>
  <c r="O272" i="3"/>
  <c r="N272" i="3"/>
  <c r="O244" i="3"/>
  <c r="AD244" i="3"/>
  <c r="N244" i="3"/>
  <c r="N250" i="3"/>
  <c r="AD250" i="3"/>
  <c r="O250" i="3"/>
  <c r="AD178" i="3"/>
  <c r="N178" i="3"/>
  <c r="O178" i="3"/>
  <c r="AH239" i="3"/>
  <c r="N169" i="3"/>
  <c r="AD169" i="3"/>
  <c r="AG70" i="3"/>
  <c r="AH69" i="3"/>
  <c r="O137" i="3"/>
  <c r="AD137" i="3"/>
  <c r="AE155" i="3"/>
  <c r="AG155" i="3"/>
  <c r="AH71" i="3"/>
  <c r="AG72" i="3"/>
  <c r="O109" i="3"/>
  <c r="N109" i="3"/>
  <c r="AD109" i="3"/>
  <c r="AG91" i="3"/>
  <c r="N89" i="3"/>
  <c r="AD89" i="3"/>
  <c r="N11" i="3"/>
  <c r="O11" i="3"/>
  <c r="N93" i="3"/>
  <c r="AD93" i="3"/>
  <c r="O93" i="3"/>
  <c r="O438" i="3"/>
  <c r="O425" i="3"/>
  <c r="N470" i="3"/>
  <c r="O470" i="3"/>
  <c r="AD316" i="3"/>
  <c r="O316" i="3"/>
  <c r="N316" i="3"/>
  <c r="O468" i="3"/>
  <c r="N468" i="3"/>
  <c r="N452" i="3"/>
  <c r="AD452" i="3"/>
  <c r="O452" i="3"/>
  <c r="AH488" i="3"/>
  <c r="AG489" i="3"/>
  <c r="N474" i="3"/>
  <c r="O474" i="3"/>
  <c r="AD386" i="3"/>
  <c r="O386" i="3"/>
  <c r="N386" i="3"/>
  <c r="N362" i="3"/>
  <c r="O362" i="3"/>
  <c r="O294" i="3"/>
  <c r="N294" i="3"/>
  <c r="AD294" i="3"/>
  <c r="AH413" i="3"/>
  <c r="AD306" i="3"/>
  <c r="N306" i="3"/>
  <c r="O306" i="3"/>
  <c r="N421" i="3"/>
  <c r="AD421" i="3"/>
  <c r="O421" i="3"/>
  <c r="AH338" i="3"/>
  <c r="AG332" i="3"/>
  <c r="AG257" i="3"/>
  <c r="AG250" i="3"/>
  <c r="N199" i="3"/>
  <c r="AD199" i="3"/>
  <c r="O199" i="3"/>
  <c r="AH257" i="3"/>
  <c r="AG258" i="3"/>
  <c r="AH305" i="3"/>
  <c r="AH213" i="3"/>
  <c r="AI213" i="3" s="1"/>
  <c r="AH282" i="3"/>
  <c r="AG180" i="3"/>
  <c r="AD212" i="3"/>
  <c r="O212" i="3"/>
  <c r="N159" i="3"/>
  <c r="AD159" i="3"/>
  <c r="O159" i="3"/>
  <c r="AD241" i="3"/>
  <c r="N241" i="3"/>
  <c r="O241" i="3"/>
  <c r="AH172" i="3"/>
  <c r="AG173" i="3"/>
  <c r="AG97" i="3"/>
  <c r="AG210" i="3"/>
  <c r="AH209" i="3"/>
  <c r="AI209" i="3" s="1"/>
  <c r="AD171" i="3"/>
  <c r="O171" i="3"/>
  <c r="N182" i="3"/>
  <c r="AD182" i="3"/>
  <c r="O182" i="3"/>
  <c r="N237" i="3"/>
  <c r="O237" i="3"/>
  <c r="AD237" i="3"/>
  <c r="N131" i="3"/>
  <c r="AD131" i="3"/>
  <c r="AH199" i="3"/>
  <c r="AG145" i="3"/>
  <c r="N101" i="3"/>
  <c r="O101" i="3"/>
  <c r="AG181" i="3"/>
  <c r="AD470" i="3"/>
  <c r="AH87" i="3"/>
  <c r="AH419" i="3"/>
  <c r="AI419" i="3" s="1"/>
  <c r="O143" i="3"/>
  <c r="O169" i="3"/>
  <c r="O28" i="3"/>
  <c r="AD198" i="3"/>
  <c r="N424" i="3"/>
  <c r="N360" i="3"/>
  <c r="AG468" i="3"/>
  <c r="AG471" i="3"/>
  <c r="O131" i="3"/>
  <c r="O254" i="3"/>
  <c r="AD323" i="3"/>
  <c r="O107" i="3"/>
  <c r="AD407" i="3"/>
  <c r="N350" i="3"/>
  <c r="AD350" i="3"/>
  <c r="AH101" i="3"/>
  <c r="AG458" i="3"/>
  <c r="AD429" i="3"/>
  <c r="N429" i="3"/>
  <c r="N212" i="3"/>
  <c r="N198" i="3"/>
  <c r="AD224" i="3"/>
  <c r="O326" i="3"/>
  <c r="N137" i="3"/>
  <c r="O351" i="3"/>
  <c r="AD11" i="3"/>
  <c r="AG466" i="3"/>
  <c r="AI466" i="3" s="1"/>
  <c r="O89" i="3"/>
  <c r="AD468" i="3"/>
  <c r="O273" i="3"/>
  <c r="O407" i="3"/>
  <c r="AG147" i="3"/>
  <c r="AE103" i="3"/>
  <c r="AG103" i="3"/>
  <c r="O76" i="3"/>
  <c r="AD76" i="3"/>
  <c r="AG117" i="3"/>
  <c r="AG143" i="3"/>
  <c r="AH142" i="3"/>
  <c r="AG52" i="3"/>
  <c r="AH55" i="3"/>
  <c r="O32" i="3"/>
  <c r="N30" i="3"/>
  <c r="N76" i="3"/>
  <c r="AH475" i="3"/>
  <c r="AG253" i="3"/>
  <c r="AH223" i="3"/>
  <c r="AG86" i="3"/>
  <c r="AD134" i="3"/>
  <c r="N134" i="3"/>
  <c r="O134" i="3"/>
  <c r="N113" i="3"/>
  <c r="AD113" i="3"/>
  <c r="O113" i="3"/>
  <c r="O30" i="3"/>
  <c r="N56" i="3"/>
  <c r="N32" i="3"/>
  <c r="O456" i="3"/>
  <c r="AD456" i="3"/>
  <c r="AE397" i="3"/>
  <c r="AG397" i="3"/>
  <c r="N394" i="3"/>
  <c r="O394" i="3"/>
  <c r="AH304" i="3"/>
  <c r="AI304" i="3" s="1"/>
  <c r="AG337" i="3"/>
  <c r="AH323" i="3"/>
  <c r="AH366" i="3"/>
  <c r="AD227" i="3"/>
  <c r="N227" i="3"/>
  <c r="O227" i="3"/>
  <c r="AH164" i="3"/>
  <c r="AG164" i="3"/>
  <c r="AH163" i="3"/>
  <c r="AH75" i="3"/>
  <c r="AD408" i="3"/>
  <c r="O408" i="3"/>
  <c r="AH463" i="3"/>
  <c r="AG464" i="3"/>
  <c r="AH264" i="3"/>
  <c r="AG314" i="3"/>
  <c r="AG194" i="3"/>
  <c r="N238" i="3"/>
  <c r="AD238" i="3"/>
  <c r="O238" i="3"/>
  <c r="AH186" i="3"/>
  <c r="AG228" i="3"/>
  <c r="AG185" i="3"/>
  <c r="N234" i="3"/>
  <c r="AD234" i="3"/>
  <c r="AD222" i="3"/>
  <c r="N222" i="3"/>
  <c r="AG140" i="3"/>
  <c r="AH140" i="3"/>
  <c r="AG136" i="3"/>
  <c r="AG120" i="3"/>
  <c r="AG15" i="3"/>
  <c r="N45" i="3"/>
  <c r="O45" i="3"/>
  <c r="O38" i="3"/>
  <c r="AD38" i="3"/>
  <c r="O264" i="3"/>
  <c r="AD191" i="3"/>
  <c r="AD465" i="3"/>
  <c r="O179" i="3"/>
  <c r="AH384" i="3"/>
  <c r="AI384" i="3" s="1"/>
  <c r="AH336" i="3"/>
  <c r="AH195" i="3"/>
  <c r="AG407" i="3"/>
  <c r="O350" i="3"/>
  <c r="O412" i="3"/>
  <c r="AG492" i="3"/>
  <c r="AG344" i="3"/>
  <c r="AH212" i="3"/>
  <c r="AI212" i="3" s="1"/>
  <c r="O374" i="3"/>
  <c r="O153" i="3"/>
  <c r="AG284" i="3"/>
  <c r="N473" i="3"/>
  <c r="AG479" i="3"/>
  <c r="AD412" i="3"/>
  <c r="AG467" i="3"/>
  <c r="AG418" i="3"/>
  <c r="AG473" i="3"/>
  <c r="AG375" i="3"/>
  <c r="AH243" i="3"/>
  <c r="AH377" i="3"/>
  <c r="AD491" i="3"/>
  <c r="O78" i="3"/>
  <c r="AD273" i="3"/>
  <c r="AH379" i="3"/>
  <c r="AG486" i="3"/>
  <c r="O375" i="3"/>
  <c r="AH392" i="3"/>
  <c r="AG474" i="3"/>
  <c r="AG224" i="3"/>
  <c r="O343" i="3"/>
  <c r="AD343" i="3"/>
  <c r="N441" i="3"/>
  <c r="O290" i="3"/>
  <c r="AD197" i="3"/>
  <c r="O277" i="3"/>
  <c r="AG313" i="3"/>
  <c r="AI313" i="3" s="1"/>
  <c r="AH348" i="3"/>
  <c r="AD375" i="3"/>
  <c r="AH133" i="3"/>
  <c r="O491" i="3"/>
  <c r="N177" i="3"/>
  <c r="O266" i="3"/>
  <c r="AG453" i="3"/>
  <c r="AG373" i="3"/>
  <c r="O299" i="3"/>
  <c r="AG442" i="3"/>
  <c r="AD249" i="3"/>
  <c r="AD374" i="3"/>
  <c r="O197" i="3"/>
  <c r="AD425" i="3"/>
  <c r="AG433" i="3"/>
  <c r="N299" i="3"/>
  <c r="AG431" i="3"/>
  <c r="AG427" i="3"/>
  <c r="AG324" i="3"/>
  <c r="AD457" i="3"/>
  <c r="AD153" i="3"/>
  <c r="AG217" i="3"/>
  <c r="AG243" i="3"/>
  <c r="AH276" i="3"/>
  <c r="AG168" i="3"/>
  <c r="AH271" i="3"/>
  <c r="AH297" i="3"/>
  <c r="AG184" i="3"/>
  <c r="AH283" i="3"/>
  <c r="AG229" i="3"/>
  <c r="AG175" i="3"/>
  <c r="AG260" i="3"/>
  <c r="AH192" i="3"/>
  <c r="AG205" i="3"/>
  <c r="AH184" i="3"/>
  <c r="AG67" i="3"/>
  <c r="AH249" i="3"/>
  <c r="AH253" i="3"/>
  <c r="AG160" i="3"/>
  <c r="AG128" i="3"/>
  <c r="AH200" i="3"/>
  <c r="AG220" i="3"/>
  <c r="AG252" i="3"/>
  <c r="AG178" i="3"/>
  <c r="AH219" i="3"/>
  <c r="AH157" i="3"/>
  <c r="AG163" i="3"/>
  <c r="AH103" i="3"/>
  <c r="AH114" i="3"/>
  <c r="AH187" i="3"/>
  <c r="AG151" i="3"/>
  <c r="AH165" i="3"/>
  <c r="AH119" i="3"/>
  <c r="AH72" i="3"/>
  <c r="AH106" i="3"/>
  <c r="AG100" i="3"/>
  <c r="AI100" i="3" s="1"/>
  <c r="AH135" i="3"/>
  <c r="AG85" i="3"/>
  <c r="AG95" i="3"/>
  <c r="AH146" i="3"/>
  <c r="AG144" i="3"/>
  <c r="AH93" i="3"/>
  <c r="AG125" i="3"/>
  <c r="AH131" i="3"/>
  <c r="AH189" i="3"/>
  <c r="AG108" i="3"/>
  <c r="AH91" i="3"/>
  <c r="AH97" i="3"/>
  <c r="AG113" i="3"/>
  <c r="AI113" i="3" s="1"/>
  <c r="AG89" i="3"/>
  <c r="AG107" i="3"/>
  <c r="AG41" i="3"/>
  <c r="AH70" i="3"/>
  <c r="AH74" i="3"/>
  <c r="AH65" i="3"/>
  <c r="AG93" i="3"/>
  <c r="AG51" i="3"/>
  <c r="AG80" i="3"/>
  <c r="AH30" i="3"/>
  <c r="AG116" i="3"/>
  <c r="AI116" i="3" s="1"/>
  <c r="AH132" i="3"/>
  <c r="AH86" i="3"/>
  <c r="AG105" i="3"/>
  <c r="AG112" i="3"/>
  <c r="AG37" i="3"/>
  <c r="AH51" i="3"/>
  <c r="AG36" i="3"/>
  <c r="Q2" i="3"/>
  <c r="AG28" i="3"/>
  <c r="AG23" i="3"/>
  <c r="AG18" i="3"/>
  <c r="AI18" i="3" s="1"/>
  <c r="AG90" i="3"/>
  <c r="AG16" i="3"/>
  <c r="AH73" i="3"/>
  <c r="AH41" i="3"/>
  <c r="AG12" i="3"/>
  <c r="AG54" i="3"/>
  <c r="AH53" i="3"/>
  <c r="AG38" i="3"/>
  <c r="AH38" i="3"/>
  <c r="AG31" i="3"/>
  <c r="AI31" i="3" s="1"/>
  <c r="AH21" i="3"/>
  <c r="AG26" i="3"/>
  <c r="AG9" i="3"/>
  <c r="AI9" i="3" s="1"/>
  <c r="AH57" i="3"/>
  <c r="AH167" i="3"/>
  <c r="AH247" i="3"/>
  <c r="AG488" i="3"/>
  <c r="AG408" i="3"/>
  <c r="AH362" i="3"/>
  <c r="AG201" i="3"/>
  <c r="AG171" i="3"/>
  <c r="AH42" i="3"/>
  <c r="AD148" i="3"/>
  <c r="AG195" i="3"/>
  <c r="AG179" i="3"/>
  <c r="AG156" i="3"/>
  <c r="AG277" i="3"/>
  <c r="AD368" i="3"/>
  <c r="AG59" i="3"/>
  <c r="AG328" i="3"/>
  <c r="AD363" i="3"/>
  <c r="N447" i="3"/>
  <c r="AG455" i="3"/>
  <c r="AG137" i="3"/>
  <c r="AH260" i="3"/>
  <c r="AG119" i="3"/>
  <c r="AH312" i="3"/>
  <c r="AG421" i="3"/>
  <c r="AG404" i="3"/>
  <c r="AH319" i="3"/>
  <c r="AG409" i="3"/>
  <c r="AG221" i="3"/>
  <c r="AH447" i="3"/>
  <c r="AH115" i="3"/>
  <c r="AH174" i="3"/>
  <c r="AG315" i="3"/>
  <c r="AH321" i="3"/>
  <c r="AH244" i="3"/>
  <c r="AG487" i="3"/>
  <c r="AG449" i="3"/>
  <c r="AG422" i="3"/>
  <c r="AH421" i="3"/>
  <c r="AH368" i="3"/>
  <c r="AG295" i="3"/>
  <c r="AG348" i="3"/>
  <c r="AG192" i="3"/>
  <c r="AG274" i="3"/>
  <c r="AG135" i="3"/>
  <c r="AG271" i="3"/>
  <c r="AG391" i="3"/>
  <c r="AD202" i="3"/>
  <c r="N283" i="3"/>
  <c r="AG115" i="3"/>
  <c r="O333" i="3"/>
  <c r="AD364" i="3"/>
  <c r="O202" i="3"/>
  <c r="AH27" i="3"/>
  <c r="N368" i="3"/>
  <c r="N148" i="3"/>
  <c r="AG71" i="3"/>
  <c r="AG183" i="3"/>
  <c r="AI183" i="3" s="1"/>
  <c r="AD232" i="3"/>
  <c r="AG92" i="3"/>
  <c r="AH273" i="3"/>
  <c r="AH231" i="3"/>
  <c r="AG278" i="3"/>
  <c r="AH330" i="3"/>
  <c r="AG454" i="3"/>
  <c r="AH493" i="3"/>
  <c r="AH454" i="3"/>
  <c r="AH487" i="3"/>
  <c r="AI487" i="3" s="1"/>
  <c r="AG318" i="3"/>
  <c r="AG182" i="3"/>
  <c r="AH405" i="3"/>
  <c r="N484" i="3"/>
  <c r="AE80" i="3"/>
  <c r="AD486" i="3"/>
  <c r="O447" i="3"/>
  <c r="O486" i="3"/>
  <c r="AG395" i="3"/>
  <c r="AH373" i="3"/>
  <c r="AH265" i="3"/>
  <c r="AH81" i="3"/>
  <c r="O283" i="3"/>
  <c r="AG435" i="3"/>
  <c r="O156" i="3"/>
  <c r="AH136" i="3"/>
  <c r="AD195" i="3"/>
  <c r="AG158" i="3"/>
  <c r="AG27" i="3"/>
  <c r="N232" i="3"/>
  <c r="AG444" i="3"/>
  <c r="AG197" i="3"/>
  <c r="AG146" i="3"/>
  <c r="AG126" i="3"/>
  <c r="AI126" i="3" s="1"/>
  <c r="AH360" i="3"/>
  <c r="AH150" i="3"/>
  <c r="AH429" i="3"/>
  <c r="AG330" i="3"/>
  <c r="AH350" i="3"/>
  <c r="AD172" i="3"/>
  <c r="AG42" i="3"/>
  <c r="O484" i="3"/>
  <c r="AD8" i="3"/>
  <c r="AG372" i="3"/>
  <c r="AG311" i="3"/>
  <c r="O195" i="3"/>
  <c r="AG29" i="3"/>
  <c r="O105" i="3"/>
  <c r="AH107" i="3"/>
  <c r="AG22" i="3"/>
  <c r="AI22" i="3" s="1"/>
  <c r="AH347" i="3"/>
  <c r="AG405" i="3"/>
  <c r="AG403" i="3"/>
  <c r="AH306" i="3"/>
  <c r="AG24" i="3"/>
  <c r="AH15" i="3"/>
  <c r="AG82" i="3"/>
  <c r="AI82" i="3" s="1"/>
  <c r="O218" i="3"/>
  <c r="O120" i="3"/>
  <c r="AD120" i="3"/>
  <c r="AG56" i="3"/>
  <c r="AH129" i="3"/>
  <c r="AG267" i="3"/>
  <c r="AH340" i="3"/>
  <c r="AD105" i="3"/>
  <c r="O400" i="3"/>
  <c r="Q3" i="3"/>
  <c r="AG43" i="3"/>
  <c r="AH486" i="3"/>
  <c r="AG111" i="3"/>
  <c r="AG272" i="3"/>
  <c r="AG369" i="3"/>
  <c r="N333" i="3"/>
  <c r="O364" i="3"/>
  <c r="O172" i="3"/>
  <c r="AD382" i="3"/>
  <c r="AG321" i="3"/>
  <c r="N150" i="3"/>
  <c r="AH342" i="3"/>
  <c r="AH88" i="3"/>
  <c r="AI88" i="3" s="1"/>
  <c r="AG203" i="3"/>
  <c r="W3" i="3"/>
  <c r="V3" i="3" s="1"/>
  <c r="D14" i="1" s="1"/>
  <c r="N400" i="3"/>
  <c r="AG382" i="3"/>
  <c r="AG317" i="3"/>
  <c r="AG297" i="3"/>
  <c r="AG161" i="3"/>
  <c r="O382" i="3"/>
  <c r="N218" i="3"/>
  <c r="AD58" i="3"/>
  <c r="N58" i="3"/>
  <c r="AG21" i="3"/>
  <c r="O363" i="3"/>
  <c r="AH84" i="3"/>
  <c r="AG329" i="3"/>
  <c r="AG392" i="3"/>
  <c r="AH177" i="3"/>
  <c r="AH85" i="3"/>
  <c r="AG76" i="3"/>
  <c r="AD156" i="3"/>
  <c r="AG416" i="3"/>
  <c r="AG177" i="3"/>
  <c r="AG462" i="3"/>
  <c r="AG355" i="3"/>
  <c r="AI355" i="3" s="1"/>
  <c r="AG208" i="3"/>
  <c r="AG77" i="3"/>
  <c r="AG273" i="3"/>
  <c r="AG13" i="3"/>
  <c r="AH134" i="3"/>
  <c r="AG225" i="3"/>
  <c r="AG169" i="3"/>
  <c r="AG141" i="3"/>
  <c r="AD336" i="3"/>
  <c r="AG241" i="3"/>
  <c r="AG148" i="3"/>
  <c r="O129" i="3"/>
  <c r="AG133" i="3"/>
  <c r="AG256" i="3"/>
  <c r="N129" i="3"/>
  <c r="AG264" i="3"/>
  <c r="AI264" i="3" s="1"/>
  <c r="AG219" i="3"/>
  <c r="AG293" i="3"/>
  <c r="N336" i="3"/>
  <c r="AD150" i="3"/>
  <c r="AH13" i="3"/>
  <c r="O426" i="3"/>
  <c r="N432" i="3"/>
  <c r="N358" i="3"/>
  <c r="AD493" i="3"/>
  <c r="AD485" i="3"/>
  <c r="AD366" i="3"/>
  <c r="O469" i="3"/>
  <c r="N356" i="3"/>
  <c r="N442" i="3"/>
  <c r="O442" i="3"/>
  <c r="AD442" i="3"/>
  <c r="O416" i="3"/>
  <c r="AD416" i="3"/>
  <c r="N490" i="3"/>
  <c r="AD490" i="3"/>
  <c r="N444" i="3"/>
  <c r="AD444" i="3"/>
  <c r="O444" i="3"/>
  <c r="O370" i="3"/>
  <c r="AD370" i="3"/>
  <c r="O423" i="3"/>
  <c r="AD423" i="3"/>
  <c r="N314" i="3"/>
  <c r="AD314" i="3"/>
  <c r="O314" i="3"/>
  <c r="N437" i="3"/>
  <c r="AD437" i="3"/>
  <c r="N305" i="3"/>
  <c r="O305" i="3"/>
  <c r="AD305" i="3"/>
  <c r="N256" i="3"/>
  <c r="O256" i="3"/>
  <c r="AD256" i="3"/>
  <c r="N203" i="3"/>
  <c r="O203" i="3"/>
  <c r="AD203" i="3"/>
  <c r="AD267" i="3"/>
  <c r="N267" i="3"/>
  <c r="O267" i="3"/>
  <c r="O274" i="3"/>
  <c r="AD274" i="3"/>
  <c r="N274" i="3"/>
  <c r="AH216" i="3"/>
  <c r="AI216" i="3" s="1"/>
  <c r="AD176" i="3"/>
  <c r="N176" i="3"/>
  <c r="O161" i="3"/>
  <c r="AD161" i="3"/>
  <c r="N161" i="3"/>
  <c r="AG189" i="3"/>
  <c r="AH188" i="3"/>
  <c r="N46" i="3"/>
  <c r="O46" i="3"/>
  <c r="AD46" i="3"/>
  <c r="O253" i="3"/>
  <c r="AD253" i="3"/>
  <c r="AH155" i="3"/>
  <c r="AG98" i="3"/>
  <c r="AD64" i="3"/>
  <c r="N64" i="3"/>
  <c r="O64" i="3"/>
  <c r="O8" i="3"/>
  <c r="N8" i="3"/>
  <c r="AD41" i="3"/>
  <c r="O41" i="3"/>
  <c r="O75" i="3"/>
  <c r="AD75" i="3"/>
  <c r="N75" i="3"/>
  <c r="N29" i="3"/>
  <c r="O29" i="3"/>
  <c r="AD29" i="3"/>
  <c r="N22" i="3"/>
  <c r="O22" i="3"/>
  <c r="AD22" i="3"/>
  <c r="N55" i="3"/>
  <c r="O55" i="3"/>
  <c r="AD55" i="3"/>
  <c r="AD83" i="3"/>
  <c r="N83" i="3"/>
  <c r="O83" i="3"/>
  <c r="O440" i="3"/>
  <c r="N440" i="3"/>
  <c r="N410" i="3"/>
  <c r="O410" i="3"/>
  <c r="AD410" i="3"/>
  <c r="O409" i="3"/>
  <c r="AD409" i="3"/>
  <c r="N409" i="3"/>
  <c r="AD315" i="3"/>
  <c r="O315" i="3"/>
  <c r="N288" i="3"/>
  <c r="O288" i="3"/>
  <c r="AD288" i="3"/>
  <c r="O357" i="3"/>
  <c r="AD357" i="3"/>
  <c r="N329" i="3"/>
  <c r="O329" i="3"/>
  <c r="AD329" i="3"/>
  <c r="N417" i="3"/>
  <c r="O417" i="3"/>
  <c r="AD417" i="3"/>
  <c r="N402" i="3"/>
  <c r="AD402" i="3"/>
  <c r="O398" i="3"/>
  <c r="N398" i="3"/>
  <c r="AD398" i="3"/>
  <c r="N459" i="3"/>
  <c r="AD459" i="3"/>
  <c r="O459" i="3"/>
  <c r="O344" i="3"/>
  <c r="N344" i="3"/>
  <c r="AD344" i="3"/>
  <c r="O354" i="3"/>
  <c r="N354" i="3"/>
  <c r="AD354" i="3"/>
  <c r="AD353" i="3"/>
  <c r="N353" i="3"/>
  <c r="N201" i="3"/>
  <c r="O201" i="3"/>
  <c r="AD201" i="3"/>
  <c r="N225" i="3"/>
  <c r="O225" i="3"/>
  <c r="O296" i="3"/>
  <c r="AD296" i="3"/>
  <c r="N200" i="3"/>
  <c r="AD200" i="3"/>
  <c r="O200" i="3"/>
  <c r="AH242" i="3"/>
  <c r="AI242" i="3" s="1"/>
  <c r="AD255" i="3"/>
  <c r="O255" i="3"/>
  <c r="N185" i="3"/>
  <c r="AD185" i="3"/>
  <c r="O185" i="3"/>
  <c r="N163" i="3"/>
  <c r="AD163" i="3"/>
  <c r="O163" i="3"/>
  <c r="AG152" i="3"/>
  <c r="AI152" i="3" s="1"/>
  <c r="N247" i="3"/>
  <c r="O247" i="3"/>
  <c r="AD247" i="3"/>
  <c r="AD92" i="3"/>
  <c r="N92" i="3"/>
  <c r="N149" i="3"/>
  <c r="O149" i="3"/>
  <c r="AD149" i="3"/>
  <c r="AG138" i="3"/>
  <c r="AI138" i="3" s="1"/>
  <c r="AD130" i="3"/>
  <c r="N130" i="3"/>
  <c r="O130" i="3"/>
  <c r="AD108" i="3"/>
  <c r="N108" i="3"/>
  <c r="O108" i="3"/>
  <c r="N102" i="3"/>
  <c r="AD102" i="3"/>
  <c r="AG55" i="3"/>
  <c r="AD100" i="3"/>
  <c r="N100" i="3"/>
  <c r="O18" i="3"/>
  <c r="AD18" i="3"/>
  <c r="N18" i="3"/>
  <c r="AG35" i="3"/>
  <c r="O7" i="3"/>
  <c r="N7" i="3"/>
  <c r="AD7" i="3"/>
  <c r="AH19" i="3"/>
  <c r="O33" i="3"/>
  <c r="AD33" i="3"/>
  <c r="N33" i="3"/>
  <c r="AD37" i="3"/>
  <c r="N37" i="3"/>
  <c r="O37" i="3"/>
  <c r="AD489" i="3"/>
  <c r="O441" i="3"/>
  <c r="AD482" i="3"/>
  <c r="AD492" i="3"/>
  <c r="N403" i="3"/>
  <c r="AD391" i="3"/>
  <c r="N413" i="3"/>
  <c r="AD413" i="3"/>
  <c r="O420" i="3"/>
  <c r="N420" i="3"/>
  <c r="AD420" i="3"/>
  <c r="O377" i="3"/>
  <c r="N377" i="3"/>
  <c r="AD377" i="3"/>
  <c r="N324" i="3"/>
  <c r="O324" i="3"/>
  <c r="N396" i="3"/>
  <c r="O396" i="3"/>
  <c r="AD396" i="3"/>
  <c r="N365" i="3"/>
  <c r="AD365" i="3"/>
  <c r="N285" i="3"/>
  <c r="AD285" i="3"/>
  <c r="AD187" i="3"/>
  <c r="N187" i="3"/>
  <c r="O187" i="3"/>
  <c r="O291" i="3"/>
  <c r="AD291" i="3"/>
  <c r="O261" i="3"/>
  <c r="AD261" i="3"/>
  <c r="N261" i="3"/>
  <c r="N196" i="3"/>
  <c r="AD196" i="3"/>
  <c r="O196" i="3"/>
  <c r="N257" i="3"/>
  <c r="O257" i="3"/>
  <c r="AD257" i="3"/>
  <c r="AD194" i="3"/>
  <c r="N194" i="3"/>
  <c r="O194" i="3"/>
  <c r="AD165" i="3"/>
  <c r="N165" i="3"/>
  <c r="O165" i="3"/>
  <c r="N243" i="3"/>
  <c r="O243" i="3"/>
  <c r="AD243" i="3"/>
  <c r="N166" i="3"/>
  <c r="O166" i="3"/>
  <c r="AD166" i="3"/>
  <c r="O121" i="3"/>
  <c r="AD121" i="3"/>
  <c r="N121" i="3"/>
  <c r="AD52" i="3"/>
  <c r="N52" i="3"/>
  <c r="O52" i="3"/>
  <c r="AD71" i="3"/>
  <c r="N71" i="3"/>
  <c r="O71" i="3"/>
  <c r="AH112" i="3"/>
  <c r="N128" i="3"/>
  <c r="AD128" i="3"/>
  <c r="O128" i="3"/>
  <c r="AD40" i="3"/>
  <c r="N40" i="3"/>
  <c r="O40" i="3"/>
  <c r="AD61" i="3"/>
  <c r="N61" i="3"/>
  <c r="O61" i="3"/>
  <c r="O473" i="3"/>
  <c r="AD480" i="3"/>
  <c r="N480" i="3"/>
  <c r="O480" i="3"/>
  <c r="O347" i="3"/>
  <c r="N347" i="3"/>
  <c r="AD347" i="3"/>
  <c r="O298" i="3"/>
  <c r="N298" i="3"/>
  <c r="AD298" i="3"/>
  <c r="N387" i="3"/>
  <c r="O387" i="3"/>
  <c r="N431" i="3"/>
  <c r="AD431" i="3"/>
  <c r="O431" i="3"/>
  <c r="O302" i="3"/>
  <c r="AD302" i="3"/>
  <c r="AD119" i="3"/>
  <c r="N119" i="3"/>
  <c r="O119" i="3"/>
  <c r="AH169" i="3"/>
  <c r="N246" i="3"/>
  <c r="AD246" i="3"/>
  <c r="O246" i="3"/>
  <c r="AH211" i="3"/>
  <c r="AI211" i="3" s="1"/>
  <c r="N205" i="3"/>
  <c r="AD205" i="3"/>
  <c r="O181" i="3"/>
  <c r="AD181" i="3"/>
  <c r="N279" i="3"/>
  <c r="O279" i="3"/>
  <c r="AD279" i="3"/>
  <c r="O210" i="3"/>
  <c r="AD210" i="3"/>
  <c r="N210" i="3"/>
  <c r="O155" i="3"/>
  <c r="N155" i="3"/>
  <c r="AD155" i="3"/>
  <c r="AD98" i="3"/>
  <c r="N98" i="3"/>
  <c r="O98" i="3"/>
  <c r="AD87" i="3"/>
  <c r="N87" i="3"/>
  <c r="AD133" i="3"/>
  <c r="N133" i="3"/>
  <c r="O133" i="3"/>
  <c r="AD60" i="3"/>
  <c r="N60" i="3"/>
  <c r="AH8" i="3"/>
  <c r="N140" i="3"/>
  <c r="O140" i="3"/>
  <c r="AD140" i="3"/>
  <c r="N97" i="3"/>
  <c r="O97" i="3"/>
  <c r="AD97" i="3"/>
  <c r="AD115" i="3"/>
  <c r="N115" i="3"/>
  <c r="O115" i="3"/>
  <c r="N68" i="3"/>
  <c r="O68" i="3"/>
  <c r="AD68" i="3"/>
  <c r="N72" i="3"/>
  <c r="AD72" i="3"/>
  <c r="O72" i="3"/>
  <c r="O154" i="3"/>
  <c r="AD154" i="3"/>
  <c r="N154" i="3"/>
  <c r="AD99" i="3"/>
  <c r="N99" i="3"/>
  <c r="O99" i="3"/>
  <c r="AD132" i="3"/>
  <c r="N132" i="3"/>
  <c r="O132" i="3"/>
  <c r="O158" i="3"/>
  <c r="AD158" i="3"/>
  <c r="N158" i="3"/>
  <c r="AG50" i="3"/>
  <c r="N25" i="3"/>
  <c r="AD25" i="3"/>
  <c r="O25" i="3"/>
  <c r="AH16" i="3"/>
  <c r="AD13" i="3"/>
  <c r="N13" i="3"/>
  <c r="O13" i="3"/>
  <c r="AD6" i="3"/>
  <c r="N6" i="3"/>
  <c r="O6" i="3"/>
  <c r="AD39" i="3"/>
  <c r="N39" i="3"/>
  <c r="O39" i="3"/>
  <c r="AD36" i="3"/>
  <c r="N36" i="3"/>
  <c r="O36" i="3"/>
  <c r="N476" i="3"/>
  <c r="AD348" i="3"/>
  <c r="O348" i="3"/>
  <c r="N418" i="3"/>
  <c r="O418" i="3"/>
  <c r="AD418" i="3"/>
  <c r="N312" i="3"/>
  <c r="AD312" i="3"/>
  <c r="O494" i="3"/>
  <c r="AD494" i="3"/>
  <c r="N346" i="3"/>
  <c r="O346" i="3"/>
  <c r="AD346" i="3"/>
  <c r="N322" i="3"/>
  <c r="O322" i="3"/>
  <c r="AD335" i="3"/>
  <c r="N335" i="3"/>
  <c r="O335" i="3"/>
  <c r="N399" i="3"/>
  <c r="AD399" i="3"/>
  <c r="O399" i="3"/>
  <c r="AH471" i="3"/>
  <c r="N355" i="3"/>
  <c r="AD355" i="3"/>
  <c r="O355" i="3"/>
  <c r="AD397" i="3"/>
  <c r="N397" i="3"/>
  <c r="O397" i="3"/>
  <c r="O342" i="3"/>
  <c r="N342" i="3"/>
  <c r="N327" i="3"/>
  <c r="AD327" i="3"/>
  <c r="O327" i="3"/>
  <c r="O320" i="3"/>
  <c r="N320" i="3"/>
  <c r="AD320" i="3"/>
  <c r="N330" i="3"/>
  <c r="AD330" i="3"/>
  <c r="AG240" i="3"/>
  <c r="AD242" i="3"/>
  <c r="O242" i="3"/>
  <c r="O221" i="3"/>
  <c r="AD221" i="3"/>
  <c r="N221" i="3"/>
  <c r="AD240" i="3"/>
  <c r="N240" i="3"/>
  <c r="O240" i="3"/>
  <c r="AG193" i="3"/>
  <c r="O162" i="3"/>
  <c r="AD162" i="3"/>
  <c r="N162" i="3"/>
  <c r="N233" i="3"/>
  <c r="O233" i="3"/>
  <c r="AD233" i="3"/>
  <c r="AH121" i="3"/>
  <c r="N275" i="3"/>
  <c r="O275" i="3"/>
  <c r="AD275" i="3"/>
  <c r="AD206" i="3"/>
  <c r="O206" i="3"/>
  <c r="N206" i="3"/>
  <c r="O173" i="3"/>
  <c r="AD173" i="3"/>
  <c r="N173" i="3"/>
  <c r="N231" i="3"/>
  <c r="O231" i="3"/>
  <c r="AH197" i="3"/>
  <c r="N145" i="3"/>
  <c r="AD145" i="3"/>
  <c r="O145" i="3"/>
  <c r="O44" i="3"/>
  <c r="N44" i="3"/>
  <c r="N70" i="3"/>
  <c r="O70" i="3"/>
  <c r="AD70" i="3"/>
  <c r="O94" i="3"/>
  <c r="AD94" i="3"/>
  <c r="N94" i="3"/>
  <c r="N111" i="3"/>
  <c r="O111" i="3"/>
  <c r="AD111" i="3"/>
  <c r="N114" i="3"/>
  <c r="O114" i="3"/>
  <c r="AD114" i="3"/>
  <c r="O54" i="3"/>
  <c r="AD54" i="3"/>
  <c r="N54" i="3"/>
  <c r="N66" i="3"/>
  <c r="O66" i="3"/>
  <c r="AD66" i="3"/>
  <c r="AD15" i="3"/>
  <c r="N15" i="3"/>
  <c r="O15" i="3"/>
  <c r="N81" i="3"/>
  <c r="AD81" i="3"/>
  <c r="O81" i="3"/>
  <c r="AD95" i="3"/>
  <c r="N95" i="3"/>
  <c r="O95" i="3"/>
  <c r="AD17" i="3"/>
  <c r="N17" i="3"/>
  <c r="O17" i="3"/>
  <c r="N10" i="3"/>
  <c r="O10" i="3"/>
  <c r="AD10" i="3"/>
  <c r="O43" i="3"/>
  <c r="AD43" i="3"/>
  <c r="N43" i="3"/>
  <c r="N21" i="3"/>
  <c r="AD21" i="3"/>
  <c r="O21" i="3"/>
  <c r="AD422" i="3"/>
  <c r="N422" i="3"/>
  <c r="O422" i="3"/>
  <c r="O372" i="3"/>
  <c r="AD372" i="3"/>
  <c r="N372" i="3"/>
  <c r="AD371" i="3"/>
  <c r="N371" i="3"/>
  <c r="O371" i="3"/>
  <c r="O260" i="3"/>
  <c r="AD260" i="3"/>
  <c r="N392" i="3"/>
  <c r="O392" i="3"/>
  <c r="AD392" i="3"/>
  <c r="O453" i="3"/>
  <c r="AD453" i="3"/>
  <c r="AD300" i="3"/>
  <c r="O300" i="3"/>
  <c r="AD228" i="3"/>
  <c r="N228" i="3"/>
  <c r="N219" i="3"/>
  <c r="AD219" i="3"/>
  <c r="O219" i="3"/>
  <c r="N248" i="3"/>
  <c r="AD248" i="3"/>
  <c r="O236" i="3"/>
  <c r="AD236" i="3"/>
  <c r="N236" i="3"/>
  <c r="O167" i="3"/>
  <c r="N167" i="3"/>
  <c r="AD167" i="3"/>
  <c r="AH203" i="3"/>
  <c r="N86" i="3"/>
  <c r="O86" i="3"/>
  <c r="AD86" i="3"/>
  <c r="AD125" i="3"/>
  <c r="N125" i="3"/>
  <c r="O125" i="3"/>
  <c r="AH95" i="3"/>
  <c r="AG96" i="3"/>
  <c r="N88" i="3"/>
  <c r="O88" i="3"/>
  <c r="AD88" i="3"/>
  <c r="N48" i="3"/>
  <c r="O48" i="3"/>
  <c r="AD48" i="3"/>
  <c r="AD112" i="3"/>
  <c r="O112" i="3"/>
  <c r="AD24" i="3"/>
  <c r="N24" i="3"/>
  <c r="O24" i="3"/>
  <c r="N57" i="3"/>
  <c r="O57" i="3"/>
  <c r="AD57" i="3"/>
  <c r="N91" i="3"/>
  <c r="AD91" i="3"/>
  <c r="O91" i="3"/>
  <c r="AD12" i="3"/>
  <c r="N12" i="3"/>
  <c r="O12" i="3"/>
  <c r="O73" i="3"/>
  <c r="N73" i="3"/>
  <c r="AD73" i="3"/>
  <c r="N77" i="3"/>
  <c r="O77" i="3"/>
  <c r="AD77" i="3"/>
  <c r="O446" i="3"/>
  <c r="N446" i="3"/>
  <c r="AD446" i="3"/>
  <c r="N393" i="3"/>
  <c r="O393" i="3"/>
  <c r="AD393" i="3"/>
  <c r="N483" i="3"/>
  <c r="O483" i="3"/>
  <c r="O406" i="3"/>
  <c r="AD406" i="3"/>
  <c r="O352" i="3"/>
  <c r="AD352" i="3"/>
  <c r="N286" i="3"/>
  <c r="O286" i="3"/>
  <c r="AD286" i="3"/>
  <c r="AD405" i="3"/>
  <c r="N405" i="3"/>
  <c r="O405" i="3"/>
  <c r="N304" i="3"/>
  <c r="AD304" i="3"/>
  <c r="O304" i="3"/>
  <c r="O268" i="3"/>
  <c r="N268" i="3"/>
  <c r="AD268" i="3"/>
  <c r="AD252" i="3"/>
  <c r="N252" i="3"/>
  <c r="O252" i="3"/>
  <c r="AG196" i="3"/>
  <c r="O235" i="3"/>
  <c r="N235" i="3"/>
  <c r="AD235" i="3"/>
  <c r="AD230" i="3"/>
  <c r="N230" i="3"/>
  <c r="O230" i="3"/>
  <c r="N271" i="3"/>
  <c r="O271" i="3"/>
  <c r="AD271" i="3"/>
  <c r="N168" i="3"/>
  <c r="O168" i="3"/>
  <c r="AD168" i="3"/>
  <c r="N216" i="3"/>
  <c r="O216" i="3"/>
  <c r="AD216" i="3"/>
  <c r="AH194" i="3"/>
  <c r="AD62" i="3"/>
  <c r="N62" i="3"/>
  <c r="AD90" i="3"/>
  <c r="N90" i="3"/>
  <c r="O90" i="3"/>
  <c r="N136" i="3"/>
  <c r="AD136" i="3"/>
  <c r="O136" i="3"/>
  <c r="O84" i="3"/>
  <c r="N84" i="3"/>
  <c r="AD84" i="3"/>
  <c r="O42" i="3"/>
  <c r="AD42" i="3"/>
  <c r="N42" i="3"/>
  <c r="AH122" i="3"/>
  <c r="AG123" i="3"/>
  <c r="AD116" i="3"/>
  <c r="N116" i="3"/>
  <c r="O116" i="3"/>
  <c r="AH109" i="3"/>
  <c r="N47" i="3"/>
  <c r="O47" i="3"/>
  <c r="N34" i="3"/>
  <c r="O34" i="3"/>
  <c r="N23" i="3"/>
  <c r="O23" i="3"/>
  <c r="AD23" i="3"/>
  <c r="N53" i="3"/>
  <c r="O53" i="3"/>
  <c r="AD53" i="3"/>
  <c r="AD440" i="3"/>
  <c r="AD469" i="3"/>
  <c r="AD488" i="3"/>
  <c r="N488" i="3"/>
  <c r="O488" i="3"/>
  <c r="O419" i="3"/>
  <c r="N419" i="3"/>
  <c r="AD419" i="3"/>
  <c r="O401" i="3"/>
  <c r="AD401" i="3"/>
  <c r="N430" i="3"/>
  <c r="AD430" i="3"/>
  <c r="O430" i="3"/>
  <c r="O319" i="3"/>
  <c r="AD319" i="3"/>
  <c r="AH380" i="3"/>
  <c r="N328" i="3"/>
  <c r="AD328" i="3"/>
  <c r="O328" i="3"/>
  <c r="N427" i="3"/>
  <c r="AD427" i="3"/>
  <c r="N311" i="3"/>
  <c r="O311" i="3"/>
  <c r="N321" i="3"/>
  <c r="O321" i="3"/>
  <c r="AD321" i="3"/>
  <c r="N270" i="3"/>
  <c r="O270" i="3"/>
  <c r="AD270" i="3"/>
  <c r="N280" i="3"/>
  <c r="AD280" i="3"/>
  <c r="O287" i="3"/>
  <c r="N287" i="3"/>
  <c r="N213" i="3"/>
  <c r="O213" i="3"/>
  <c r="AD213" i="3"/>
  <c r="N204" i="3"/>
  <c r="O204" i="3"/>
  <c r="AD204" i="3"/>
  <c r="N282" i="3"/>
  <c r="O282" i="3"/>
  <c r="AD282" i="3"/>
  <c r="AH202" i="3"/>
  <c r="AG118" i="3"/>
  <c r="N117" i="3"/>
  <c r="O117" i="3"/>
  <c r="AD117" i="3"/>
  <c r="AG102" i="3"/>
  <c r="O96" i="3"/>
  <c r="N96" i="3"/>
  <c r="AH111" i="3"/>
  <c r="N144" i="3"/>
  <c r="O144" i="3"/>
  <c r="AD144" i="3"/>
  <c r="O19" i="3"/>
  <c r="N19" i="3"/>
  <c r="AD19" i="3"/>
  <c r="O27" i="3"/>
  <c r="AD27" i="3"/>
  <c r="N27" i="3"/>
  <c r="AI233" i="3"/>
  <c r="AI222" i="3" l="1"/>
  <c r="AI346" i="3"/>
  <c r="AI394" i="3"/>
  <c r="AI469" i="3"/>
  <c r="AI436" i="3"/>
  <c r="AI80" i="3"/>
  <c r="AI50" i="3"/>
  <c r="AI341" i="3"/>
  <c r="AI376" i="3"/>
  <c r="AI429" i="3"/>
  <c r="AI26" i="3"/>
  <c r="AI11" i="3"/>
  <c r="AI336" i="3"/>
  <c r="AI285" i="3"/>
  <c r="AI32" i="3"/>
  <c r="AI244" i="3"/>
  <c r="AI105" i="3"/>
  <c r="AI252" i="3"/>
  <c r="AI101" i="3"/>
  <c r="AI363" i="3"/>
  <c r="AI121" i="3"/>
  <c r="AI141" i="3"/>
  <c r="AI442" i="3"/>
  <c r="AI202" i="3"/>
  <c r="AI132" i="3"/>
  <c r="AI150" i="3"/>
  <c r="AI210" i="3"/>
  <c r="AI451" i="3"/>
  <c r="AI61" i="3"/>
  <c r="AI124" i="3"/>
  <c r="AI324" i="3"/>
  <c r="AI494" i="3"/>
  <c r="AI396" i="3"/>
  <c r="AI282" i="3"/>
  <c r="AI120" i="3"/>
  <c r="AI462" i="3"/>
  <c r="AI444" i="3"/>
  <c r="AI168" i="3"/>
  <c r="AI228" i="3"/>
  <c r="AI29" i="3"/>
  <c r="AI485" i="3"/>
  <c r="AI256" i="3"/>
  <c r="AI12" i="3"/>
  <c r="AI474" i="3"/>
  <c r="AI338" i="3"/>
  <c r="AI35" i="3"/>
  <c r="AI365" i="3"/>
  <c r="AI357" i="3"/>
  <c r="AI389" i="3"/>
  <c r="AI43" i="3"/>
  <c r="AI76" i="3"/>
  <c r="AI395" i="3"/>
  <c r="AI221" i="3"/>
  <c r="AI458" i="3"/>
  <c r="AI352" i="3"/>
  <c r="AI87" i="3"/>
  <c r="AI230" i="3"/>
  <c r="AI258" i="3"/>
  <c r="AI385" i="3"/>
  <c r="AI360" i="3"/>
  <c r="AI254" i="3"/>
  <c r="AI404" i="3"/>
  <c r="AI245" i="3"/>
  <c r="AI299" i="3"/>
  <c r="AI381" i="3"/>
  <c r="AI414" i="3"/>
  <c r="AI229" i="3"/>
  <c r="AI333" i="3"/>
  <c r="AI161" i="3"/>
  <c r="AI303" i="3"/>
  <c r="AI270" i="3"/>
  <c r="AI179" i="3"/>
  <c r="AI67" i="3"/>
  <c r="AI379" i="3"/>
  <c r="AI199" i="3"/>
  <c r="AI490" i="3"/>
  <c r="AI465" i="3"/>
  <c r="AI160" i="3"/>
  <c r="AI398" i="3"/>
  <c r="AI153" i="3"/>
  <c r="AI320" i="3"/>
  <c r="AI130" i="3"/>
  <c r="AI204" i="3"/>
  <c r="AI361" i="3"/>
  <c r="AI477" i="3"/>
  <c r="AI393" i="3"/>
  <c r="AI425" i="3"/>
  <c r="AI345" i="3"/>
  <c r="AI423" i="3"/>
  <c r="AI452" i="3"/>
  <c r="AI428" i="3"/>
  <c r="AI25" i="3"/>
  <c r="AI411" i="3"/>
  <c r="AI431" i="3"/>
  <c r="AI149" i="3"/>
  <c r="AI476" i="3"/>
  <c r="AI278" i="3"/>
  <c r="AI483" i="3"/>
  <c r="AI302" i="3"/>
  <c r="AI359" i="3"/>
  <c r="AI206" i="3"/>
  <c r="AI481" i="3"/>
  <c r="AI129" i="3"/>
  <c r="AI174" i="3"/>
  <c r="AI267" i="3"/>
  <c r="AI325" i="3"/>
  <c r="AI298" i="3"/>
  <c r="AI472" i="3"/>
  <c r="AI315" i="3"/>
  <c r="AI426" i="3"/>
  <c r="AI390" i="3"/>
  <c r="AI142" i="3"/>
  <c r="AI427" i="3"/>
  <c r="AI56" i="3"/>
  <c r="AI375" i="3"/>
  <c r="AI47" i="3"/>
  <c r="AI283" i="3"/>
  <c r="AI90" i="3"/>
  <c r="AI165" i="3"/>
  <c r="AI178" i="3"/>
  <c r="AI418" i="3"/>
  <c r="AI337" i="3"/>
  <c r="AI180" i="3"/>
  <c r="AI329" i="3"/>
  <c r="AI272" i="3"/>
  <c r="AI8" i="3"/>
  <c r="AI134" i="3"/>
  <c r="AI265" i="3"/>
  <c r="AI125" i="3"/>
  <c r="AI407" i="3"/>
  <c r="AI382" i="3"/>
  <c r="AI259" i="3"/>
  <c r="AI137" i="3"/>
  <c r="AI408" i="3"/>
  <c r="AI473" i="3"/>
  <c r="AI455" i="3"/>
  <c r="AI176" i="3"/>
  <c r="AI480" i="3"/>
  <c r="AI208" i="3"/>
  <c r="AI151" i="3"/>
  <c r="AI34" i="3"/>
  <c r="AI118" i="3"/>
  <c r="AI369" i="3"/>
  <c r="AI187" i="3"/>
  <c r="AI492" i="3"/>
  <c r="AI159" i="3"/>
  <c r="AI92" i="3"/>
  <c r="AI266" i="3"/>
  <c r="AI319" i="3"/>
  <c r="AI377" i="3"/>
  <c r="AI201" i="3"/>
  <c r="AI446" i="3"/>
  <c r="AI467" i="3"/>
  <c r="AI461" i="3"/>
  <c r="AI110" i="3"/>
  <c r="AI290" i="3"/>
  <c r="AI286" i="3"/>
  <c r="AI36" i="3"/>
  <c r="AI433" i="3"/>
  <c r="AI484" i="3"/>
  <c r="AI287" i="3"/>
  <c r="AI339" i="3"/>
  <c r="AI489" i="3"/>
  <c r="AI46" i="3"/>
  <c r="AI106" i="3"/>
  <c r="AI362" i="3"/>
  <c r="AI347" i="3"/>
  <c r="AI111" i="3"/>
  <c r="AI188" i="3"/>
  <c r="AI350" i="3"/>
  <c r="AI464" i="3"/>
  <c r="AI486" i="3"/>
  <c r="AI438" i="3"/>
  <c r="AI274" i="3"/>
  <c r="AI191" i="3"/>
  <c r="AI386" i="3"/>
  <c r="AI370" i="3"/>
  <c r="AI215" i="3"/>
  <c r="AI440" i="3"/>
  <c r="AI219" i="3"/>
  <c r="AI358" i="3"/>
  <c r="AI74" i="3"/>
  <c r="AI342" i="3"/>
  <c r="AI98" i="3"/>
  <c r="AI312" i="3"/>
  <c r="AI131" i="3"/>
  <c r="AI128" i="3"/>
  <c r="AI109" i="3"/>
  <c r="AI380" i="3"/>
  <c r="AI182" i="3"/>
  <c r="AI364" i="3"/>
  <c r="AI405" i="3"/>
  <c r="AI391" i="3"/>
  <c r="AI257" i="3"/>
  <c r="AI185" i="3"/>
  <c r="AI308" i="3"/>
  <c r="AI468" i="3"/>
  <c r="AI104" i="3"/>
  <c r="AI448" i="3"/>
  <c r="AI328" i="3"/>
  <c r="AI420" i="3"/>
  <c r="AI356" i="3"/>
  <c r="AI340" i="3"/>
  <c r="AI102" i="3"/>
  <c r="AI276" i="3"/>
  <c r="AI449" i="3"/>
  <c r="AI37" i="3"/>
  <c r="AI263" i="3"/>
  <c r="AI238" i="3"/>
  <c r="AI205" i="3"/>
  <c r="AI295" i="3"/>
  <c r="AI114" i="3"/>
  <c r="AI224" i="3"/>
  <c r="AI292" i="3"/>
  <c r="AI401" i="3"/>
  <c r="AI14" i="3"/>
  <c r="AI406" i="3"/>
  <c r="AI135" i="3"/>
  <c r="AI156" i="3"/>
  <c r="AI164" i="3"/>
  <c r="AI79" i="3"/>
  <c r="AI173" i="3"/>
  <c r="AI20" i="3"/>
  <c r="AI268" i="3"/>
  <c r="AI430" i="3"/>
  <c r="AI70" i="3"/>
  <c r="AI175" i="3"/>
  <c r="AI416" i="3"/>
  <c r="AI400" i="3"/>
  <c r="AI374" i="3"/>
  <c r="AI58" i="3"/>
  <c r="AI327" i="3"/>
  <c r="AI214" i="3"/>
  <c r="AI248" i="3"/>
  <c r="AI30" i="3"/>
  <c r="AI243" i="3"/>
  <c r="AI157" i="3"/>
  <c r="AI241" i="3"/>
  <c r="AI249" i="3"/>
  <c r="AI196" i="3"/>
  <c r="AI439" i="3"/>
  <c r="AI354" i="3"/>
  <c r="AI417" i="3"/>
  <c r="AI437" i="3"/>
  <c r="AI335" i="3"/>
  <c r="AI49" i="3"/>
  <c r="AI316" i="3"/>
  <c r="AI470" i="3"/>
  <c r="AI291" i="3"/>
  <c r="AI399" i="3"/>
  <c r="AI38" i="3"/>
  <c r="AI459" i="3"/>
  <c r="AI190" i="3"/>
  <c r="AI288" i="3"/>
  <c r="AI453" i="3"/>
  <c r="AI445" i="3"/>
  <c r="AI457" i="3"/>
  <c r="AI326" i="3"/>
  <c r="AI69" i="3"/>
  <c r="AI366" i="3"/>
  <c r="AI53" i="3"/>
  <c r="AI166" i="3"/>
  <c r="AI186" i="3"/>
  <c r="AI402" i="3"/>
  <c r="AI349" i="3"/>
  <c r="AI323" i="3"/>
  <c r="AI64" i="3"/>
  <c r="AI353" i="3"/>
  <c r="AI388" i="3"/>
  <c r="AI296" i="3"/>
  <c r="AI261" i="3"/>
  <c r="AI456" i="3"/>
  <c r="AI460" i="3"/>
  <c r="AI207" i="3"/>
  <c r="AI40" i="3"/>
  <c r="AI239" i="3"/>
  <c r="AI45" i="3"/>
  <c r="AI44" i="3"/>
  <c r="AI234" i="3"/>
  <c r="AI351" i="3"/>
  <c r="AI367" i="3"/>
  <c r="AI193" i="3"/>
  <c r="AI148" i="3"/>
  <c r="AI372" i="3"/>
  <c r="AI158" i="3"/>
  <c r="AI422" i="3"/>
  <c r="AI447" i="3"/>
  <c r="AI51" i="3"/>
  <c r="AI89" i="3"/>
  <c r="AI60" i="3"/>
  <c r="AI189" i="3"/>
  <c r="AI91" i="3"/>
  <c r="AI23" i="3"/>
  <c r="AI220" i="3"/>
  <c r="AI54" i="3"/>
  <c r="AI77" i="3"/>
  <c r="AI235" i="3"/>
  <c r="AI246" i="3"/>
  <c r="AI237" i="3"/>
  <c r="AI94" i="3"/>
  <c r="AI236" i="3"/>
  <c r="AI378" i="3"/>
  <c r="AI226" i="3"/>
  <c r="AI310" i="3"/>
  <c r="AI217" i="3"/>
  <c r="AI127" i="3"/>
  <c r="AI133" i="3"/>
  <c r="AI59" i="3"/>
  <c r="AI103" i="3"/>
  <c r="AI163" i="3"/>
  <c r="AI28" i="3"/>
  <c r="AI171" i="3"/>
  <c r="AI223" i="3"/>
  <c r="AI318" i="3"/>
  <c r="AI495" i="3"/>
  <c r="AI289" i="3"/>
  <c r="AI432" i="3"/>
  <c r="AI368" i="3"/>
  <c r="AI66" i="3"/>
  <c r="AI281" i="3"/>
  <c r="AI119" i="3"/>
  <c r="AI250" i="3"/>
  <c r="AI387" i="3"/>
  <c r="AI194" i="3"/>
  <c r="AI55" i="3"/>
  <c r="AI57" i="3"/>
  <c r="AI200" i="3"/>
  <c r="AI107" i="3"/>
  <c r="AI273" i="3"/>
  <c r="AI260" i="3"/>
  <c r="AI277" i="3"/>
  <c r="AI72" i="3"/>
  <c r="AI15" i="3"/>
  <c r="AI147" i="3"/>
  <c r="AI172" i="3"/>
  <c r="AI63" i="3"/>
  <c r="AI62" i="3"/>
  <c r="AI10" i="3"/>
  <c r="AI275" i="3"/>
  <c r="AI450" i="3"/>
  <c r="AI227" i="3"/>
  <c r="AI415" i="3"/>
  <c r="AI17" i="3"/>
  <c r="AI383" i="3"/>
  <c r="AI493" i="3"/>
  <c r="AI19" i="3"/>
  <c r="AI225" i="3"/>
  <c r="AI284" i="3"/>
  <c r="AI475" i="3"/>
  <c r="AI117" i="3"/>
  <c r="AI96" i="3"/>
  <c r="AI240" i="3"/>
  <c r="AI317" i="3"/>
  <c r="AI71" i="3"/>
  <c r="AI108" i="3"/>
  <c r="AI348" i="3"/>
  <c r="AI86" i="3"/>
  <c r="AI314" i="3"/>
  <c r="AI83" i="3"/>
  <c r="AI231" i="3"/>
  <c r="AI322" i="3"/>
  <c r="AI435" i="3"/>
  <c r="AI145" i="3"/>
  <c r="AI144" i="3"/>
  <c r="AI84" i="3"/>
  <c r="AI306" i="3"/>
  <c r="AI140" i="3"/>
  <c r="AI293" i="3"/>
  <c r="AI403" i="3"/>
  <c r="AI123" i="3"/>
  <c r="AI471" i="3"/>
  <c r="AI122" i="3"/>
  <c r="AI424" i="3"/>
  <c r="AI197" i="3"/>
  <c r="AI52" i="3"/>
  <c r="AI155" i="3"/>
  <c r="AI154" i="3"/>
  <c r="AI344" i="3"/>
  <c r="AI78" i="3"/>
  <c r="AI479" i="3"/>
  <c r="AI488" i="3"/>
  <c r="AI332" i="3"/>
  <c r="AI300" i="3"/>
  <c r="AI412" i="3"/>
  <c r="AI81" i="3"/>
  <c r="AI454" i="3"/>
  <c r="AI115" i="3"/>
  <c r="AI195" i="3"/>
  <c r="AI247" i="3"/>
  <c r="AI65" i="3"/>
  <c r="AI143" i="3"/>
  <c r="AI305" i="3"/>
  <c r="AI413" i="3"/>
  <c r="AI434" i="3"/>
  <c r="AI280" i="3"/>
  <c r="AI410" i="3"/>
  <c r="AI16" i="3"/>
  <c r="AI27" i="3"/>
  <c r="AI167" i="3"/>
  <c r="AI463" i="3"/>
  <c r="AI397" i="3"/>
  <c r="AI181" i="3"/>
  <c r="AI491" i="3"/>
  <c r="AI301" i="3"/>
  <c r="AI162" i="3"/>
  <c r="AI392" i="3"/>
  <c r="AI73" i="3"/>
  <c r="AI330" i="3"/>
  <c r="AI271" i="3"/>
  <c r="AI279" i="3"/>
  <c r="AI373" i="3"/>
  <c r="AI421" i="3"/>
  <c r="AI42" i="3"/>
  <c r="AI311" i="3"/>
  <c r="AI21" i="3"/>
  <c r="AI93" i="3"/>
  <c r="AI136" i="3"/>
  <c r="AI253" i="3"/>
  <c r="AI307" i="3"/>
  <c r="AI75" i="3"/>
  <c r="AI24" i="3"/>
  <c r="AI297" i="3"/>
  <c r="AI95" i="3"/>
  <c r="AI321" i="3"/>
  <c r="AI85" i="3"/>
  <c r="A24" i="1" a="1"/>
  <c r="A24" i="1" s="1"/>
  <c r="F24" i="1" s="1"/>
  <c r="G24" i="1" s="1"/>
  <c r="AI192" i="3"/>
  <c r="AI409" i="3"/>
  <c r="AI97" i="3"/>
  <c r="AI184" i="3"/>
  <c r="AI112" i="3"/>
  <c r="AI41" i="3"/>
  <c r="AI146" i="3"/>
  <c r="AI203" i="3"/>
  <c r="AI169" i="3"/>
  <c r="AI177" i="3"/>
  <c r="S4" i="3"/>
  <c r="D51" i="1" s="1"/>
  <c r="AI13" i="3"/>
  <c r="R18" i="1" a="1"/>
  <c r="R154" i="1" s="1"/>
  <c r="S154" i="1" s="1"/>
  <c r="Z154" i="1" s="1"/>
  <c r="R4" i="3"/>
  <c r="D62" i="1" s="1"/>
  <c r="U2" i="3"/>
  <c r="D15" i="1" s="1"/>
  <c r="S2" i="3"/>
  <c r="T2" i="3"/>
  <c r="F19" i="1" s="1"/>
  <c r="X3" i="3"/>
  <c r="AD3" i="3" s="1"/>
  <c r="W154" i="1" l="1"/>
  <c r="T154" i="1"/>
  <c r="Y154" i="1"/>
  <c r="AD2" i="3"/>
  <c r="AC3" i="3" s="1"/>
  <c r="A35" i="1"/>
  <c r="A36" i="1"/>
  <c r="A29" i="1"/>
  <c r="A28" i="1"/>
  <c r="A37" i="1"/>
  <c r="A33" i="1"/>
  <c r="B24" i="1"/>
  <c r="H24" i="1" s="1"/>
  <c r="A38" i="1"/>
  <c r="A34" i="1"/>
  <c r="A25" i="1"/>
  <c r="F25" i="1" s="1"/>
  <c r="G25" i="1" s="1"/>
  <c r="A30" i="1"/>
  <c r="A27" i="1"/>
  <c r="A31" i="1"/>
  <c r="A26" i="1"/>
  <c r="A32" i="1"/>
  <c r="R89" i="1"/>
  <c r="S89" i="1" s="1"/>
  <c r="R199" i="1"/>
  <c r="S199" i="1" s="1"/>
  <c r="Z199" i="1" s="1"/>
  <c r="R222" i="1"/>
  <c r="S222" i="1" s="1"/>
  <c r="Z222" i="1" s="1"/>
  <c r="R43" i="1"/>
  <c r="S43" i="1" s="1"/>
  <c r="Z43" i="1" s="1"/>
  <c r="R280" i="1"/>
  <c r="S280" i="1" s="1"/>
  <c r="R357" i="1"/>
  <c r="S357" i="1" s="1"/>
  <c r="R264" i="1"/>
  <c r="S264" i="1" s="1"/>
  <c r="Z264" i="1" s="1"/>
  <c r="R79" i="1"/>
  <c r="S79" i="1" s="1"/>
  <c r="Z79" i="1" s="1"/>
  <c r="R102" i="1"/>
  <c r="S102" i="1" s="1"/>
  <c r="R328" i="1"/>
  <c r="S328" i="1" s="1"/>
  <c r="Z328" i="1" s="1"/>
  <c r="R188" i="1"/>
  <c r="S188" i="1" s="1"/>
  <c r="Z188" i="1" s="1"/>
  <c r="R288" i="1"/>
  <c r="S288" i="1" s="1"/>
  <c r="Z288" i="1" s="1"/>
  <c r="R291" i="1"/>
  <c r="S291" i="1" s="1"/>
  <c r="R138" i="1"/>
  <c r="S138" i="1" s="1"/>
  <c r="Z138" i="1" s="1"/>
  <c r="R359" i="1"/>
  <c r="S359" i="1" s="1"/>
  <c r="Z359" i="1" s="1"/>
  <c r="R39" i="1"/>
  <c r="S39" i="1" s="1"/>
  <c r="Z39" i="1" s="1"/>
  <c r="R333" i="1"/>
  <c r="S333" i="1" s="1"/>
  <c r="R113" i="1"/>
  <c r="S113" i="1" s="1"/>
  <c r="Z113" i="1" s="1"/>
  <c r="R166" i="1"/>
  <c r="S166" i="1" s="1"/>
  <c r="Z166" i="1" s="1"/>
  <c r="R289" i="1"/>
  <c r="S289" i="1" s="1"/>
  <c r="Z289" i="1" s="1"/>
  <c r="R176" i="1"/>
  <c r="S176" i="1" s="1"/>
  <c r="R271" i="1"/>
  <c r="S271" i="1" s="1"/>
  <c r="Z271" i="1" s="1"/>
  <c r="R275" i="1"/>
  <c r="S275" i="1" s="1"/>
  <c r="Z275" i="1" s="1"/>
  <c r="R151" i="1"/>
  <c r="S151" i="1" s="1"/>
  <c r="Z151" i="1" s="1"/>
  <c r="R98" i="1"/>
  <c r="S98" i="1" s="1"/>
  <c r="R178" i="1"/>
  <c r="S178" i="1" s="1"/>
  <c r="Z178" i="1" s="1"/>
  <c r="R52" i="1"/>
  <c r="S52" i="1" s="1"/>
  <c r="Z52" i="1" s="1"/>
  <c r="R254" i="1"/>
  <c r="S254" i="1" s="1"/>
  <c r="R329" i="1"/>
  <c r="S329" i="1" s="1"/>
  <c r="R306" i="1"/>
  <c r="S306" i="1" s="1"/>
  <c r="Z306" i="1" s="1"/>
  <c r="R170" i="1"/>
  <c r="S170" i="1" s="1"/>
  <c r="Z170" i="1" s="1"/>
  <c r="R391" i="1"/>
  <c r="S391" i="1" s="1"/>
  <c r="Z391" i="1" s="1"/>
  <c r="R116" i="1"/>
  <c r="S116" i="1" s="1"/>
  <c r="Z116" i="1" s="1"/>
  <c r="R217" i="1"/>
  <c r="S217" i="1" s="1"/>
  <c r="Z217" i="1" s="1"/>
  <c r="R350" i="1"/>
  <c r="S350" i="1" s="1"/>
  <c r="Z350" i="1" s="1"/>
  <c r="R202" i="1"/>
  <c r="S202" i="1" s="1"/>
  <c r="Z202" i="1" s="1"/>
  <c r="R121" i="1"/>
  <c r="S121" i="1" s="1"/>
  <c r="R200" i="1"/>
  <c r="S200" i="1" s="1"/>
  <c r="Z200" i="1" s="1"/>
  <c r="R115" i="1"/>
  <c r="S115" i="1" s="1"/>
  <c r="Z115" i="1" s="1"/>
  <c r="R82" i="1"/>
  <c r="S82" i="1" s="1"/>
  <c r="Z82" i="1" s="1"/>
  <c r="R325" i="1"/>
  <c r="S325" i="1" s="1"/>
  <c r="Z325" i="1" s="1"/>
  <c r="R73" i="1"/>
  <c r="S73" i="1" s="1"/>
  <c r="Z73" i="1" s="1"/>
  <c r="R38" i="1"/>
  <c r="S38" i="1" s="1"/>
  <c r="Z38" i="1" s="1"/>
  <c r="R152" i="1"/>
  <c r="S152" i="1" s="1"/>
  <c r="Z152" i="1" s="1"/>
  <c r="R281" i="1"/>
  <c r="S281" i="1" s="1"/>
  <c r="R156" i="1"/>
  <c r="S156" i="1" s="1"/>
  <c r="Z156" i="1" s="1"/>
  <c r="R348" i="1"/>
  <c r="S348" i="1" s="1"/>
  <c r="Z348" i="1" s="1"/>
  <c r="R134" i="1"/>
  <c r="S134" i="1" s="1"/>
  <c r="Z134" i="1" s="1"/>
  <c r="R331" i="1"/>
  <c r="S331" i="1" s="1"/>
  <c r="Z331" i="1" s="1"/>
  <c r="R330" i="1"/>
  <c r="S330" i="1" s="1"/>
  <c r="Z330" i="1" s="1"/>
  <c r="R144" i="1"/>
  <c r="S144" i="1" s="1"/>
  <c r="Z144" i="1" s="1"/>
  <c r="R284" i="1"/>
  <c r="S284" i="1" s="1"/>
  <c r="Z284" i="1" s="1"/>
  <c r="R114" i="1"/>
  <c r="S114" i="1" s="1"/>
  <c r="R335" i="1"/>
  <c r="S335" i="1" s="1"/>
  <c r="Z335" i="1" s="1"/>
  <c r="R51" i="1"/>
  <c r="S51" i="1" s="1"/>
  <c r="Z51" i="1" s="1"/>
  <c r="R225" i="1"/>
  <c r="S225" i="1" s="1"/>
  <c r="Z225" i="1" s="1"/>
  <c r="R145" i="1"/>
  <c r="S145" i="1" s="1"/>
  <c r="Z145" i="1" s="1"/>
  <c r="R318" i="1"/>
  <c r="S318" i="1" s="1"/>
  <c r="Z318" i="1" s="1"/>
  <c r="R223" i="1"/>
  <c r="S223" i="1" s="1"/>
  <c r="Z223" i="1" s="1"/>
  <c r="R36" i="1"/>
  <c r="S36" i="1" s="1"/>
  <c r="R311" i="1"/>
  <c r="S311" i="1" s="1"/>
  <c r="R221" i="1"/>
  <c r="S221" i="1" s="1"/>
  <c r="Z221" i="1" s="1"/>
  <c r="R179" i="1"/>
  <c r="S179" i="1" s="1"/>
  <c r="Z179" i="1" s="1"/>
  <c r="R97" i="1"/>
  <c r="S97" i="1" s="1"/>
  <c r="Z97" i="1" s="1"/>
  <c r="R62" i="1"/>
  <c r="S62" i="1" s="1"/>
  <c r="R298" i="1"/>
  <c r="S298" i="1" s="1"/>
  <c r="Z298" i="1" s="1"/>
  <c r="R112" i="1"/>
  <c r="S112" i="1" s="1"/>
  <c r="Z112" i="1" s="1"/>
  <c r="R235" i="1"/>
  <c r="S235" i="1" s="1"/>
  <c r="Z235" i="1" s="1"/>
  <c r="R370" i="1"/>
  <c r="S370" i="1" s="1"/>
  <c r="R394" i="1"/>
  <c r="S394" i="1" s="1"/>
  <c r="Z394" i="1" s="1"/>
  <c r="R273" i="1"/>
  <c r="S273" i="1" s="1"/>
  <c r="Z273" i="1" s="1"/>
  <c r="R54" i="1"/>
  <c r="S54" i="1" s="1"/>
  <c r="Z54" i="1" s="1"/>
  <c r="R123" i="1"/>
  <c r="S123" i="1" s="1"/>
  <c r="R142" i="1"/>
  <c r="S142" i="1" s="1"/>
  <c r="Z142" i="1" s="1"/>
  <c r="R234" i="1"/>
  <c r="S234" i="1" s="1"/>
  <c r="Z234" i="1" s="1"/>
  <c r="R53" i="1"/>
  <c r="S53" i="1" s="1"/>
  <c r="Z53" i="1" s="1"/>
  <c r="R269" i="1"/>
  <c r="S269" i="1" s="1"/>
  <c r="Z269" i="1" s="1"/>
  <c r="R209" i="1"/>
  <c r="S209" i="1" s="1"/>
  <c r="Z209" i="1" s="1"/>
  <c r="R230" i="1"/>
  <c r="S230" i="1" s="1"/>
  <c r="Z230" i="1" s="1"/>
  <c r="R139" i="1"/>
  <c r="S139" i="1" s="1"/>
  <c r="R81" i="1"/>
  <c r="S81" i="1" s="1"/>
  <c r="R148" i="1"/>
  <c r="S148" i="1" s="1"/>
  <c r="Z148" i="1" s="1"/>
  <c r="R242" i="1"/>
  <c r="S242" i="1" s="1"/>
  <c r="Z242" i="1" s="1"/>
  <c r="R65" i="1"/>
  <c r="S65" i="1" s="1"/>
  <c r="Z65" i="1" s="1"/>
  <c r="R108" i="1"/>
  <c r="S108" i="1" s="1"/>
  <c r="R319" i="1"/>
  <c r="S319" i="1" s="1"/>
  <c r="Z319" i="1" s="1"/>
  <c r="R196" i="1"/>
  <c r="S196" i="1" s="1"/>
  <c r="Z196" i="1" s="1"/>
  <c r="R30" i="1"/>
  <c r="S30" i="1" s="1"/>
  <c r="Z30" i="1" s="1"/>
  <c r="R92" i="1"/>
  <c r="S92" i="1" s="1"/>
  <c r="R305" i="1"/>
  <c r="S305" i="1" s="1"/>
  <c r="Z305" i="1" s="1"/>
  <c r="R24" i="1"/>
  <c r="S24" i="1" s="1"/>
  <c r="Z24" i="1" s="1"/>
  <c r="R205" i="1"/>
  <c r="S205" i="1" s="1"/>
  <c r="Z205" i="1" s="1"/>
  <c r="R177" i="1"/>
  <c r="S177" i="1" s="1"/>
  <c r="R94" i="1"/>
  <c r="S94" i="1" s="1"/>
  <c r="Z94" i="1" s="1"/>
  <c r="R77" i="1"/>
  <c r="S77" i="1" s="1"/>
  <c r="Z77" i="1" s="1"/>
  <c r="R93" i="1"/>
  <c r="S93" i="1" s="1"/>
  <c r="Z93" i="1" s="1"/>
  <c r="R303" i="1"/>
  <c r="S303" i="1" s="1"/>
  <c r="R195" i="1"/>
  <c r="S195" i="1" s="1"/>
  <c r="Z195" i="1" s="1"/>
  <c r="R150" i="1"/>
  <c r="S150" i="1" s="1"/>
  <c r="Z150" i="1" s="1"/>
  <c r="R283" i="1"/>
  <c r="S283" i="1" s="1"/>
  <c r="Z283" i="1" s="1"/>
  <c r="R90" i="1"/>
  <c r="S90" i="1" s="1"/>
  <c r="R190" i="1"/>
  <c r="S190" i="1" s="1"/>
  <c r="Z190" i="1" s="1"/>
  <c r="R204" i="1"/>
  <c r="S204" i="1" s="1"/>
  <c r="Z204" i="1" s="1"/>
  <c r="R366" i="1"/>
  <c r="S366" i="1" s="1"/>
  <c r="Z366" i="1" s="1"/>
  <c r="R72" i="1"/>
  <c r="S72" i="1" s="1"/>
  <c r="R74" i="1"/>
  <c r="S74" i="1" s="1"/>
  <c r="Z74" i="1" s="1"/>
  <c r="R293" i="1"/>
  <c r="S293" i="1" s="1"/>
  <c r="Z293" i="1" s="1"/>
  <c r="R49" i="1"/>
  <c r="S49" i="1" s="1"/>
  <c r="Z49" i="1" s="1"/>
  <c r="R299" i="1"/>
  <c r="S299" i="1" s="1"/>
  <c r="R143" i="1"/>
  <c r="S143" i="1" s="1"/>
  <c r="Z143" i="1" s="1"/>
  <c r="R378" i="1"/>
  <c r="S378" i="1" s="1"/>
  <c r="Z378" i="1" s="1"/>
  <c r="R376" i="1"/>
  <c r="S376" i="1" s="1"/>
  <c r="Z376" i="1" s="1"/>
  <c r="R239" i="1"/>
  <c r="S239" i="1" s="1"/>
  <c r="R70" i="1"/>
  <c r="S70" i="1" s="1"/>
  <c r="Z70" i="1" s="1"/>
  <c r="R124" i="1"/>
  <c r="S124" i="1" s="1"/>
  <c r="Z124" i="1" s="1"/>
  <c r="R211" i="1"/>
  <c r="S211" i="1" s="1"/>
  <c r="Z211" i="1" s="1"/>
  <c r="R18" i="1"/>
  <c r="S18" i="1" s="1"/>
  <c r="R159" i="1"/>
  <c r="S159" i="1" s="1"/>
  <c r="Z159" i="1" s="1"/>
  <c r="R341" i="1"/>
  <c r="S341" i="1" s="1"/>
  <c r="Z341" i="1" s="1"/>
  <c r="R44" i="1"/>
  <c r="S44" i="1" s="1"/>
  <c r="Z44" i="1" s="1"/>
  <c r="R131" i="1"/>
  <c r="S131" i="1" s="1"/>
  <c r="Z131" i="1" s="1"/>
  <c r="R346" i="1"/>
  <c r="S346" i="1" s="1"/>
  <c r="Z346" i="1" s="1"/>
  <c r="R224" i="1"/>
  <c r="S224" i="1" s="1"/>
  <c r="Z224" i="1" s="1"/>
  <c r="R87" i="1"/>
  <c r="S87" i="1" s="1"/>
  <c r="Z87" i="1" s="1"/>
  <c r="R197" i="1"/>
  <c r="S197" i="1" s="1"/>
  <c r="R365" i="1"/>
  <c r="S365" i="1" s="1"/>
  <c r="Z365" i="1" s="1"/>
  <c r="R59" i="1"/>
  <c r="S59" i="1" s="1"/>
  <c r="Z59" i="1" s="1"/>
  <c r="R255" i="1"/>
  <c r="S255" i="1" s="1"/>
  <c r="Z255" i="1" s="1"/>
  <c r="R86" i="1"/>
  <c r="S86" i="1" s="1"/>
  <c r="Z86" i="1" s="1"/>
  <c r="R140" i="1"/>
  <c r="S140" i="1" s="1"/>
  <c r="Z140" i="1" s="1"/>
  <c r="R227" i="1"/>
  <c r="S227" i="1" s="1"/>
  <c r="Z227" i="1" s="1"/>
  <c r="R34" i="1"/>
  <c r="S34" i="1" s="1"/>
  <c r="Z34" i="1" s="1"/>
  <c r="R384" i="1"/>
  <c r="S384" i="1" s="1"/>
  <c r="R247" i="1"/>
  <c r="S247" i="1" s="1"/>
  <c r="Z247" i="1" s="1"/>
  <c r="R78" i="1"/>
  <c r="S78" i="1" s="1"/>
  <c r="Z78" i="1" s="1"/>
  <c r="R132" i="1"/>
  <c r="S132" i="1" s="1"/>
  <c r="Z132" i="1" s="1"/>
  <c r="R219" i="1"/>
  <c r="S219" i="1" s="1"/>
  <c r="R26" i="1"/>
  <c r="S26" i="1" s="1"/>
  <c r="Z26" i="1" s="1"/>
  <c r="R126" i="1"/>
  <c r="S126" i="1" s="1"/>
  <c r="Z126" i="1" s="1"/>
  <c r="R153" i="1"/>
  <c r="S153" i="1" s="1"/>
  <c r="Z153" i="1" s="1"/>
  <c r="R141" i="1"/>
  <c r="S141" i="1" s="1"/>
  <c r="R327" i="1"/>
  <c r="S327" i="1" s="1"/>
  <c r="Z327" i="1" s="1"/>
  <c r="R337" i="1"/>
  <c r="S337" i="1" s="1"/>
  <c r="Z337" i="1" s="1"/>
  <c r="R312" i="1"/>
  <c r="S312" i="1" s="1"/>
  <c r="Z312" i="1" s="1"/>
  <c r="R175" i="1"/>
  <c r="S175" i="1" s="1"/>
  <c r="Z175" i="1" s="1"/>
  <c r="R373" i="1"/>
  <c r="S373" i="1" s="1"/>
  <c r="Z373" i="1" s="1"/>
  <c r="R60" i="1"/>
  <c r="S60" i="1" s="1"/>
  <c r="Z60" i="1" s="1"/>
  <c r="R147" i="1"/>
  <c r="S147" i="1" s="1"/>
  <c r="Z147" i="1" s="1"/>
  <c r="R232" i="1"/>
  <c r="S232" i="1" s="1"/>
  <c r="Z232" i="1" s="1"/>
  <c r="R95" i="1"/>
  <c r="S95" i="1" s="1"/>
  <c r="Z95" i="1" s="1"/>
  <c r="R213" i="1"/>
  <c r="S213" i="1" s="1"/>
  <c r="Z213" i="1" s="1"/>
  <c r="R381" i="1"/>
  <c r="S381" i="1" s="1"/>
  <c r="Z381" i="1" s="1"/>
  <c r="R67" i="1"/>
  <c r="S67" i="1" s="1"/>
  <c r="Z67" i="1" s="1"/>
  <c r="R297" i="1"/>
  <c r="S297" i="1" s="1"/>
  <c r="Z297" i="1" s="1"/>
  <c r="R160" i="1"/>
  <c r="S160" i="1" s="1"/>
  <c r="Z160" i="1" s="1"/>
  <c r="R23" i="1"/>
  <c r="S23" i="1" s="1"/>
  <c r="Z23" i="1" s="1"/>
  <c r="R69" i="1"/>
  <c r="S69" i="1" s="1"/>
  <c r="Z69" i="1" s="1"/>
  <c r="R237" i="1"/>
  <c r="S237" i="1" s="1"/>
  <c r="Z237" i="1" s="1"/>
  <c r="R314" i="1"/>
  <c r="S314" i="1" s="1"/>
  <c r="Z314" i="1" s="1"/>
  <c r="R191" i="1"/>
  <c r="S191" i="1" s="1"/>
  <c r="Z191" i="1" s="1"/>
  <c r="R22" i="1"/>
  <c r="S22" i="1" s="1"/>
  <c r="R76" i="1"/>
  <c r="S76" i="1" s="1"/>
  <c r="Z76" i="1" s="1"/>
  <c r="R163" i="1"/>
  <c r="S163" i="1" s="1"/>
  <c r="Z163" i="1" s="1"/>
  <c r="R369" i="1"/>
  <c r="S369" i="1" s="1"/>
  <c r="Z369" i="1" s="1"/>
  <c r="R320" i="1"/>
  <c r="S320" i="1" s="1"/>
  <c r="Z320" i="1" s="1"/>
  <c r="R183" i="1"/>
  <c r="S183" i="1" s="1"/>
  <c r="Z183" i="1" s="1"/>
  <c r="R389" i="1"/>
  <c r="S389" i="1" s="1"/>
  <c r="Z389" i="1" s="1"/>
  <c r="R68" i="1"/>
  <c r="S68" i="1" s="1"/>
  <c r="Z68" i="1" s="1"/>
  <c r="R155" i="1"/>
  <c r="S155" i="1" s="1"/>
  <c r="R171" i="1"/>
  <c r="S171" i="1" s="1"/>
  <c r="Z171" i="1" s="1"/>
  <c r="R358" i="1"/>
  <c r="S358" i="1" s="1"/>
  <c r="Z358" i="1" s="1"/>
  <c r="R363" i="1"/>
  <c r="S363" i="1" s="1"/>
  <c r="Z363" i="1" s="1"/>
  <c r="R207" i="1"/>
  <c r="S207" i="1" s="1"/>
  <c r="Z207" i="1" s="1"/>
  <c r="R361" i="1"/>
  <c r="S361" i="1" s="1"/>
  <c r="Z361" i="1" s="1"/>
  <c r="R165" i="1"/>
  <c r="S165" i="1" s="1"/>
  <c r="Z165" i="1" s="1"/>
  <c r="R392" i="1"/>
  <c r="S392" i="1" s="1"/>
  <c r="Z392" i="1" s="1"/>
  <c r="R307" i="1"/>
  <c r="S307" i="1" s="1"/>
  <c r="Z307" i="1" s="1"/>
  <c r="R167" i="1"/>
  <c r="S167" i="1" s="1"/>
  <c r="Z167" i="1" s="1"/>
  <c r="R353" i="1"/>
  <c r="S353" i="1" s="1"/>
  <c r="Z353" i="1" s="1"/>
  <c r="R395" i="1"/>
  <c r="S395" i="1" s="1"/>
  <c r="Z395" i="1" s="1"/>
  <c r="R263" i="1"/>
  <c r="S263" i="1" s="1"/>
  <c r="Z263" i="1" s="1"/>
  <c r="R362" i="1"/>
  <c r="S362" i="1" s="1"/>
  <c r="Z362" i="1" s="1"/>
  <c r="R340" i="1"/>
  <c r="S340" i="1" s="1"/>
  <c r="Z340" i="1" s="1"/>
  <c r="R304" i="1"/>
  <c r="S304" i="1" s="1"/>
  <c r="Z304" i="1" s="1"/>
  <c r="R107" i="1"/>
  <c r="S107" i="1" s="1"/>
  <c r="Z107" i="1" s="1"/>
  <c r="R294" i="1"/>
  <c r="S294" i="1" s="1"/>
  <c r="Z294" i="1" s="1"/>
  <c r="R249" i="1"/>
  <c r="S249" i="1" s="1"/>
  <c r="Z249" i="1" s="1"/>
  <c r="R28" i="1"/>
  <c r="S28" i="1" s="1"/>
  <c r="R88" i="1"/>
  <c r="S88" i="1" s="1"/>
  <c r="Z88" i="1" s="1"/>
  <c r="R385" i="1"/>
  <c r="S385" i="1" s="1"/>
  <c r="Z385" i="1" s="1"/>
  <c r="R248" i="1"/>
  <c r="S248" i="1" s="1"/>
  <c r="Z248" i="1" s="1"/>
  <c r="R111" i="1"/>
  <c r="S111" i="1" s="1"/>
  <c r="Z111" i="1" s="1"/>
  <c r="R245" i="1"/>
  <c r="S245" i="1" s="1"/>
  <c r="Z245" i="1" s="1"/>
  <c r="R374" i="1"/>
  <c r="S374" i="1" s="1"/>
  <c r="Z374" i="1" s="1"/>
  <c r="R83" i="1"/>
  <c r="S83" i="1" s="1"/>
  <c r="Z83" i="1" s="1"/>
  <c r="R168" i="1"/>
  <c r="S168" i="1" s="1"/>
  <c r="Z168" i="1" s="1"/>
  <c r="R31" i="1"/>
  <c r="S31" i="1" s="1"/>
  <c r="R85" i="1"/>
  <c r="S85" i="1" s="1"/>
  <c r="Z85" i="1" s="1"/>
  <c r="R253" i="1"/>
  <c r="S253" i="1" s="1"/>
  <c r="Z253" i="1" s="1"/>
  <c r="R322" i="1"/>
  <c r="S322" i="1" s="1"/>
  <c r="Z322" i="1" s="1"/>
  <c r="R233" i="1"/>
  <c r="S233" i="1" s="1"/>
  <c r="Z233" i="1" s="1"/>
  <c r="R96" i="1"/>
  <c r="S96" i="1" s="1"/>
  <c r="Z96" i="1" s="1"/>
  <c r="R302" i="1"/>
  <c r="S302" i="1" s="1"/>
  <c r="Z302" i="1" s="1"/>
  <c r="R356" i="1"/>
  <c r="S356" i="1" s="1"/>
  <c r="Z356" i="1" s="1"/>
  <c r="R109" i="1"/>
  <c r="S109" i="1" s="1"/>
  <c r="Z109" i="1" s="1"/>
  <c r="R250" i="1"/>
  <c r="S250" i="1" s="1"/>
  <c r="Z250" i="1" s="1"/>
  <c r="R127" i="1"/>
  <c r="S127" i="1" s="1"/>
  <c r="Z127" i="1" s="1"/>
  <c r="R277" i="1"/>
  <c r="S277" i="1" s="1"/>
  <c r="Z277" i="1" s="1"/>
  <c r="R390" i="1"/>
  <c r="S390" i="1" s="1"/>
  <c r="Z390" i="1" s="1"/>
  <c r="R99" i="1"/>
  <c r="S99" i="1" s="1"/>
  <c r="Z99" i="1" s="1"/>
  <c r="R354" i="1"/>
  <c r="S354" i="1" s="1"/>
  <c r="Z354" i="1" s="1"/>
  <c r="R256" i="1"/>
  <c r="S256" i="1" s="1"/>
  <c r="Z256" i="1" s="1"/>
  <c r="R119" i="1"/>
  <c r="S119" i="1" s="1"/>
  <c r="Z119" i="1" s="1"/>
  <c r="R261" i="1"/>
  <c r="S261" i="1" s="1"/>
  <c r="Z261" i="1" s="1"/>
  <c r="R382" i="1"/>
  <c r="S382" i="1" s="1"/>
  <c r="Z382" i="1" s="1"/>
  <c r="R91" i="1"/>
  <c r="S91" i="1" s="1"/>
  <c r="Z91" i="1" s="1"/>
  <c r="R349" i="1"/>
  <c r="S349" i="1" s="1"/>
  <c r="Z349" i="1" s="1"/>
  <c r="R48" i="1"/>
  <c r="S48" i="1" s="1"/>
  <c r="Z48" i="1" s="1"/>
  <c r="R50" i="1"/>
  <c r="S50" i="1" s="1"/>
  <c r="Z50" i="1" s="1"/>
  <c r="R229" i="1"/>
  <c r="S229" i="1" s="1"/>
  <c r="Z229" i="1" s="1"/>
  <c r="R33" i="1"/>
  <c r="S33" i="1" s="1"/>
  <c r="Z33" i="1" s="1"/>
  <c r="R267" i="1"/>
  <c r="S267" i="1" s="1"/>
  <c r="Z267" i="1" s="1"/>
  <c r="R135" i="1"/>
  <c r="S135" i="1" s="1"/>
  <c r="Z135" i="1" s="1"/>
  <c r="R377" i="1"/>
  <c r="S377" i="1" s="1"/>
  <c r="Z377" i="1" s="1"/>
  <c r="R212" i="1"/>
  <c r="S212" i="1" s="1"/>
  <c r="Z212" i="1" s="1"/>
  <c r="R216" i="1"/>
  <c r="S216" i="1" s="1"/>
  <c r="Z216" i="1" s="1"/>
  <c r="R321" i="1"/>
  <c r="S321" i="1" s="1"/>
  <c r="Z321" i="1" s="1"/>
  <c r="R184" i="1"/>
  <c r="S184" i="1" s="1"/>
  <c r="Z184" i="1" s="1"/>
  <c r="R47" i="1"/>
  <c r="S47" i="1" s="1"/>
  <c r="Z47" i="1" s="1"/>
  <c r="R117" i="1"/>
  <c r="S117" i="1" s="1"/>
  <c r="Z117" i="1" s="1"/>
  <c r="R285" i="1"/>
  <c r="S285" i="1" s="1"/>
  <c r="Z285" i="1" s="1"/>
  <c r="R19" i="1"/>
  <c r="S19" i="1" s="1"/>
  <c r="Z19" i="1" s="1"/>
  <c r="R104" i="1"/>
  <c r="S104" i="1" s="1"/>
  <c r="Z104" i="1" s="1"/>
  <c r="R310" i="1"/>
  <c r="S310" i="1" s="1"/>
  <c r="Z310" i="1" s="1"/>
  <c r="R364" i="1"/>
  <c r="S364" i="1" s="1"/>
  <c r="Z364" i="1" s="1"/>
  <c r="R125" i="1"/>
  <c r="S125" i="1" s="1"/>
  <c r="Z125" i="1" s="1"/>
  <c r="R258" i="1"/>
  <c r="S258" i="1" s="1"/>
  <c r="Z258" i="1" s="1"/>
  <c r="R169" i="1"/>
  <c r="S169" i="1" s="1"/>
  <c r="Z169" i="1" s="1"/>
  <c r="R32" i="1"/>
  <c r="S32" i="1" s="1"/>
  <c r="Z32" i="1" s="1"/>
  <c r="R238" i="1"/>
  <c r="S238" i="1" s="1"/>
  <c r="Z238" i="1" s="1"/>
  <c r="R292" i="1"/>
  <c r="S292" i="1" s="1"/>
  <c r="Z292" i="1" s="1"/>
  <c r="R379" i="1"/>
  <c r="S379" i="1" s="1"/>
  <c r="Z379" i="1" s="1"/>
  <c r="R186" i="1"/>
  <c r="S186" i="1" s="1"/>
  <c r="Z186" i="1" s="1"/>
  <c r="R63" i="1"/>
  <c r="S63" i="1" s="1"/>
  <c r="Z63" i="1" s="1"/>
  <c r="R149" i="1"/>
  <c r="S149" i="1" s="1"/>
  <c r="R317" i="1"/>
  <c r="S317" i="1" s="1"/>
  <c r="Z317" i="1" s="1"/>
  <c r="R35" i="1"/>
  <c r="S35" i="1" s="1"/>
  <c r="Z35" i="1" s="1"/>
  <c r="R338" i="1"/>
  <c r="S338" i="1" s="1"/>
  <c r="Z338" i="1" s="1"/>
  <c r="R192" i="1"/>
  <c r="S192" i="1" s="1"/>
  <c r="Z192" i="1" s="1"/>
  <c r="R55" i="1"/>
  <c r="S55" i="1" s="1"/>
  <c r="Z55" i="1" s="1"/>
  <c r="R133" i="1"/>
  <c r="S133" i="1" s="1"/>
  <c r="Z133" i="1" s="1"/>
  <c r="R301" i="1"/>
  <c r="S301" i="1" s="1"/>
  <c r="Z301" i="1" s="1"/>
  <c r="R27" i="1"/>
  <c r="S27" i="1" s="1"/>
  <c r="Z27" i="1" s="1"/>
  <c r="R295" i="1"/>
  <c r="S295" i="1" s="1"/>
  <c r="Z295" i="1" s="1"/>
  <c r="R372" i="1"/>
  <c r="S372" i="1" s="1"/>
  <c r="Z372" i="1" s="1"/>
  <c r="R336" i="1"/>
  <c r="S336" i="1" s="1"/>
  <c r="Z336" i="1" s="1"/>
  <c r="R257" i="1"/>
  <c r="S257" i="1" s="1"/>
  <c r="Z257" i="1" s="1"/>
  <c r="R120" i="1"/>
  <c r="S120" i="1" s="1"/>
  <c r="Z120" i="1" s="1"/>
  <c r="R326" i="1"/>
  <c r="S326" i="1" s="1"/>
  <c r="Z326" i="1" s="1"/>
  <c r="R380" i="1"/>
  <c r="S380" i="1" s="1"/>
  <c r="Z380" i="1" s="1"/>
  <c r="R157" i="1"/>
  <c r="S157" i="1" s="1"/>
  <c r="Z157" i="1" s="1"/>
  <c r="R274" i="1"/>
  <c r="S274" i="1" s="1"/>
  <c r="Z274" i="1" s="1"/>
  <c r="R40" i="1"/>
  <c r="S40" i="1" s="1"/>
  <c r="Z40" i="1" s="1"/>
  <c r="R246" i="1"/>
  <c r="S246" i="1" s="1"/>
  <c r="Z246" i="1" s="1"/>
  <c r="R300" i="1"/>
  <c r="S300" i="1" s="1"/>
  <c r="Z300" i="1" s="1"/>
  <c r="R387" i="1"/>
  <c r="S387" i="1" s="1"/>
  <c r="Z387" i="1" s="1"/>
  <c r="R194" i="1"/>
  <c r="S194" i="1" s="1"/>
  <c r="Z194" i="1" s="1"/>
  <c r="R105" i="1"/>
  <c r="S105" i="1" s="1"/>
  <c r="Z105" i="1" s="1"/>
  <c r="R343" i="1"/>
  <c r="S343" i="1" s="1"/>
  <c r="Z343" i="1" s="1"/>
  <c r="R174" i="1"/>
  <c r="S174" i="1" s="1"/>
  <c r="Z174" i="1" s="1"/>
  <c r="R228" i="1"/>
  <c r="S228" i="1" s="1"/>
  <c r="Z228" i="1" s="1"/>
  <c r="R315" i="1"/>
  <c r="S315" i="1" s="1"/>
  <c r="Z315" i="1" s="1"/>
  <c r="R122" i="1"/>
  <c r="S122" i="1" s="1"/>
  <c r="Z122" i="1" s="1"/>
  <c r="R342" i="1"/>
  <c r="S342" i="1" s="1"/>
  <c r="Z342" i="1" s="1"/>
  <c r="R21" i="1"/>
  <c r="S21" i="1" s="1"/>
  <c r="Z21" i="1" s="1"/>
  <c r="R189" i="1"/>
  <c r="S189" i="1" s="1"/>
  <c r="Z189" i="1" s="1"/>
  <c r="R290" i="1"/>
  <c r="S290" i="1" s="1"/>
  <c r="Z290" i="1" s="1"/>
  <c r="R265" i="1"/>
  <c r="S265" i="1" s="1"/>
  <c r="Z265" i="1" s="1"/>
  <c r="R128" i="1"/>
  <c r="S128" i="1" s="1"/>
  <c r="Z128" i="1" s="1"/>
  <c r="R334" i="1"/>
  <c r="S334" i="1" s="1"/>
  <c r="Z334" i="1" s="1"/>
  <c r="R388" i="1"/>
  <c r="S388" i="1" s="1"/>
  <c r="Z388" i="1" s="1"/>
  <c r="R173" i="1"/>
  <c r="S173" i="1" s="1"/>
  <c r="Z173" i="1" s="1"/>
  <c r="R282" i="1"/>
  <c r="S282" i="1" s="1"/>
  <c r="Z282" i="1" s="1"/>
  <c r="R84" i="1"/>
  <c r="S84" i="1" s="1"/>
  <c r="Z84" i="1" s="1"/>
  <c r="R136" i="1"/>
  <c r="S136" i="1" s="1"/>
  <c r="Z136" i="1" s="1"/>
  <c r="R276" i="1"/>
  <c r="S276" i="1" s="1"/>
  <c r="Z276" i="1" s="1"/>
  <c r="R272" i="1"/>
  <c r="S272" i="1" s="1"/>
  <c r="Z272" i="1" s="1"/>
  <c r="R203" i="1"/>
  <c r="S203" i="1" s="1"/>
  <c r="Z203" i="1" s="1"/>
  <c r="R71" i="1"/>
  <c r="S71" i="1" s="1"/>
  <c r="Z71" i="1" s="1"/>
  <c r="R313" i="1"/>
  <c r="S313" i="1" s="1"/>
  <c r="Z313" i="1" s="1"/>
  <c r="R220" i="1"/>
  <c r="S220" i="1" s="1"/>
  <c r="Z220" i="1" s="1"/>
  <c r="R240" i="1"/>
  <c r="S240" i="1" s="1"/>
  <c r="Z240" i="1" s="1"/>
  <c r="R386" i="1"/>
  <c r="S386" i="1" s="1"/>
  <c r="Z386" i="1" s="1"/>
  <c r="R308" i="1"/>
  <c r="S308" i="1" s="1"/>
  <c r="Z308" i="1" s="1"/>
  <c r="R296" i="1"/>
  <c r="S296" i="1" s="1"/>
  <c r="Z296" i="1" s="1"/>
  <c r="R75" i="1"/>
  <c r="S75" i="1" s="1"/>
  <c r="Z75" i="1" s="1"/>
  <c r="R286" i="1"/>
  <c r="S286" i="1" s="1"/>
  <c r="Z286" i="1" s="1"/>
  <c r="R241" i="1"/>
  <c r="S241" i="1" s="1"/>
  <c r="Z241" i="1" s="1"/>
  <c r="R20" i="1"/>
  <c r="S20" i="1" s="1"/>
  <c r="Z20" i="1" s="1"/>
  <c r="R80" i="1"/>
  <c r="S80" i="1" s="1"/>
  <c r="Z80" i="1" s="1"/>
  <c r="R106" i="1"/>
  <c r="S106" i="1" s="1"/>
  <c r="Z106" i="1" s="1"/>
  <c r="R309" i="1"/>
  <c r="S309" i="1" s="1"/>
  <c r="Z309" i="1" s="1"/>
  <c r="R57" i="1"/>
  <c r="S57" i="1" s="1"/>
  <c r="Z57" i="1" s="1"/>
  <c r="R193" i="1"/>
  <c r="S193" i="1" s="1"/>
  <c r="Z193" i="1" s="1"/>
  <c r="R56" i="1"/>
  <c r="S56" i="1" s="1"/>
  <c r="Z56" i="1" s="1"/>
  <c r="R262" i="1"/>
  <c r="S262" i="1" s="1"/>
  <c r="Z262" i="1" s="1"/>
  <c r="R316" i="1"/>
  <c r="S316" i="1" s="1"/>
  <c r="Z316" i="1" s="1"/>
  <c r="R29" i="1"/>
  <c r="S29" i="1" s="1"/>
  <c r="Z29" i="1" s="1"/>
  <c r="R210" i="1"/>
  <c r="S210" i="1" s="1"/>
  <c r="Z210" i="1" s="1"/>
  <c r="R351" i="1"/>
  <c r="S351" i="1" s="1"/>
  <c r="Z351" i="1" s="1"/>
  <c r="R182" i="1"/>
  <c r="S182" i="1" s="1"/>
  <c r="Z182" i="1" s="1"/>
  <c r="R236" i="1"/>
  <c r="S236" i="1" s="1"/>
  <c r="Z236" i="1" s="1"/>
  <c r="R323" i="1"/>
  <c r="S323" i="1" s="1"/>
  <c r="Z323" i="1" s="1"/>
  <c r="R130" i="1"/>
  <c r="S130" i="1" s="1"/>
  <c r="Z130" i="1" s="1"/>
  <c r="R41" i="1"/>
  <c r="S41" i="1" s="1"/>
  <c r="Z41" i="1" s="1"/>
  <c r="R279" i="1"/>
  <c r="S279" i="1" s="1"/>
  <c r="Z279" i="1" s="1"/>
  <c r="R110" i="1"/>
  <c r="S110" i="1" s="1"/>
  <c r="Z110" i="1" s="1"/>
  <c r="R164" i="1"/>
  <c r="S164" i="1" s="1"/>
  <c r="Z164" i="1" s="1"/>
  <c r="R251" i="1"/>
  <c r="S251" i="1" s="1"/>
  <c r="Z251" i="1" s="1"/>
  <c r="R58" i="1"/>
  <c r="S58" i="1" s="1"/>
  <c r="Z58" i="1" s="1"/>
  <c r="R278" i="1"/>
  <c r="S278" i="1" s="1"/>
  <c r="Z278" i="1" s="1"/>
  <c r="R332" i="1"/>
  <c r="S332" i="1" s="1"/>
  <c r="Z332" i="1" s="1"/>
  <c r="R61" i="1"/>
  <c r="S61" i="1" s="1"/>
  <c r="Z61" i="1" s="1"/>
  <c r="R226" i="1"/>
  <c r="S226" i="1" s="1"/>
  <c r="Z226" i="1" s="1"/>
  <c r="R201" i="1"/>
  <c r="S201" i="1" s="1"/>
  <c r="Z201" i="1" s="1"/>
  <c r="R64" i="1"/>
  <c r="S64" i="1" s="1"/>
  <c r="Z64" i="1" s="1"/>
  <c r="R270" i="1"/>
  <c r="S270" i="1" s="1"/>
  <c r="Z270" i="1" s="1"/>
  <c r="R324" i="1"/>
  <c r="S324" i="1" s="1"/>
  <c r="Z324" i="1" s="1"/>
  <c r="R45" i="1"/>
  <c r="S45" i="1" s="1"/>
  <c r="Z45" i="1" s="1"/>
  <c r="R218" i="1"/>
  <c r="S218" i="1" s="1"/>
  <c r="Z218" i="1" s="1"/>
  <c r="R185" i="1"/>
  <c r="S185" i="1" s="1"/>
  <c r="Z185" i="1" s="1"/>
  <c r="R244" i="1"/>
  <c r="S244" i="1" s="1"/>
  <c r="Z244" i="1" s="1"/>
  <c r="R360" i="1"/>
  <c r="S360" i="1" s="1"/>
  <c r="Z360" i="1" s="1"/>
  <c r="R101" i="1"/>
  <c r="S101" i="1" s="1"/>
  <c r="Z101" i="1" s="1"/>
  <c r="R368" i="1"/>
  <c r="S368" i="1" s="1"/>
  <c r="Z368" i="1" s="1"/>
  <c r="R371" i="1"/>
  <c r="S371" i="1" s="1"/>
  <c r="Z371" i="1" s="1"/>
  <c r="R231" i="1"/>
  <c r="S231" i="1" s="1"/>
  <c r="Z231" i="1" s="1"/>
  <c r="R393" i="1"/>
  <c r="S393" i="1" s="1"/>
  <c r="Z393" i="1" s="1"/>
  <c r="R37" i="1"/>
  <c r="S37" i="1" s="1"/>
  <c r="Z37" i="1" s="1"/>
  <c r="R344" i="1"/>
  <c r="S344" i="1" s="1"/>
  <c r="Z344" i="1" s="1"/>
  <c r="R42" i="1"/>
  <c r="S42" i="1" s="1"/>
  <c r="Z42" i="1" s="1"/>
  <c r="R181" i="1"/>
  <c r="S181" i="1" s="1"/>
  <c r="Z181" i="1" s="1"/>
  <c r="R25" i="1"/>
  <c r="S25" i="1" s="1"/>
  <c r="Z25" i="1" s="1"/>
  <c r="R243" i="1"/>
  <c r="S243" i="1" s="1"/>
  <c r="Z243" i="1" s="1"/>
  <c r="R103" i="1"/>
  <c r="S103" i="1" s="1"/>
  <c r="Z103" i="1" s="1"/>
  <c r="R345" i="1"/>
  <c r="S345" i="1" s="1"/>
  <c r="Z345" i="1" s="1"/>
  <c r="R180" i="1"/>
  <c r="S180" i="1" s="1"/>
  <c r="Z180" i="1" s="1"/>
  <c r="R208" i="1"/>
  <c r="S208" i="1" s="1"/>
  <c r="Z208" i="1" s="1"/>
  <c r="R266" i="1"/>
  <c r="S266" i="1" s="1"/>
  <c r="Z266" i="1" s="1"/>
  <c r="R158" i="1"/>
  <c r="S158" i="1" s="1"/>
  <c r="Z158" i="1" s="1"/>
  <c r="R161" i="1"/>
  <c r="S161" i="1" s="1"/>
  <c r="Z161" i="1" s="1"/>
  <c r="R129" i="1"/>
  <c r="S129" i="1" s="1"/>
  <c r="Z129" i="1" s="1"/>
  <c r="R367" i="1"/>
  <c r="S367" i="1" s="1"/>
  <c r="Z367" i="1" s="1"/>
  <c r="R198" i="1"/>
  <c r="S198" i="1" s="1"/>
  <c r="Z198" i="1" s="1"/>
  <c r="R252" i="1"/>
  <c r="S252" i="1" s="1"/>
  <c r="Z252" i="1" s="1"/>
  <c r="R339" i="1"/>
  <c r="S339" i="1" s="1"/>
  <c r="Z339" i="1" s="1"/>
  <c r="R146" i="1"/>
  <c r="S146" i="1" s="1"/>
  <c r="Z146" i="1" s="1"/>
  <c r="R287" i="1"/>
  <c r="S287" i="1" s="1"/>
  <c r="Z287" i="1" s="1"/>
  <c r="R118" i="1"/>
  <c r="S118" i="1" s="1"/>
  <c r="Z118" i="1" s="1"/>
  <c r="R172" i="1"/>
  <c r="S172" i="1" s="1"/>
  <c r="Z172" i="1" s="1"/>
  <c r="R259" i="1"/>
  <c r="S259" i="1" s="1"/>
  <c r="Z259" i="1" s="1"/>
  <c r="R66" i="1"/>
  <c r="S66" i="1" s="1"/>
  <c r="Z66" i="1" s="1"/>
  <c r="R352" i="1"/>
  <c r="S352" i="1" s="1"/>
  <c r="Z352" i="1" s="1"/>
  <c r="R215" i="1"/>
  <c r="S215" i="1" s="1"/>
  <c r="Z215" i="1" s="1"/>
  <c r="R46" i="1"/>
  <c r="S46" i="1" s="1"/>
  <c r="Z46" i="1" s="1"/>
  <c r="R100" i="1"/>
  <c r="S100" i="1" s="1"/>
  <c r="Z100" i="1" s="1"/>
  <c r="R187" i="1"/>
  <c r="S187" i="1" s="1"/>
  <c r="Z187" i="1" s="1"/>
  <c r="R383" i="1"/>
  <c r="S383" i="1" s="1"/>
  <c r="Z383" i="1" s="1"/>
  <c r="R214" i="1"/>
  <c r="S214" i="1" s="1"/>
  <c r="Z214" i="1" s="1"/>
  <c r="R268" i="1"/>
  <c r="S268" i="1" s="1"/>
  <c r="Z268" i="1" s="1"/>
  <c r="R355" i="1"/>
  <c r="S355" i="1" s="1"/>
  <c r="Z355" i="1" s="1"/>
  <c r="R162" i="1"/>
  <c r="S162" i="1" s="1"/>
  <c r="Z162" i="1" s="1"/>
  <c r="R137" i="1"/>
  <c r="S137" i="1" s="1"/>
  <c r="Z137" i="1" s="1"/>
  <c r="R375" i="1"/>
  <c r="S375" i="1" s="1"/>
  <c r="Z375" i="1" s="1"/>
  <c r="R206" i="1"/>
  <c r="S206" i="1" s="1"/>
  <c r="Z206" i="1" s="1"/>
  <c r="R260" i="1"/>
  <c r="S260" i="1" s="1"/>
  <c r="Z260" i="1" s="1"/>
  <c r="R347" i="1"/>
  <c r="S347" i="1" s="1"/>
  <c r="Z347" i="1" s="1"/>
  <c r="V154" i="1"/>
  <c r="U154" i="1"/>
  <c r="V149" i="1" l="1"/>
  <c r="Z149" i="1"/>
  <c r="U31" i="1"/>
  <c r="Z31" i="1"/>
  <c r="U141" i="1"/>
  <c r="Z141" i="1"/>
  <c r="V384" i="1"/>
  <c r="Z384" i="1"/>
  <c r="U197" i="1"/>
  <c r="Z197" i="1"/>
  <c r="T299" i="1"/>
  <c r="Z299" i="1"/>
  <c r="U90" i="1"/>
  <c r="Z90" i="1"/>
  <c r="U177" i="1"/>
  <c r="Z177" i="1"/>
  <c r="V108" i="1"/>
  <c r="Z108" i="1"/>
  <c r="T370" i="1"/>
  <c r="Z370" i="1"/>
  <c r="V311" i="1"/>
  <c r="Z311" i="1"/>
  <c r="V114" i="1"/>
  <c r="Z114" i="1"/>
  <c r="V281" i="1"/>
  <c r="Z281" i="1"/>
  <c r="U121" i="1"/>
  <c r="Z121" i="1"/>
  <c r="V329" i="1"/>
  <c r="Z329" i="1"/>
  <c r="U176" i="1"/>
  <c r="Z176" i="1"/>
  <c r="U291" i="1"/>
  <c r="Z291" i="1"/>
  <c r="T280" i="1"/>
  <c r="Z280" i="1"/>
  <c r="U28" i="1"/>
  <c r="Z28" i="1"/>
  <c r="U36" i="1"/>
  <c r="Z36" i="1"/>
  <c r="V254" i="1"/>
  <c r="Z254" i="1"/>
  <c r="V155" i="1"/>
  <c r="Z155" i="1"/>
  <c r="U22" i="1"/>
  <c r="Z22" i="1"/>
  <c r="V219" i="1"/>
  <c r="Z219" i="1"/>
  <c r="V239" i="1"/>
  <c r="Z239" i="1"/>
  <c r="V72" i="1"/>
  <c r="Z72" i="1"/>
  <c r="V303" i="1"/>
  <c r="Z303" i="1"/>
  <c r="U92" i="1"/>
  <c r="Z92" i="1"/>
  <c r="U81" i="1"/>
  <c r="Z81" i="1"/>
  <c r="T123" i="1"/>
  <c r="Z123" i="1"/>
  <c r="T62" i="1"/>
  <c r="Z62" i="1"/>
  <c r="V98" i="1"/>
  <c r="Z98" i="1"/>
  <c r="V333" i="1"/>
  <c r="Z333" i="1"/>
  <c r="T102" i="1"/>
  <c r="Z102" i="1"/>
  <c r="V89" i="1"/>
  <c r="Z89" i="1"/>
  <c r="V139" i="1"/>
  <c r="Z139" i="1"/>
  <c r="U357" i="1"/>
  <c r="Z357" i="1"/>
  <c r="W18" i="1"/>
  <c r="Z18" i="1"/>
  <c r="F30" i="1"/>
  <c r="V121" i="1"/>
  <c r="U311" i="1"/>
  <c r="U155" i="1"/>
  <c r="V102" i="1"/>
  <c r="AC2" i="3"/>
  <c r="U281" i="1"/>
  <c r="V291" i="1"/>
  <c r="F35" i="1"/>
  <c r="G35" i="1" s="1"/>
  <c r="T177" i="1"/>
  <c r="U384" i="1"/>
  <c r="W100" i="1"/>
  <c r="W181" i="1"/>
  <c r="W164" i="1"/>
  <c r="W265" i="1"/>
  <c r="W46" i="1"/>
  <c r="W42" i="1"/>
  <c r="W360" i="1"/>
  <c r="W110" i="1"/>
  <c r="W106" i="1"/>
  <c r="W290" i="1"/>
  <c r="W109" i="1"/>
  <c r="W162" i="1"/>
  <c r="W215" i="1"/>
  <c r="W339" i="1"/>
  <c r="W208" i="1"/>
  <c r="W244" i="1"/>
  <c r="W226" i="1"/>
  <c r="W279" i="1"/>
  <c r="W29" i="1"/>
  <c r="W80" i="1"/>
  <c r="W84" i="1"/>
  <c r="W189" i="1"/>
  <c r="W105" i="1"/>
  <c r="W63" i="1"/>
  <c r="W125" i="1"/>
  <c r="W184" i="1"/>
  <c r="W256" i="1"/>
  <c r="W369" i="1"/>
  <c r="W153" i="1"/>
  <c r="W211" i="1"/>
  <c r="W49" i="1"/>
  <c r="W283" i="1"/>
  <c r="W205" i="1"/>
  <c r="W65" i="1"/>
  <c r="W53" i="1"/>
  <c r="W235" i="1"/>
  <c r="W284" i="1"/>
  <c r="W152" i="1"/>
  <c r="W202" i="1"/>
  <c r="W289" i="1"/>
  <c r="W43" i="1"/>
  <c r="W375" i="1"/>
  <c r="W158" i="1"/>
  <c r="W101" i="1"/>
  <c r="W351" i="1"/>
  <c r="W309" i="1"/>
  <c r="W174" i="1"/>
  <c r="W266" i="1"/>
  <c r="W355" i="1"/>
  <c r="W352" i="1"/>
  <c r="W252" i="1"/>
  <c r="W37" i="1"/>
  <c r="W61" i="1"/>
  <c r="W41" i="1"/>
  <c r="W220" i="1"/>
  <c r="W21" i="1"/>
  <c r="W326" i="1"/>
  <c r="W133" i="1"/>
  <c r="W186" i="1"/>
  <c r="W364" i="1"/>
  <c r="W354" i="1"/>
  <c r="W83" i="1"/>
  <c r="W249" i="1"/>
  <c r="W353" i="1"/>
  <c r="W358" i="1"/>
  <c r="W163" i="1"/>
  <c r="W160" i="1"/>
  <c r="W126" i="1"/>
  <c r="W124" i="1"/>
  <c r="W24" i="1"/>
  <c r="W234" i="1"/>
  <c r="W112" i="1"/>
  <c r="W144" i="1"/>
  <c r="W166" i="1"/>
  <c r="W198" i="1"/>
  <c r="W130" i="1"/>
  <c r="W262" i="1"/>
  <c r="W241" i="1"/>
  <c r="W379" i="1"/>
  <c r="W310" i="1"/>
  <c r="W99" i="1"/>
  <c r="W96" i="1"/>
  <c r="W294" i="1"/>
  <c r="W76" i="1"/>
  <c r="W297" i="1"/>
  <c r="W373" i="1"/>
  <c r="W140" i="1"/>
  <c r="W346" i="1"/>
  <c r="W70" i="1"/>
  <c r="W195" i="1"/>
  <c r="W305" i="1"/>
  <c r="W148" i="1"/>
  <c r="W142" i="1"/>
  <c r="W298" i="1"/>
  <c r="W318" i="1"/>
  <c r="W330" i="1"/>
  <c r="W73" i="1"/>
  <c r="W217" i="1"/>
  <c r="W199" i="1"/>
  <c r="W66" i="1"/>
  <c r="W332" i="1"/>
  <c r="W347" i="1"/>
  <c r="W214" i="1"/>
  <c r="W259" i="1"/>
  <c r="W45" i="1"/>
  <c r="W278" i="1"/>
  <c r="W323" i="1"/>
  <c r="W56" i="1"/>
  <c r="W292" i="1"/>
  <c r="W212" i="1"/>
  <c r="W349" i="1"/>
  <c r="W390" i="1"/>
  <c r="W233" i="1"/>
  <c r="W245" i="1"/>
  <c r="W107" i="1"/>
  <c r="W307" i="1"/>
  <c r="W155" i="1"/>
  <c r="W102" i="1"/>
  <c r="W383" i="1"/>
  <c r="W129" i="1"/>
  <c r="W371" i="1"/>
  <c r="W58" i="1"/>
  <c r="W193" i="1"/>
  <c r="W315" i="1"/>
  <c r="W336" i="1"/>
  <c r="W277" i="1"/>
  <c r="W191" i="1"/>
  <c r="W255" i="1"/>
  <c r="W260" i="1"/>
  <c r="W172" i="1"/>
  <c r="W243" i="1"/>
  <c r="W324" i="1"/>
  <c r="W236" i="1"/>
  <c r="W75" i="1"/>
  <c r="W334" i="1"/>
  <c r="W246" i="1"/>
  <c r="W322" i="1"/>
  <c r="W111" i="1"/>
  <c r="W304" i="1"/>
  <c r="W68" i="1"/>
  <c r="W381" i="1"/>
  <c r="W312" i="1"/>
  <c r="W132" i="1"/>
  <c r="W44" i="1"/>
  <c r="W376" i="1"/>
  <c r="W366" i="1"/>
  <c r="W93" i="1"/>
  <c r="W30" i="1"/>
  <c r="W139" i="1"/>
  <c r="W54" i="1"/>
  <c r="W97" i="1"/>
  <c r="W225" i="1"/>
  <c r="W134" i="1"/>
  <c r="W82" i="1"/>
  <c r="W391" i="1"/>
  <c r="W39" i="1"/>
  <c r="U279" i="1"/>
  <c r="W206" i="1"/>
  <c r="W25" i="1"/>
  <c r="W270" i="1"/>
  <c r="W251" i="1"/>
  <c r="W182" i="1"/>
  <c r="W57" i="1"/>
  <c r="W296" i="1"/>
  <c r="W228" i="1"/>
  <c r="W40" i="1"/>
  <c r="W35" i="1"/>
  <c r="W32" i="1"/>
  <c r="W285" i="1"/>
  <c r="W135" i="1"/>
  <c r="W382" i="1"/>
  <c r="W253" i="1"/>
  <c r="W248" i="1"/>
  <c r="W340" i="1"/>
  <c r="W165" i="1"/>
  <c r="W389" i="1"/>
  <c r="W314" i="1"/>
  <c r="W213" i="1"/>
  <c r="W337" i="1"/>
  <c r="W78" i="1"/>
  <c r="W59" i="1"/>
  <c r="W341" i="1"/>
  <c r="W378" i="1"/>
  <c r="W204" i="1"/>
  <c r="W77" i="1"/>
  <c r="W196" i="1"/>
  <c r="W230" i="1"/>
  <c r="W348" i="1"/>
  <c r="W115" i="1"/>
  <c r="W170" i="1"/>
  <c r="W275" i="1"/>
  <c r="W287" i="1"/>
  <c r="W64" i="1"/>
  <c r="W276" i="1"/>
  <c r="W274" i="1"/>
  <c r="W295" i="1"/>
  <c r="W317" i="1"/>
  <c r="W117" i="1"/>
  <c r="W267" i="1"/>
  <c r="W250" i="1"/>
  <c r="W85" i="1"/>
  <c r="W385" i="1"/>
  <c r="W362" i="1"/>
  <c r="W361" i="1"/>
  <c r="W183" i="1"/>
  <c r="W237" i="1"/>
  <c r="W95" i="1"/>
  <c r="W327" i="1"/>
  <c r="W247" i="1"/>
  <c r="W365" i="1"/>
  <c r="W159" i="1"/>
  <c r="W143" i="1"/>
  <c r="W190" i="1"/>
  <c r="W94" i="1"/>
  <c r="W319" i="1"/>
  <c r="W209" i="1"/>
  <c r="W394" i="1"/>
  <c r="W221" i="1"/>
  <c r="W335" i="1"/>
  <c r="W156" i="1"/>
  <c r="W200" i="1"/>
  <c r="W306" i="1"/>
  <c r="W271" i="1"/>
  <c r="W138" i="1"/>
  <c r="W357" i="1"/>
  <c r="W146" i="1"/>
  <c r="W210" i="1"/>
  <c r="W386" i="1"/>
  <c r="W136" i="1"/>
  <c r="W343" i="1"/>
  <c r="W157" i="1"/>
  <c r="W149" i="1"/>
  <c r="W258" i="1"/>
  <c r="W47" i="1"/>
  <c r="W33" i="1"/>
  <c r="W119" i="1"/>
  <c r="W88" i="1"/>
  <c r="W263" i="1"/>
  <c r="W207" i="1"/>
  <c r="W320" i="1"/>
  <c r="W69" i="1"/>
  <c r="W232" i="1"/>
  <c r="W141" i="1"/>
  <c r="W384" i="1"/>
  <c r="W197" i="1"/>
  <c r="W299" i="1"/>
  <c r="W90" i="1"/>
  <c r="W177" i="1"/>
  <c r="W108" i="1"/>
  <c r="W370" i="1"/>
  <c r="W311" i="1"/>
  <c r="W114" i="1"/>
  <c r="W281" i="1"/>
  <c r="W121" i="1"/>
  <c r="W329" i="1"/>
  <c r="W176" i="1"/>
  <c r="W291" i="1"/>
  <c r="W280" i="1"/>
  <c r="U215" i="1"/>
  <c r="V162" i="1"/>
  <c r="W19" i="1"/>
  <c r="W27" i="1"/>
  <c r="W31" i="1"/>
  <c r="U269" i="1"/>
  <c r="W269" i="1"/>
  <c r="W137" i="1"/>
  <c r="W201" i="1"/>
  <c r="U344" i="1"/>
  <c r="W344" i="1"/>
  <c r="U240" i="1"/>
  <c r="W240" i="1"/>
  <c r="U380" i="1"/>
  <c r="W380" i="1"/>
  <c r="W301" i="1"/>
  <c r="V229" i="1"/>
  <c r="W229" i="1"/>
  <c r="U356" i="1"/>
  <c r="W356" i="1"/>
  <c r="V168" i="1"/>
  <c r="W168" i="1"/>
  <c r="T28" i="1"/>
  <c r="W28" i="1"/>
  <c r="V395" i="1"/>
  <c r="W395" i="1"/>
  <c r="T363" i="1"/>
  <c r="W363" i="1"/>
  <c r="T23" i="1"/>
  <c r="W23" i="1"/>
  <c r="T147" i="1"/>
  <c r="W147" i="1"/>
  <c r="U34" i="1"/>
  <c r="W34" i="1"/>
  <c r="T87" i="1"/>
  <c r="W87" i="1"/>
  <c r="V36" i="1"/>
  <c r="W36" i="1"/>
  <c r="U254" i="1"/>
  <c r="W254" i="1"/>
  <c r="T288" i="1"/>
  <c r="W288" i="1"/>
  <c r="U180" i="1"/>
  <c r="W180" i="1"/>
  <c r="V185" i="1"/>
  <c r="W185" i="1"/>
  <c r="T316" i="1"/>
  <c r="W316" i="1"/>
  <c r="T20" i="1"/>
  <c r="W20" i="1"/>
  <c r="T282" i="1"/>
  <c r="W282" i="1"/>
  <c r="U194" i="1"/>
  <c r="W194" i="1"/>
  <c r="V321" i="1"/>
  <c r="W321" i="1"/>
  <c r="U50" i="1"/>
  <c r="W50" i="1"/>
  <c r="W302" i="1"/>
  <c r="T60" i="1"/>
  <c r="W60" i="1"/>
  <c r="V227" i="1"/>
  <c r="W227" i="1"/>
  <c r="V224" i="1"/>
  <c r="W224" i="1"/>
  <c r="U293" i="1"/>
  <c r="W293" i="1"/>
  <c r="U150" i="1"/>
  <c r="W150" i="1"/>
  <c r="V242" i="1"/>
  <c r="W242" i="1"/>
  <c r="U223" i="1"/>
  <c r="W223" i="1"/>
  <c r="U38" i="1"/>
  <c r="W38" i="1"/>
  <c r="T350" i="1"/>
  <c r="W350" i="1"/>
  <c r="U52" i="1"/>
  <c r="W52" i="1"/>
  <c r="V188" i="1"/>
  <c r="W188" i="1"/>
  <c r="T222" i="1"/>
  <c r="W222" i="1"/>
  <c r="W268" i="1"/>
  <c r="U345" i="1"/>
  <c r="W345" i="1"/>
  <c r="U393" i="1"/>
  <c r="W393" i="1"/>
  <c r="U218" i="1"/>
  <c r="W218" i="1"/>
  <c r="V313" i="1"/>
  <c r="W313" i="1"/>
  <c r="U173" i="1"/>
  <c r="W173" i="1"/>
  <c r="T342" i="1"/>
  <c r="W342" i="1"/>
  <c r="W387" i="1"/>
  <c r="W120" i="1"/>
  <c r="W55" i="1"/>
  <c r="T216" i="1"/>
  <c r="W216" i="1"/>
  <c r="V48" i="1"/>
  <c r="W48" i="1"/>
  <c r="V374" i="1"/>
  <c r="W374" i="1"/>
  <c r="V167" i="1"/>
  <c r="W167" i="1"/>
  <c r="T171" i="1"/>
  <c r="W171" i="1"/>
  <c r="U26" i="1"/>
  <c r="W26" i="1"/>
  <c r="U74" i="1"/>
  <c r="W74" i="1"/>
  <c r="T178" i="1"/>
  <c r="W178" i="1"/>
  <c r="U113" i="1"/>
  <c r="W113" i="1"/>
  <c r="T328" i="1"/>
  <c r="W328" i="1"/>
  <c r="U367" i="1"/>
  <c r="W367" i="1"/>
  <c r="T103" i="1"/>
  <c r="W103" i="1"/>
  <c r="T231" i="1"/>
  <c r="W231" i="1"/>
  <c r="V286" i="1"/>
  <c r="W286" i="1"/>
  <c r="V71" i="1"/>
  <c r="W71" i="1"/>
  <c r="W388" i="1"/>
  <c r="T122" i="1"/>
  <c r="W122" i="1"/>
  <c r="U300" i="1"/>
  <c r="W300" i="1"/>
  <c r="U257" i="1"/>
  <c r="W257" i="1"/>
  <c r="W192" i="1"/>
  <c r="W104" i="1"/>
  <c r="T22" i="1"/>
  <c r="W22" i="1"/>
  <c r="V67" i="1"/>
  <c r="W67" i="1"/>
  <c r="U175" i="1"/>
  <c r="W175" i="1"/>
  <c r="T219" i="1"/>
  <c r="W219" i="1"/>
  <c r="V86" i="1"/>
  <c r="W86" i="1"/>
  <c r="V131" i="1"/>
  <c r="W131" i="1"/>
  <c r="U239" i="1"/>
  <c r="W239" i="1"/>
  <c r="T72" i="1"/>
  <c r="W72" i="1"/>
  <c r="U303" i="1"/>
  <c r="W303" i="1"/>
  <c r="T92" i="1"/>
  <c r="W92" i="1"/>
  <c r="T81" i="1"/>
  <c r="W81" i="1"/>
  <c r="U123" i="1"/>
  <c r="W123" i="1"/>
  <c r="V62" i="1"/>
  <c r="W62" i="1"/>
  <c r="U145" i="1"/>
  <c r="W145" i="1"/>
  <c r="V331" i="1"/>
  <c r="W331" i="1"/>
  <c r="T325" i="1"/>
  <c r="W325" i="1"/>
  <c r="V116" i="1"/>
  <c r="W116" i="1"/>
  <c r="T98" i="1"/>
  <c r="W98" i="1"/>
  <c r="T333" i="1"/>
  <c r="W333" i="1"/>
  <c r="U89" i="1"/>
  <c r="W89" i="1"/>
  <c r="U203" i="1"/>
  <c r="W203" i="1"/>
  <c r="U238" i="1"/>
  <c r="W238" i="1"/>
  <c r="T377" i="1"/>
  <c r="W377" i="1"/>
  <c r="T91" i="1"/>
  <c r="W91" i="1"/>
  <c r="V392" i="1"/>
  <c r="W392" i="1"/>
  <c r="U151" i="1"/>
  <c r="W151" i="1"/>
  <c r="U79" i="1"/>
  <c r="W79" i="1"/>
  <c r="W338" i="1"/>
  <c r="V187" i="1"/>
  <c r="W187" i="1"/>
  <c r="V118" i="1"/>
  <c r="W118" i="1"/>
  <c r="U161" i="1"/>
  <c r="W161" i="1"/>
  <c r="U368" i="1"/>
  <c r="W368" i="1"/>
  <c r="U272" i="1"/>
  <c r="W272" i="1"/>
  <c r="V128" i="1"/>
  <c r="W128" i="1"/>
  <c r="U372" i="1"/>
  <c r="W372" i="1"/>
  <c r="W127" i="1"/>
  <c r="U273" i="1"/>
  <c r="W273" i="1"/>
  <c r="T179" i="1"/>
  <c r="W179" i="1"/>
  <c r="U51" i="1"/>
  <c r="W51" i="1"/>
  <c r="V359" i="1"/>
  <c r="W359" i="1"/>
  <c r="V264" i="1"/>
  <c r="W264" i="1"/>
  <c r="U308" i="1"/>
  <c r="W308" i="1"/>
  <c r="W169" i="1"/>
  <c r="W261" i="1"/>
  <c r="T286" i="1"/>
  <c r="U67" i="1"/>
  <c r="T344" i="1"/>
  <c r="T131" i="1"/>
  <c r="U86" i="1"/>
  <c r="T41" i="1"/>
  <c r="V41" i="1"/>
  <c r="T125" i="1"/>
  <c r="T369" i="1"/>
  <c r="U369" i="1"/>
  <c r="U153" i="1"/>
  <c r="V153" i="1"/>
  <c r="V211" i="1"/>
  <c r="U211" i="1"/>
  <c r="U49" i="1"/>
  <c r="T49" i="1"/>
  <c r="T283" i="1"/>
  <c r="U283" i="1"/>
  <c r="T205" i="1"/>
  <c r="U205" i="1"/>
  <c r="U65" i="1"/>
  <c r="V65" i="1"/>
  <c r="U53" i="1"/>
  <c r="V53" i="1"/>
  <c r="U235" i="1"/>
  <c r="T235" i="1"/>
  <c r="U284" i="1"/>
  <c r="V284" i="1"/>
  <c r="V152" i="1"/>
  <c r="U152" i="1"/>
  <c r="U202" i="1"/>
  <c r="V202" i="1"/>
  <c r="V289" i="1"/>
  <c r="U289" i="1"/>
  <c r="U43" i="1"/>
  <c r="T43" i="1"/>
  <c r="B30" i="1"/>
  <c r="H30" i="1"/>
  <c r="G30" i="1"/>
  <c r="T220" i="1"/>
  <c r="U220" i="1"/>
  <c r="V326" i="1"/>
  <c r="U326" i="1"/>
  <c r="U288" i="1"/>
  <c r="T355" i="1"/>
  <c r="V355" i="1"/>
  <c r="U147" i="1"/>
  <c r="V356" i="1"/>
  <c r="U185" i="1"/>
  <c r="T229" i="1"/>
  <c r="V23" i="1"/>
  <c r="T175" i="1"/>
  <c r="V145" i="1"/>
  <c r="U116" i="1"/>
  <c r="T331" i="1"/>
  <c r="U325" i="1"/>
  <c r="T104" i="1"/>
  <c r="T272" i="1"/>
  <c r="V377" i="1"/>
  <c r="V372" i="1"/>
  <c r="U118" i="1"/>
  <c r="U387" i="1"/>
  <c r="T393" i="1"/>
  <c r="T259" i="1"/>
  <c r="V38" i="1"/>
  <c r="U374" i="1"/>
  <c r="V166" i="1"/>
  <c r="H25" i="1"/>
  <c r="U188" i="1"/>
  <c r="T388" i="1"/>
  <c r="T224" i="1"/>
  <c r="U234" i="1"/>
  <c r="T144" i="1"/>
  <c r="U160" i="1"/>
  <c r="T268" i="1"/>
  <c r="V112" i="1"/>
  <c r="U259" i="1"/>
  <c r="U122" i="1"/>
  <c r="T166" i="1"/>
  <c r="V160" i="1"/>
  <c r="U124" i="1"/>
  <c r="V124" i="1"/>
  <c r="V234" i="1"/>
  <c r="V60" i="1"/>
  <c r="T241" i="1"/>
  <c r="V103" i="1"/>
  <c r="U241" i="1"/>
  <c r="V50" i="1"/>
  <c r="F31" i="1"/>
  <c r="G31" i="1" s="1"/>
  <c r="B25" i="1"/>
  <c r="U66" i="1"/>
  <c r="V367" i="1"/>
  <c r="V144" i="1"/>
  <c r="V293" i="1"/>
  <c r="U305" i="1"/>
  <c r="V126" i="1"/>
  <c r="T24" i="1"/>
  <c r="V222" i="1"/>
  <c r="T113" i="1"/>
  <c r="T66" i="1"/>
  <c r="U313" i="1"/>
  <c r="U350" i="1"/>
  <c r="V231" i="1"/>
  <c r="V223" i="1"/>
  <c r="V24" i="1"/>
  <c r="T150" i="1"/>
  <c r="U112" i="1"/>
  <c r="U163" i="1"/>
  <c r="T52" i="1"/>
  <c r="U242" i="1"/>
  <c r="T227" i="1"/>
  <c r="T126" i="1"/>
  <c r="Y137" i="1"/>
  <c r="Y201" i="1"/>
  <c r="Y169" i="1"/>
  <c r="Y261" i="1"/>
  <c r="Y27" i="1"/>
  <c r="Y31" i="1"/>
  <c r="Y301" i="1"/>
  <c r="Y125" i="1"/>
  <c r="Y268" i="1"/>
  <c r="V387" i="1"/>
  <c r="U120" i="1"/>
  <c r="Y302" i="1"/>
  <c r="V83" i="1"/>
  <c r="Y388" i="1"/>
  <c r="Y55" i="1"/>
  <c r="Y192" i="1"/>
  <c r="Y104" i="1"/>
  <c r="Y338" i="1"/>
  <c r="Y127" i="1"/>
  <c r="U46" i="1"/>
  <c r="Y46" i="1"/>
  <c r="T146" i="1"/>
  <c r="Y146" i="1"/>
  <c r="T266" i="1"/>
  <c r="Y266" i="1"/>
  <c r="U42" i="1"/>
  <c r="Y42" i="1"/>
  <c r="V360" i="1"/>
  <c r="Y360" i="1"/>
  <c r="U110" i="1"/>
  <c r="Y110" i="1"/>
  <c r="V210" i="1"/>
  <c r="Y210" i="1"/>
  <c r="V106" i="1"/>
  <c r="Y106" i="1"/>
  <c r="U386" i="1"/>
  <c r="Y386" i="1"/>
  <c r="V136" i="1"/>
  <c r="Y136" i="1"/>
  <c r="V290" i="1"/>
  <c r="Y290" i="1"/>
  <c r="T343" i="1"/>
  <c r="Y343" i="1"/>
  <c r="T157" i="1"/>
  <c r="Y157" i="1"/>
  <c r="T295" i="1"/>
  <c r="Y295" i="1"/>
  <c r="U317" i="1"/>
  <c r="Y317" i="1"/>
  <c r="T117" i="1"/>
  <c r="Y117" i="1"/>
  <c r="U267" i="1"/>
  <c r="Y267" i="1"/>
  <c r="T250" i="1"/>
  <c r="Y250" i="1"/>
  <c r="T85" i="1"/>
  <c r="Y85" i="1"/>
  <c r="T385" i="1"/>
  <c r="Y385" i="1"/>
  <c r="T362" i="1"/>
  <c r="Y362" i="1"/>
  <c r="U361" i="1"/>
  <c r="Y361" i="1"/>
  <c r="T183" i="1"/>
  <c r="Y183" i="1"/>
  <c r="T237" i="1"/>
  <c r="Y237" i="1"/>
  <c r="T95" i="1"/>
  <c r="Y95" i="1"/>
  <c r="T327" i="1"/>
  <c r="Y327" i="1"/>
  <c r="U247" i="1"/>
  <c r="Y247" i="1"/>
  <c r="U365" i="1"/>
  <c r="Y365" i="1"/>
  <c r="V159" i="1"/>
  <c r="Y159" i="1"/>
  <c r="U143" i="1"/>
  <c r="Y143" i="1"/>
  <c r="T190" i="1"/>
  <c r="Y190" i="1"/>
  <c r="T94" i="1"/>
  <c r="Y94" i="1"/>
  <c r="T319" i="1"/>
  <c r="Y319" i="1"/>
  <c r="U209" i="1"/>
  <c r="Y209" i="1"/>
  <c r="T394" i="1"/>
  <c r="Y394" i="1"/>
  <c r="U221" i="1"/>
  <c r="Y221" i="1"/>
  <c r="T335" i="1"/>
  <c r="Y335" i="1"/>
  <c r="U156" i="1"/>
  <c r="Y156" i="1"/>
  <c r="T200" i="1"/>
  <c r="Y200" i="1"/>
  <c r="T306" i="1"/>
  <c r="Y306" i="1"/>
  <c r="U271" i="1"/>
  <c r="Y271" i="1"/>
  <c r="T138" i="1"/>
  <c r="Y138" i="1"/>
  <c r="T357" i="1"/>
  <c r="Y357" i="1"/>
  <c r="T302" i="1"/>
  <c r="T162" i="1"/>
  <c r="Y162" i="1"/>
  <c r="T215" i="1"/>
  <c r="Y215" i="1"/>
  <c r="U339" i="1"/>
  <c r="Y339" i="1"/>
  <c r="V208" i="1"/>
  <c r="Y208" i="1"/>
  <c r="V344" i="1"/>
  <c r="Y344" i="1"/>
  <c r="T244" i="1"/>
  <c r="Y244" i="1"/>
  <c r="T226" i="1"/>
  <c r="Y226" i="1"/>
  <c r="T279" i="1"/>
  <c r="Y279" i="1"/>
  <c r="U29" i="1"/>
  <c r="Y29" i="1"/>
  <c r="V80" i="1"/>
  <c r="Y80" i="1"/>
  <c r="T240" i="1"/>
  <c r="Y240" i="1"/>
  <c r="V84" i="1"/>
  <c r="Y84" i="1"/>
  <c r="T189" i="1"/>
  <c r="Y189" i="1"/>
  <c r="V105" i="1"/>
  <c r="Y105" i="1"/>
  <c r="V380" i="1"/>
  <c r="Y380" i="1"/>
  <c r="U149" i="1"/>
  <c r="Y149" i="1"/>
  <c r="T258" i="1"/>
  <c r="Y258" i="1"/>
  <c r="V47" i="1"/>
  <c r="Y47" i="1"/>
  <c r="U33" i="1"/>
  <c r="Y33" i="1"/>
  <c r="V119" i="1"/>
  <c r="Y119" i="1"/>
  <c r="T109" i="1"/>
  <c r="Y109" i="1"/>
  <c r="T88" i="1"/>
  <c r="Y88" i="1"/>
  <c r="T263" i="1"/>
  <c r="Y263" i="1"/>
  <c r="U207" i="1"/>
  <c r="Y207" i="1"/>
  <c r="V320" i="1"/>
  <c r="Y320" i="1"/>
  <c r="T69" i="1"/>
  <c r="Y69" i="1"/>
  <c r="T232" i="1"/>
  <c r="Y232" i="1"/>
  <c r="T141" i="1"/>
  <c r="Y141" i="1"/>
  <c r="T384" i="1"/>
  <c r="Y384" i="1"/>
  <c r="V197" i="1"/>
  <c r="Y197" i="1"/>
  <c r="U299" i="1"/>
  <c r="Y299" i="1"/>
  <c r="V90" i="1"/>
  <c r="Y90" i="1"/>
  <c r="V177" i="1"/>
  <c r="Y177" i="1"/>
  <c r="U108" i="1"/>
  <c r="Y108" i="1"/>
  <c r="V269" i="1"/>
  <c r="Y269" i="1"/>
  <c r="U370" i="1"/>
  <c r="Y370" i="1"/>
  <c r="T311" i="1"/>
  <c r="Y311" i="1"/>
  <c r="U114" i="1"/>
  <c r="Y114" i="1"/>
  <c r="T281" i="1"/>
  <c r="Y281" i="1"/>
  <c r="T121" i="1"/>
  <c r="Y121" i="1"/>
  <c r="U329" i="1"/>
  <c r="Y329" i="1"/>
  <c r="T176" i="1"/>
  <c r="Y176" i="1"/>
  <c r="T291" i="1"/>
  <c r="Y291" i="1"/>
  <c r="V280" i="1"/>
  <c r="Y280" i="1"/>
  <c r="U355" i="1"/>
  <c r="Y355" i="1"/>
  <c r="V352" i="1"/>
  <c r="Y352" i="1"/>
  <c r="V252" i="1"/>
  <c r="Y252" i="1"/>
  <c r="T180" i="1"/>
  <c r="Y180" i="1"/>
  <c r="V37" i="1"/>
  <c r="Y37" i="1"/>
  <c r="T185" i="1"/>
  <c r="Y185" i="1"/>
  <c r="V61" i="1"/>
  <c r="Y61" i="1"/>
  <c r="U41" i="1"/>
  <c r="Y41" i="1"/>
  <c r="V316" i="1"/>
  <c r="Y316" i="1"/>
  <c r="U20" i="1"/>
  <c r="Y20" i="1"/>
  <c r="V220" i="1"/>
  <c r="Y220" i="1"/>
  <c r="U282" i="1"/>
  <c r="Y282" i="1"/>
  <c r="T21" i="1"/>
  <c r="Y21" i="1"/>
  <c r="T194" i="1"/>
  <c r="Y194" i="1"/>
  <c r="T326" i="1"/>
  <c r="Y326" i="1"/>
  <c r="V63" i="1"/>
  <c r="Y63" i="1"/>
  <c r="U184" i="1"/>
  <c r="Y184" i="1"/>
  <c r="U229" i="1"/>
  <c r="Y229" i="1"/>
  <c r="V256" i="1"/>
  <c r="Y256" i="1"/>
  <c r="T356" i="1"/>
  <c r="Y356" i="1"/>
  <c r="T168" i="1"/>
  <c r="Y168" i="1"/>
  <c r="V28" i="1"/>
  <c r="Y28" i="1"/>
  <c r="U395" i="1"/>
  <c r="Y395" i="1"/>
  <c r="U363" i="1"/>
  <c r="Y363" i="1"/>
  <c r="V369" i="1"/>
  <c r="Y369" i="1"/>
  <c r="U23" i="1"/>
  <c r="Y23" i="1"/>
  <c r="V147" i="1"/>
  <c r="Y147" i="1"/>
  <c r="T153" i="1"/>
  <c r="Y153" i="1"/>
  <c r="T34" i="1"/>
  <c r="Y34" i="1"/>
  <c r="V87" i="1"/>
  <c r="Y87" i="1"/>
  <c r="T211" i="1"/>
  <c r="Y211" i="1"/>
  <c r="V49" i="1"/>
  <c r="Y49" i="1"/>
  <c r="V283" i="1"/>
  <c r="Y283" i="1"/>
  <c r="V205" i="1"/>
  <c r="Y205" i="1"/>
  <c r="T65" i="1"/>
  <c r="Y65" i="1"/>
  <c r="T53" i="1"/>
  <c r="Y53" i="1"/>
  <c r="V235" i="1"/>
  <c r="Y235" i="1"/>
  <c r="T36" i="1"/>
  <c r="Y36" i="1"/>
  <c r="T284" i="1"/>
  <c r="Y284" i="1"/>
  <c r="T152" i="1"/>
  <c r="Y152" i="1"/>
  <c r="T202" i="1"/>
  <c r="Y202" i="1"/>
  <c r="T254" i="1"/>
  <c r="Y254" i="1"/>
  <c r="T289" i="1"/>
  <c r="Y289" i="1"/>
  <c r="V288" i="1"/>
  <c r="Y288" i="1"/>
  <c r="V43" i="1"/>
  <c r="Y43" i="1"/>
  <c r="V66" i="1"/>
  <c r="Y66" i="1"/>
  <c r="V198" i="1"/>
  <c r="Y198" i="1"/>
  <c r="T345" i="1"/>
  <c r="Y345" i="1"/>
  <c r="V393" i="1"/>
  <c r="Y393" i="1"/>
  <c r="T218" i="1"/>
  <c r="Y218" i="1"/>
  <c r="U332" i="1"/>
  <c r="Y332" i="1"/>
  <c r="V130" i="1"/>
  <c r="Y130" i="1"/>
  <c r="U262" i="1"/>
  <c r="Y262" i="1"/>
  <c r="V241" i="1"/>
  <c r="Y241" i="1"/>
  <c r="T313" i="1"/>
  <c r="Y313" i="1"/>
  <c r="V173" i="1"/>
  <c r="Y173" i="1"/>
  <c r="V342" i="1"/>
  <c r="Y342" i="1"/>
  <c r="T387" i="1"/>
  <c r="Y387" i="1"/>
  <c r="T120" i="1"/>
  <c r="Y120" i="1"/>
  <c r="T133" i="1"/>
  <c r="Y133" i="1"/>
  <c r="V186" i="1"/>
  <c r="Y186" i="1"/>
  <c r="V364" i="1"/>
  <c r="Y364" i="1"/>
  <c r="T321" i="1"/>
  <c r="Y321" i="1"/>
  <c r="T50" i="1"/>
  <c r="Y50" i="1"/>
  <c r="U354" i="1"/>
  <c r="Y354" i="1"/>
  <c r="U83" i="1"/>
  <c r="Y83" i="1"/>
  <c r="T249" i="1"/>
  <c r="Y249" i="1"/>
  <c r="U353" i="1"/>
  <c r="Y353" i="1"/>
  <c r="V358" i="1"/>
  <c r="Y358" i="1"/>
  <c r="T163" i="1"/>
  <c r="Y163" i="1"/>
  <c r="T160" i="1"/>
  <c r="Y160" i="1"/>
  <c r="U60" i="1"/>
  <c r="Y60" i="1"/>
  <c r="U126" i="1"/>
  <c r="Y126" i="1"/>
  <c r="U227" i="1"/>
  <c r="Y227" i="1"/>
  <c r="U224" i="1"/>
  <c r="Y224" i="1"/>
  <c r="T124" i="1"/>
  <c r="Y124" i="1"/>
  <c r="T293" i="1"/>
  <c r="Y293" i="1"/>
  <c r="V150" i="1"/>
  <c r="Y150" i="1"/>
  <c r="U24" i="1"/>
  <c r="Y24" i="1"/>
  <c r="T242" i="1"/>
  <c r="Y242" i="1"/>
  <c r="T234" i="1"/>
  <c r="Y234" i="1"/>
  <c r="T112" i="1"/>
  <c r="Y112" i="1"/>
  <c r="T223" i="1"/>
  <c r="Y223" i="1"/>
  <c r="U144" i="1"/>
  <c r="Y144" i="1"/>
  <c r="T38" i="1"/>
  <c r="Y38" i="1"/>
  <c r="V350" i="1"/>
  <c r="Y350" i="1"/>
  <c r="V52" i="1"/>
  <c r="Y52" i="1"/>
  <c r="U166" i="1"/>
  <c r="Y166" i="1"/>
  <c r="T188" i="1"/>
  <c r="Y188" i="1"/>
  <c r="U222" i="1"/>
  <c r="Y222" i="1"/>
  <c r="U347" i="1"/>
  <c r="Y347" i="1"/>
  <c r="T214" i="1"/>
  <c r="Y214" i="1"/>
  <c r="V259" i="1"/>
  <c r="Y259" i="1"/>
  <c r="T367" i="1"/>
  <c r="Y367" i="1"/>
  <c r="U103" i="1"/>
  <c r="Y103" i="1"/>
  <c r="U231" i="1"/>
  <c r="Y231" i="1"/>
  <c r="V45" i="1"/>
  <c r="Y45" i="1"/>
  <c r="U278" i="1"/>
  <c r="Y278" i="1"/>
  <c r="U323" i="1"/>
  <c r="Y323" i="1"/>
  <c r="T56" i="1"/>
  <c r="Y56" i="1"/>
  <c r="U286" i="1"/>
  <c r="Y286" i="1"/>
  <c r="T71" i="1"/>
  <c r="Y71" i="1"/>
  <c r="V122" i="1"/>
  <c r="Y122" i="1"/>
  <c r="T300" i="1"/>
  <c r="Y300" i="1"/>
  <c r="V257" i="1"/>
  <c r="Y257" i="1"/>
  <c r="U379" i="1"/>
  <c r="Y379" i="1"/>
  <c r="V310" i="1"/>
  <c r="Y310" i="1"/>
  <c r="V216" i="1"/>
  <c r="Y216" i="1"/>
  <c r="T48" i="1"/>
  <c r="Y48" i="1"/>
  <c r="T99" i="1"/>
  <c r="Y99" i="1"/>
  <c r="V96" i="1"/>
  <c r="Y96" i="1"/>
  <c r="T374" i="1"/>
  <c r="Y374" i="1"/>
  <c r="V294" i="1"/>
  <c r="Y294" i="1"/>
  <c r="T167" i="1"/>
  <c r="Y167" i="1"/>
  <c r="U171" i="1"/>
  <c r="Y171" i="1"/>
  <c r="T76" i="1"/>
  <c r="Y76" i="1"/>
  <c r="T297" i="1"/>
  <c r="Y297" i="1"/>
  <c r="U373" i="1"/>
  <c r="Y373" i="1"/>
  <c r="V26" i="1"/>
  <c r="Y26" i="1"/>
  <c r="T140" i="1"/>
  <c r="Y140" i="1"/>
  <c r="T346" i="1"/>
  <c r="Y346" i="1"/>
  <c r="V70" i="1"/>
  <c r="Y70" i="1"/>
  <c r="T74" i="1"/>
  <c r="Y74" i="1"/>
  <c r="T195" i="1"/>
  <c r="Y195" i="1"/>
  <c r="T305" i="1"/>
  <c r="Y305" i="1"/>
  <c r="V148" i="1"/>
  <c r="Y148" i="1"/>
  <c r="T142" i="1"/>
  <c r="Y142" i="1"/>
  <c r="T298" i="1"/>
  <c r="Y298" i="1"/>
  <c r="V318" i="1"/>
  <c r="Y318" i="1"/>
  <c r="T330" i="1"/>
  <c r="Y330" i="1"/>
  <c r="T73" i="1"/>
  <c r="Y73" i="1"/>
  <c r="T217" i="1"/>
  <c r="Y217" i="1"/>
  <c r="U178" i="1"/>
  <c r="Y178" i="1"/>
  <c r="V113" i="1"/>
  <c r="Y113" i="1"/>
  <c r="V328" i="1"/>
  <c r="Y328" i="1"/>
  <c r="T199" i="1"/>
  <c r="Y199" i="1"/>
  <c r="U249" i="1"/>
  <c r="V353" i="1"/>
  <c r="T260" i="1"/>
  <c r="Y260" i="1"/>
  <c r="T383" i="1"/>
  <c r="Y383" i="1"/>
  <c r="T172" i="1"/>
  <c r="Y172" i="1"/>
  <c r="U129" i="1"/>
  <c r="Y129" i="1"/>
  <c r="V243" i="1"/>
  <c r="Y243" i="1"/>
  <c r="V371" i="1"/>
  <c r="Y371" i="1"/>
  <c r="T324" i="1"/>
  <c r="Y324" i="1"/>
  <c r="V58" i="1"/>
  <c r="Y58" i="1"/>
  <c r="V236" i="1"/>
  <c r="Y236" i="1"/>
  <c r="U193" i="1"/>
  <c r="Y193" i="1"/>
  <c r="V75" i="1"/>
  <c r="Y75" i="1"/>
  <c r="T203" i="1"/>
  <c r="Y203" i="1"/>
  <c r="U334" i="1"/>
  <c r="Y334" i="1"/>
  <c r="T315" i="1"/>
  <c r="Y315" i="1"/>
  <c r="U246" i="1"/>
  <c r="Y246" i="1"/>
  <c r="T336" i="1"/>
  <c r="Y336" i="1"/>
  <c r="T292" i="1"/>
  <c r="Y292" i="1"/>
  <c r="V212" i="1"/>
  <c r="Y212" i="1"/>
  <c r="U349" i="1"/>
  <c r="Y349" i="1"/>
  <c r="U390" i="1"/>
  <c r="Y390" i="1"/>
  <c r="V233" i="1"/>
  <c r="Y233" i="1"/>
  <c r="V245" i="1"/>
  <c r="Y245" i="1"/>
  <c r="T107" i="1"/>
  <c r="Y107" i="1"/>
  <c r="T307" i="1"/>
  <c r="Y307" i="1"/>
  <c r="T155" i="1"/>
  <c r="Y155" i="1"/>
  <c r="V22" i="1"/>
  <c r="Y22" i="1"/>
  <c r="T67" i="1"/>
  <c r="Y67" i="1"/>
  <c r="V175" i="1"/>
  <c r="Y175" i="1"/>
  <c r="U219" i="1"/>
  <c r="Y219" i="1"/>
  <c r="T86" i="1"/>
  <c r="Y86" i="1"/>
  <c r="U131" i="1"/>
  <c r="Y131" i="1"/>
  <c r="T239" i="1"/>
  <c r="Y239" i="1"/>
  <c r="U72" i="1"/>
  <c r="Y72" i="1"/>
  <c r="T303" i="1"/>
  <c r="Y303" i="1"/>
  <c r="V92" i="1"/>
  <c r="Y92" i="1"/>
  <c r="V81" i="1"/>
  <c r="Y81" i="1"/>
  <c r="V123" i="1"/>
  <c r="Y123" i="1"/>
  <c r="U62" i="1"/>
  <c r="Y62" i="1"/>
  <c r="T145" i="1"/>
  <c r="Y145" i="1"/>
  <c r="U331" i="1"/>
  <c r="Y331" i="1"/>
  <c r="V325" i="1"/>
  <c r="Y325" i="1"/>
  <c r="T116" i="1"/>
  <c r="Y116" i="1"/>
  <c r="U98" i="1"/>
  <c r="Y98" i="1"/>
  <c r="U333" i="1"/>
  <c r="Y333" i="1"/>
  <c r="U102" i="1"/>
  <c r="Y102" i="1"/>
  <c r="T89" i="1"/>
  <c r="Y89" i="1"/>
  <c r="T206" i="1"/>
  <c r="Y206" i="1"/>
  <c r="U187" i="1"/>
  <c r="Y187" i="1"/>
  <c r="T118" i="1"/>
  <c r="Y118" i="1"/>
  <c r="V161" i="1"/>
  <c r="Y161" i="1"/>
  <c r="T25" i="1"/>
  <c r="Y25" i="1"/>
  <c r="T368" i="1"/>
  <c r="Y368" i="1"/>
  <c r="V270" i="1"/>
  <c r="Y270" i="1"/>
  <c r="T251" i="1"/>
  <c r="Y251" i="1"/>
  <c r="T182" i="1"/>
  <c r="Y182" i="1"/>
  <c r="T57" i="1"/>
  <c r="Y57" i="1"/>
  <c r="U296" i="1"/>
  <c r="Y296" i="1"/>
  <c r="V272" i="1"/>
  <c r="Y272" i="1"/>
  <c r="U128" i="1"/>
  <c r="Y128" i="1"/>
  <c r="V228" i="1"/>
  <c r="Y228" i="1"/>
  <c r="U40" i="1"/>
  <c r="Y40" i="1"/>
  <c r="T372" i="1"/>
  <c r="Y372" i="1"/>
  <c r="V238" i="1"/>
  <c r="Y238" i="1"/>
  <c r="T19" i="1"/>
  <c r="Y19" i="1"/>
  <c r="U377" i="1"/>
  <c r="Y377" i="1"/>
  <c r="U91" i="1"/>
  <c r="Y91" i="1"/>
  <c r="T277" i="1"/>
  <c r="Y277" i="1"/>
  <c r="U322" i="1"/>
  <c r="Y322" i="1"/>
  <c r="U111" i="1"/>
  <c r="Y111" i="1"/>
  <c r="U304" i="1"/>
  <c r="Y304" i="1"/>
  <c r="U392" i="1"/>
  <c r="Y392" i="1"/>
  <c r="T68" i="1"/>
  <c r="Y68" i="1"/>
  <c r="T191" i="1"/>
  <c r="Y191" i="1"/>
  <c r="V381" i="1"/>
  <c r="Y381" i="1"/>
  <c r="T312" i="1"/>
  <c r="Y312" i="1"/>
  <c r="V132" i="1"/>
  <c r="Y132" i="1"/>
  <c r="V255" i="1"/>
  <c r="Y255" i="1"/>
  <c r="U44" i="1"/>
  <c r="Y44" i="1"/>
  <c r="U376" i="1"/>
  <c r="Y376" i="1"/>
  <c r="U366" i="1"/>
  <c r="Y366" i="1"/>
  <c r="V93" i="1"/>
  <c r="Y93" i="1"/>
  <c r="T30" i="1"/>
  <c r="Y30" i="1"/>
  <c r="T139" i="1"/>
  <c r="Y139" i="1"/>
  <c r="T54" i="1"/>
  <c r="Y54" i="1"/>
  <c r="T97" i="1"/>
  <c r="Y97" i="1"/>
  <c r="V225" i="1"/>
  <c r="Y225" i="1"/>
  <c r="V134" i="1"/>
  <c r="Y134" i="1"/>
  <c r="U82" i="1"/>
  <c r="Y82" i="1"/>
  <c r="V391" i="1"/>
  <c r="Y391" i="1"/>
  <c r="T151" i="1"/>
  <c r="Y151" i="1"/>
  <c r="V39" i="1"/>
  <c r="Y39" i="1"/>
  <c r="T79" i="1"/>
  <c r="Y79" i="1"/>
  <c r="V120" i="1"/>
  <c r="T353" i="1"/>
  <c r="V375" i="1"/>
  <c r="Y375" i="1"/>
  <c r="T100" i="1"/>
  <c r="Y100" i="1"/>
  <c r="V287" i="1"/>
  <c r="Y287" i="1"/>
  <c r="U158" i="1"/>
  <c r="Y158" i="1"/>
  <c r="V181" i="1"/>
  <c r="Y181" i="1"/>
  <c r="T101" i="1"/>
  <c r="Y101" i="1"/>
  <c r="T64" i="1"/>
  <c r="Y64" i="1"/>
  <c r="U164" i="1"/>
  <c r="Y164" i="1"/>
  <c r="T351" i="1"/>
  <c r="Y351" i="1"/>
  <c r="U309" i="1"/>
  <c r="Y309" i="1"/>
  <c r="T308" i="1"/>
  <c r="Y308" i="1"/>
  <c r="U276" i="1"/>
  <c r="Y276" i="1"/>
  <c r="T265" i="1"/>
  <c r="Y265" i="1"/>
  <c r="V174" i="1"/>
  <c r="Y174" i="1"/>
  <c r="V274" i="1"/>
  <c r="Y274" i="1"/>
  <c r="V35" i="1"/>
  <c r="Y35" i="1"/>
  <c r="U32" i="1"/>
  <c r="Y32" i="1"/>
  <c r="V285" i="1"/>
  <c r="Y285" i="1"/>
  <c r="T135" i="1"/>
  <c r="Y135" i="1"/>
  <c r="V382" i="1"/>
  <c r="Y382" i="1"/>
  <c r="U253" i="1"/>
  <c r="Y253" i="1"/>
  <c r="V248" i="1"/>
  <c r="Y248" i="1"/>
  <c r="T340" i="1"/>
  <c r="Y340" i="1"/>
  <c r="U165" i="1"/>
  <c r="Y165" i="1"/>
  <c r="T389" i="1"/>
  <c r="Y389" i="1"/>
  <c r="T314" i="1"/>
  <c r="Y314" i="1"/>
  <c r="T213" i="1"/>
  <c r="Y213" i="1"/>
  <c r="T337" i="1"/>
  <c r="Y337" i="1"/>
  <c r="U78" i="1"/>
  <c r="Y78" i="1"/>
  <c r="U59" i="1"/>
  <c r="Y59" i="1"/>
  <c r="U341" i="1"/>
  <c r="Y341" i="1"/>
  <c r="T378" i="1"/>
  <c r="Y378" i="1"/>
  <c r="V204" i="1"/>
  <c r="Y204" i="1"/>
  <c r="V77" i="1"/>
  <c r="Y77" i="1"/>
  <c r="U196" i="1"/>
  <c r="Y196" i="1"/>
  <c r="V230" i="1"/>
  <c r="Y230" i="1"/>
  <c r="T273" i="1"/>
  <c r="Y273" i="1"/>
  <c r="U179" i="1"/>
  <c r="Y179" i="1"/>
  <c r="V51" i="1"/>
  <c r="Y51" i="1"/>
  <c r="V348" i="1"/>
  <c r="Y348" i="1"/>
  <c r="T115" i="1"/>
  <c r="Y115" i="1"/>
  <c r="T170" i="1"/>
  <c r="Y170" i="1"/>
  <c r="V275" i="1"/>
  <c r="Y275" i="1"/>
  <c r="U359" i="1"/>
  <c r="Y359" i="1"/>
  <c r="T264" i="1"/>
  <c r="Y264" i="1"/>
  <c r="F27" i="1"/>
  <c r="G27" i="1" s="1"/>
  <c r="U100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Y18" i="1"/>
  <c r="V339" i="1"/>
  <c r="V215" i="1"/>
  <c r="T287" i="1"/>
  <c r="T149" i="1"/>
  <c r="T35" i="1"/>
  <c r="T174" i="1"/>
  <c r="V18" i="1"/>
  <c r="V88" i="1"/>
  <c r="V244" i="1"/>
  <c r="T84" i="1"/>
  <c r="T33" i="1"/>
  <c r="U208" i="1"/>
  <c r="U105" i="1"/>
  <c r="V56" i="1"/>
  <c r="F38" i="1"/>
  <c r="G38" i="1" s="1"/>
  <c r="V156" i="1"/>
  <c r="U200" i="1"/>
  <c r="V300" i="1"/>
  <c r="U56" i="1"/>
  <c r="F26" i="1"/>
  <c r="B26" i="1" s="1"/>
  <c r="F37" i="1"/>
  <c r="B37" i="1" s="1"/>
  <c r="V95" i="1"/>
  <c r="U335" i="1"/>
  <c r="V183" i="1"/>
  <c r="U237" i="1"/>
  <c r="U319" i="1"/>
  <c r="U394" i="1"/>
  <c r="V247" i="1"/>
  <c r="V322" i="1"/>
  <c r="V237" i="1"/>
  <c r="V394" i="1"/>
  <c r="V209" i="1"/>
  <c r="T159" i="1"/>
  <c r="T323" i="1"/>
  <c r="V304" i="1"/>
  <c r="V138" i="1"/>
  <c r="U95" i="1"/>
  <c r="V368" i="1"/>
  <c r="V25" i="1"/>
  <c r="V40" i="1"/>
  <c r="U236" i="1"/>
  <c r="U277" i="1"/>
  <c r="T119" i="1"/>
  <c r="T83" i="1"/>
  <c r="F32" i="1"/>
  <c r="G32" i="1" s="1"/>
  <c r="T187" i="1"/>
  <c r="T296" i="1"/>
  <c r="T262" i="1"/>
  <c r="V91" i="1"/>
  <c r="F34" i="1"/>
  <c r="H34" i="1" s="1"/>
  <c r="U18" i="1"/>
  <c r="U25" i="1"/>
  <c r="T80" i="1"/>
  <c r="V323" i="1"/>
  <c r="U57" i="1"/>
  <c r="V163" i="1"/>
  <c r="U358" i="1"/>
  <c r="T111" i="1"/>
  <c r="V111" i="1"/>
  <c r="V57" i="1"/>
  <c r="T45" i="1"/>
  <c r="U45" i="1"/>
  <c r="T40" i="1"/>
  <c r="V78" i="1"/>
  <c r="V296" i="1"/>
  <c r="F29" i="1"/>
  <c r="F36" i="1"/>
  <c r="T274" i="1"/>
  <c r="T253" i="1"/>
  <c r="U248" i="1"/>
  <c r="V276" i="1"/>
  <c r="T204" i="1"/>
  <c r="U230" i="1"/>
  <c r="U287" i="1"/>
  <c r="V306" i="1"/>
  <c r="U146" i="1"/>
  <c r="V317" i="1"/>
  <c r="T209" i="1"/>
  <c r="T39" i="1"/>
  <c r="V190" i="1"/>
  <c r="U39" i="1"/>
  <c r="T391" i="1"/>
  <c r="U119" i="1"/>
  <c r="U134" i="1"/>
  <c r="T366" i="1"/>
  <c r="U312" i="1"/>
  <c r="U101" i="1"/>
  <c r="V151" i="1"/>
  <c r="U290" i="1"/>
  <c r="T271" i="1"/>
  <c r="V265" i="1"/>
  <c r="T381" i="1"/>
  <c r="U263" i="1"/>
  <c r="V196" i="1"/>
  <c r="V44" i="1"/>
  <c r="V308" i="1"/>
  <c r="U327" i="1"/>
  <c r="V69" i="1"/>
  <c r="U37" i="1"/>
  <c r="U162" i="1"/>
  <c r="V347" i="1"/>
  <c r="T347" i="1"/>
  <c r="V180" i="1"/>
  <c r="T275" i="1"/>
  <c r="T114" i="1"/>
  <c r="U97" i="1"/>
  <c r="U170" i="1"/>
  <c r="U77" i="1"/>
  <c r="T158" i="1"/>
  <c r="V29" i="1"/>
  <c r="T269" i="1"/>
  <c r="T376" i="1"/>
  <c r="T225" i="1"/>
  <c r="U381" i="1"/>
  <c r="V312" i="1"/>
  <c r="V299" i="1"/>
  <c r="V278" i="1"/>
  <c r="U48" i="1"/>
  <c r="U93" i="1"/>
  <c r="T290" i="1"/>
  <c r="T257" i="1"/>
  <c r="U274" i="1"/>
  <c r="V64" i="1"/>
  <c r="U159" i="1"/>
  <c r="U264" i="1"/>
  <c r="T93" i="1"/>
  <c r="V109" i="1"/>
  <c r="V207" i="1"/>
  <c r="T294" i="1"/>
  <c r="V171" i="1"/>
  <c r="U294" i="1"/>
  <c r="T184" i="1"/>
  <c r="F28" i="1"/>
  <c r="V68" i="1"/>
  <c r="V54" i="1"/>
  <c r="V164" i="1"/>
  <c r="V179" i="1"/>
  <c r="U391" i="1"/>
  <c r="F33" i="1"/>
  <c r="V271" i="1"/>
  <c r="V226" i="1"/>
  <c r="U348" i="1"/>
  <c r="V221" i="1"/>
  <c r="U139" i="1"/>
  <c r="U191" i="1"/>
  <c r="T156" i="1"/>
  <c r="U232" i="1"/>
  <c r="V200" i="1"/>
  <c r="U181" i="1"/>
  <c r="V273" i="1"/>
  <c r="U115" i="1"/>
  <c r="T348" i="1"/>
  <c r="U204" i="1"/>
  <c r="U84" i="1"/>
  <c r="V335" i="1"/>
  <c r="U80" i="1"/>
  <c r="V357" i="1"/>
  <c r="V194" i="1"/>
  <c r="U280" i="1"/>
  <c r="T61" i="1"/>
  <c r="T197" i="1"/>
  <c r="T51" i="1"/>
  <c r="V309" i="1"/>
  <c r="T395" i="1"/>
  <c r="T382" i="1"/>
  <c r="V263" i="1"/>
  <c r="U109" i="1"/>
  <c r="V351" i="1"/>
  <c r="U35" i="1"/>
  <c r="V100" i="1"/>
  <c r="U135" i="1"/>
  <c r="T276" i="1"/>
  <c r="V115" i="1"/>
  <c r="U64" i="1"/>
  <c r="V94" i="1"/>
  <c r="U351" i="1"/>
  <c r="T164" i="1"/>
  <c r="V143" i="1"/>
  <c r="U69" i="1"/>
  <c r="T252" i="1"/>
  <c r="U252" i="1"/>
  <c r="V135" i="1"/>
  <c r="V79" i="1"/>
  <c r="V370" i="1"/>
  <c r="U306" i="1"/>
  <c r="U138" i="1"/>
  <c r="T143" i="1"/>
  <c r="T339" i="1"/>
  <c r="T230" i="1"/>
  <c r="T18" i="1"/>
  <c r="T221" i="1"/>
  <c r="T380" i="1"/>
  <c r="U174" i="1"/>
  <c r="V282" i="1"/>
  <c r="U61" i="1"/>
  <c r="U71" i="1"/>
  <c r="T132" i="1"/>
  <c r="T255" i="1"/>
  <c r="U167" i="1"/>
  <c r="V340" i="1"/>
  <c r="U168" i="1"/>
  <c r="U216" i="1"/>
  <c r="T207" i="1"/>
  <c r="V101" i="1"/>
  <c r="T82" i="1"/>
  <c r="T248" i="1"/>
  <c r="U54" i="1"/>
  <c r="T77" i="1"/>
  <c r="T309" i="1"/>
  <c r="V165" i="1"/>
  <c r="V141" i="1"/>
  <c r="U320" i="1"/>
  <c r="U244" i="1"/>
  <c r="V158" i="1"/>
  <c r="V319" i="1"/>
  <c r="T90" i="1"/>
  <c r="T37" i="1"/>
  <c r="T196" i="1"/>
  <c r="T329" i="1"/>
  <c r="U226" i="1"/>
  <c r="V170" i="1"/>
  <c r="V82" i="1"/>
  <c r="U225" i="1"/>
  <c r="T29" i="1"/>
  <c r="U68" i="1"/>
  <c r="U190" i="1"/>
  <c r="V191" i="1"/>
  <c r="T320" i="1"/>
  <c r="V327" i="1"/>
  <c r="U183" i="1"/>
  <c r="T46" i="1"/>
  <c r="T352" i="1"/>
  <c r="U352" i="1"/>
  <c r="T208" i="1"/>
  <c r="T108" i="1"/>
  <c r="T181" i="1"/>
  <c r="U275" i="1"/>
  <c r="T134" i="1"/>
  <c r="U94" i="1"/>
  <c r="V97" i="1"/>
  <c r="V366" i="1"/>
  <c r="V33" i="1"/>
  <c r="V376" i="1"/>
  <c r="V176" i="1"/>
  <c r="U30" i="1"/>
  <c r="V30" i="1"/>
  <c r="V232" i="1"/>
  <c r="T44" i="1"/>
  <c r="T105" i="1"/>
  <c r="T359" i="1"/>
  <c r="U265" i="1"/>
  <c r="V20" i="1"/>
  <c r="U316" i="1"/>
  <c r="U132" i="1"/>
  <c r="V365" i="1"/>
  <c r="T365" i="1"/>
  <c r="U255" i="1"/>
  <c r="T247" i="1"/>
  <c r="U382" i="1"/>
  <c r="V363" i="1"/>
  <c r="T165" i="1"/>
  <c r="V253" i="1"/>
  <c r="U88" i="1"/>
  <c r="U340" i="1"/>
  <c r="T278" i="1"/>
  <c r="V184" i="1"/>
  <c r="U76" i="1"/>
  <c r="U172" i="1"/>
  <c r="T371" i="1"/>
  <c r="U243" i="1"/>
  <c r="U73" i="1"/>
  <c r="V73" i="1"/>
  <c r="U199" i="1"/>
  <c r="U58" i="1"/>
  <c r="T334" i="1"/>
  <c r="T173" i="1"/>
  <c r="V262" i="1"/>
  <c r="U70" i="1"/>
  <c r="V249" i="1"/>
  <c r="T358" i="1"/>
  <c r="T233" i="1"/>
  <c r="V218" i="1"/>
  <c r="U364" i="1"/>
  <c r="V349" i="1"/>
  <c r="U297" i="1"/>
  <c r="V330" i="1"/>
  <c r="U195" i="1"/>
  <c r="U140" i="1"/>
  <c r="V178" i="1"/>
  <c r="T129" i="1"/>
  <c r="V199" i="1"/>
  <c r="U75" i="1"/>
  <c r="U212" i="1"/>
  <c r="T390" i="1"/>
  <c r="T304" i="1"/>
  <c r="T238" i="1"/>
  <c r="V305" i="1"/>
  <c r="T70" i="1"/>
  <c r="U217" i="1"/>
  <c r="T186" i="1"/>
  <c r="T364" i="1"/>
  <c r="T373" i="1"/>
  <c r="U330" i="1"/>
  <c r="T246" i="1"/>
  <c r="V195" i="1"/>
  <c r="V297" i="1"/>
  <c r="V346" i="1"/>
  <c r="T243" i="1"/>
  <c r="U198" i="1"/>
  <c r="V345" i="1"/>
  <c r="V142" i="1"/>
  <c r="U321" i="1"/>
  <c r="U298" i="1"/>
  <c r="V298" i="1"/>
  <c r="T161" i="1"/>
  <c r="U148" i="1"/>
  <c r="V246" i="1"/>
  <c r="V334" i="1"/>
  <c r="T236" i="1"/>
  <c r="T193" i="1"/>
  <c r="V279" i="1"/>
  <c r="V240" i="1"/>
  <c r="V336" i="1"/>
  <c r="V107" i="1"/>
  <c r="U107" i="1"/>
  <c r="V307" i="1"/>
  <c r="T354" i="1"/>
  <c r="V354" i="1"/>
  <c r="T322" i="1"/>
  <c r="T47" i="1"/>
  <c r="U318" i="1"/>
  <c r="U346" i="1"/>
  <c r="T349" i="1"/>
  <c r="V74" i="1"/>
  <c r="U307" i="1"/>
  <c r="V193" i="1"/>
  <c r="T26" i="1"/>
  <c r="V373" i="1"/>
  <c r="V76" i="1"/>
  <c r="U260" i="1"/>
  <c r="V129" i="1"/>
  <c r="V260" i="1"/>
  <c r="T198" i="1"/>
  <c r="U383" i="1"/>
  <c r="V383" i="1"/>
  <c r="V203" i="1"/>
  <c r="U142" i="1"/>
  <c r="V140" i="1"/>
  <c r="U371" i="1"/>
  <c r="U336" i="1"/>
  <c r="U342" i="1"/>
  <c r="T148" i="1"/>
  <c r="T128" i="1"/>
  <c r="U87" i="1"/>
  <c r="T58" i="1"/>
  <c r="T392" i="1"/>
  <c r="U233" i="1"/>
  <c r="V277" i="1"/>
  <c r="V34" i="1"/>
  <c r="U47" i="1"/>
  <c r="U186" i="1"/>
  <c r="V172" i="1"/>
  <c r="U328" i="1"/>
  <c r="T318" i="1"/>
  <c r="V217" i="1"/>
  <c r="T75" i="1"/>
  <c r="V390" i="1"/>
  <c r="T212" i="1"/>
  <c r="V157" i="1"/>
  <c r="U157" i="1"/>
  <c r="U169" i="1"/>
  <c r="T169" i="1"/>
  <c r="U261" i="1"/>
  <c r="T261" i="1"/>
  <c r="U389" i="1"/>
  <c r="T210" i="1"/>
  <c r="T110" i="1"/>
  <c r="U362" i="1"/>
  <c r="V169" i="1"/>
  <c r="V189" i="1"/>
  <c r="U189" i="1"/>
  <c r="V27" i="1"/>
  <c r="U27" i="1"/>
  <c r="T27" i="1"/>
  <c r="V258" i="1"/>
  <c r="U258" i="1"/>
  <c r="V31" i="1"/>
  <c r="T31" i="1"/>
  <c r="V201" i="1"/>
  <c r="T201" i="1"/>
  <c r="U213" i="1"/>
  <c r="V337" i="1"/>
  <c r="T360" i="1"/>
  <c r="T42" i="1"/>
  <c r="T341" i="1"/>
  <c r="V146" i="1"/>
  <c r="U343" i="1"/>
  <c r="U106" i="1"/>
  <c r="U378" i="1"/>
  <c r="V385" i="1"/>
  <c r="U250" i="1"/>
  <c r="U85" i="1"/>
  <c r="V21" i="1"/>
  <c r="U21" i="1"/>
  <c r="V301" i="1"/>
  <c r="U301" i="1"/>
  <c r="T301" i="1"/>
  <c r="U63" i="1"/>
  <c r="T63" i="1"/>
  <c r="V125" i="1"/>
  <c r="U125" i="1"/>
  <c r="U256" i="1"/>
  <c r="T256" i="1"/>
  <c r="T137" i="1"/>
  <c r="V137" i="1"/>
  <c r="T267" i="1"/>
  <c r="U314" i="1"/>
  <c r="V213" i="1"/>
  <c r="V386" i="1"/>
  <c r="V378" i="1"/>
  <c r="V343" i="1"/>
  <c r="T78" i="1"/>
  <c r="V59" i="1"/>
  <c r="U385" i="1"/>
  <c r="U201" i="1"/>
  <c r="V268" i="1"/>
  <c r="U268" i="1"/>
  <c r="T332" i="1"/>
  <c r="V332" i="1"/>
  <c r="U130" i="1"/>
  <c r="T130" i="1"/>
  <c r="V133" i="1"/>
  <c r="U133" i="1"/>
  <c r="U302" i="1"/>
  <c r="V302" i="1"/>
  <c r="V46" i="1"/>
  <c r="U360" i="1"/>
  <c r="V110" i="1"/>
  <c r="T136" i="1"/>
  <c r="T386" i="1"/>
  <c r="U117" i="1"/>
  <c r="U210" i="1"/>
  <c r="V362" i="1"/>
  <c r="T361" i="1"/>
  <c r="V261" i="1"/>
  <c r="U214" i="1"/>
  <c r="V214" i="1"/>
  <c r="V388" i="1"/>
  <c r="U388" i="1"/>
  <c r="V55" i="1"/>
  <c r="U55" i="1"/>
  <c r="T55" i="1"/>
  <c r="T379" i="1"/>
  <c r="V379" i="1"/>
  <c r="T310" i="1"/>
  <c r="U310" i="1"/>
  <c r="V99" i="1"/>
  <c r="U99" i="1"/>
  <c r="U96" i="1"/>
  <c r="T96" i="1"/>
  <c r="U266" i="1"/>
  <c r="V341" i="1"/>
  <c r="T106" i="1"/>
  <c r="V267" i="1"/>
  <c r="V295" i="1"/>
  <c r="U337" i="1"/>
  <c r="V85" i="1"/>
  <c r="T317" i="1"/>
  <c r="V324" i="1"/>
  <c r="U324" i="1"/>
  <c r="V315" i="1"/>
  <c r="U315" i="1"/>
  <c r="V192" i="1"/>
  <c r="T192" i="1"/>
  <c r="U192" i="1"/>
  <c r="V292" i="1"/>
  <c r="U292" i="1"/>
  <c r="U104" i="1"/>
  <c r="V104" i="1"/>
  <c r="T245" i="1"/>
  <c r="U245" i="1"/>
  <c r="V314" i="1"/>
  <c r="V266" i="1"/>
  <c r="U136" i="1"/>
  <c r="V250" i="1"/>
  <c r="V361" i="1"/>
  <c r="T59" i="1"/>
  <c r="U206" i="1"/>
  <c r="V206" i="1"/>
  <c r="U270" i="1"/>
  <c r="T270" i="1"/>
  <c r="U251" i="1"/>
  <c r="V251" i="1"/>
  <c r="U182" i="1"/>
  <c r="V182" i="1"/>
  <c r="T228" i="1"/>
  <c r="U228" i="1"/>
  <c r="T338" i="1"/>
  <c r="U338" i="1"/>
  <c r="V338" i="1"/>
  <c r="V19" i="1"/>
  <c r="U19" i="1"/>
  <c r="V389" i="1"/>
  <c r="V42" i="1"/>
  <c r="U137" i="1"/>
  <c r="U295" i="1"/>
  <c r="V117" i="1"/>
  <c r="U375" i="1"/>
  <c r="T375" i="1"/>
  <c r="T32" i="1"/>
  <c r="V32" i="1"/>
  <c r="T285" i="1"/>
  <c r="U285" i="1"/>
  <c r="U127" i="1"/>
  <c r="V127" i="1"/>
  <c r="T127" i="1"/>
  <c r="B31" i="1" l="1"/>
  <c r="H31" i="1"/>
  <c r="B35" i="1"/>
  <c r="H35" i="1"/>
  <c r="H27" i="1"/>
  <c r="H38" i="1"/>
  <c r="H32" i="1"/>
  <c r="B27" i="1"/>
  <c r="B32" i="1"/>
  <c r="B38" i="1"/>
  <c r="H26" i="1"/>
  <c r="B34" i="1"/>
  <c r="G34" i="1"/>
  <c r="G37" i="1"/>
  <c r="H37" i="1"/>
  <c r="G26" i="1"/>
  <c r="H36" i="1"/>
  <c r="B36" i="1"/>
  <c r="G36" i="1"/>
  <c r="H29" i="1"/>
  <c r="G29" i="1"/>
  <c r="B29" i="1"/>
  <c r="G28" i="1"/>
  <c r="B28" i="1"/>
  <c r="H28" i="1"/>
  <c r="H33" i="1"/>
  <c r="G33" i="1"/>
  <c r="B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<sst xmlns="http://schemas.openxmlformats.org/spreadsheetml/2006/main" count="399" uniqueCount="224">
  <si>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</si>
  <si>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</si>
  <si>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</si>
  <si>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</si>
  <si>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</si>
  <si>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</si>
  <si>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</si>
  <si>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</si>
  <si>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</si>
  <si>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</si>
  <si>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</si>
  <si>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</si>
  <si>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</si>
  <si>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</si>
  <si>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</si>
  <si>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</si>
  <si>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</si>
  <si>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</si>
  <si>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</si>
  <si>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</si>
  <si>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</si>
  <si>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</si>
  <si>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</si>
  <si>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</si>
  <si>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</si>
  <si>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</si>
  <si>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</si>
  <si>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HWEON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</si>
  <si>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</si>
  <si>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</si>
  <si>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</si>
  <si>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</si>
  <si>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</si>
  <si>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</si>
  <si>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</si>
  <si>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</si>
  <si>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</si>
  <si>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</si>
  <si>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</si>
  <si>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</si>
  <si>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</si>
  <si>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</si>
  <si>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</si>
  <si>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</si>
  <si>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</si>
  <si>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</si>
  <si>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</si>
  <si>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</si>
  <si>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</si>
  <si>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</si>
  <si>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</si>
  <si>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</si>
  <si>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</si>
  <si>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</si>
  <si>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</si>
  <si>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</si>
  <si>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</si>
  <si>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</si>
  <si>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</si>
  <si>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Green manure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</si>
  <si>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</si>
  <si>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</si>
  <si>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</si>
  <si>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</si>
  <si>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</si>
  <si>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</si>
  <si>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</si>
  <si>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</si>
  <si>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</si>
  <si>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</si>
  <si>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</si>
  <si>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</si>
  <si>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</si>
  <si>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</si>
  <si>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</si>
  <si>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</si>
  <si>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</si>
  <si>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</si>
  <si>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</si>
  <si>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</si>
  <si>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</si>
  <si>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</si>
  <si>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</si>
  <si>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</si>
  <si>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</si>
  <si>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</si>
  <si>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</si>
  <si>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</si>
  <si>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</si>
  <si>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</si>
  <si>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</si>
  <si>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</si>
  <si>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</si>
  <si>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</si>
  <si>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</si>
  <si>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</si>
  <si>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</si>
  <si>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</si>
  <si>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</si>
  <si>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</si>
  <si>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</si>
  <si>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</si>
  <si>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</si>
  <si>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</si>
  <si>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</si>
  <si>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</si>
  <si>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</si>
  <si>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</si>
  <si>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</si>
  <si>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</si>
  <si>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</si>
  <si>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</si>
  <si>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</si>
  <si>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</si>
  <si>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</si>
  <si>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</si>
  <si>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</si>
  <si>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</si>
  <si>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</si>
  <si>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</si>
  <si>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</si>
  <si>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</si>
  <si>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</si>
  <si>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</si>
  <si>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</si>
  <si>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</si>
  <si>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</si>
  <si>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</si>
  <si>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</si>
  <si>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</si>
  <si>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</si>
  <si>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</si>
  <si>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</si>
  <si>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</si>
  <si>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</si>
  <si>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</si>
  <si>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</si>
  <si>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</si>
  <si>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</si>
  <si>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</si>
  <si>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</si>
  <si>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</si>
  <si>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</si>
  <si>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</si>
  <si>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</si>
  <si>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</si>
  <si>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</si>
  <si>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</si>
  <si>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</si>
  <si>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</si>
  <si>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</si>
  <si>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</si>
  <si>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</si>
  <si>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</si>
  <si>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</si>
  <si>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</si>
  <si>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</si>
  <si>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</si>
  <si>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</si>
  <si>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</si>
  <si>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</si>
  <si>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</si>
  <si>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</si>
  <si>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</si>
  <si>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</si>
  <si>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</si>
  <si>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</si>
  <si>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</si>
  <si>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</si>
  <si>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</si>
  <si>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N fertiliser required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</si>
  <si>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</si>
  <si>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</si>
  <si>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</si>
  <si>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</si>
  <si>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</si>
  <si>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</si>
  <si>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</si>
  <si>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</si>
  <si>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</si>
  <si>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</si>
  <si>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</si>
  <si>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</si>
  <si>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</si>
  <si>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</si>
  <si>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</si>
  <si>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</si>
  <si>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</si>
  <si>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</si>
  <si>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</si>
  <si>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</si>
  <si>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</si>
  <si>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</si>
  <si>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</si>
  <si>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Date for current crop graph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</si>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</sst>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5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10" xfId="0" applyFill="1" applyBorder="1"/>
    <xf numFmtId="0" fontId="0" fillId="7" borderId="13" xfId="0" applyFill="1" applyBorder="1"/>
    <xf numFmtId="0" fontId="0" fillId="7" borderId="15" xfId="0" applyFill="1" applyBorder="1"/>
    <xf numFmtId="0" fontId="0" fillId="8" borderId="10" xfId="0" applyFill="1" applyBorder="1"/>
    <xf numFmtId="0" fontId="0" fillId="8" borderId="13" xfId="0" applyFill="1" applyBorder="1"/>
    <xf numFmtId="0" fontId="0" fillId="8" borderId="14" xfId="0" applyFill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4" xfId="0" applyFill="1" applyBorder="1"/>
    <xf numFmtId="16" fontId="0" fillId="9" borderId="13" xfId="0" applyNumberFormat="1" applyFill="1" applyBorder="1"/>
    <xf numFmtId="0" fontId="0" fillId="9" borderId="15" xfId="0" applyFill="1" applyBorder="1"/>
    <xf numFmtId="0" fontId="0" fillId="9" borderId="16" xfId="0" applyFill="1" applyBorder="1"/>
    <xf numFmtId="0" fontId="0" fillId="0" borderId="20" xfId="0" applyBorder="1" applyAlignment="1">
      <alignment horizontal="right" wrapText="1"/>
    </xf>
    <xf numFmtId="0" fontId="0" fillId="0" borderId="20" xfId="0" applyBorder="1"/>
    <xf numFmtId="0" fontId="0" fillId="0" borderId="20" xfId="0" applyFont="1" applyBorder="1" applyAlignment="1">
      <alignment horizontal="right" wrapText="1"/>
    </xf>
    <xf numFmtId="0" fontId="0" fillId="0" borderId="11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1" xfId="0" applyNumberFormat="1" applyBorder="1"/>
    <xf numFmtId="0" fontId="0" fillId="0" borderId="21" xfId="0" applyBorder="1"/>
    <xf numFmtId="1" fontId="0" fillId="0" borderId="21" xfId="1" applyNumberFormat="1" applyFont="1" applyBorder="1" applyAlignment="1"/>
    <xf numFmtId="1" fontId="0" fillId="0" borderId="16" xfId="0" applyNumberFormat="1" applyBorder="1"/>
    <xf numFmtId="16" fontId="0" fillId="0" borderId="0" xfId="0" applyNumberFormat="1" applyBorder="1"/>
    <xf numFmtId="16" fontId="0" fillId="0" borderId="21" xfId="0" applyNumberFormat="1" applyBorder="1"/>
    <xf numFmtId="0" fontId="2" fillId="0" borderId="10" xfId="0" applyFont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14" fontId="0" fillId="7" borderId="18" xfId="0" applyNumberFormat="1" applyFill="1" applyBorder="1"/>
    <xf numFmtId="16" fontId="0" fillId="9" borderId="15" xfId="0" applyNumberFormat="1" applyFill="1" applyBorder="1"/>
    <xf numFmtId="14" fontId="0" fillId="0" borderId="14" xfId="0" applyNumberFormat="1" applyBorder="1"/>
    <xf numFmtId="16" fontId="0" fillId="9" borderId="10" xfId="0" applyNumberFormat="1" applyFill="1" applyBorder="1"/>
    <xf numFmtId="0" fontId="0" fillId="9" borderId="11" xfId="0" applyFill="1" applyBorder="1"/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0" borderId="0" xfId="0" applyNumberFormat="1"/>
    <xf numFmtId="0" fontId="2" fillId="0" borderId="17" xfId="0" applyFont="1" applyBorder="1"/>
    <xf numFmtId="0" fontId="0" fillId="0" borderId="18" xfId="0" applyBorder="1"/>
    <xf numFmtId="0" fontId="0" fillId="0" borderId="19" xfId="0" applyBorder="1"/>
    <xf numFmtId="0" fontId="2" fillId="0" borderId="17" xfId="0" quotePrefix="1" applyFont="1" applyBorder="1"/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0" fillId="0" borderId="13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2" fillId="0" borderId="20" xfId="0" applyFont="1" applyBorder="1"/>
    <xf numFmtId="0" fontId="2" fillId="0" borderId="11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10" xfId="0" applyFill="1" applyBorder="1" applyProtection="1"/>
    <xf numFmtId="0" fontId="0" fillId="8" borderId="11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2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6" xfId="0" applyNumberFormat="1" applyFill="1" applyBorder="1" applyAlignment="1" applyProtection="1">
      <alignment horizontal="right" vertical="center"/>
    </xf>
    <xf numFmtId="14" fontId="0" fillId="3" borderId="8" xfId="0" applyNumberFormat="1" applyFill="1" applyBorder="1" applyAlignment="1" applyProtection="1">
      <alignment horizontal="right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14" fontId="0" fillId="5" borderId="4" xfId="0" applyNumberFormat="1" applyFill="1" applyBorder="1" applyAlignment="1" applyProtection="1">
      <alignment horizontal="right"/>
      <protection locked="0"/>
    </xf>
    <xf numFmtId="14" fontId="0" fillId="5" borderId="6" xfId="0" applyNumberFormat="1" applyFill="1" applyBorder="1" applyAlignment="1" applyProtection="1">
      <alignment horizontal="right"/>
      <protection locked="0"/>
    </xf>
    <xf numFmtId="14" fontId="0" fillId="5" borderId="8" xfId="0" applyNumberFormat="1" applyFill="1" applyBorder="1" applyAlignment="1" applyProtection="1">
      <alignment horizontal="right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5" borderId="9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2" xfId="0" applyFill="1" applyBorder="1" applyAlignment="1" applyProtection="1">
      <alignment horizontal="left" vertical="center"/>
      <protection locked="0"/>
    </xf>
    <xf numFmtId="0" fontId="0" fillId="10" borderId="22" xfId="0" applyFill="1" applyBorder="1" applyAlignment="1" applyProtection="1">
      <alignment horizontal="left" vertical="center"/>
    </xf>
    <xf numFmtId="3" fontId="0" fillId="5" borderId="22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10" xfId="0" applyFill="1" applyBorder="1"/>
    <xf numFmtId="0" fontId="0" fillId="12" borderId="11" xfId="0" applyFill="1" applyBorder="1"/>
    <xf numFmtId="16" fontId="0" fillId="12" borderId="13" xfId="0" applyNumberFormat="1" applyFill="1" applyBorder="1"/>
    <xf numFmtId="0" fontId="0" fillId="12" borderId="14" xfId="0" applyFill="1" applyBorder="1"/>
    <xf numFmtId="16" fontId="0" fillId="12" borderId="15" xfId="0" applyNumberFormat="1" applyFill="1" applyBorder="1"/>
    <xf numFmtId="0" fontId="0" fillId="12" borderId="16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4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2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30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2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9" xfId="0" applyFont="1" applyFill="1" applyBorder="1" applyAlignment="1" applyProtection="1">
      <alignment horizontal="right"/>
    </xf>
    <xf numFmtId="1" fontId="8" fillId="6" borderId="29" xfId="0" applyNumberFormat="1" applyFont="1" applyFill="1" applyBorder="1" applyAlignment="1" applyProtection="1">
      <alignment horizontal="center"/>
    </xf>
    <xf numFmtId="0" fontId="0" fillId="6" borderId="29" xfId="0" applyFill="1" applyBorder="1" applyAlignment="1" applyProtection="1">
      <alignment horizontal="center"/>
    </xf>
    <xf numFmtId="16" fontId="0" fillId="3" borderId="12" xfId="0" applyNumberFormat="1" applyFill="1" applyBorder="1" applyProtection="1"/>
    <xf numFmtId="0" fontId="0" fillId="3" borderId="12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7" xfId="0" applyBorder="1"/>
    <xf numFmtId="0" fontId="0" fillId="5" borderId="3" xfId="0" applyFill="1" applyBorder="1" applyProtection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20" xfId="0" applyFill="1" applyBorder="1"/>
    <xf numFmtId="0" fontId="0" fillId="12" borderId="21" xfId="0" applyFill="1" applyBorder="1"/>
    <xf numFmtId="0" fontId="0" fillId="3" borderId="0" xfId="0" applyFill="1" applyAlignment="1" applyProtection="1">
      <alignment horizontal="center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0" fillId="2" borderId="33" xfId="0" applyFill="1" applyBorder="1" applyAlignment="1" applyProtection="1">
      <alignment horizontal="center" vertical="center" wrapText="1"/>
    </xf>
    <xf numFmtId="0" fontId="2" fillId="4" borderId="29" xfId="0" applyFont="1" applyFill="1" applyBorder="1" applyAlignment="1" applyProtection="1">
      <alignment horizontal="center"/>
    </xf>
    <xf numFmtId="0" fontId="2" fillId="4" borderId="32" xfId="0" applyFon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1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58.820025279406217</c:v>
                </c:pt>
                <c:pt idx="1">
                  <c:v>30.168451112857724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7.9186284064841031E-2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44.748664772727174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24.799999999999994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43.853761655964021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128.56273716235631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0.26292640502018116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  <c:pt idx="32">
                  <c:v>45002</c:v>
                </c:pt>
                <c:pt idx="33">
                  <c:v>45003</c:v>
                </c:pt>
                <c:pt idx="34">
                  <c:v>45004</c:v>
                </c:pt>
                <c:pt idx="35">
                  <c:v>45005</c:v>
                </c:pt>
                <c:pt idx="36">
                  <c:v>45006</c:v>
                </c:pt>
                <c:pt idx="37">
                  <c:v>45007</c:v>
                </c:pt>
                <c:pt idx="38">
                  <c:v>45008</c:v>
                </c:pt>
                <c:pt idx="39">
                  <c:v>45009</c:v>
                </c:pt>
                <c:pt idx="40">
                  <c:v>45010</c:v>
                </c:pt>
                <c:pt idx="41">
                  <c:v>45011</c:v>
                </c:pt>
                <c:pt idx="42">
                  <c:v>45012</c:v>
                </c:pt>
                <c:pt idx="43">
                  <c:v>45013</c:v>
                </c:pt>
                <c:pt idx="44">
                  <c:v>45014</c:v>
                </c:pt>
                <c:pt idx="45">
                  <c:v>45015</c:v>
                </c:pt>
                <c:pt idx="46">
                  <c:v>45016</c:v>
                </c:pt>
                <c:pt idx="47">
                  <c:v>45017</c:v>
                </c:pt>
                <c:pt idx="48">
                  <c:v>45018</c:v>
                </c:pt>
                <c:pt idx="49">
                  <c:v>45019</c:v>
                </c:pt>
                <c:pt idx="50">
                  <c:v>45020</c:v>
                </c:pt>
                <c:pt idx="51">
                  <c:v>45021</c:v>
                </c:pt>
                <c:pt idx="52">
                  <c:v>45022</c:v>
                </c:pt>
                <c:pt idx="53">
                  <c:v>45023</c:v>
                </c:pt>
                <c:pt idx="54">
                  <c:v>45024</c:v>
                </c:pt>
                <c:pt idx="55">
                  <c:v>45025</c:v>
                </c:pt>
                <c:pt idx="56">
                  <c:v>45026</c:v>
                </c:pt>
                <c:pt idx="57">
                  <c:v>45027</c:v>
                </c:pt>
                <c:pt idx="58">
                  <c:v>45028</c:v>
                </c:pt>
                <c:pt idx="59">
                  <c:v>45029</c:v>
                </c:pt>
                <c:pt idx="60">
                  <c:v>45030</c:v>
                </c:pt>
                <c:pt idx="61">
                  <c:v>45031</c:v>
                </c:pt>
                <c:pt idx="62">
                  <c:v>45032</c:v>
                </c:pt>
                <c:pt idx="63">
                  <c:v>45033</c:v>
                </c:pt>
                <c:pt idx="64">
                  <c:v>45034</c:v>
                </c:pt>
                <c:pt idx="65">
                  <c:v>45035</c:v>
                </c:pt>
                <c:pt idx="66">
                  <c:v>45036</c:v>
                </c:pt>
                <c:pt idx="67">
                  <c:v>45037</c:v>
                </c:pt>
                <c:pt idx="68">
                  <c:v>45038</c:v>
                </c:pt>
                <c:pt idx="69">
                  <c:v>45039</c:v>
                </c:pt>
                <c:pt idx="70">
                  <c:v>45040</c:v>
                </c:pt>
                <c:pt idx="71">
                  <c:v>45041</c:v>
                </c:pt>
                <c:pt idx="72">
                  <c:v>45042</c:v>
                </c:pt>
                <c:pt idx="73">
                  <c:v>45043</c:v>
                </c:pt>
                <c:pt idx="74">
                  <c:v>45044</c:v>
                </c:pt>
                <c:pt idx="75">
                  <c:v>45045</c:v>
                </c:pt>
                <c:pt idx="76">
                  <c:v>45046</c:v>
                </c:pt>
                <c:pt idx="77">
                  <c:v>45047</c:v>
                </c:pt>
                <c:pt idx="78">
                  <c:v>45048</c:v>
                </c:pt>
                <c:pt idx="79">
                  <c:v>45049</c:v>
                </c:pt>
                <c:pt idx="80">
                  <c:v>45050</c:v>
                </c:pt>
                <c:pt idx="81">
                  <c:v>45051</c:v>
                </c:pt>
                <c:pt idx="82">
                  <c:v>45052</c:v>
                </c:pt>
                <c:pt idx="83">
                  <c:v>45053</c:v>
                </c:pt>
                <c:pt idx="84">
                  <c:v>45054</c:v>
                </c:pt>
                <c:pt idx="85">
                  <c:v>45055</c:v>
                </c:pt>
                <c:pt idx="86">
                  <c:v>45056</c:v>
                </c:pt>
                <c:pt idx="87">
                  <c:v>45057</c:v>
                </c:pt>
                <c:pt idx="88">
                  <c:v>45058</c:v>
                </c:pt>
                <c:pt idx="89">
                  <c:v>45059</c:v>
                </c:pt>
                <c:pt idx="90">
                  <c:v>45060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45066</c:v>
                </c:pt>
                <c:pt idx="97">
                  <c:v>45067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45073</c:v>
                </c:pt>
                <c:pt idx="104">
                  <c:v>45074</c:v>
                </c:pt>
                <c:pt idx="105">
                  <c:v>45075</c:v>
                </c:pt>
                <c:pt idx="106">
                  <c:v>45076</c:v>
                </c:pt>
                <c:pt idx="107">
                  <c:v>45077</c:v>
                </c:pt>
                <c:pt idx="108">
                  <c:v>45078</c:v>
                </c:pt>
                <c:pt idx="109">
                  <c:v>45079</c:v>
                </c:pt>
                <c:pt idx="110">
                  <c:v>45080</c:v>
                </c:pt>
                <c:pt idx="111">
                  <c:v>45081</c:v>
                </c:pt>
                <c:pt idx="112">
                  <c:v>45082</c:v>
                </c:pt>
                <c:pt idx="113">
                  <c:v>45083</c:v>
                </c:pt>
                <c:pt idx="114">
                  <c:v>45084</c:v>
                </c:pt>
                <c:pt idx="115">
                  <c:v>45085</c:v>
                </c:pt>
                <c:pt idx="116">
                  <c:v>45086</c:v>
                </c:pt>
                <c:pt idx="117">
                  <c:v>45087</c:v>
                </c:pt>
                <c:pt idx="118">
                  <c:v>45088</c:v>
                </c:pt>
                <c:pt idx="119">
                  <c:v>45089</c:v>
                </c:pt>
                <c:pt idx="120">
                  <c:v>45090</c:v>
                </c:pt>
                <c:pt idx="121">
                  <c:v>45091</c:v>
                </c:pt>
                <c:pt idx="122">
                  <c:v>45092</c:v>
                </c:pt>
                <c:pt idx="123">
                  <c:v>45093</c:v>
                </c:pt>
                <c:pt idx="124">
                  <c:v>45094</c:v>
                </c:pt>
                <c:pt idx="125">
                  <c:v>45095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5.8525136439330003</c:v>
                </c:pt>
                <c:pt idx="1">
                  <c:v>6.1154400489536602</c:v>
                </c:pt>
                <c:pt idx="2">
                  <c:v>6.3823633315069896</c:v>
                </c:pt>
                <c:pt idx="3">
                  <c:v>6.6561872109164497</c:v>
                </c:pt>
                <c:pt idx="4">
                  <c:v>6.9468547700113898</c:v>
                </c:pt>
                <c:pt idx="5">
                  <c:v>7.25536746174076</c:v>
                </c:pt>
                <c:pt idx="6">
                  <c:v>7.58426613968716</c:v>
                </c:pt>
                <c:pt idx="7">
                  <c:v>7.9327086819732404</c:v>
                </c:pt>
                <c:pt idx="8">
                  <c:v>8.2918788382152506</c:v>
                </c:pt>
                <c:pt idx="9">
                  <c:v>8.6661727505606603</c:v>
                </c:pt>
                <c:pt idx="10">
                  <c:v>9.0322701604247193</c:v>
                </c:pt>
                <c:pt idx="11">
                  <c:v>9.3958421699187298</c:v>
                </c:pt>
                <c:pt idx="12">
                  <c:v>9.7860787295630693</c:v>
                </c:pt>
                <c:pt idx="13">
                  <c:v>10.179168859379001</c:v>
                </c:pt>
                <c:pt idx="14">
                  <c:v>10.5844268813097</c:v>
                </c:pt>
                <c:pt idx="15">
                  <c:v>11.0226522890804</c:v>
                </c:pt>
                <c:pt idx="16">
                  <c:v>11.4678321330712</c:v>
                </c:pt>
                <c:pt idx="17">
                  <c:v>11.9280980873323</c:v>
                </c:pt>
                <c:pt idx="18">
                  <c:v>12.4108380740426</c:v>
                </c:pt>
                <c:pt idx="19">
                  <c:v>12.897924192313599</c:v>
                </c:pt>
                <c:pt idx="20">
                  <c:v>13.413405536224801</c:v>
                </c:pt>
                <c:pt idx="21">
                  <c:v>13.9329468052025</c:v>
                </c:pt>
                <c:pt idx="22">
                  <c:v>14.464598793067999</c:v>
                </c:pt>
                <c:pt idx="23">
                  <c:v>15.017371266876101</c:v>
                </c:pt>
                <c:pt idx="24">
                  <c:v>15.5820164592191</c:v>
                </c:pt>
                <c:pt idx="25">
                  <c:v>16.183294149611999</c:v>
                </c:pt>
                <c:pt idx="26">
                  <c:v>16.792788535406501</c:v>
                </c:pt>
                <c:pt idx="27">
                  <c:v>17.4293112918627</c:v>
                </c:pt>
                <c:pt idx="28">
                  <c:v>18.044406033828501</c:v>
                </c:pt>
                <c:pt idx="29">
                  <c:v>18.701260604645999</c:v>
                </c:pt>
                <c:pt idx="30">
                  <c:v>19.4299351096533</c:v>
                </c:pt>
                <c:pt idx="31">
                  <c:v>20.2213139744808</c:v>
                </c:pt>
                <c:pt idx="32">
                  <c:v>20.9642619519135</c:v>
                </c:pt>
                <c:pt idx="33">
                  <c:v>21.697524714443102</c:v>
                </c:pt>
                <c:pt idx="34">
                  <c:v>22.478422070479901</c:v>
                </c:pt>
                <c:pt idx="35">
                  <c:v>23.3036980384007</c:v>
                </c:pt>
                <c:pt idx="36">
                  <c:v>24.1710034808135</c:v>
                </c:pt>
                <c:pt idx="37">
                  <c:v>25.078613699132699</c:v>
                </c:pt>
                <c:pt idx="38">
                  <c:v>26.024131967404202</c:v>
                </c:pt>
                <c:pt idx="39">
                  <c:v>26.968665947490301</c:v>
                </c:pt>
                <c:pt idx="40">
                  <c:v>27.9830632857458</c:v>
                </c:pt>
                <c:pt idx="41">
                  <c:v>29.041198989192999</c:v>
                </c:pt>
                <c:pt idx="42">
                  <c:v>30.153059516614501</c:v>
                </c:pt>
                <c:pt idx="43">
                  <c:v>31.213915370336899</c:v>
                </c:pt>
                <c:pt idx="44">
                  <c:v>32.337061547073901</c:v>
                </c:pt>
                <c:pt idx="45">
                  <c:v>33.511933559365701</c:v>
                </c:pt>
                <c:pt idx="46">
                  <c:v>34.685944521641197</c:v>
                </c:pt>
                <c:pt idx="47">
                  <c:v>35.876722397879497</c:v>
                </c:pt>
                <c:pt idx="48">
                  <c:v>37.0588040135016</c:v>
                </c:pt>
                <c:pt idx="49">
                  <c:v>38.352366562596103</c:v>
                </c:pt>
                <c:pt idx="50">
                  <c:v>39.663087886865199</c:v>
                </c:pt>
                <c:pt idx="51">
                  <c:v>40.909434870954598</c:v>
                </c:pt>
                <c:pt idx="52">
                  <c:v>42.1429344724408</c:v>
                </c:pt>
                <c:pt idx="53">
                  <c:v>43.3158493877187</c:v>
                </c:pt>
                <c:pt idx="54">
                  <c:v>44.571737687047403</c:v>
                </c:pt>
                <c:pt idx="55">
                  <c:v>45.908273272207403</c:v>
                </c:pt>
                <c:pt idx="56">
                  <c:v>47.291018220571601</c:v>
                </c:pt>
                <c:pt idx="57">
                  <c:v>48.681891578246798</c:v>
                </c:pt>
                <c:pt idx="58">
                  <c:v>50.195520168812898</c:v>
                </c:pt>
                <c:pt idx="59">
                  <c:v>51.696050738528299</c:v>
                </c:pt>
                <c:pt idx="60">
                  <c:v>53.108409193858101</c:v>
                </c:pt>
                <c:pt idx="61">
                  <c:v>54.580948627062199</c:v>
                </c:pt>
                <c:pt idx="62">
                  <c:v>56.1010859052816</c:v>
                </c:pt>
                <c:pt idx="63">
                  <c:v>57.622588707452401</c:v>
                </c:pt>
                <c:pt idx="64">
                  <c:v>59.180583315803602</c:v>
                </c:pt>
                <c:pt idx="65">
                  <c:v>60.6840969534436</c:v>
                </c:pt>
                <c:pt idx="66">
                  <c:v>62.376835583235199</c:v>
                </c:pt>
                <c:pt idx="67">
                  <c:v>64.103191153679006</c:v>
                </c:pt>
                <c:pt idx="68">
                  <c:v>65.780083816690393</c:v>
                </c:pt>
                <c:pt idx="69">
                  <c:v>67.5290507702897</c:v>
                </c:pt>
                <c:pt idx="70">
                  <c:v>69.428923495122106</c:v>
                </c:pt>
                <c:pt idx="71">
                  <c:v>71.313263100482203</c:v>
                </c:pt>
                <c:pt idx="72">
                  <c:v>73.168878938492796</c:v>
                </c:pt>
                <c:pt idx="73">
                  <c:v>75.176277279926694</c:v>
                </c:pt>
                <c:pt idx="74">
                  <c:v>77.124019349311695</c:v>
                </c:pt>
                <c:pt idx="75">
                  <c:v>79.066871282674597</c:v>
                </c:pt>
                <c:pt idx="76">
                  <c:v>81.014162909096996</c:v>
                </c:pt>
                <c:pt idx="77">
                  <c:v>82.735064505731899</c:v>
                </c:pt>
                <c:pt idx="78">
                  <c:v>84.474807483536495</c:v>
                </c:pt>
                <c:pt idx="79">
                  <c:v>86.422010940017799</c:v>
                </c:pt>
                <c:pt idx="80">
                  <c:v>88.404209180435004</c:v>
                </c:pt>
                <c:pt idx="81">
                  <c:v>90.483545321139005</c:v>
                </c:pt>
                <c:pt idx="82">
                  <c:v>92.5413968267992</c:v>
                </c:pt>
                <c:pt idx="83">
                  <c:v>94.532499414568804</c:v>
                </c:pt>
                <c:pt idx="84">
                  <c:v>96.566859311311305</c:v>
                </c:pt>
                <c:pt idx="85">
                  <c:v>98.835440011916504</c:v>
                </c:pt>
                <c:pt idx="86">
                  <c:v>101.07351239702</c:v>
                </c:pt>
                <c:pt idx="87">
                  <c:v>103.231334107086</c:v>
                </c:pt>
                <c:pt idx="88">
                  <c:v>105.490235699857</c:v>
                </c:pt>
                <c:pt idx="89">
                  <c:v>107.658143147472</c:v>
                </c:pt>
                <c:pt idx="90">
                  <c:v>109.866028942729</c:v>
                </c:pt>
                <c:pt idx="91">
                  <c:v>112.175355383232</c:v>
                </c:pt>
                <c:pt idx="92">
                  <c:v>114.400691960304</c:v>
                </c:pt>
                <c:pt idx="93">
                  <c:v>116.534201532578</c:v>
                </c:pt>
                <c:pt idx="94">
                  <c:v>118.570447537563</c:v>
                </c:pt>
                <c:pt idx="95">
                  <c:v>120.674931251394</c:v>
                </c:pt>
                <c:pt idx="96">
                  <c:v>122.76769658943</c:v>
                </c:pt>
                <c:pt idx="97">
                  <c:v>124.846067641274</c:v>
                </c:pt>
                <c:pt idx="98">
                  <c:v>126.676641379076</c:v>
                </c:pt>
                <c:pt idx="99">
                  <c:v>128.61821294787001</c:v>
                </c:pt>
                <c:pt idx="100">
                  <c:v>130.61248054811</c:v>
                </c:pt>
                <c:pt idx="101">
                  <c:v>132.57564714132701</c:v>
                </c:pt>
                <c:pt idx="102">
                  <c:v>134.62276832424999</c:v>
                </c:pt>
                <c:pt idx="103">
                  <c:v>136.563863163288</c:v>
                </c:pt>
                <c:pt idx="104">
                  <c:v>138.45873000999799</c:v>
                </c:pt>
                <c:pt idx="105">
                  <c:v>140.45437079681199</c:v>
                </c:pt>
                <c:pt idx="106">
                  <c:v>142.244137755483</c:v>
                </c:pt>
                <c:pt idx="107">
                  <c:v>144.047555423501</c:v>
                </c:pt>
                <c:pt idx="108">
                  <c:v>145.907617163146</c:v>
                </c:pt>
                <c:pt idx="109">
                  <c:v>147.76893461672799</c:v>
                </c:pt>
                <c:pt idx="110">
                  <c:v>149.61464963725101</c:v>
                </c:pt>
                <c:pt idx="111">
                  <c:v>151.658095485487</c:v>
                </c:pt>
                <c:pt idx="112">
                  <c:v>153.653902174178</c:v>
                </c:pt>
                <c:pt idx="113">
                  <c:v>155.62702715603101</c:v>
                </c:pt>
                <c:pt idx="114">
                  <c:v>157.58149430957201</c:v>
                </c:pt>
                <c:pt idx="115">
                  <c:v>159.37199776393101</c:v>
                </c:pt>
                <c:pt idx="116">
                  <c:v>161.14286927873499</c:v>
                </c:pt>
                <c:pt idx="117">
                  <c:v>163.175618731687</c:v>
                </c:pt>
                <c:pt idx="118">
                  <c:v>165.20496822311799</c:v>
                </c:pt>
                <c:pt idx="119">
                  <c:v>167.40608603316099</c:v>
                </c:pt>
                <c:pt idx="120">
                  <c:v>169.35305302621001</c:v>
                </c:pt>
                <c:pt idx="121">
                  <c:v>171.22945102172699</c:v>
                </c:pt>
                <c:pt idx="122">
                  <c:v>172.89757439243701</c:v>
                </c:pt>
                <c:pt idx="123">
                  <c:v>174.76338797816899</c:v>
                </c:pt>
                <c:pt idx="124">
                  <c:v>176.64276476060701</c:v>
                </c:pt>
                <c:pt idx="125">
                  <c:v>178.53193886727399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  <c:pt idx="32">
                  <c:v>45002</c:v>
                </c:pt>
                <c:pt idx="33">
                  <c:v>45003</c:v>
                </c:pt>
                <c:pt idx="34">
                  <c:v>45004</c:v>
                </c:pt>
                <c:pt idx="35">
                  <c:v>45005</c:v>
                </c:pt>
                <c:pt idx="36">
                  <c:v>45006</c:v>
                </c:pt>
                <c:pt idx="37">
                  <c:v>45007</c:v>
                </c:pt>
                <c:pt idx="38">
                  <c:v>45008</c:v>
                </c:pt>
                <c:pt idx="39">
                  <c:v>45009</c:v>
                </c:pt>
                <c:pt idx="40">
                  <c:v>45010</c:v>
                </c:pt>
                <c:pt idx="41">
                  <c:v>45011</c:v>
                </c:pt>
                <c:pt idx="42">
                  <c:v>45012</c:v>
                </c:pt>
                <c:pt idx="43">
                  <c:v>45013</c:v>
                </c:pt>
                <c:pt idx="44">
                  <c:v>45014</c:v>
                </c:pt>
                <c:pt idx="45">
                  <c:v>45015</c:v>
                </c:pt>
                <c:pt idx="46">
                  <c:v>45016</c:v>
                </c:pt>
                <c:pt idx="47">
                  <c:v>45017</c:v>
                </c:pt>
                <c:pt idx="48">
                  <c:v>45018</c:v>
                </c:pt>
                <c:pt idx="49">
                  <c:v>45019</c:v>
                </c:pt>
                <c:pt idx="50">
                  <c:v>45020</c:v>
                </c:pt>
                <c:pt idx="51">
                  <c:v>45021</c:v>
                </c:pt>
                <c:pt idx="52">
                  <c:v>45022</c:v>
                </c:pt>
                <c:pt idx="53">
                  <c:v>45023</c:v>
                </c:pt>
                <c:pt idx="54">
                  <c:v>45024</c:v>
                </c:pt>
                <c:pt idx="55">
                  <c:v>45025</c:v>
                </c:pt>
                <c:pt idx="56">
                  <c:v>45026</c:v>
                </c:pt>
                <c:pt idx="57">
                  <c:v>45027</c:v>
                </c:pt>
                <c:pt idx="58">
                  <c:v>45028</c:v>
                </c:pt>
                <c:pt idx="59">
                  <c:v>45029</c:v>
                </c:pt>
                <c:pt idx="60">
                  <c:v>45030</c:v>
                </c:pt>
                <c:pt idx="61">
                  <c:v>45031</c:v>
                </c:pt>
                <c:pt idx="62">
                  <c:v>45032</c:v>
                </c:pt>
                <c:pt idx="63">
                  <c:v>45033</c:v>
                </c:pt>
                <c:pt idx="64">
                  <c:v>45034</c:v>
                </c:pt>
                <c:pt idx="65">
                  <c:v>45035</c:v>
                </c:pt>
                <c:pt idx="66">
                  <c:v>45036</c:v>
                </c:pt>
                <c:pt idx="67">
                  <c:v>45037</c:v>
                </c:pt>
                <c:pt idx="68">
                  <c:v>45038</c:v>
                </c:pt>
                <c:pt idx="69">
                  <c:v>45039</c:v>
                </c:pt>
                <c:pt idx="70">
                  <c:v>45040</c:v>
                </c:pt>
                <c:pt idx="71">
                  <c:v>45041</c:v>
                </c:pt>
                <c:pt idx="72">
                  <c:v>45042</c:v>
                </c:pt>
                <c:pt idx="73">
                  <c:v>45043</c:v>
                </c:pt>
                <c:pt idx="74">
                  <c:v>45044</c:v>
                </c:pt>
                <c:pt idx="75">
                  <c:v>45045</c:v>
                </c:pt>
                <c:pt idx="76">
                  <c:v>45046</c:v>
                </c:pt>
                <c:pt idx="77">
                  <c:v>45047</c:v>
                </c:pt>
                <c:pt idx="78">
                  <c:v>45048</c:v>
                </c:pt>
                <c:pt idx="79">
                  <c:v>45049</c:v>
                </c:pt>
                <c:pt idx="80">
                  <c:v>45050</c:v>
                </c:pt>
                <c:pt idx="81">
                  <c:v>45051</c:v>
                </c:pt>
                <c:pt idx="82">
                  <c:v>45052</c:v>
                </c:pt>
                <c:pt idx="83">
                  <c:v>45053</c:v>
                </c:pt>
                <c:pt idx="84">
                  <c:v>45054</c:v>
                </c:pt>
                <c:pt idx="85">
                  <c:v>45055</c:v>
                </c:pt>
                <c:pt idx="86">
                  <c:v>45056</c:v>
                </c:pt>
                <c:pt idx="87">
                  <c:v>45057</c:v>
                </c:pt>
                <c:pt idx="88">
                  <c:v>45058</c:v>
                </c:pt>
                <c:pt idx="89">
                  <c:v>45059</c:v>
                </c:pt>
                <c:pt idx="90">
                  <c:v>45060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45066</c:v>
                </c:pt>
                <c:pt idx="97">
                  <c:v>45067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45073</c:v>
                </c:pt>
                <c:pt idx="104">
                  <c:v>45074</c:v>
                </c:pt>
                <c:pt idx="105">
                  <c:v>45075</c:v>
                </c:pt>
                <c:pt idx="106">
                  <c:v>45076</c:v>
                </c:pt>
                <c:pt idx="107">
                  <c:v>45077</c:v>
                </c:pt>
                <c:pt idx="108">
                  <c:v>45078</c:v>
                </c:pt>
                <c:pt idx="109">
                  <c:v>45079</c:v>
                </c:pt>
                <c:pt idx="110">
                  <c:v>45080</c:v>
                </c:pt>
                <c:pt idx="111">
                  <c:v>45081</c:v>
                </c:pt>
                <c:pt idx="112">
                  <c:v>45082</c:v>
                </c:pt>
                <c:pt idx="113">
                  <c:v>45083</c:v>
                </c:pt>
                <c:pt idx="114">
                  <c:v>45084</c:v>
                </c:pt>
                <c:pt idx="115">
                  <c:v>45085</c:v>
                </c:pt>
                <c:pt idx="116">
                  <c:v>45086</c:v>
                </c:pt>
                <c:pt idx="117">
                  <c:v>45087</c:v>
                </c:pt>
                <c:pt idx="118">
                  <c:v>45088</c:v>
                </c:pt>
                <c:pt idx="119">
                  <c:v>45089</c:v>
                </c:pt>
                <c:pt idx="120">
                  <c:v>45090</c:v>
                </c:pt>
                <c:pt idx="121">
                  <c:v>45091</c:v>
                </c:pt>
                <c:pt idx="122">
                  <c:v>45092</c:v>
                </c:pt>
                <c:pt idx="123">
                  <c:v>45093</c:v>
                </c:pt>
                <c:pt idx="124">
                  <c:v>45094</c:v>
                </c:pt>
                <c:pt idx="125">
                  <c:v>45095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124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  <c:pt idx="32">
                  <c:v>45002</c:v>
                </c:pt>
                <c:pt idx="33">
                  <c:v>45003</c:v>
                </c:pt>
                <c:pt idx="34">
                  <c:v>45004</c:v>
                </c:pt>
                <c:pt idx="35">
                  <c:v>45005</c:v>
                </c:pt>
                <c:pt idx="36">
                  <c:v>45006</c:v>
                </c:pt>
                <c:pt idx="37">
                  <c:v>45007</c:v>
                </c:pt>
                <c:pt idx="38">
                  <c:v>45008</c:v>
                </c:pt>
                <c:pt idx="39">
                  <c:v>45009</c:v>
                </c:pt>
                <c:pt idx="40">
                  <c:v>45010</c:v>
                </c:pt>
                <c:pt idx="41">
                  <c:v>45011</c:v>
                </c:pt>
                <c:pt idx="42">
                  <c:v>45012</c:v>
                </c:pt>
                <c:pt idx="43">
                  <c:v>45013</c:v>
                </c:pt>
                <c:pt idx="44">
                  <c:v>45014</c:v>
                </c:pt>
                <c:pt idx="45">
                  <c:v>45015</c:v>
                </c:pt>
                <c:pt idx="46">
                  <c:v>45016</c:v>
                </c:pt>
                <c:pt idx="47">
                  <c:v>45017</c:v>
                </c:pt>
                <c:pt idx="48">
                  <c:v>45018</c:v>
                </c:pt>
                <c:pt idx="49">
                  <c:v>45019</c:v>
                </c:pt>
                <c:pt idx="50">
                  <c:v>45020</c:v>
                </c:pt>
                <c:pt idx="51">
                  <c:v>45021</c:v>
                </c:pt>
                <c:pt idx="52">
                  <c:v>45022</c:v>
                </c:pt>
                <c:pt idx="53">
                  <c:v>45023</c:v>
                </c:pt>
                <c:pt idx="54">
                  <c:v>45024</c:v>
                </c:pt>
                <c:pt idx="55">
                  <c:v>45025</c:v>
                </c:pt>
                <c:pt idx="56">
                  <c:v>45026</c:v>
                </c:pt>
                <c:pt idx="57">
                  <c:v>45027</c:v>
                </c:pt>
                <c:pt idx="58">
                  <c:v>45028</c:v>
                </c:pt>
                <c:pt idx="59">
                  <c:v>45029</c:v>
                </c:pt>
                <c:pt idx="60">
                  <c:v>45030</c:v>
                </c:pt>
                <c:pt idx="61">
                  <c:v>45031</c:v>
                </c:pt>
                <c:pt idx="62">
                  <c:v>45032</c:v>
                </c:pt>
                <c:pt idx="63">
                  <c:v>45033</c:v>
                </c:pt>
                <c:pt idx="64">
                  <c:v>45034</c:v>
                </c:pt>
                <c:pt idx="65">
                  <c:v>45035</c:v>
                </c:pt>
                <c:pt idx="66">
                  <c:v>45036</c:v>
                </c:pt>
                <c:pt idx="67">
                  <c:v>45037</c:v>
                </c:pt>
                <c:pt idx="68">
                  <c:v>45038</c:v>
                </c:pt>
                <c:pt idx="69">
                  <c:v>45039</c:v>
                </c:pt>
                <c:pt idx="70">
                  <c:v>45040</c:v>
                </c:pt>
                <c:pt idx="71">
                  <c:v>45041</c:v>
                </c:pt>
                <c:pt idx="72">
                  <c:v>45042</c:v>
                </c:pt>
                <c:pt idx="73">
                  <c:v>45043</c:v>
                </c:pt>
                <c:pt idx="74">
                  <c:v>45044</c:v>
                </c:pt>
                <c:pt idx="75">
                  <c:v>45045</c:v>
                </c:pt>
                <c:pt idx="76">
                  <c:v>45046</c:v>
                </c:pt>
                <c:pt idx="77">
                  <c:v>45047</c:v>
                </c:pt>
                <c:pt idx="78">
                  <c:v>45048</c:v>
                </c:pt>
                <c:pt idx="79">
                  <c:v>45049</c:v>
                </c:pt>
                <c:pt idx="80">
                  <c:v>45050</c:v>
                </c:pt>
                <c:pt idx="81">
                  <c:v>45051</c:v>
                </c:pt>
                <c:pt idx="82">
                  <c:v>45052</c:v>
                </c:pt>
                <c:pt idx="83">
                  <c:v>45053</c:v>
                </c:pt>
                <c:pt idx="84">
                  <c:v>45054</c:v>
                </c:pt>
                <c:pt idx="85">
                  <c:v>45055</c:v>
                </c:pt>
                <c:pt idx="86">
                  <c:v>45056</c:v>
                </c:pt>
                <c:pt idx="87">
                  <c:v>45057</c:v>
                </c:pt>
                <c:pt idx="88">
                  <c:v>45058</c:v>
                </c:pt>
                <c:pt idx="89">
                  <c:v>45059</c:v>
                </c:pt>
                <c:pt idx="90">
                  <c:v>45060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45066</c:v>
                </c:pt>
                <c:pt idx="97">
                  <c:v>45067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45073</c:v>
                </c:pt>
                <c:pt idx="104">
                  <c:v>45074</c:v>
                </c:pt>
                <c:pt idx="105">
                  <c:v>45075</c:v>
                </c:pt>
                <c:pt idx="106">
                  <c:v>45076</c:v>
                </c:pt>
                <c:pt idx="107">
                  <c:v>45077</c:v>
                </c:pt>
                <c:pt idx="108">
                  <c:v>45078</c:v>
                </c:pt>
                <c:pt idx="109">
                  <c:v>45079</c:v>
                </c:pt>
                <c:pt idx="110">
                  <c:v>45080</c:v>
                </c:pt>
                <c:pt idx="111">
                  <c:v>45081</c:v>
                </c:pt>
                <c:pt idx="112">
                  <c:v>45082</c:v>
                </c:pt>
                <c:pt idx="113">
                  <c:v>45083</c:v>
                </c:pt>
                <c:pt idx="114">
                  <c:v>45084</c:v>
                </c:pt>
                <c:pt idx="115">
                  <c:v>45085</c:v>
                </c:pt>
                <c:pt idx="116">
                  <c:v>45086</c:v>
                </c:pt>
                <c:pt idx="117">
                  <c:v>45087</c:v>
                </c:pt>
                <c:pt idx="118">
                  <c:v>45088</c:v>
                </c:pt>
                <c:pt idx="119">
                  <c:v>45089</c:v>
                </c:pt>
                <c:pt idx="120">
                  <c:v>45090</c:v>
                </c:pt>
                <c:pt idx="121">
                  <c:v>45091</c:v>
                </c:pt>
                <c:pt idx="122">
                  <c:v>45092</c:v>
                </c:pt>
                <c:pt idx="123">
                  <c:v>45093</c:v>
                </c:pt>
                <c:pt idx="124">
                  <c:v>45094</c:v>
                </c:pt>
                <c:pt idx="125">
                  <c:v>45095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59.304645925666094</c:v>
                </c:pt>
                <c:pt idx="1">
                  <c:v>59.522256128879917</c:v>
                </c:pt>
                <c:pt idx="2">
                  <c:v>59.719892633107214</c:v>
                </c:pt>
                <c:pt idx="3">
                  <c:v>59.901046718280902</c:v>
                </c:pt>
                <c:pt idx="4">
                  <c:v>60.071985815975054</c:v>
                </c:pt>
                <c:pt idx="5">
                  <c:v>60.231790686485496</c:v>
                </c:pt>
                <c:pt idx="6">
                  <c:v>60.380058531429334</c:v>
                </c:pt>
                <c:pt idx="7">
                  <c:v>60.514680218303077</c:v>
                </c:pt>
                <c:pt idx="8">
                  <c:v>60.631562692320855</c:v>
                </c:pt>
                <c:pt idx="9">
                  <c:v>60.731937619816591</c:v>
                </c:pt>
                <c:pt idx="10">
                  <c:v>60.810832562414959</c:v>
                </c:pt>
                <c:pt idx="11">
                  <c:v>60.871918388282971</c:v>
                </c:pt>
                <c:pt idx="12">
                  <c:v>60.919910040072892</c:v>
                </c:pt>
                <c:pt idx="13">
                  <c:v>60.951311337480035</c:v>
                </c:pt>
                <c:pt idx="14">
                  <c:v>60.967286349596492</c:v>
                </c:pt>
                <c:pt idx="15">
                  <c:v>60.967291880562641</c:v>
                </c:pt>
                <c:pt idx="16">
                  <c:v>60.950351736728877</c:v>
                </c:pt>
                <c:pt idx="17">
                  <c:v>60.916278777691822</c:v>
                </c:pt>
                <c:pt idx="18">
                  <c:v>60.86384820522504</c:v>
                </c:pt>
                <c:pt idx="19">
                  <c:v>60.794941218718783</c:v>
                </c:pt>
                <c:pt idx="20">
                  <c:v>60.705838901646153</c:v>
                </c:pt>
                <c:pt idx="21">
                  <c:v>60.600459826238982</c:v>
                </c:pt>
                <c:pt idx="22">
                  <c:v>60.477636692978209</c:v>
                </c:pt>
                <c:pt idx="23">
                  <c:v>60.335031979153499</c:v>
                </c:pt>
                <c:pt idx="24">
                  <c:v>60.174812148264081</c:v>
                </c:pt>
                <c:pt idx="25">
                  <c:v>59.989201173306284</c:v>
                </c:pt>
                <c:pt idx="26">
                  <c:v>59.786406127630869</c:v>
                </c:pt>
                <c:pt idx="27">
                  <c:v>59.560014055709111</c:v>
                </c:pt>
                <c:pt idx="28">
                  <c:v>59.328064210467197</c:v>
                </c:pt>
                <c:pt idx="29">
                  <c:v>59.06705974930783</c:v>
                </c:pt>
                <c:pt idx="30">
                  <c:v>58.762566472463838</c:v>
                </c:pt>
                <c:pt idx="31">
                  <c:v>58.415366417881749</c:v>
                </c:pt>
                <c:pt idx="32">
                  <c:v>58.074927098715918</c:v>
                </c:pt>
                <c:pt idx="33">
                  <c:v>57.726150175586461</c:v>
                </c:pt>
                <c:pt idx="34">
                  <c:v>57.34171676369683</c:v>
                </c:pt>
                <c:pt idx="35">
                  <c:v>56.921862108173549</c:v>
                </c:pt>
                <c:pt idx="36">
                  <c:v>56.466643802293753</c:v>
                </c:pt>
                <c:pt idx="37">
                  <c:v>55.97601583781509</c:v>
                </c:pt>
                <c:pt idx="38">
                  <c:v>55.450500056708449</c:v>
                </c:pt>
                <c:pt idx="39">
                  <c:v>54.911905495887488</c:v>
                </c:pt>
                <c:pt idx="40">
                  <c:v>54.319384763598201</c:v>
                </c:pt>
                <c:pt idx="41">
                  <c:v>53.686875352293491</c:v>
                </c:pt>
                <c:pt idx="42">
                  <c:v>53.007515869637423</c:v>
                </c:pt>
                <c:pt idx="43">
                  <c:v>52.346244114112771</c:v>
                </c:pt>
                <c:pt idx="44">
                  <c:v>51.633202738481828</c:v>
                </c:pt>
                <c:pt idx="45">
                  <c:v>50.874060409395675</c:v>
                </c:pt>
                <c:pt idx="46">
                  <c:v>50.102862347737563</c:v>
                </c:pt>
                <c:pt idx="47">
                  <c:v>49.308647289643211</c:v>
                </c:pt>
                <c:pt idx="48">
                  <c:v>48.509065922472047</c:v>
                </c:pt>
                <c:pt idx="49">
                  <c:v>47.622170255694925</c:v>
                </c:pt>
                <c:pt idx="50">
                  <c:v>46.711657435558607</c:v>
                </c:pt>
                <c:pt idx="51">
                  <c:v>45.835518912447583</c:v>
                </c:pt>
                <c:pt idx="52">
                  <c:v>44.959102745536022</c:v>
                </c:pt>
                <c:pt idx="53">
                  <c:v>44.117646241460037</c:v>
                </c:pt>
                <c:pt idx="54">
                  <c:v>43.208424677282032</c:v>
                </c:pt>
                <c:pt idx="55">
                  <c:v>42.231993318089927</c:v>
                </c:pt>
                <c:pt idx="56">
                  <c:v>41.212790085911593</c:v>
                </c:pt>
                <c:pt idx="57">
                  <c:v>40.178895935043244</c:v>
                </c:pt>
                <c:pt idx="58">
                  <c:v>39.044434046473299</c:v>
                </c:pt>
                <c:pt idx="59">
                  <c:v>37.910778504720625</c:v>
                </c:pt>
                <c:pt idx="60">
                  <c:v>36.836024237257824</c:v>
                </c:pt>
                <c:pt idx="61">
                  <c:v>35.707963988846963</c:v>
                </c:pt>
                <c:pt idx="62">
                  <c:v>34.535847559245788</c:v>
                </c:pt>
                <c:pt idx="63">
                  <c:v>33.35538643621792</c:v>
                </c:pt>
                <c:pt idx="64">
                  <c:v>32.139475171665843</c:v>
                </c:pt>
                <c:pt idx="65">
                  <c:v>30.95960737563497</c:v>
                </c:pt>
                <c:pt idx="66">
                  <c:v>128.82405625355804</c:v>
                </c:pt>
                <c:pt idx="67">
                  <c:v>127.45457568950059</c:v>
                </c:pt>
                <c:pt idx="68">
                  <c:v>126.11757886486306</c:v>
                </c:pt>
                <c:pt idx="69">
                  <c:v>124.71642441558025</c:v>
                </c:pt>
                <c:pt idx="70">
                  <c:v>123.18707252791175</c:v>
                </c:pt>
                <c:pt idx="71">
                  <c:v>121.66314959228178</c:v>
                </c:pt>
                <c:pt idx="72">
                  <c:v>120.15597125672049</c:v>
                </c:pt>
                <c:pt idx="73">
                  <c:v>118.51868655381671</c:v>
                </c:pt>
                <c:pt idx="74">
                  <c:v>116.9236717588569</c:v>
                </c:pt>
                <c:pt idx="75">
                  <c:v>115.3267573268773</c:v>
                </c:pt>
                <c:pt idx="76">
                  <c:v>113.72061153492587</c:v>
                </c:pt>
                <c:pt idx="77">
                  <c:v>112.29679327245276</c:v>
                </c:pt>
                <c:pt idx="78">
                  <c:v>110.85340446202335</c:v>
                </c:pt>
                <c:pt idx="79">
                  <c:v>109.23338850621307</c:v>
                </c:pt>
                <c:pt idx="80">
                  <c:v>107.57962776636364</c:v>
                </c:pt>
                <c:pt idx="81">
                  <c:v>105.84008329282116</c:v>
                </c:pt>
                <c:pt idx="82">
                  <c:v>104.11400262089863</c:v>
                </c:pt>
                <c:pt idx="83">
                  <c:v>102.43987920012049</c:v>
                </c:pt>
                <c:pt idx="84">
                  <c:v>100.72551930365599</c:v>
                </c:pt>
                <c:pt idx="85">
                  <c:v>98.809438603310042</c:v>
                </c:pt>
                <c:pt idx="86">
                  <c:v>96.914907885082741</c:v>
                </c:pt>
                <c:pt idx="87">
                  <c:v>95.084586175184199</c:v>
                </c:pt>
                <c:pt idx="88">
                  <c:v>93.164851249225862</c:v>
                </c:pt>
                <c:pt idx="89">
                  <c:v>91.319131301727026</c:v>
                </c:pt>
                <c:pt idx="90">
                  <c:v>89.436245506568298</c:v>
                </c:pt>
                <c:pt idx="91">
                  <c:v>87.463689899485161</c:v>
                </c:pt>
                <c:pt idx="92">
                  <c:v>85.560019989148941</c:v>
                </c:pt>
                <c:pt idx="93">
                  <c:v>83.732447916931378</c:v>
                </c:pt>
                <c:pt idx="94">
                  <c:v>81.986097745324685</c:v>
                </c:pt>
                <c:pt idx="95">
                  <c:v>80.179218198200061</c:v>
                </c:pt>
                <c:pt idx="96">
                  <c:v>78.380515360197364</c:v>
                </c:pt>
                <c:pt idx="97">
                  <c:v>76.592456808382082</c:v>
                </c:pt>
                <c:pt idx="98">
                  <c:v>75.016258070602049</c:v>
                </c:pt>
                <c:pt idx="99">
                  <c:v>73.343228168494306</c:v>
                </c:pt>
                <c:pt idx="100">
                  <c:v>71.62354390160526</c:v>
                </c:pt>
                <c:pt idx="101">
                  <c:v>69.929543975070459</c:v>
                </c:pt>
                <c:pt idx="102">
                  <c:v>68.162006125494145</c:v>
                </c:pt>
                <c:pt idx="103">
                  <c:v>66.485077953134038</c:v>
                </c:pt>
                <c:pt idx="104">
                  <c:v>64.847294439766657</c:v>
                </c:pt>
                <c:pt idx="105">
                  <c:v>63.121653652961143</c:v>
                </c:pt>
                <c:pt idx="106">
                  <c:v>61.573449194297069</c:v>
                </c:pt>
                <c:pt idx="107">
                  <c:v>60.012948192952436</c:v>
                </c:pt>
                <c:pt idx="108">
                  <c:v>58.402990619979427</c:v>
                </c:pt>
                <c:pt idx="109">
                  <c:v>56.79156899973573</c:v>
                </c:pt>
                <c:pt idx="110">
                  <c:v>55.193353979217001</c:v>
                </c:pt>
                <c:pt idx="111">
                  <c:v>53.42365813098445</c:v>
                </c:pt>
                <c:pt idx="112">
                  <c:v>51.695038942297131</c:v>
                </c:pt>
                <c:pt idx="113">
                  <c:v>49.985976460447567</c:v>
                </c:pt>
                <c:pt idx="114">
                  <c:v>48.293071806909481</c:v>
                </c:pt>
                <c:pt idx="115">
                  <c:v>46.742255852552404</c:v>
                </c:pt>
                <c:pt idx="116">
                  <c:v>45.20857183775027</c:v>
                </c:pt>
                <c:pt idx="117">
                  <c:v>43.448322384799425</c:v>
                </c:pt>
                <c:pt idx="118">
                  <c:v>41.691359257006532</c:v>
                </c:pt>
                <c:pt idx="119">
                  <c:v>39.786178946964888</c:v>
                </c:pt>
                <c:pt idx="120">
                  <c:v>38.101503620584289</c:v>
                </c:pt>
                <c:pt idx="121">
                  <c:v>36.478438958401497</c:v>
                </c:pt>
                <c:pt idx="122">
                  <c:v>35.036044754358855</c:v>
                </c:pt>
                <c:pt idx="123">
                  <c:v>33.423356168627294</c:v>
                </c:pt>
                <c:pt idx="124">
                  <c:v>31.799708552857368</c:v>
                </c:pt>
                <c:pt idx="125">
                  <c:v>30.168451112857724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ConceptDemo!$C$33:$C$38</c:f>
              <c:numCache>
                <c:formatCode>m/d/yyyy</c:formatCode>
                <c:ptCount val="6"/>
              </c:numCache>
            </c:numRef>
          </c:xVal>
          <c:yVal>
            <c:numRef>
              <c:f>ConceptDemo!$D$33:$D$38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Fert N</c:v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7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D2-4A1B-A98F-C7303D4F0811}"/>
              </c:ext>
            </c:extLst>
          </c:dPt>
          <c:cat>
            <c:numRef>
              <c:f>'Model Interface'!$P$6:$P$495</c:f>
              <c:numCache>
                <c:formatCode>m/d/yyyy</c:formatCode>
                <c:ptCount val="490"/>
                <c:pt idx="0">
                  <c:v>44954</c:v>
                </c:pt>
                <c:pt idx="1">
                  <c:v>44955</c:v>
                </c:pt>
                <c:pt idx="2">
                  <c:v>44956</c:v>
                </c:pt>
                <c:pt idx="3">
                  <c:v>44957</c:v>
                </c:pt>
                <c:pt idx="4">
                  <c:v>44958</c:v>
                </c:pt>
                <c:pt idx="5">
                  <c:v>44959</c:v>
                </c:pt>
                <c:pt idx="6">
                  <c:v>44960</c:v>
                </c:pt>
                <c:pt idx="7">
                  <c:v>44961</c:v>
                </c:pt>
                <c:pt idx="8">
                  <c:v>44962</c:v>
                </c:pt>
                <c:pt idx="9">
                  <c:v>44963</c:v>
                </c:pt>
                <c:pt idx="10">
                  <c:v>44964</c:v>
                </c:pt>
                <c:pt idx="11">
                  <c:v>44965</c:v>
                </c:pt>
                <c:pt idx="12">
                  <c:v>44966</c:v>
                </c:pt>
                <c:pt idx="13">
                  <c:v>44967</c:v>
                </c:pt>
                <c:pt idx="14">
                  <c:v>44968</c:v>
                </c:pt>
                <c:pt idx="15">
                  <c:v>44969</c:v>
                </c:pt>
                <c:pt idx="16">
                  <c:v>44970</c:v>
                </c:pt>
                <c:pt idx="17">
                  <c:v>44971</c:v>
                </c:pt>
                <c:pt idx="18">
                  <c:v>44972</c:v>
                </c:pt>
                <c:pt idx="19">
                  <c:v>44973</c:v>
                </c:pt>
                <c:pt idx="20">
                  <c:v>44974</c:v>
                </c:pt>
                <c:pt idx="21">
                  <c:v>44975</c:v>
                </c:pt>
                <c:pt idx="22">
                  <c:v>44976</c:v>
                </c:pt>
                <c:pt idx="23">
                  <c:v>44977</c:v>
                </c:pt>
                <c:pt idx="24">
                  <c:v>44978</c:v>
                </c:pt>
                <c:pt idx="25">
                  <c:v>44979</c:v>
                </c:pt>
                <c:pt idx="26">
                  <c:v>44980</c:v>
                </c:pt>
                <c:pt idx="27">
                  <c:v>44981</c:v>
                </c:pt>
                <c:pt idx="28">
                  <c:v>44982</c:v>
                </c:pt>
                <c:pt idx="29">
                  <c:v>44983</c:v>
                </c:pt>
                <c:pt idx="30">
                  <c:v>44984</c:v>
                </c:pt>
                <c:pt idx="31">
                  <c:v>44985</c:v>
                </c:pt>
                <c:pt idx="32">
                  <c:v>44986</c:v>
                </c:pt>
                <c:pt idx="33">
                  <c:v>44987</c:v>
                </c:pt>
                <c:pt idx="34">
                  <c:v>44988</c:v>
                </c:pt>
                <c:pt idx="35">
                  <c:v>44989</c:v>
                </c:pt>
                <c:pt idx="36">
                  <c:v>44990</c:v>
                </c:pt>
                <c:pt idx="37">
                  <c:v>44991</c:v>
                </c:pt>
                <c:pt idx="38">
                  <c:v>44992</c:v>
                </c:pt>
                <c:pt idx="39">
                  <c:v>44993</c:v>
                </c:pt>
                <c:pt idx="40">
                  <c:v>44994</c:v>
                </c:pt>
                <c:pt idx="41">
                  <c:v>44995</c:v>
                </c:pt>
                <c:pt idx="42">
                  <c:v>44996</c:v>
                </c:pt>
                <c:pt idx="43">
                  <c:v>44997</c:v>
                </c:pt>
                <c:pt idx="44">
                  <c:v>44998</c:v>
                </c:pt>
                <c:pt idx="45">
                  <c:v>44999</c:v>
                </c:pt>
                <c:pt idx="46">
                  <c:v>45000</c:v>
                </c:pt>
                <c:pt idx="47">
                  <c:v>45001</c:v>
                </c:pt>
                <c:pt idx="48">
                  <c:v>45002</c:v>
                </c:pt>
                <c:pt idx="49">
                  <c:v>45003</c:v>
                </c:pt>
                <c:pt idx="50">
                  <c:v>45004</c:v>
                </c:pt>
                <c:pt idx="51">
                  <c:v>45005</c:v>
                </c:pt>
                <c:pt idx="52">
                  <c:v>45006</c:v>
                </c:pt>
                <c:pt idx="53">
                  <c:v>45007</c:v>
                </c:pt>
                <c:pt idx="54">
                  <c:v>45008</c:v>
                </c:pt>
                <c:pt idx="55">
                  <c:v>45009</c:v>
                </c:pt>
                <c:pt idx="56">
                  <c:v>45010</c:v>
                </c:pt>
                <c:pt idx="57">
                  <c:v>45011</c:v>
                </c:pt>
                <c:pt idx="58">
                  <c:v>45012</c:v>
                </c:pt>
                <c:pt idx="59">
                  <c:v>45013</c:v>
                </c:pt>
                <c:pt idx="60">
                  <c:v>45014</c:v>
                </c:pt>
                <c:pt idx="61">
                  <c:v>45015</c:v>
                </c:pt>
                <c:pt idx="62">
                  <c:v>45016</c:v>
                </c:pt>
                <c:pt idx="63">
                  <c:v>45017</c:v>
                </c:pt>
                <c:pt idx="64">
                  <c:v>45018</c:v>
                </c:pt>
                <c:pt idx="65">
                  <c:v>45019</c:v>
                </c:pt>
                <c:pt idx="66">
                  <c:v>45020</c:v>
                </c:pt>
                <c:pt idx="67">
                  <c:v>45021</c:v>
                </c:pt>
                <c:pt idx="68">
                  <c:v>45022</c:v>
                </c:pt>
                <c:pt idx="69">
                  <c:v>45023</c:v>
                </c:pt>
                <c:pt idx="70">
                  <c:v>45024</c:v>
                </c:pt>
                <c:pt idx="71">
                  <c:v>45025</c:v>
                </c:pt>
                <c:pt idx="72">
                  <c:v>45026</c:v>
                </c:pt>
                <c:pt idx="73">
                  <c:v>45027</c:v>
                </c:pt>
                <c:pt idx="74">
                  <c:v>45028</c:v>
                </c:pt>
                <c:pt idx="75">
                  <c:v>45029</c:v>
                </c:pt>
                <c:pt idx="76">
                  <c:v>45030</c:v>
                </c:pt>
                <c:pt idx="77">
                  <c:v>45031</c:v>
                </c:pt>
                <c:pt idx="78">
                  <c:v>45032</c:v>
                </c:pt>
                <c:pt idx="79">
                  <c:v>45033</c:v>
                </c:pt>
                <c:pt idx="80">
                  <c:v>45034</c:v>
                </c:pt>
                <c:pt idx="81">
                  <c:v>45035</c:v>
                </c:pt>
                <c:pt idx="82">
                  <c:v>45036</c:v>
                </c:pt>
                <c:pt idx="83">
                  <c:v>45037</c:v>
                </c:pt>
                <c:pt idx="84">
                  <c:v>45038</c:v>
                </c:pt>
                <c:pt idx="85">
                  <c:v>45039</c:v>
                </c:pt>
                <c:pt idx="86">
                  <c:v>45040</c:v>
                </c:pt>
                <c:pt idx="87">
                  <c:v>45041</c:v>
                </c:pt>
                <c:pt idx="88">
                  <c:v>45042</c:v>
                </c:pt>
                <c:pt idx="89">
                  <c:v>45043</c:v>
                </c:pt>
                <c:pt idx="90">
                  <c:v>45044</c:v>
                </c:pt>
                <c:pt idx="91">
                  <c:v>45045</c:v>
                </c:pt>
                <c:pt idx="92">
                  <c:v>45046</c:v>
                </c:pt>
                <c:pt idx="93">
                  <c:v>45047</c:v>
                </c:pt>
                <c:pt idx="94">
                  <c:v>45048</c:v>
                </c:pt>
                <c:pt idx="95">
                  <c:v>45049</c:v>
                </c:pt>
                <c:pt idx="96">
                  <c:v>45050</c:v>
                </c:pt>
                <c:pt idx="97">
                  <c:v>45051</c:v>
                </c:pt>
                <c:pt idx="98">
                  <c:v>45052</c:v>
                </c:pt>
                <c:pt idx="99">
                  <c:v>45053</c:v>
                </c:pt>
                <c:pt idx="100">
                  <c:v>45054</c:v>
                </c:pt>
                <c:pt idx="101">
                  <c:v>45055</c:v>
                </c:pt>
                <c:pt idx="102">
                  <c:v>45056</c:v>
                </c:pt>
                <c:pt idx="103">
                  <c:v>45057</c:v>
                </c:pt>
                <c:pt idx="104">
                  <c:v>45058</c:v>
                </c:pt>
                <c:pt idx="105">
                  <c:v>45059</c:v>
                </c:pt>
                <c:pt idx="106">
                  <c:v>45060</c:v>
                </c:pt>
                <c:pt idx="107">
                  <c:v>45061</c:v>
                </c:pt>
                <c:pt idx="108">
                  <c:v>45062</c:v>
                </c:pt>
                <c:pt idx="109">
                  <c:v>45063</c:v>
                </c:pt>
                <c:pt idx="110">
                  <c:v>45064</c:v>
                </c:pt>
                <c:pt idx="111">
                  <c:v>45065</c:v>
                </c:pt>
                <c:pt idx="112">
                  <c:v>45066</c:v>
                </c:pt>
                <c:pt idx="113">
                  <c:v>45067</c:v>
                </c:pt>
                <c:pt idx="114">
                  <c:v>45068</c:v>
                </c:pt>
                <c:pt idx="115">
                  <c:v>45069</c:v>
                </c:pt>
                <c:pt idx="116">
                  <c:v>45070</c:v>
                </c:pt>
                <c:pt idx="117">
                  <c:v>45071</c:v>
                </c:pt>
                <c:pt idx="118">
                  <c:v>45072</c:v>
                </c:pt>
                <c:pt idx="119">
                  <c:v>45073</c:v>
                </c:pt>
                <c:pt idx="120">
                  <c:v>45074</c:v>
                </c:pt>
                <c:pt idx="121">
                  <c:v>45075</c:v>
                </c:pt>
                <c:pt idx="122">
                  <c:v>45076</c:v>
                </c:pt>
                <c:pt idx="123">
                  <c:v>45077</c:v>
                </c:pt>
                <c:pt idx="124">
                  <c:v>45078</c:v>
                </c:pt>
                <c:pt idx="125">
                  <c:v>45079</c:v>
                </c:pt>
                <c:pt idx="126">
                  <c:v>45080</c:v>
                </c:pt>
                <c:pt idx="127">
                  <c:v>45081</c:v>
                </c:pt>
                <c:pt idx="128">
                  <c:v>45082</c:v>
                </c:pt>
                <c:pt idx="129">
                  <c:v>45083</c:v>
                </c:pt>
                <c:pt idx="130">
                  <c:v>45084</c:v>
                </c:pt>
                <c:pt idx="131">
                  <c:v>45085</c:v>
                </c:pt>
                <c:pt idx="132">
                  <c:v>45086</c:v>
                </c:pt>
                <c:pt idx="133">
                  <c:v>45087</c:v>
                </c:pt>
                <c:pt idx="134">
                  <c:v>45088</c:v>
                </c:pt>
                <c:pt idx="135">
                  <c:v>45089</c:v>
                </c:pt>
                <c:pt idx="136">
                  <c:v>45090</c:v>
                </c:pt>
                <c:pt idx="137">
                  <c:v>45091</c:v>
                </c:pt>
                <c:pt idx="138">
                  <c:v>45092</c:v>
                </c:pt>
                <c:pt idx="139">
                  <c:v>45093</c:v>
                </c:pt>
                <c:pt idx="140">
                  <c:v>45094</c:v>
                </c:pt>
                <c:pt idx="141">
                  <c:v>45095</c:v>
                </c:pt>
                <c:pt idx="142">
                  <c:v>45096</c:v>
                </c:pt>
                <c:pt idx="143">
                  <c:v>45097</c:v>
                </c:pt>
                <c:pt idx="144">
                  <c:v>45098</c:v>
                </c:pt>
                <c:pt idx="145">
                  <c:v>45099</c:v>
                </c:pt>
                <c:pt idx="146">
                  <c:v>45100</c:v>
                </c:pt>
                <c:pt idx="147">
                  <c:v>45101</c:v>
                </c:pt>
                <c:pt idx="148">
                  <c:v>45102</c:v>
                </c:pt>
                <c:pt idx="149">
                  <c:v>45103</c:v>
                </c:pt>
                <c:pt idx="150">
                  <c:v>45104</c:v>
                </c:pt>
                <c:pt idx="151">
                  <c:v>45105</c:v>
                </c:pt>
                <c:pt idx="152">
                  <c:v>45106</c:v>
                </c:pt>
                <c:pt idx="153">
                  <c:v>45107</c:v>
                </c:pt>
                <c:pt idx="154">
                  <c:v>45108</c:v>
                </c:pt>
                <c:pt idx="155">
                  <c:v>45109</c:v>
                </c:pt>
                <c:pt idx="156">
                  <c:v>45110</c:v>
                </c:pt>
                <c:pt idx="157">
                  <c:v>45111</c:v>
                </c:pt>
                <c:pt idx="158">
                  <c:v>45112</c:v>
                </c:pt>
                <c:pt idx="159">
                  <c:v>45113</c:v>
                </c:pt>
                <c:pt idx="160">
                  <c:v>45114</c:v>
                </c:pt>
                <c:pt idx="161">
                  <c:v>45115</c:v>
                </c:pt>
                <c:pt idx="162">
                  <c:v>45116</c:v>
                </c:pt>
                <c:pt idx="163">
                  <c:v>45117</c:v>
                </c:pt>
                <c:pt idx="164">
                  <c:v>45118</c:v>
                </c:pt>
                <c:pt idx="165">
                  <c:v>45119</c:v>
                </c:pt>
                <c:pt idx="166">
                  <c:v>45120</c:v>
                </c:pt>
                <c:pt idx="167">
                  <c:v>45121</c:v>
                </c:pt>
                <c:pt idx="168">
                  <c:v>45122</c:v>
                </c:pt>
                <c:pt idx="169">
                  <c:v>45123</c:v>
                </c:pt>
                <c:pt idx="170">
                  <c:v>45124</c:v>
                </c:pt>
                <c:pt idx="171">
                  <c:v>45125</c:v>
                </c:pt>
                <c:pt idx="172">
                  <c:v>45126</c:v>
                </c:pt>
                <c:pt idx="173">
                  <c:v>45127</c:v>
                </c:pt>
                <c:pt idx="174">
                  <c:v>45128</c:v>
                </c:pt>
                <c:pt idx="175">
                  <c:v>45129</c:v>
                </c:pt>
                <c:pt idx="176">
                  <c:v>45130</c:v>
                </c:pt>
                <c:pt idx="177">
                  <c:v>45131</c:v>
                </c:pt>
                <c:pt idx="178">
                  <c:v>45132</c:v>
                </c:pt>
                <c:pt idx="179">
                  <c:v>45133</c:v>
                </c:pt>
                <c:pt idx="180">
                  <c:v>45134</c:v>
                </c:pt>
                <c:pt idx="181">
                  <c:v>45135</c:v>
                </c:pt>
                <c:pt idx="182">
                  <c:v>45136</c:v>
                </c:pt>
                <c:pt idx="183">
                  <c:v>45137</c:v>
                </c:pt>
                <c:pt idx="184">
                  <c:v>45138</c:v>
                </c:pt>
                <c:pt idx="185">
                  <c:v>45139</c:v>
                </c:pt>
                <c:pt idx="186">
                  <c:v>45140</c:v>
                </c:pt>
                <c:pt idx="187">
                  <c:v>45141</c:v>
                </c:pt>
                <c:pt idx="188">
                  <c:v>45142</c:v>
                </c:pt>
                <c:pt idx="189">
                  <c:v>45143</c:v>
                </c:pt>
                <c:pt idx="190">
                  <c:v>45144</c:v>
                </c:pt>
                <c:pt idx="191">
                  <c:v>45145</c:v>
                </c:pt>
                <c:pt idx="192">
                  <c:v>45146</c:v>
                </c:pt>
                <c:pt idx="193">
                  <c:v>45147</c:v>
                </c:pt>
                <c:pt idx="194">
                  <c:v>45148</c:v>
                </c:pt>
                <c:pt idx="195">
                  <c:v>45149</c:v>
                </c:pt>
                <c:pt idx="196">
                  <c:v>45150</c:v>
                </c:pt>
                <c:pt idx="197">
                  <c:v>45151</c:v>
                </c:pt>
                <c:pt idx="198">
                  <c:v>45152</c:v>
                </c:pt>
                <c:pt idx="199">
                  <c:v>45153</c:v>
                </c:pt>
                <c:pt idx="200">
                  <c:v>45154</c:v>
                </c:pt>
                <c:pt idx="201">
                  <c:v>45155</c:v>
                </c:pt>
                <c:pt idx="202">
                  <c:v>45156</c:v>
                </c:pt>
                <c:pt idx="203">
                  <c:v>45157</c:v>
                </c:pt>
                <c:pt idx="204">
                  <c:v>45158</c:v>
                </c:pt>
                <c:pt idx="205">
                  <c:v>45159</c:v>
                </c:pt>
                <c:pt idx="206">
                  <c:v>45160</c:v>
                </c:pt>
                <c:pt idx="207">
                  <c:v>45161</c:v>
                </c:pt>
                <c:pt idx="208">
                  <c:v>45162</c:v>
                </c:pt>
                <c:pt idx="209">
                  <c:v>45163</c:v>
                </c:pt>
                <c:pt idx="210">
                  <c:v>45164</c:v>
                </c:pt>
                <c:pt idx="211">
                  <c:v>45165</c:v>
                </c:pt>
                <c:pt idx="212">
                  <c:v>45166</c:v>
                </c:pt>
                <c:pt idx="213">
                  <c:v>45167</c:v>
                </c:pt>
                <c:pt idx="214">
                  <c:v>45168</c:v>
                </c:pt>
                <c:pt idx="215">
                  <c:v>45169</c:v>
                </c:pt>
                <c:pt idx="216">
                  <c:v>45170</c:v>
                </c:pt>
                <c:pt idx="217">
                  <c:v>45171</c:v>
                </c:pt>
                <c:pt idx="218">
                  <c:v>45172</c:v>
                </c:pt>
                <c:pt idx="219">
                  <c:v>45173</c:v>
                </c:pt>
                <c:pt idx="220">
                  <c:v>45174</c:v>
                </c:pt>
                <c:pt idx="221">
                  <c:v>45175</c:v>
                </c:pt>
                <c:pt idx="222">
                  <c:v>45176</c:v>
                </c:pt>
                <c:pt idx="223">
                  <c:v>45177</c:v>
                </c:pt>
                <c:pt idx="224">
                  <c:v>45178</c:v>
                </c:pt>
                <c:pt idx="225">
                  <c:v>45179</c:v>
                </c:pt>
                <c:pt idx="226">
                  <c:v>45180</c:v>
                </c:pt>
                <c:pt idx="227">
                  <c:v>45181</c:v>
                </c:pt>
                <c:pt idx="228">
                  <c:v>45182</c:v>
                </c:pt>
                <c:pt idx="229">
                  <c:v>45183</c:v>
                </c:pt>
                <c:pt idx="230">
                  <c:v>45184</c:v>
                </c:pt>
                <c:pt idx="231">
                  <c:v>45185</c:v>
                </c:pt>
                <c:pt idx="232">
                  <c:v>45186</c:v>
                </c:pt>
                <c:pt idx="233">
                  <c:v>45187</c:v>
                </c:pt>
                <c:pt idx="234">
                  <c:v>45188</c:v>
                </c:pt>
                <c:pt idx="235">
                  <c:v>45189</c:v>
                </c:pt>
                <c:pt idx="236">
                  <c:v>45190</c:v>
                </c:pt>
                <c:pt idx="237">
                  <c:v>45191</c:v>
                </c:pt>
                <c:pt idx="238">
                  <c:v>45192</c:v>
                </c:pt>
                <c:pt idx="239">
                  <c:v>45193</c:v>
                </c:pt>
                <c:pt idx="240">
                  <c:v>45194</c:v>
                </c:pt>
                <c:pt idx="241">
                  <c:v>45195</c:v>
                </c:pt>
                <c:pt idx="242">
                  <c:v>45196</c:v>
                </c:pt>
                <c:pt idx="243">
                  <c:v>45197</c:v>
                </c:pt>
                <c:pt idx="244">
                  <c:v>45198</c:v>
                </c:pt>
                <c:pt idx="245">
                  <c:v>45199</c:v>
                </c:pt>
                <c:pt idx="246">
                  <c:v>45200</c:v>
                </c:pt>
                <c:pt idx="247">
                  <c:v>45201</c:v>
                </c:pt>
                <c:pt idx="248">
                  <c:v>45202</c:v>
                </c:pt>
                <c:pt idx="249">
                  <c:v>45203</c:v>
                </c:pt>
                <c:pt idx="250">
                  <c:v>45204</c:v>
                </c:pt>
                <c:pt idx="251">
                  <c:v>45205</c:v>
                </c:pt>
                <c:pt idx="252">
                  <c:v>45206</c:v>
                </c:pt>
                <c:pt idx="253">
                  <c:v>45207</c:v>
                </c:pt>
                <c:pt idx="254">
                  <c:v>45208</c:v>
                </c:pt>
                <c:pt idx="255">
                  <c:v>45209</c:v>
                </c:pt>
                <c:pt idx="256">
                  <c:v>45210</c:v>
                </c:pt>
                <c:pt idx="257">
                  <c:v>45211</c:v>
                </c:pt>
                <c:pt idx="258">
                  <c:v>45212</c:v>
                </c:pt>
                <c:pt idx="259">
                  <c:v>45213</c:v>
                </c:pt>
                <c:pt idx="260">
                  <c:v>45214</c:v>
                </c:pt>
                <c:pt idx="261">
                  <c:v>45215</c:v>
                </c:pt>
                <c:pt idx="262">
                  <c:v>45216</c:v>
                </c:pt>
                <c:pt idx="263">
                  <c:v>45217</c:v>
                </c:pt>
                <c:pt idx="264">
                  <c:v>45218</c:v>
                </c:pt>
                <c:pt idx="265">
                  <c:v>45219</c:v>
                </c:pt>
                <c:pt idx="266">
                  <c:v>45220</c:v>
                </c:pt>
                <c:pt idx="267">
                  <c:v>45221</c:v>
                </c:pt>
                <c:pt idx="268">
                  <c:v>45222</c:v>
                </c:pt>
                <c:pt idx="269">
                  <c:v>45223</c:v>
                </c:pt>
                <c:pt idx="270">
                  <c:v>45224</c:v>
                </c:pt>
                <c:pt idx="271">
                  <c:v>45225</c:v>
                </c:pt>
                <c:pt idx="272">
                  <c:v>45226</c:v>
                </c:pt>
                <c:pt idx="273">
                  <c:v>45227</c:v>
                </c:pt>
                <c:pt idx="274">
                  <c:v>45228</c:v>
                </c:pt>
                <c:pt idx="275">
                  <c:v>45229</c:v>
                </c:pt>
                <c:pt idx="276">
                  <c:v>45230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Interface'!$U$6:$U$495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124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86704"/>
        <c:axId val="811187536"/>
      </c:barChar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'Model Interface'!$P$6:$P$495</c:f>
              <c:numCache>
                <c:formatCode>m/d/yyyy</c:formatCode>
                <c:ptCount val="490"/>
                <c:pt idx="0">
                  <c:v>44954</c:v>
                </c:pt>
                <c:pt idx="1">
                  <c:v>44955</c:v>
                </c:pt>
                <c:pt idx="2">
                  <c:v>44956</c:v>
                </c:pt>
                <c:pt idx="3">
                  <c:v>44957</c:v>
                </c:pt>
                <c:pt idx="4">
                  <c:v>44958</c:v>
                </c:pt>
                <c:pt idx="5">
                  <c:v>44959</c:v>
                </c:pt>
                <c:pt idx="6">
                  <c:v>44960</c:v>
                </c:pt>
                <c:pt idx="7">
                  <c:v>44961</c:v>
                </c:pt>
                <c:pt idx="8">
                  <c:v>44962</c:v>
                </c:pt>
                <c:pt idx="9">
                  <c:v>44963</c:v>
                </c:pt>
                <c:pt idx="10">
                  <c:v>44964</c:v>
                </c:pt>
                <c:pt idx="11">
                  <c:v>44965</c:v>
                </c:pt>
                <c:pt idx="12">
                  <c:v>44966</c:v>
                </c:pt>
                <c:pt idx="13">
                  <c:v>44967</c:v>
                </c:pt>
                <c:pt idx="14">
                  <c:v>44968</c:v>
                </c:pt>
                <c:pt idx="15">
                  <c:v>44969</c:v>
                </c:pt>
                <c:pt idx="16">
                  <c:v>44970</c:v>
                </c:pt>
                <c:pt idx="17">
                  <c:v>44971</c:v>
                </c:pt>
                <c:pt idx="18">
                  <c:v>44972</c:v>
                </c:pt>
                <c:pt idx="19">
                  <c:v>44973</c:v>
                </c:pt>
                <c:pt idx="20">
                  <c:v>44974</c:v>
                </c:pt>
                <c:pt idx="21">
                  <c:v>44975</c:v>
                </c:pt>
                <c:pt idx="22">
                  <c:v>44976</c:v>
                </c:pt>
                <c:pt idx="23">
                  <c:v>44977</c:v>
                </c:pt>
                <c:pt idx="24">
                  <c:v>44978</c:v>
                </c:pt>
                <c:pt idx="25">
                  <c:v>44979</c:v>
                </c:pt>
                <c:pt idx="26">
                  <c:v>44980</c:v>
                </c:pt>
                <c:pt idx="27">
                  <c:v>44981</c:v>
                </c:pt>
                <c:pt idx="28">
                  <c:v>44982</c:v>
                </c:pt>
                <c:pt idx="29">
                  <c:v>44983</c:v>
                </c:pt>
                <c:pt idx="30">
                  <c:v>44984</c:v>
                </c:pt>
                <c:pt idx="31">
                  <c:v>44985</c:v>
                </c:pt>
                <c:pt idx="32">
                  <c:v>44986</c:v>
                </c:pt>
                <c:pt idx="33">
                  <c:v>44987</c:v>
                </c:pt>
                <c:pt idx="34">
                  <c:v>44988</c:v>
                </c:pt>
                <c:pt idx="35">
                  <c:v>44989</c:v>
                </c:pt>
                <c:pt idx="36">
                  <c:v>44990</c:v>
                </c:pt>
                <c:pt idx="37">
                  <c:v>44991</c:v>
                </c:pt>
                <c:pt idx="38">
                  <c:v>44992</c:v>
                </c:pt>
                <c:pt idx="39">
                  <c:v>44993</c:v>
                </c:pt>
                <c:pt idx="40">
                  <c:v>44994</c:v>
                </c:pt>
                <c:pt idx="41">
                  <c:v>44995</c:v>
                </c:pt>
                <c:pt idx="42">
                  <c:v>44996</c:v>
                </c:pt>
                <c:pt idx="43">
                  <c:v>44997</c:v>
                </c:pt>
                <c:pt idx="44">
                  <c:v>44998</c:v>
                </c:pt>
                <c:pt idx="45">
                  <c:v>44999</c:v>
                </c:pt>
                <c:pt idx="46">
                  <c:v>45000</c:v>
                </c:pt>
                <c:pt idx="47">
                  <c:v>45001</c:v>
                </c:pt>
                <c:pt idx="48">
                  <c:v>45002</c:v>
                </c:pt>
                <c:pt idx="49">
                  <c:v>45003</c:v>
                </c:pt>
                <c:pt idx="50">
                  <c:v>45004</c:v>
                </c:pt>
                <c:pt idx="51">
                  <c:v>45005</c:v>
                </c:pt>
                <c:pt idx="52">
                  <c:v>45006</c:v>
                </c:pt>
                <c:pt idx="53">
                  <c:v>45007</c:v>
                </c:pt>
                <c:pt idx="54">
                  <c:v>45008</c:v>
                </c:pt>
                <c:pt idx="55">
                  <c:v>45009</c:v>
                </c:pt>
                <c:pt idx="56">
                  <c:v>45010</c:v>
                </c:pt>
                <c:pt idx="57">
                  <c:v>45011</c:v>
                </c:pt>
                <c:pt idx="58">
                  <c:v>45012</c:v>
                </c:pt>
                <c:pt idx="59">
                  <c:v>45013</c:v>
                </c:pt>
                <c:pt idx="60">
                  <c:v>45014</c:v>
                </c:pt>
                <c:pt idx="61">
                  <c:v>45015</c:v>
                </c:pt>
                <c:pt idx="62">
                  <c:v>45016</c:v>
                </c:pt>
                <c:pt idx="63">
                  <c:v>45017</c:v>
                </c:pt>
                <c:pt idx="64">
                  <c:v>45018</c:v>
                </c:pt>
                <c:pt idx="65">
                  <c:v>45019</c:v>
                </c:pt>
                <c:pt idx="66">
                  <c:v>45020</c:v>
                </c:pt>
                <c:pt idx="67">
                  <c:v>45021</c:v>
                </c:pt>
                <c:pt idx="68">
                  <c:v>45022</c:v>
                </c:pt>
                <c:pt idx="69">
                  <c:v>45023</c:v>
                </c:pt>
                <c:pt idx="70">
                  <c:v>45024</c:v>
                </c:pt>
                <c:pt idx="71">
                  <c:v>45025</c:v>
                </c:pt>
                <c:pt idx="72">
                  <c:v>45026</c:v>
                </c:pt>
                <c:pt idx="73">
                  <c:v>45027</c:v>
                </c:pt>
                <c:pt idx="74">
                  <c:v>45028</c:v>
                </c:pt>
                <c:pt idx="75">
                  <c:v>45029</c:v>
                </c:pt>
                <c:pt idx="76">
                  <c:v>45030</c:v>
                </c:pt>
                <c:pt idx="77">
                  <c:v>45031</c:v>
                </c:pt>
                <c:pt idx="78">
                  <c:v>45032</c:v>
                </c:pt>
                <c:pt idx="79">
                  <c:v>45033</c:v>
                </c:pt>
                <c:pt idx="80">
                  <c:v>45034</c:v>
                </c:pt>
                <c:pt idx="81">
                  <c:v>45035</c:v>
                </c:pt>
                <c:pt idx="82">
                  <c:v>45036</c:v>
                </c:pt>
                <c:pt idx="83">
                  <c:v>45037</c:v>
                </c:pt>
                <c:pt idx="84">
                  <c:v>45038</c:v>
                </c:pt>
                <c:pt idx="85">
                  <c:v>45039</c:v>
                </c:pt>
                <c:pt idx="86">
                  <c:v>45040</c:v>
                </c:pt>
                <c:pt idx="87">
                  <c:v>45041</c:v>
                </c:pt>
                <c:pt idx="88">
                  <c:v>45042</c:v>
                </c:pt>
                <c:pt idx="89">
                  <c:v>45043</c:v>
                </c:pt>
                <c:pt idx="90">
                  <c:v>45044</c:v>
                </c:pt>
                <c:pt idx="91">
                  <c:v>45045</c:v>
                </c:pt>
                <c:pt idx="92">
                  <c:v>45046</c:v>
                </c:pt>
                <c:pt idx="93">
                  <c:v>45047</c:v>
                </c:pt>
                <c:pt idx="94">
                  <c:v>45048</c:v>
                </c:pt>
                <c:pt idx="95">
                  <c:v>45049</c:v>
                </c:pt>
                <c:pt idx="96">
                  <c:v>45050</c:v>
                </c:pt>
                <c:pt idx="97">
                  <c:v>45051</c:v>
                </c:pt>
                <c:pt idx="98">
                  <c:v>45052</c:v>
                </c:pt>
                <c:pt idx="99">
                  <c:v>45053</c:v>
                </c:pt>
                <c:pt idx="100">
                  <c:v>45054</c:v>
                </c:pt>
                <c:pt idx="101">
                  <c:v>45055</c:v>
                </c:pt>
                <c:pt idx="102">
                  <c:v>45056</c:v>
                </c:pt>
                <c:pt idx="103">
                  <c:v>45057</c:v>
                </c:pt>
                <c:pt idx="104">
                  <c:v>45058</c:v>
                </c:pt>
                <c:pt idx="105">
                  <c:v>45059</c:v>
                </c:pt>
                <c:pt idx="106">
                  <c:v>45060</c:v>
                </c:pt>
                <c:pt idx="107">
                  <c:v>45061</c:v>
                </c:pt>
                <c:pt idx="108">
                  <c:v>45062</c:v>
                </c:pt>
                <c:pt idx="109">
                  <c:v>45063</c:v>
                </c:pt>
                <c:pt idx="110">
                  <c:v>45064</c:v>
                </c:pt>
                <c:pt idx="111">
                  <c:v>45065</c:v>
                </c:pt>
                <c:pt idx="112">
                  <c:v>45066</c:v>
                </c:pt>
                <c:pt idx="113">
                  <c:v>45067</c:v>
                </c:pt>
                <c:pt idx="114">
                  <c:v>45068</c:v>
                </c:pt>
                <c:pt idx="115">
                  <c:v>45069</c:v>
                </c:pt>
                <c:pt idx="116">
                  <c:v>45070</c:v>
                </c:pt>
                <c:pt idx="117">
                  <c:v>45071</c:v>
                </c:pt>
                <c:pt idx="118">
                  <c:v>45072</c:v>
                </c:pt>
                <c:pt idx="119">
                  <c:v>45073</c:v>
                </c:pt>
                <c:pt idx="120">
                  <c:v>45074</c:v>
                </c:pt>
                <c:pt idx="121">
                  <c:v>45075</c:v>
                </c:pt>
                <c:pt idx="122">
                  <c:v>45076</c:v>
                </c:pt>
                <c:pt idx="123">
                  <c:v>45077</c:v>
                </c:pt>
                <c:pt idx="124">
                  <c:v>45078</c:v>
                </c:pt>
                <c:pt idx="125">
                  <c:v>45079</c:v>
                </c:pt>
                <c:pt idx="126">
                  <c:v>45080</c:v>
                </c:pt>
                <c:pt idx="127">
                  <c:v>45081</c:v>
                </c:pt>
                <c:pt idx="128">
                  <c:v>45082</c:v>
                </c:pt>
                <c:pt idx="129">
                  <c:v>45083</c:v>
                </c:pt>
                <c:pt idx="130">
                  <c:v>45084</c:v>
                </c:pt>
                <c:pt idx="131">
                  <c:v>45085</c:v>
                </c:pt>
                <c:pt idx="132">
                  <c:v>45086</c:v>
                </c:pt>
                <c:pt idx="133">
                  <c:v>45087</c:v>
                </c:pt>
                <c:pt idx="134">
                  <c:v>45088</c:v>
                </c:pt>
                <c:pt idx="135">
                  <c:v>45089</c:v>
                </c:pt>
                <c:pt idx="136">
                  <c:v>45090</c:v>
                </c:pt>
                <c:pt idx="137">
                  <c:v>45091</c:v>
                </c:pt>
                <c:pt idx="138">
                  <c:v>45092</c:v>
                </c:pt>
                <c:pt idx="139">
                  <c:v>45093</c:v>
                </c:pt>
                <c:pt idx="140">
                  <c:v>45094</c:v>
                </c:pt>
                <c:pt idx="141">
                  <c:v>45095</c:v>
                </c:pt>
                <c:pt idx="142">
                  <c:v>45096</c:v>
                </c:pt>
                <c:pt idx="143">
                  <c:v>45097</c:v>
                </c:pt>
                <c:pt idx="144">
                  <c:v>45098</c:v>
                </c:pt>
                <c:pt idx="145">
                  <c:v>45099</c:v>
                </c:pt>
                <c:pt idx="146">
                  <c:v>45100</c:v>
                </c:pt>
                <c:pt idx="147">
                  <c:v>45101</c:v>
                </c:pt>
                <c:pt idx="148">
                  <c:v>45102</c:v>
                </c:pt>
                <c:pt idx="149">
                  <c:v>45103</c:v>
                </c:pt>
                <c:pt idx="150">
                  <c:v>45104</c:v>
                </c:pt>
                <c:pt idx="151">
                  <c:v>45105</c:v>
                </c:pt>
                <c:pt idx="152">
                  <c:v>45106</c:v>
                </c:pt>
                <c:pt idx="153">
                  <c:v>45107</c:v>
                </c:pt>
                <c:pt idx="154">
                  <c:v>45108</c:v>
                </c:pt>
                <c:pt idx="155">
                  <c:v>45109</c:v>
                </c:pt>
                <c:pt idx="156">
                  <c:v>45110</c:v>
                </c:pt>
                <c:pt idx="157">
                  <c:v>45111</c:v>
                </c:pt>
                <c:pt idx="158">
                  <c:v>45112</c:v>
                </c:pt>
                <c:pt idx="159">
                  <c:v>45113</c:v>
                </c:pt>
                <c:pt idx="160">
                  <c:v>45114</c:v>
                </c:pt>
                <c:pt idx="161">
                  <c:v>45115</c:v>
                </c:pt>
                <c:pt idx="162">
                  <c:v>45116</c:v>
                </c:pt>
                <c:pt idx="163">
                  <c:v>45117</c:v>
                </c:pt>
                <c:pt idx="164">
                  <c:v>45118</c:v>
                </c:pt>
                <c:pt idx="165">
                  <c:v>45119</c:v>
                </c:pt>
                <c:pt idx="166">
                  <c:v>45120</c:v>
                </c:pt>
                <c:pt idx="167">
                  <c:v>45121</c:v>
                </c:pt>
                <c:pt idx="168">
                  <c:v>45122</c:v>
                </c:pt>
                <c:pt idx="169">
                  <c:v>45123</c:v>
                </c:pt>
                <c:pt idx="170">
                  <c:v>45124</c:v>
                </c:pt>
                <c:pt idx="171">
                  <c:v>45125</c:v>
                </c:pt>
                <c:pt idx="172">
                  <c:v>45126</c:v>
                </c:pt>
                <c:pt idx="173">
                  <c:v>45127</c:v>
                </c:pt>
                <c:pt idx="174">
                  <c:v>45128</c:v>
                </c:pt>
                <c:pt idx="175">
                  <c:v>45129</c:v>
                </c:pt>
                <c:pt idx="176">
                  <c:v>45130</c:v>
                </c:pt>
                <c:pt idx="177">
                  <c:v>45131</c:v>
                </c:pt>
                <c:pt idx="178">
                  <c:v>45132</c:v>
                </c:pt>
                <c:pt idx="179">
                  <c:v>45133</c:v>
                </c:pt>
                <c:pt idx="180">
                  <c:v>45134</c:v>
                </c:pt>
                <c:pt idx="181">
                  <c:v>45135</c:v>
                </c:pt>
                <c:pt idx="182">
                  <c:v>45136</c:v>
                </c:pt>
                <c:pt idx="183">
                  <c:v>45137</c:v>
                </c:pt>
                <c:pt idx="184">
                  <c:v>45138</c:v>
                </c:pt>
                <c:pt idx="185">
                  <c:v>45139</c:v>
                </c:pt>
                <c:pt idx="186">
                  <c:v>45140</c:v>
                </c:pt>
                <c:pt idx="187">
                  <c:v>45141</c:v>
                </c:pt>
                <c:pt idx="188">
                  <c:v>45142</c:v>
                </c:pt>
                <c:pt idx="189">
                  <c:v>45143</c:v>
                </c:pt>
                <c:pt idx="190">
                  <c:v>45144</c:v>
                </c:pt>
                <c:pt idx="191">
                  <c:v>45145</c:v>
                </c:pt>
                <c:pt idx="192">
                  <c:v>45146</c:v>
                </c:pt>
                <c:pt idx="193">
                  <c:v>45147</c:v>
                </c:pt>
                <c:pt idx="194">
                  <c:v>45148</c:v>
                </c:pt>
                <c:pt idx="195">
                  <c:v>45149</c:v>
                </c:pt>
                <c:pt idx="196">
                  <c:v>45150</c:v>
                </c:pt>
                <c:pt idx="197">
                  <c:v>45151</c:v>
                </c:pt>
                <c:pt idx="198">
                  <c:v>45152</c:v>
                </c:pt>
                <c:pt idx="199">
                  <c:v>45153</c:v>
                </c:pt>
                <c:pt idx="200">
                  <c:v>45154</c:v>
                </c:pt>
                <c:pt idx="201">
                  <c:v>45155</c:v>
                </c:pt>
                <c:pt idx="202">
                  <c:v>45156</c:v>
                </c:pt>
                <c:pt idx="203">
                  <c:v>45157</c:v>
                </c:pt>
                <c:pt idx="204">
                  <c:v>45158</c:v>
                </c:pt>
                <c:pt idx="205">
                  <c:v>45159</c:v>
                </c:pt>
                <c:pt idx="206">
                  <c:v>45160</c:v>
                </c:pt>
                <c:pt idx="207">
                  <c:v>45161</c:v>
                </c:pt>
                <c:pt idx="208">
                  <c:v>45162</c:v>
                </c:pt>
                <c:pt idx="209">
                  <c:v>45163</c:v>
                </c:pt>
                <c:pt idx="210">
                  <c:v>45164</c:v>
                </c:pt>
                <c:pt idx="211">
                  <c:v>45165</c:v>
                </c:pt>
                <c:pt idx="212">
                  <c:v>45166</c:v>
                </c:pt>
                <c:pt idx="213">
                  <c:v>45167</c:v>
                </c:pt>
                <c:pt idx="214">
                  <c:v>45168</c:v>
                </c:pt>
                <c:pt idx="215">
                  <c:v>45169</c:v>
                </c:pt>
                <c:pt idx="216">
                  <c:v>45170</c:v>
                </c:pt>
                <c:pt idx="217">
                  <c:v>45171</c:v>
                </c:pt>
                <c:pt idx="218">
                  <c:v>45172</c:v>
                </c:pt>
                <c:pt idx="219">
                  <c:v>45173</c:v>
                </c:pt>
                <c:pt idx="220">
                  <c:v>45174</c:v>
                </c:pt>
                <c:pt idx="221">
                  <c:v>45175</c:v>
                </c:pt>
                <c:pt idx="222">
                  <c:v>45176</c:v>
                </c:pt>
                <c:pt idx="223">
                  <c:v>45177</c:v>
                </c:pt>
                <c:pt idx="224">
                  <c:v>45178</c:v>
                </c:pt>
                <c:pt idx="225">
                  <c:v>45179</c:v>
                </c:pt>
                <c:pt idx="226">
                  <c:v>45180</c:v>
                </c:pt>
                <c:pt idx="227">
                  <c:v>45181</c:v>
                </c:pt>
                <c:pt idx="228">
                  <c:v>45182</c:v>
                </c:pt>
                <c:pt idx="229">
                  <c:v>45183</c:v>
                </c:pt>
                <c:pt idx="230">
                  <c:v>45184</c:v>
                </c:pt>
                <c:pt idx="231">
                  <c:v>45185</c:v>
                </c:pt>
                <c:pt idx="232">
                  <c:v>45186</c:v>
                </c:pt>
                <c:pt idx="233">
                  <c:v>45187</c:v>
                </c:pt>
                <c:pt idx="234">
                  <c:v>45188</c:v>
                </c:pt>
                <c:pt idx="235">
                  <c:v>45189</c:v>
                </c:pt>
                <c:pt idx="236">
                  <c:v>45190</c:v>
                </c:pt>
                <c:pt idx="237">
                  <c:v>45191</c:v>
                </c:pt>
                <c:pt idx="238">
                  <c:v>45192</c:v>
                </c:pt>
                <c:pt idx="239">
                  <c:v>45193</c:v>
                </c:pt>
                <c:pt idx="240">
                  <c:v>45194</c:v>
                </c:pt>
                <c:pt idx="241">
                  <c:v>45195</c:v>
                </c:pt>
                <c:pt idx="242">
                  <c:v>45196</c:v>
                </c:pt>
                <c:pt idx="243">
                  <c:v>45197</c:v>
                </c:pt>
                <c:pt idx="244">
                  <c:v>45198</c:v>
                </c:pt>
                <c:pt idx="245">
                  <c:v>45199</c:v>
                </c:pt>
                <c:pt idx="246">
                  <c:v>45200</c:v>
                </c:pt>
                <c:pt idx="247">
                  <c:v>45201</c:v>
                </c:pt>
                <c:pt idx="248">
                  <c:v>45202</c:v>
                </c:pt>
                <c:pt idx="249">
                  <c:v>45203</c:v>
                </c:pt>
                <c:pt idx="250">
                  <c:v>45204</c:v>
                </c:pt>
                <c:pt idx="251">
                  <c:v>45205</c:v>
                </c:pt>
                <c:pt idx="252">
                  <c:v>45206</c:v>
                </c:pt>
                <c:pt idx="253">
                  <c:v>45207</c:v>
                </c:pt>
                <c:pt idx="254">
                  <c:v>45208</c:v>
                </c:pt>
                <c:pt idx="255">
                  <c:v>45209</c:v>
                </c:pt>
                <c:pt idx="256">
                  <c:v>45210</c:v>
                </c:pt>
                <c:pt idx="257">
                  <c:v>45211</c:v>
                </c:pt>
                <c:pt idx="258">
                  <c:v>45212</c:v>
                </c:pt>
                <c:pt idx="259">
                  <c:v>45213</c:v>
                </c:pt>
                <c:pt idx="260">
                  <c:v>45214</c:v>
                </c:pt>
                <c:pt idx="261">
                  <c:v>45215</c:v>
                </c:pt>
                <c:pt idx="262">
                  <c:v>45216</c:v>
                </c:pt>
                <c:pt idx="263">
                  <c:v>45217</c:v>
                </c:pt>
                <c:pt idx="264">
                  <c:v>45218</c:v>
                </c:pt>
                <c:pt idx="265">
                  <c:v>45219</c:v>
                </c:pt>
                <c:pt idx="266">
                  <c:v>45220</c:v>
                </c:pt>
                <c:pt idx="267">
                  <c:v>45221</c:v>
                </c:pt>
                <c:pt idx="268">
                  <c:v>45222</c:v>
                </c:pt>
                <c:pt idx="269">
                  <c:v>45223</c:v>
                </c:pt>
                <c:pt idx="270">
                  <c:v>45224</c:v>
                </c:pt>
                <c:pt idx="271">
                  <c:v>45225</c:v>
                </c:pt>
                <c:pt idx="272">
                  <c:v>45226</c:v>
                </c:pt>
                <c:pt idx="273">
                  <c:v>45227</c:v>
                </c:pt>
                <c:pt idx="274">
                  <c:v>45228</c:v>
                </c:pt>
                <c:pt idx="275">
                  <c:v>45229</c:v>
                </c:pt>
                <c:pt idx="276">
                  <c:v>45230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Interface'!$V$6:$V$495</c:f>
              <c:numCache>
                <c:formatCode>General</c:formatCode>
                <c:ptCount val="490"/>
                <c:pt idx="0">
                  <c:v>23.793768644734399</c:v>
                </c:pt>
                <c:pt idx="1">
                  <c:v>24.425023964354601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5.8525136439330003</c:v>
                </c:pt>
                <c:pt idx="17">
                  <c:v>6.1154400489536602</c:v>
                </c:pt>
                <c:pt idx="18">
                  <c:v>6.3823633315069896</c:v>
                </c:pt>
                <c:pt idx="19">
                  <c:v>6.6561872109164497</c:v>
                </c:pt>
                <c:pt idx="20">
                  <c:v>6.9468547700113898</c:v>
                </c:pt>
                <c:pt idx="21">
                  <c:v>7.25536746174076</c:v>
                </c:pt>
                <c:pt idx="22">
                  <c:v>7.58426613968716</c:v>
                </c:pt>
                <c:pt idx="23">
                  <c:v>7.9327086819732404</c:v>
                </c:pt>
                <c:pt idx="24">
                  <c:v>8.2918788382152506</c:v>
                </c:pt>
                <c:pt idx="25">
                  <c:v>8.6661727505606603</c:v>
                </c:pt>
                <c:pt idx="26">
                  <c:v>9.0322701604247193</c:v>
                </c:pt>
                <c:pt idx="27">
                  <c:v>9.3958421699187298</c:v>
                </c:pt>
                <c:pt idx="28">
                  <c:v>9.7860787295630693</c:v>
                </c:pt>
                <c:pt idx="29">
                  <c:v>10.179168859379001</c:v>
                </c:pt>
                <c:pt idx="30">
                  <c:v>10.5844268813097</c:v>
                </c:pt>
                <c:pt idx="31">
                  <c:v>11.0226522890804</c:v>
                </c:pt>
                <c:pt idx="32">
                  <c:v>11.4678321330712</c:v>
                </c:pt>
                <c:pt idx="33">
                  <c:v>11.9280980873323</c:v>
                </c:pt>
                <c:pt idx="34">
                  <c:v>12.4108380740426</c:v>
                </c:pt>
                <c:pt idx="35">
                  <c:v>12.897924192313599</c:v>
                </c:pt>
                <c:pt idx="36">
                  <c:v>13.413405536224801</c:v>
                </c:pt>
                <c:pt idx="37">
                  <c:v>13.9329468052025</c:v>
                </c:pt>
                <c:pt idx="38">
                  <c:v>14.464598793067999</c:v>
                </c:pt>
                <c:pt idx="39">
                  <c:v>15.017371266876101</c:v>
                </c:pt>
                <c:pt idx="40">
                  <c:v>15.5820164592191</c:v>
                </c:pt>
                <c:pt idx="41">
                  <c:v>16.183294149611999</c:v>
                </c:pt>
                <c:pt idx="42">
                  <c:v>16.792788535406501</c:v>
                </c:pt>
                <c:pt idx="43">
                  <c:v>17.4293112918627</c:v>
                </c:pt>
                <c:pt idx="44">
                  <c:v>18.044406033828501</c:v>
                </c:pt>
                <c:pt idx="45">
                  <c:v>18.701260604645999</c:v>
                </c:pt>
                <c:pt idx="46">
                  <c:v>19.4299351096533</c:v>
                </c:pt>
                <c:pt idx="47">
                  <c:v>20.2213139744808</c:v>
                </c:pt>
                <c:pt idx="48">
                  <c:v>20.9642619519135</c:v>
                </c:pt>
                <c:pt idx="49">
                  <c:v>21.697524714443102</c:v>
                </c:pt>
                <c:pt idx="50">
                  <c:v>22.478422070479901</c:v>
                </c:pt>
                <c:pt idx="51">
                  <c:v>23.3036980384007</c:v>
                </c:pt>
                <c:pt idx="52">
                  <c:v>24.1710034808135</c:v>
                </c:pt>
                <c:pt idx="53">
                  <c:v>25.078613699132699</c:v>
                </c:pt>
                <c:pt idx="54">
                  <c:v>26.024131967404202</c:v>
                </c:pt>
                <c:pt idx="55">
                  <c:v>26.968665947490301</c:v>
                </c:pt>
                <c:pt idx="56">
                  <c:v>27.9830632857458</c:v>
                </c:pt>
                <c:pt idx="57">
                  <c:v>29.041198989192999</c:v>
                </c:pt>
                <c:pt idx="58">
                  <c:v>30.153059516614501</c:v>
                </c:pt>
                <c:pt idx="59">
                  <c:v>31.213915370336899</c:v>
                </c:pt>
                <c:pt idx="60">
                  <c:v>32.337061547073901</c:v>
                </c:pt>
                <c:pt idx="61">
                  <c:v>33.511933559365701</c:v>
                </c:pt>
                <c:pt idx="62">
                  <c:v>34.685944521641197</c:v>
                </c:pt>
                <c:pt idx="63">
                  <c:v>35.876722397879497</c:v>
                </c:pt>
                <c:pt idx="64">
                  <c:v>37.0588040135016</c:v>
                </c:pt>
                <c:pt idx="65">
                  <c:v>38.352366562596103</c:v>
                </c:pt>
                <c:pt idx="66">
                  <c:v>39.663087886865199</c:v>
                </c:pt>
                <c:pt idx="67">
                  <c:v>40.909434870954598</c:v>
                </c:pt>
                <c:pt idx="68">
                  <c:v>42.1429344724408</c:v>
                </c:pt>
                <c:pt idx="69">
                  <c:v>43.3158493877187</c:v>
                </c:pt>
                <c:pt idx="70">
                  <c:v>44.571737687047403</c:v>
                </c:pt>
                <c:pt idx="71">
                  <c:v>45.908273272207403</c:v>
                </c:pt>
                <c:pt idx="72">
                  <c:v>47.291018220571601</c:v>
                </c:pt>
                <c:pt idx="73">
                  <c:v>48.681891578246798</c:v>
                </c:pt>
                <c:pt idx="74">
                  <c:v>50.195520168812898</c:v>
                </c:pt>
                <c:pt idx="75">
                  <c:v>51.696050738528299</c:v>
                </c:pt>
                <c:pt idx="76">
                  <c:v>53.108409193858101</c:v>
                </c:pt>
                <c:pt idx="77">
                  <c:v>54.580948627062199</c:v>
                </c:pt>
                <c:pt idx="78">
                  <c:v>56.1010859052816</c:v>
                </c:pt>
                <c:pt idx="79">
                  <c:v>57.622588707452401</c:v>
                </c:pt>
                <c:pt idx="80">
                  <c:v>59.180583315803602</c:v>
                </c:pt>
                <c:pt idx="81">
                  <c:v>60.6840969534436</c:v>
                </c:pt>
                <c:pt idx="82">
                  <c:v>62.376835583235199</c:v>
                </c:pt>
                <c:pt idx="83">
                  <c:v>64.103191153679006</c:v>
                </c:pt>
                <c:pt idx="84">
                  <c:v>65.780083816690393</c:v>
                </c:pt>
                <c:pt idx="85">
                  <c:v>67.5290507702897</c:v>
                </c:pt>
                <c:pt idx="86">
                  <c:v>69.428923495122106</c:v>
                </c:pt>
                <c:pt idx="87">
                  <c:v>71.313263100482203</c:v>
                </c:pt>
                <c:pt idx="88">
                  <c:v>73.168878938492796</c:v>
                </c:pt>
                <c:pt idx="89">
                  <c:v>75.176277279926694</c:v>
                </c:pt>
                <c:pt idx="90">
                  <c:v>77.124019349311695</c:v>
                </c:pt>
                <c:pt idx="91">
                  <c:v>79.066871282674597</c:v>
                </c:pt>
                <c:pt idx="92">
                  <c:v>81.014162909096996</c:v>
                </c:pt>
                <c:pt idx="93">
                  <c:v>82.735064505731899</c:v>
                </c:pt>
                <c:pt idx="94">
                  <c:v>84.474807483536495</c:v>
                </c:pt>
                <c:pt idx="95">
                  <c:v>86.422010940017799</c:v>
                </c:pt>
                <c:pt idx="96">
                  <c:v>88.404209180435004</c:v>
                </c:pt>
                <c:pt idx="97">
                  <c:v>90.483545321139005</c:v>
                </c:pt>
                <c:pt idx="98">
                  <c:v>92.5413968267992</c:v>
                </c:pt>
                <c:pt idx="99">
                  <c:v>94.532499414568804</c:v>
                </c:pt>
                <c:pt idx="100">
                  <c:v>96.566859311311305</c:v>
                </c:pt>
                <c:pt idx="101">
                  <c:v>98.835440011916504</c:v>
                </c:pt>
                <c:pt idx="102">
                  <c:v>101.07351239702</c:v>
                </c:pt>
                <c:pt idx="103">
                  <c:v>103.231334107086</c:v>
                </c:pt>
                <c:pt idx="104">
                  <c:v>105.490235699857</c:v>
                </c:pt>
                <c:pt idx="105">
                  <c:v>107.658143147472</c:v>
                </c:pt>
                <c:pt idx="106">
                  <c:v>109.866028942729</c:v>
                </c:pt>
                <c:pt idx="107">
                  <c:v>112.175355383232</c:v>
                </c:pt>
                <c:pt idx="108">
                  <c:v>114.400691960304</c:v>
                </c:pt>
                <c:pt idx="109">
                  <c:v>116.534201532578</c:v>
                </c:pt>
                <c:pt idx="110">
                  <c:v>118.570447537563</c:v>
                </c:pt>
                <c:pt idx="111">
                  <c:v>120.674931251394</c:v>
                </c:pt>
                <c:pt idx="112">
                  <c:v>122.76769658943</c:v>
                </c:pt>
                <c:pt idx="113">
                  <c:v>124.846067641274</c:v>
                </c:pt>
                <c:pt idx="114">
                  <c:v>126.676641379076</c:v>
                </c:pt>
                <c:pt idx="115">
                  <c:v>128.61821294787001</c:v>
                </c:pt>
                <c:pt idx="116">
                  <c:v>130.61248054811</c:v>
                </c:pt>
                <c:pt idx="117">
                  <c:v>132.57564714132701</c:v>
                </c:pt>
                <c:pt idx="118">
                  <c:v>134.62276832424999</c:v>
                </c:pt>
                <c:pt idx="119">
                  <c:v>136.563863163288</c:v>
                </c:pt>
                <c:pt idx="120">
                  <c:v>138.45873000999799</c:v>
                </c:pt>
                <c:pt idx="121">
                  <c:v>140.45437079681199</c:v>
                </c:pt>
                <c:pt idx="122">
                  <c:v>142.244137755483</c:v>
                </c:pt>
                <c:pt idx="123">
                  <c:v>144.047555423501</c:v>
                </c:pt>
                <c:pt idx="124">
                  <c:v>145.907617163146</c:v>
                </c:pt>
                <c:pt idx="125">
                  <c:v>147.76893461672799</c:v>
                </c:pt>
                <c:pt idx="126">
                  <c:v>149.61464963725101</c:v>
                </c:pt>
                <c:pt idx="127">
                  <c:v>151.658095485487</c:v>
                </c:pt>
                <c:pt idx="128">
                  <c:v>153.653902174178</c:v>
                </c:pt>
                <c:pt idx="129">
                  <c:v>155.62702715603101</c:v>
                </c:pt>
                <c:pt idx="130">
                  <c:v>157.58149430957201</c:v>
                </c:pt>
                <c:pt idx="131">
                  <c:v>159.37199776393101</c:v>
                </c:pt>
                <c:pt idx="132">
                  <c:v>161.14286927873499</c:v>
                </c:pt>
                <c:pt idx="133">
                  <c:v>163.175618731687</c:v>
                </c:pt>
                <c:pt idx="134">
                  <c:v>165.20496822311799</c:v>
                </c:pt>
                <c:pt idx="135">
                  <c:v>167.40608603316099</c:v>
                </c:pt>
                <c:pt idx="136">
                  <c:v>169.35305302621001</c:v>
                </c:pt>
                <c:pt idx="137">
                  <c:v>171.22945102172699</c:v>
                </c:pt>
                <c:pt idx="138">
                  <c:v>172.89757439243701</c:v>
                </c:pt>
                <c:pt idx="139">
                  <c:v>174.76338797816899</c:v>
                </c:pt>
                <c:pt idx="140">
                  <c:v>176.64276476060701</c:v>
                </c:pt>
                <c:pt idx="141">
                  <c:v>178.53193886727399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0.70714196864573198</c:v>
                </c:pt>
                <c:pt idx="157">
                  <c:v>0.73292848917164399</c:v>
                </c:pt>
                <c:pt idx="158">
                  <c:v>0.76216849690232302</c:v>
                </c:pt>
                <c:pt idx="159">
                  <c:v>0.79163100895821203</c:v>
                </c:pt>
                <c:pt idx="160">
                  <c:v>0.82404469909781097</c:v>
                </c:pt>
                <c:pt idx="161">
                  <c:v>0.85374529212390704</c:v>
                </c:pt>
                <c:pt idx="162">
                  <c:v>0.88313186576573899</c:v>
                </c:pt>
                <c:pt idx="163">
                  <c:v>0.91382044655391304</c:v>
                </c:pt>
                <c:pt idx="164">
                  <c:v>0.944733116514614</c:v>
                </c:pt>
                <c:pt idx="165">
                  <c:v>0.97802812417898699</c:v>
                </c:pt>
                <c:pt idx="166">
                  <c:v>1.0112971587012101</c:v>
                </c:pt>
                <c:pt idx="167">
                  <c:v>1.0449061704295901</c:v>
                </c:pt>
                <c:pt idx="168">
                  <c:v>1.08380839077391</c:v>
                </c:pt>
                <c:pt idx="169">
                  <c:v>1.1241147721899001</c:v>
                </c:pt>
                <c:pt idx="170">
                  <c:v>1.16938853244714</c:v>
                </c:pt>
                <c:pt idx="171">
                  <c:v>1.21270252077941</c:v>
                </c:pt>
                <c:pt idx="172">
                  <c:v>1.2583231833873001</c:v>
                </c:pt>
                <c:pt idx="173">
                  <c:v>1.30832220389503</c:v>
                </c:pt>
                <c:pt idx="174">
                  <c:v>1.3620911881169</c:v>
                </c:pt>
                <c:pt idx="175">
                  <c:v>1.4191195266777601</c:v>
                </c:pt>
                <c:pt idx="176">
                  <c:v>1.47479908371832</c:v>
                </c:pt>
                <c:pt idx="177">
                  <c:v>1.53241538192383</c:v>
                </c:pt>
                <c:pt idx="178">
                  <c:v>1.5891381228696</c:v>
                </c:pt>
                <c:pt idx="179">
                  <c:v>1.64675041179036</c:v>
                </c:pt>
                <c:pt idx="180">
                  <c:v>1.71030654524126</c:v>
                </c:pt>
                <c:pt idx="181">
                  <c:v>1.7737115035393201</c:v>
                </c:pt>
                <c:pt idx="182">
                  <c:v>1.8397190644280199</c:v>
                </c:pt>
                <c:pt idx="183">
                  <c:v>1.9014613241603799</c:v>
                </c:pt>
                <c:pt idx="184">
                  <c:v>1.9696830885432099</c:v>
                </c:pt>
                <c:pt idx="185">
                  <c:v>2.0532628389773602</c:v>
                </c:pt>
                <c:pt idx="186">
                  <c:v>2.14239030987157</c:v>
                </c:pt>
                <c:pt idx="187">
                  <c:v>2.23076247700922</c:v>
                </c:pt>
                <c:pt idx="188">
                  <c:v>2.3232759888196801</c:v>
                </c:pt>
                <c:pt idx="189">
                  <c:v>2.4154025984252598</c:v>
                </c:pt>
                <c:pt idx="190">
                  <c:v>2.5120030170319398</c:v>
                </c:pt>
                <c:pt idx="191">
                  <c:v>2.6133011757421398</c:v>
                </c:pt>
                <c:pt idx="192">
                  <c:v>2.7127516221867398</c:v>
                </c:pt>
                <c:pt idx="193">
                  <c:v>2.80427166277074</c:v>
                </c:pt>
                <c:pt idx="194">
                  <c:v>2.8919553299036398</c:v>
                </c:pt>
                <c:pt idx="195">
                  <c:v>2.9932473835628599</c:v>
                </c:pt>
                <c:pt idx="196">
                  <c:v>3.1027583287668001</c:v>
                </c:pt>
                <c:pt idx="197">
                  <c:v>3.2195526653617299</c:v>
                </c:pt>
                <c:pt idx="198">
                  <c:v>3.34398688060159</c:v>
                </c:pt>
                <c:pt idx="199">
                  <c:v>3.4681758459760101</c:v>
                </c:pt>
                <c:pt idx="200">
                  <c:v>3.6001260876068599</c:v>
                </c:pt>
                <c:pt idx="201">
                  <c:v>3.73536022376063</c:v>
                </c:pt>
                <c:pt idx="202">
                  <c:v>3.8635464969203599</c:v>
                </c:pt>
                <c:pt idx="203">
                  <c:v>4.0054912793067796</c:v>
                </c:pt>
                <c:pt idx="204">
                  <c:v>4.1484845922443698</c:v>
                </c:pt>
                <c:pt idx="205">
                  <c:v>4.3042298611995804</c:v>
                </c:pt>
                <c:pt idx="206">
                  <c:v>4.4608696927173304</c:v>
                </c:pt>
                <c:pt idx="207">
                  <c:v>4.6234307189765396</c:v>
                </c:pt>
                <c:pt idx="208">
                  <c:v>4.7965480695367697</c:v>
                </c:pt>
                <c:pt idx="209">
                  <c:v>4.9721209520701697</c:v>
                </c:pt>
                <c:pt idx="210">
                  <c:v>5.1719722038906504</c:v>
                </c:pt>
                <c:pt idx="211">
                  <c:v>5.3792788048963196</c:v>
                </c:pt>
                <c:pt idx="212">
                  <c:v>5.6001405065840597</c:v>
                </c:pt>
                <c:pt idx="213">
                  <c:v>5.8178963068978096</c:v>
                </c:pt>
                <c:pt idx="214">
                  <c:v>6.05422383438016</c:v>
                </c:pt>
                <c:pt idx="215">
                  <c:v>6.2881473420629401</c:v>
                </c:pt>
                <c:pt idx="216">
                  <c:v>6.5167421238140397</c:v>
                </c:pt>
                <c:pt idx="217">
                  <c:v>6.7410816061182697</c:v>
                </c:pt>
                <c:pt idx="218">
                  <c:v>6.9736423253004602</c:v>
                </c:pt>
                <c:pt idx="219">
                  <c:v>7.2199125419911301</c:v>
                </c:pt>
                <c:pt idx="220">
                  <c:v>7.4655643305426604</c:v>
                </c:pt>
                <c:pt idx="221">
                  <c:v>7.7320492136435703</c:v>
                </c:pt>
                <c:pt idx="222">
                  <c:v>8.0172780061961006</c:v>
                </c:pt>
                <c:pt idx="223">
                  <c:v>8.3048518904009097</c:v>
                </c:pt>
                <c:pt idx="224">
                  <c:v>8.5725191858543397</c:v>
                </c:pt>
                <c:pt idx="225">
                  <c:v>8.85991626859796</c:v>
                </c:pt>
                <c:pt idx="226">
                  <c:v>9.1702842019963597</c:v>
                </c:pt>
                <c:pt idx="227">
                  <c:v>9.4823112190450694</c:v>
                </c:pt>
                <c:pt idx="228">
                  <c:v>9.8248725386926505</c:v>
                </c:pt>
                <c:pt idx="229">
                  <c:v>10.1716911808173</c:v>
                </c:pt>
                <c:pt idx="230">
                  <c:v>10.534904809369401</c:v>
                </c:pt>
                <c:pt idx="231">
                  <c:v>10.9033756571912</c:v>
                </c:pt>
                <c:pt idx="232">
                  <c:v>11.310415353412299</c:v>
                </c:pt>
                <c:pt idx="233">
                  <c:v>11.6964192657013</c:v>
                </c:pt>
                <c:pt idx="234">
                  <c:v>12.0600625982766</c:v>
                </c:pt>
                <c:pt idx="235">
                  <c:v>12.425511031050901</c:v>
                </c:pt>
                <c:pt idx="236">
                  <c:v>12.7772155709751</c:v>
                </c:pt>
                <c:pt idx="237">
                  <c:v>13.1449773796664</c:v>
                </c:pt>
                <c:pt idx="238">
                  <c:v>13.5473292442791</c:v>
                </c:pt>
                <c:pt idx="239">
                  <c:v>13.980637647143899</c:v>
                </c:pt>
                <c:pt idx="240">
                  <c:v>14.437298729329999</c:v>
                </c:pt>
                <c:pt idx="241">
                  <c:v>14.8832725631421</c:v>
                </c:pt>
                <c:pt idx="242">
                  <c:v>15.3482301164855</c:v>
                </c:pt>
                <c:pt idx="243">
                  <c:v>15.8284881659117</c:v>
                </c:pt>
                <c:pt idx="244">
                  <c:v>16.325556507442201</c:v>
                </c:pt>
                <c:pt idx="245">
                  <c:v>16.8212018022896</c:v>
                </c:pt>
                <c:pt idx="246">
                  <c:v>17.285051219098801</c:v>
                </c:pt>
                <c:pt idx="247">
                  <c:v>17.7656063866302</c:v>
                </c:pt>
                <c:pt idx="248">
                  <c:v>18.284847652573099</c:v>
                </c:pt>
                <c:pt idx="249">
                  <c:v>18.765205785342602</c:v>
                </c:pt>
                <c:pt idx="250">
                  <c:v>19.243620200494998</c:v>
                </c:pt>
                <c:pt idx="251">
                  <c:v>19.719147540920599</c:v>
                </c:pt>
                <c:pt idx="252">
                  <c:v>20.2057161404786</c:v>
                </c:pt>
                <c:pt idx="253">
                  <c:v>20.680154633732599</c:v>
                </c:pt>
                <c:pt idx="254">
                  <c:v>21.138855304563201</c:v>
                </c:pt>
                <c:pt idx="255">
                  <c:v>21.5865867557104</c:v>
                </c:pt>
                <c:pt idx="256">
                  <c:v>22.076341595819201</c:v>
                </c:pt>
                <c:pt idx="257">
                  <c:v>22.565710930663201</c:v>
                </c:pt>
                <c:pt idx="258">
                  <c:v>23.033506326479301</c:v>
                </c:pt>
                <c:pt idx="259">
                  <c:v>23.519973627098601</c:v>
                </c:pt>
                <c:pt idx="260">
                  <c:v>23.996853735045399</c:v>
                </c:pt>
                <c:pt idx="261">
                  <c:v>24.453293310667199</c:v>
                </c:pt>
                <c:pt idx="262">
                  <c:v>24.927614979424298</c:v>
                </c:pt>
                <c:pt idx="263">
                  <c:v>25.3850111449377</c:v>
                </c:pt>
                <c:pt idx="264">
                  <c:v>25.813562708212501</c:v>
                </c:pt>
                <c:pt idx="265">
                  <c:v>26.251733394280599</c:v>
                </c:pt>
                <c:pt idx="266">
                  <c:v>26.675049099256299</c:v>
                </c:pt>
                <c:pt idx="267">
                  <c:v>27.103513524830099</c:v>
                </c:pt>
                <c:pt idx="268">
                  <c:v>27.4997087660972</c:v>
                </c:pt>
                <c:pt idx="269">
                  <c:v>27.888031777260998</c:v>
                </c:pt>
                <c:pt idx="270">
                  <c:v>28.284828504075499</c:v>
                </c:pt>
                <c:pt idx="271">
                  <c:v>28.698102534617998</c:v>
                </c:pt>
                <c:pt idx="272">
                  <c:v>29.102833608980699</c:v>
                </c:pt>
                <c:pt idx="273">
                  <c:v>29.481774990594801</c:v>
                </c:pt>
                <c:pt idx="274">
                  <c:v>29.8633510793562</c:v>
                </c:pt>
                <c:pt idx="275">
                  <c:v>30.208301037674801</c:v>
                </c:pt>
                <c:pt idx="276">
                  <c:v>30.5312799554432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2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'Model Interface'!$Q$6:$Q$495</c:f>
              <c:numCache>
                <c:formatCode>General</c:formatCode>
                <c:ptCount val="490"/>
                <c:pt idx="0">
                  <c:v>50.066097462872698</c:v>
                </c:pt>
                <c:pt idx="1">
                  <c:v>50.12160227125252</c:v>
                </c:pt>
                <c:pt idx="2">
                  <c:v>51.157340402569375</c:v>
                </c:pt>
                <c:pt idx="3">
                  <c:v>52.048299665308846</c:v>
                </c:pt>
                <c:pt idx="4">
                  <c:v>52.844420752398612</c:v>
                </c:pt>
                <c:pt idx="5">
                  <c:v>53.560563447275392</c:v>
                </c:pt>
                <c:pt idx="6">
                  <c:v>54.230620734264861</c:v>
                </c:pt>
                <c:pt idx="7">
                  <c:v>54.842410853519134</c:v>
                </c:pt>
                <c:pt idx="8">
                  <c:v>55.406203172906686</c:v>
                </c:pt>
                <c:pt idx="9">
                  <c:v>55.927570202345969</c:v>
                </c:pt>
                <c:pt idx="10">
                  <c:v>56.420942579446915</c:v>
                </c:pt>
                <c:pt idx="11">
                  <c:v>56.912975641462744</c:v>
                </c:pt>
                <c:pt idx="12">
                  <c:v>57.395656033901894</c:v>
                </c:pt>
                <c:pt idx="13">
                  <c:v>57.873075646436249</c:v>
                </c:pt>
                <c:pt idx="14">
                  <c:v>58.341681332127642</c:v>
                </c:pt>
                <c:pt idx="15">
                  <c:v>58.820025279406217</c:v>
                </c:pt>
                <c:pt idx="16">
                  <c:v>59.304645925666094</c:v>
                </c:pt>
                <c:pt idx="17">
                  <c:v>59.522256128879917</c:v>
                </c:pt>
                <c:pt idx="18">
                  <c:v>59.719892633107214</c:v>
                </c:pt>
                <c:pt idx="19">
                  <c:v>59.901046718280902</c:v>
                </c:pt>
                <c:pt idx="20">
                  <c:v>60.071985815975054</c:v>
                </c:pt>
                <c:pt idx="21">
                  <c:v>60.231790686485496</c:v>
                </c:pt>
                <c:pt idx="22">
                  <c:v>60.380058531429334</c:v>
                </c:pt>
                <c:pt idx="23">
                  <c:v>60.514680218303077</c:v>
                </c:pt>
                <c:pt idx="24">
                  <c:v>60.631562692320855</c:v>
                </c:pt>
                <c:pt idx="25">
                  <c:v>60.731937619816591</c:v>
                </c:pt>
                <c:pt idx="26">
                  <c:v>60.810832562414959</c:v>
                </c:pt>
                <c:pt idx="27">
                  <c:v>60.871918388282971</c:v>
                </c:pt>
                <c:pt idx="28">
                  <c:v>60.919910040072892</c:v>
                </c:pt>
                <c:pt idx="29">
                  <c:v>60.951311337480035</c:v>
                </c:pt>
                <c:pt idx="30">
                  <c:v>60.967286349596492</c:v>
                </c:pt>
                <c:pt idx="31">
                  <c:v>60.967291880562641</c:v>
                </c:pt>
                <c:pt idx="32">
                  <c:v>60.950351736728877</c:v>
                </c:pt>
                <c:pt idx="33">
                  <c:v>60.916278777691822</c:v>
                </c:pt>
                <c:pt idx="34">
                  <c:v>60.86384820522504</c:v>
                </c:pt>
                <c:pt idx="35">
                  <c:v>60.794941218718783</c:v>
                </c:pt>
                <c:pt idx="36">
                  <c:v>60.705838901646153</c:v>
                </c:pt>
                <c:pt idx="37">
                  <c:v>60.600459826238982</c:v>
                </c:pt>
                <c:pt idx="38">
                  <c:v>60.477636692978209</c:v>
                </c:pt>
                <c:pt idx="39">
                  <c:v>60.335031979153499</c:v>
                </c:pt>
                <c:pt idx="40">
                  <c:v>60.174812148264081</c:v>
                </c:pt>
                <c:pt idx="41">
                  <c:v>59.989201173306284</c:v>
                </c:pt>
                <c:pt idx="42">
                  <c:v>59.786406127630869</c:v>
                </c:pt>
                <c:pt idx="43">
                  <c:v>59.560014055709111</c:v>
                </c:pt>
                <c:pt idx="44">
                  <c:v>59.328064210467197</c:v>
                </c:pt>
                <c:pt idx="45">
                  <c:v>59.06705974930783</c:v>
                </c:pt>
                <c:pt idx="46">
                  <c:v>58.762566472463838</c:v>
                </c:pt>
                <c:pt idx="47">
                  <c:v>58.415366417881749</c:v>
                </c:pt>
                <c:pt idx="48">
                  <c:v>58.074927098715918</c:v>
                </c:pt>
                <c:pt idx="49">
                  <c:v>57.726150175586461</c:v>
                </c:pt>
                <c:pt idx="50">
                  <c:v>57.34171676369683</c:v>
                </c:pt>
                <c:pt idx="51">
                  <c:v>56.921862108173549</c:v>
                </c:pt>
                <c:pt idx="52">
                  <c:v>56.466643802293753</c:v>
                </c:pt>
                <c:pt idx="53">
                  <c:v>55.97601583781509</c:v>
                </c:pt>
                <c:pt idx="54">
                  <c:v>55.450500056708449</c:v>
                </c:pt>
                <c:pt idx="55">
                  <c:v>54.911905495887488</c:v>
                </c:pt>
                <c:pt idx="56">
                  <c:v>54.319384763598201</c:v>
                </c:pt>
                <c:pt idx="57">
                  <c:v>53.686875352293491</c:v>
                </c:pt>
                <c:pt idx="58">
                  <c:v>53.007515869637423</c:v>
                </c:pt>
                <c:pt idx="59">
                  <c:v>52.346244114112771</c:v>
                </c:pt>
                <c:pt idx="60">
                  <c:v>51.633202738481828</c:v>
                </c:pt>
                <c:pt idx="61">
                  <c:v>50.874060409395675</c:v>
                </c:pt>
                <c:pt idx="62">
                  <c:v>50.102862347737563</c:v>
                </c:pt>
                <c:pt idx="63">
                  <c:v>49.308647289643211</c:v>
                </c:pt>
                <c:pt idx="64">
                  <c:v>48.509065922472047</c:v>
                </c:pt>
                <c:pt idx="65">
                  <c:v>47.622170255694925</c:v>
                </c:pt>
                <c:pt idx="66">
                  <c:v>46.711657435558607</c:v>
                </c:pt>
                <c:pt idx="67">
                  <c:v>45.835518912447583</c:v>
                </c:pt>
                <c:pt idx="68">
                  <c:v>44.959102745536022</c:v>
                </c:pt>
                <c:pt idx="69">
                  <c:v>44.117646241460037</c:v>
                </c:pt>
                <c:pt idx="70">
                  <c:v>43.208424677282032</c:v>
                </c:pt>
                <c:pt idx="71">
                  <c:v>42.231993318089927</c:v>
                </c:pt>
                <c:pt idx="72">
                  <c:v>41.212790085911593</c:v>
                </c:pt>
                <c:pt idx="73">
                  <c:v>40.178895935043244</c:v>
                </c:pt>
                <c:pt idx="74">
                  <c:v>39.044434046473299</c:v>
                </c:pt>
                <c:pt idx="75">
                  <c:v>37.910778504720625</c:v>
                </c:pt>
                <c:pt idx="76">
                  <c:v>36.836024237257824</c:v>
                </c:pt>
                <c:pt idx="77">
                  <c:v>35.707963988846963</c:v>
                </c:pt>
                <c:pt idx="78">
                  <c:v>34.535847559245788</c:v>
                </c:pt>
                <c:pt idx="79">
                  <c:v>33.35538643621792</c:v>
                </c:pt>
                <c:pt idx="80">
                  <c:v>32.139475171665843</c:v>
                </c:pt>
                <c:pt idx="81">
                  <c:v>30.95960737563497</c:v>
                </c:pt>
                <c:pt idx="82">
                  <c:v>128.82405625355804</c:v>
                </c:pt>
                <c:pt idx="83">
                  <c:v>127.45457568950059</c:v>
                </c:pt>
                <c:pt idx="84">
                  <c:v>126.11757886486306</c:v>
                </c:pt>
                <c:pt idx="85">
                  <c:v>124.71642441558025</c:v>
                </c:pt>
                <c:pt idx="86">
                  <c:v>123.18707252791175</c:v>
                </c:pt>
                <c:pt idx="87">
                  <c:v>121.66314959228178</c:v>
                </c:pt>
                <c:pt idx="88">
                  <c:v>120.15597125672049</c:v>
                </c:pt>
                <c:pt idx="89">
                  <c:v>118.51868655381671</c:v>
                </c:pt>
                <c:pt idx="90">
                  <c:v>116.9236717588569</c:v>
                </c:pt>
                <c:pt idx="91">
                  <c:v>115.3267573268773</c:v>
                </c:pt>
                <c:pt idx="92">
                  <c:v>113.72061153492587</c:v>
                </c:pt>
                <c:pt idx="93">
                  <c:v>112.29679327245276</c:v>
                </c:pt>
                <c:pt idx="94">
                  <c:v>110.85340446202335</c:v>
                </c:pt>
                <c:pt idx="95">
                  <c:v>109.23338850621307</c:v>
                </c:pt>
                <c:pt idx="96">
                  <c:v>107.57962776636364</c:v>
                </c:pt>
                <c:pt idx="97">
                  <c:v>105.84008329282116</c:v>
                </c:pt>
                <c:pt idx="98">
                  <c:v>104.11400262089863</c:v>
                </c:pt>
                <c:pt idx="99">
                  <c:v>102.43987920012049</c:v>
                </c:pt>
                <c:pt idx="100">
                  <c:v>100.72551930365599</c:v>
                </c:pt>
                <c:pt idx="101">
                  <c:v>98.809438603310042</c:v>
                </c:pt>
                <c:pt idx="102">
                  <c:v>96.914907885082741</c:v>
                </c:pt>
                <c:pt idx="103">
                  <c:v>95.084586175184199</c:v>
                </c:pt>
                <c:pt idx="104">
                  <c:v>93.164851249225862</c:v>
                </c:pt>
                <c:pt idx="105">
                  <c:v>91.319131301727026</c:v>
                </c:pt>
                <c:pt idx="106">
                  <c:v>89.436245506568298</c:v>
                </c:pt>
                <c:pt idx="107">
                  <c:v>87.463689899485161</c:v>
                </c:pt>
                <c:pt idx="108">
                  <c:v>85.560019989148941</c:v>
                </c:pt>
                <c:pt idx="109">
                  <c:v>83.732447916931378</c:v>
                </c:pt>
                <c:pt idx="110">
                  <c:v>81.986097745324685</c:v>
                </c:pt>
                <c:pt idx="111">
                  <c:v>80.179218198200061</c:v>
                </c:pt>
                <c:pt idx="112">
                  <c:v>78.380515360197364</c:v>
                </c:pt>
                <c:pt idx="113">
                  <c:v>76.592456808382082</c:v>
                </c:pt>
                <c:pt idx="114">
                  <c:v>75.016258070602049</c:v>
                </c:pt>
                <c:pt idx="115">
                  <c:v>73.343228168494306</c:v>
                </c:pt>
                <c:pt idx="116">
                  <c:v>71.62354390160526</c:v>
                </c:pt>
                <c:pt idx="117">
                  <c:v>69.929543975070459</c:v>
                </c:pt>
                <c:pt idx="118">
                  <c:v>68.162006125494145</c:v>
                </c:pt>
                <c:pt idx="119">
                  <c:v>66.485077953134038</c:v>
                </c:pt>
                <c:pt idx="120">
                  <c:v>64.847294439766657</c:v>
                </c:pt>
                <c:pt idx="121">
                  <c:v>63.121653652961143</c:v>
                </c:pt>
                <c:pt idx="122">
                  <c:v>61.573449194297069</c:v>
                </c:pt>
                <c:pt idx="123">
                  <c:v>60.012948192952436</c:v>
                </c:pt>
                <c:pt idx="124">
                  <c:v>58.402990619979427</c:v>
                </c:pt>
                <c:pt idx="125">
                  <c:v>56.79156899973573</c:v>
                </c:pt>
                <c:pt idx="126">
                  <c:v>55.193353979217001</c:v>
                </c:pt>
                <c:pt idx="127">
                  <c:v>53.42365813098445</c:v>
                </c:pt>
                <c:pt idx="128">
                  <c:v>51.695038942297131</c:v>
                </c:pt>
                <c:pt idx="129">
                  <c:v>49.985976460447567</c:v>
                </c:pt>
                <c:pt idx="130">
                  <c:v>48.293071806909481</c:v>
                </c:pt>
                <c:pt idx="131">
                  <c:v>46.742255852552404</c:v>
                </c:pt>
                <c:pt idx="132">
                  <c:v>45.20857183775027</c:v>
                </c:pt>
                <c:pt idx="133">
                  <c:v>43.448322384799425</c:v>
                </c:pt>
                <c:pt idx="134">
                  <c:v>41.691359257006532</c:v>
                </c:pt>
                <c:pt idx="135">
                  <c:v>39.786178946964888</c:v>
                </c:pt>
                <c:pt idx="136">
                  <c:v>38.101503620584289</c:v>
                </c:pt>
                <c:pt idx="137">
                  <c:v>36.478438958401497</c:v>
                </c:pt>
                <c:pt idx="138">
                  <c:v>35.036044754358855</c:v>
                </c:pt>
                <c:pt idx="139">
                  <c:v>33.423356168627294</c:v>
                </c:pt>
                <c:pt idx="140">
                  <c:v>31.799708552857368</c:v>
                </c:pt>
                <c:pt idx="141">
                  <c:v>30.168451112857724</c:v>
                </c:pt>
                <c:pt idx="142">
                  <c:v>47.474827005673916</c:v>
                </c:pt>
                <c:pt idx="143">
                  <c:v>62.531368785216358</c:v>
                </c:pt>
                <c:pt idx="144">
                  <c:v>74.975871165307595</c:v>
                </c:pt>
                <c:pt idx="145">
                  <c:v>84.793638221952506</c:v>
                </c:pt>
                <c:pt idx="146">
                  <c:v>93.627405339934569</c:v>
                </c:pt>
                <c:pt idx="147">
                  <c:v>102.69947166457165</c:v>
                </c:pt>
                <c:pt idx="148">
                  <c:v>110.02148932264275</c:v>
                </c:pt>
                <c:pt idx="149">
                  <c:v>116.2735832665752</c:v>
                </c:pt>
                <c:pt idx="150">
                  <c:v>121.64866332925696</c:v>
                </c:pt>
                <c:pt idx="151">
                  <c:v>126.51603536838823</c:v>
                </c:pt>
                <c:pt idx="152">
                  <c:v>130.8299539559921</c:v>
                </c:pt>
                <c:pt idx="153">
                  <c:v>134.63331233904597</c:v>
                </c:pt>
                <c:pt idx="154">
                  <c:v>138.18671665192866</c:v>
                </c:pt>
                <c:pt idx="155">
                  <c:v>141.17113852705094</c:v>
                </c:pt>
                <c:pt idx="156">
                  <c:v>144.08174025041524</c:v>
                </c:pt>
                <c:pt idx="157">
                  <c:v>146.61208753629472</c:v>
                </c:pt>
                <c:pt idx="158">
                  <c:v>149.11268133057484</c:v>
                </c:pt>
                <c:pt idx="159">
                  <c:v>151.28675058539667</c:v>
                </c:pt>
                <c:pt idx="160">
                  <c:v>153.35876331676306</c:v>
                </c:pt>
                <c:pt idx="161">
                  <c:v>154.99678348987919</c:v>
                </c:pt>
                <c:pt idx="162">
                  <c:v>156.42021335626299</c:v>
                </c:pt>
                <c:pt idx="163">
                  <c:v>157.73366894895312</c:v>
                </c:pt>
                <c:pt idx="164">
                  <c:v>158.90321001556944</c:v>
                </c:pt>
                <c:pt idx="165">
                  <c:v>160.02039087532</c:v>
                </c:pt>
                <c:pt idx="166">
                  <c:v>161.00783841512427</c:v>
                </c:pt>
                <c:pt idx="167">
                  <c:v>161.89499921190628</c:v>
                </c:pt>
                <c:pt idx="168">
                  <c:v>162.80976502312095</c:v>
                </c:pt>
                <c:pt idx="169">
                  <c:v>163.64528813932048</c:v>
                </c:pt>
                <c:pt idx="170">
                  <c:v>164.47288306286342</c:v>
                </c:pt>
                <c:pt idx="171">
                  <c:v>165.1673557634526</c:v>
                </c:pt>
                <c:pt idx="172">
                  <c:v>165.81600787870678</c:v>
                </c:pt>
                <c:pt idx="173">
                  <c:v>166.4460106869285</c:v>
                </c:pt>
                <c:pt idx="174">
                  <c:v>167.04388802893476</c:v>
                </c:pt>
                <c:pt idx="175">
                  <c:v>167.60264412516676</c:v>
                </c:pt>
                <c:pt idx="176">
                  <c:v>168.08436580421491</c:v>
                </c:pt>
                <c:pt idx="177">
                  <c:v>168.52868491519757</c:v>
                </c:pt>
                <c:pt idx="178">
                  <c:v>168.9201541860661</c:v>
                </c:pt>
                <c:pt idx="179">
                  <c:v>169.27871337261803</c:v>
                </c:pt>
                <c:pt idx="180">
                  <c:v>169.63636401301966</c:v>
                </c:pt>
                <c:pt idx="181">
                  <c:v>169.95829646273302</c:v>
                </c:pt>
                <c:pt idx="182">
                  <c:v>170.2623475681275</c:v>
                </c:pt>
                <c:pt idx="183">
                  <c:v>170.52137229260211</c:v>
                </c:pt>
                <c:pt idx="184">
                  <c:v>170.78409398380884</c:v>
                </c:pt>
                <c:pt idx="185">
                  <c:v>171.07758268916962</c:v>
                </c:pt>
                <c:pt idx="186">
                  <c:v>171.35984938252005</c:v>
                </c:pt>
                <c:pt idx="187">
                  <c:v>171.61273657982338</c:v>
                </c:pt>
                <c:pt idx="188">
                  <c:v>171.85332255199694</c:v>
                </c:pt>
                <c:pt idx="189">
                  <c:v>172.07159642534074</c:v>
                </c:pt>
                <c:pt idx="190">
                  <c:v>172.28099836025734</c:v>
                </c:pt>
                <c:pt idx="191">
                  <c:v>172.48198419811706</c:v>
                </c:pt>
                <c:pt idx="192">
                  <c:v>172.66295564402191</c:v>
                </c:pt>
                <c:pt idx="193">
                  <c:v>172.81679820794622</c:v>
                </c:pt>
                <c:pt idx="194">
                  <c:v>172.95411674127467</c:v>
                </c:pt>
                <c:pt idx="195">
                  <c:v>173.10203005426155</c:v>
                </c:pt>
                <c:pt idx="196">
                  <c:v>173.25016830661582</c:v>
                </c:pt>
                <c:pt idx="197">
                  <c:v>173.3960489399777</c:v>
                </c:pt>
                <c:pt idx="198">
                  <c:v>173.53916079132784</c:v>
                </c:pt>
                <c:pt idx="199">
                  <c:v>173.67055798305921</c:v>
                </c:pt>
                <c:pt idx="200">
                  <c:v>173.79901581378638</c:v>
                </c:pt>
                <c:pt idx="201">
                  <c:v>173.91988597568832</c:v>
                </c:pt>
                <c:pt idx="202">
                  <c:v>174.02527992966634</c:v>
                </c:pt>
                <c:pt idx="203">
                  <c:v>174.13265275688082</c:v>
                </c:pt>
                <c:pt idx="204">
                  <c:v>174.2317025570332</c:v>
                </c:pt>
                <c:pt idx="205">
                  <c:v>174.33015776189364</c:v>
                </c:pt>
                <c:pt idx="206">
                  <c:v>174.42007987947053</c:v>
                </c:pt>
                <c:pt idx="207">
                  <c:v>174.50460966506989</c:v>
                </c:pt>
                <c:pt idx="208">
                  <c:v>174.5856333409331</c:v>
                </c:pt>
                <c:pt idx="209">
                  <c:v>174.6591064785714</c:v>
                </c:pt>
                <c:pt idx="210">
                  <c:v>174.7330394806861</c:v>
                </c:pt>
                <c:pt idx="211">
                  <c:v>174.79971795347137</c:v>
                </c:pt>
                <c:pt idx="212">
                  <c:v>174.86054512989389</c:v>
                </c:pt>
                <c:pt idx="213">
                  <c:v>174.9110798667692</c:v>
                </c:pt>
                <c:pt idx="214">
                  <c:v>174.9562710627207</c:v>
                </c:pt>
                <c:pt idx="215">
                  <c:v>174.99192153060926</c:v>
                </c:pt>
                <c:pt idx="216">
                  <c:v>175.01875302598182</c:v>
                </c:pt>
                <c:pt idx="217">
                  <c:v>175.03799364302995</c:v>
                </c:pt>
                <c:pt idx="218">
                  <c:v>175.05108767052047</c:v>
                </c:pt>
                <c:pt idx="219">
                  <c:v>175.05791518510802</c:v>
                </c:pt>
                <c:pt idx="220">
                  <c:v>175.05803931289859</c:v>
                </c:pt>
                <c:pt idx="221">
                  <c:v>175.05119498408621</c:v>
                </c:pt>
                <c:pt idx="222">
                  <c:v>175.03643063356225</c:v>
                </c:pt>
                <c:pt idx="223">
                  <c:v>175.01435675586339</c:v>
                </c:pt>
                <c:pt idx="224">
                  <c:v>174.98781176758578</c:v>
                </c:pt>
                <c:pt idx="225">
                  <c:v>174.95335398133878</c:v>
                </c:pt>
                <c:pt idx="226">
                  <c:v>174.90972480736599</c:v>
                </c:pt>
                <c:pt idx="227">
                  <c:v>174.85964931708583</c:v>
                </c:pt>
                <c:pt idx="228">
                  <c:v>174.79806518944488</c:v>
                </c:pt>
                <c:pt idx="229">
                  <c:v>174.72922658055501</c:v>
                </c:pt>
                <c:pt idx="230">
                  <c:v>174.65071003055886</c:v>
                </c:pt>
                <c:pt idx="231">
                  <c:v>174.56489637076973</c:v>
                </c:pt>
                <c:pt idx="232">
                  <c:v>174.46351093695841</c:v>
                </c:pt>
                <c:pt idx="233">
                  <c:v>174.36152810228748</c:v>
                </c:pt>
                <c:pt idx="234">
                  <c:v>174.26070564321066</c:v>
                </c:pt>
                <c:pt idx="235">
                  <c:v>174.15513199786298</c:v>
                </c:pt>
                <c:pt idx="236">
                  <c:v>174.04983291682515</c:v>
                </c:pt>
                <c:pt idx="237">
                  <c:v>173.9361708162256</c:v>
                </c:pt>
                <c:pt idx="238">
                  <c:v>173.80801542020703</c:v>
                </c:pt>
                <c:pt idx="239">
                  <c:v>173.66597644791852</c:v>
                </c:pt>
                <c:pt idx="240">
                  <c:v>173.51223845085013</c:v>
                </c:pt>
                <c:pt idx="241">
                  <c:v>173.35854331241336</c:v>
                </c:pt>
                <c:pt idx="242">
                  <c:v>173.19502079073223</c:v>
                </c:pt>
                <c:pt idx="243">
                  <c:v>173.02306265382109</c:v>
                </c:pt>
                <c:pt idx="244">
                  <c:v>172.84230615988923</c:v>
                </c:pt>
                <c:pt idx="245">
                  <c:v>172.65973362185829</c:v>
                </c:pt>
                <c:pt idx="246">
                  <c:v>172.48717525831225</c:v>
                </c:pt>
                <c:pt idx="247">
                  <c:v>172.30707318292139</c:v>
                </c:pt>
                <c:pt idx="248">
                  <c:v>172.11140715614556</c:v>
                </c:pt>
                <c:pt idx="249">
                  <c:v>171.92982520905736</c:v>
                </c:pt>
                <c:pt idx="250">
                  <c:v>171.74882895621971</c:v>
                </c:pt>
                <c:pt idx="251">
                  <c:v>171.56915399007835</c:v>
                </c:pt>
                <c:pt idx="252">
                  <c:v>171.38593547517053</c:v>
                </c:pt>
                <c:pt idx="253">
                  <c:v>171.20828181793331</c:v>
                </c:pt>
                <c:pt idx="254">
                  <c:v>171.03782197615595</c:v>
                </c:pt>
                <c:pt idx="255">
                  <c:v>170.87301705535435</c:v>
                </c:pt>
                <c:pt idx="256">
                  <c:v>170.69493827233231</c:v>
                </c:pt>
                <c:pt idx="257">
                  <c:v>170.51974365382378</c:v>
                </c:pt>
                <c:pt idx="258">
                  <c:v>170.35528819140336</c:v>
                </c:pt>
                <c:pt idx="259">
                  <c:v>170.18788932228901</c:v>
                </c:pt>
                <c:pt idx="260">
                  <c:v>170.02788920299884</c:v>
                </c:pt>
                <c:pt idx="261">
                  <c:v>169.87905790017157</c:v>
                </c:pt>
                <c:pt idx="262">
                  <c:v>169.72942742564339</c:v>
                </c:pt>
                <c:pt idx="263">
                  <c:v>169.59057598625185</c:v>
                </c:pt>
                <c:pt idx="264">
                  <c:v>169.46588106181025</c:v>
                </c:pt>
                <c:pt idx="265">
                  <c:v>169.34437924304905</c:v>
                </c:pt>
                <c:pt idx="266">
                  <c:v>169.23335704510055</c:v>
                </c:pt>
                <c:pt idx="267">
                  <c:v>169.12801923828926</c:v>
                </c:pt>
                <c:pt idx="268">
                  <c:v>169.03755445774968</c:v>
                </c:pt>
                <c:pt idx="269">
                  <c:v>168.95600338783879</c:v>
                </c:pt>
                <c:pt idx="270">
                  <c:v>168.88066598436987</c:v>
                </c:pt>
                <c:pt idx="271">
                  <c:v>168.81166368383032</c:v>
                </c:pt>
                <c:pt idx="272">
                  <c:v>168.75443336498327</c:v>
                </c:pt>
                <c:pt idx="273">
                  <c:v>168.71111759135323</c:v>
                </c:pt>
                <c:pt idx="274">
                  <c:v>168.67860453305022</c:v>
                </c:pt>
                <c:pt idx="275">
                  <c:v>168.65980082065431</c:v>
                </c:pt>
                <c:pt idx="276">
                  <c:v>168.65223890610309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86704"/>
        <c:axId val="811187536"/>
        <c:extLst/>
      </c:lineChart>
      <c:scatterChart>
        <c:scatterStyle val="lineMarker"/>
        <c:varyColors val="0"/>
        <c:ser>
          <c:idx val="3"/>
          <c:order val="3"/>
          <c:tx>
            <c:v>TestValues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ConceptDemo!$C$33:$C$38</c:f>
              <c:numCache>
                <c:formatCode>m/d/yyyy</c:formatCode>
                <c:ptCount val="6"/>
              </c:numCache>
            </c:numRef>
          </c:xVal>
          <c:yVal>
            <c:numRef>
              <c:f>ConceptDemo!$D$33:$D$38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date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Offset val="100"/>
        <c:baseTimeUnit val="day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  <c:pt idx="32">
                  <c:v>45002</c:v>
                </c:pt>
                <c:pt idx="33">
                  <c:v>45003</c:v>
                </c:pt>
                <c:pt idx="34">
                  <c:v>45004</c:v>
                </c:pt>
                <c:pt idx="35">
                  <c:v>45005</c:v>
                </c:pt>
                <c:pt idx="36">
                  <c:v>45006</c:v>
                </c:pt>
                <c:pt idx="37">
                  <c:v>45007</c:v>
                </c:pt>
                <c:pt idx="38">
                  <c:v>45008</c:v>
                </c:pt>
                <c:pt idx="39">
                  <c:v>45009</c:v>
                </c:pt>
                <c:pt idx="40">
                  <c:v>45010</c:v>
                </c:pt>
                <c:pt idx="41">
                  <c:v>45011</c:v>
                </c:pt>
                <c:pt idx="42">
                  <c:v>45012</c:v>
                </c:pt>
                <c:pt idx="43">
                  <c:v>45013</c:v>
                </c:pt>
                <c:pt idx="44">
                  <c:v>45014</c:v>
                </c:pt>
                <c:pt idx="45">
                  <c:v>45015</c:v>
                </c:pt>
                <c:pt idx="46">
                  <c:v>45016</c:v>
                </c:pt>
                <c:pt idx="47">
                  <c:v>45017</c:v>
                </c:pt>
                <c:pt idx="48">
                  <c:v>45018</c:v>
                </c:pt>
                <c:pt idx="49">
                  <c:v>45019</c:v>
                </c:pt>
                <c:pt idx="50">
                  <c:v>45020</c:v>
                </c:pt>
                <c:pt idx="51">
                  <c:v>45021</c:v>
                </c:pt>
                <c:pt idx="52">
                  <c:v>45022</c:v>
                </c:pt>
                <c:pt idx="53">
                  <c:v>45023</c:v>
                </c:pt>
                <c:pt idx="54">
                  <c:v>45024</c:v>
                </c:pt>
                <c:pt idx="55">
                  <c:v>45025</c:v>
                </c:pt>
                <c:pt idx="56">
                  <c:v>45026</c:v>
                </c:pt>
                <c:pt idx="57">
                  <c:v>45027</c:v>
                </c:pt>
                <c:pt idx="58">
                  <c:v>45028</c:v>
                </c:pt>
                <c:pt idx="59">
                  <c:v>45029</c:v>
                </c:pt>
                <c:pt idx="60">
                  <c:v>45030</c:v>
                </c:pt>
                <c:pt idx="61">
                  <c:v>45031</c:v>
                </c:pt>
                <c:pt idx="62">
                  <c:v>45032</c:v>
                </c:pt>
                <c:pt idx="63">
                  <c:v>45033</c:v>
                </c:pt>
                <c:pt idx="64">
                  <c:v>45034</c:v>
                </c:pt>
                <c:pt idx="65">
                  <c:v>45035</c:v>
                </c:pt>
                <c:pt idx="66">
                  <c:v>45036</c:v>
                </c:pt>
                <c:pt idx="67">
                  <c:v>45037</c:v>
                </c:pt>
                <c:pt idx="68">
                  <c:v>45038</c:v>
                </c:pt>
                <c:pt idx="69">
                  <c:v>45039</c:v>
                </c:pt>
                <c:pt idx="70">
                  <c:v>45040</c:v>
                </c:pt>
                <c:pt idx="71">
                  <c:v>45041</c:v>
                </c:pt>
                <c:pt idx="72">
                  <c:v>45042</c:v>
                </c:pt>
                <c:pt idx="73">
                  <c:v>45043</c:v>
                </c:pt>
                <c:pt idx="74">
                  <c:v>45044</c:v>
                </c:pt>
                <c:pt idx="75">
                  <c:v>45045</c:v>
                </c:pt>
                <c:pt idx="76">
                  <c:v>45046</c:v>
                </c:pt>
                <c:pt idx="77">
                  <c:v>45047</c:v>
                </c:pt>
                <c:pt idx="78">
                  <c:v>45048</c:v>
                </c:pt>
                <c:pt idx="79">
                  <c:v>45049</c:v>
                </c:pt>
                <c:pt idx="80">
                  <c:v>45050</c:v>
                </c:pt>
                <c:pt idx="81">
                  <c:v>45051</c:v>
                </c:pt>
                <c:pt idx="82">
                  <c:v>45052</c:v>
                </c:pt>
                <c:pt idx="83">
                  <c:v>45053</c:v>
                </c:pt>
                <c:pt idx="84">
                  <c:v>45054</c:v>
                </c:pt>
                <c:pt idx="85">
                  <c:v>45055</c:v>
                </c:pt>
                <c:pt idx="86">
                  <c:v>45056</c:v>
                </c:pt>
                <c:pt idx="87">
                  <c:v>45057</c:v>
                </c:pt>
                <c:pt idx="88">
                  <c:v>45058</c:v>
                </c:pt>
                <c:pt idx="89">
                  <c:v>45059</c:v>
                </c:pt>
                <c:pt idx="90">
                  <c:v>45060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45066</c:v>
                </c:pt>
                <c:pt idx="97">
                  <c:v>45067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45073</c:v>
                </c:pt>
                <c:pt idx="104">
                  <c:v>45074</c:v>
                </c:pt>
                <c:pt idx="105">
                  <c:v>45075</c:v>
                </c:pt>
                <c:pt idx="106">
                  <c:v>45076</c:v>
                </c:pt>
                <c:pt idx="107">
                  <c:v>45077</c:v>
                </c:pt>
                <c:pt idx="108">
                  <c:v>45078</c:v>
                </c:pt>
                <c:pt idx="109">
                  <c:v>45079</c:v>
                </c:pt>
                <c:pt idx="110">
                  <c:v>45080</c:v>
                </c:pt>
                <c:pt idx="111">
                  <c:v>45081</c:v>
                </c:pt>
                <c:pt idx="112">
                  <c:v>45082</c:v>
                </c:pt>
                <c:pt idx="113">
                  <c:v>45083</c:v>
                </c:pt>
                <c:pt idx="114">
                  <c:v>45084</c:v>
                </c:pt>
                <c:pt idx="115">
                  <c:v>45085</c:v>
                </c:pt>
                <c:pt idx="116">
                  <c:v>45086</c:v>
                </c:pt>
                <c:pt idx="117">
                  <c:v>45087</c:v>
                </c:pt>
                <c:pt idx="118">
                  <c:v>45088</c:v>
                </c:pt>
                <c:pt idx="119">
                  <c:v>45089</c:v>
                </c:pt>
                <c:pt idx="120">
                  <c:v>45090</c:v>
                </c:pt>
                <c:pt idx="121">
                  <c:v>45091</c:v>
                </c:pt>
                <c:pt idx="122">
                  <c:v>45092</c:v>
                </c:pt>
                <c:pt idx="123">
                  <c:v>45093</c:v>
                </c:pt>
                <c:pt idx="124">
                  <c:v>45094</c:v>
                </c:pt>
                <c:pt idx="125">
                  <c:v>45095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100.73856757513937</c:v>
                </c:pt>
                <c:pt idx="1">
                  <c:v>98.596243111555097</c:v>
                </c:pt>
                <c:pt idx="2">
                  <c:v>97.203776942323913</c:v>
                </c:pt>
                <c:pt idx="3">
                  <c:v>94.778471141631826</c:v>
                </c:pt>
                <c:pt idx="4">
                  <c:v>94.873417747388231</c:v>
                </c:pt>
                <c:pt idx="5">
                  <c:v>94.904091862536845</c:v>
                </c:pt>
                <c:pt idx="6">
                  <c:v>95.862999814995845</c:v>
                </c:pt>
                <c:pt idx="7">
                  <c:v>94.00826511919972</c:v>
                </c:pt>
                <c:pt idx="8">
                  <c:v>92.350128002604023</c:v>
                </c:pt>
                <c:pt idx="9">
                  <c:v>96.106411300134354</c:v>
                </c:pt>
                <c:pt idx="10">
                  <c:v>93.717954727100505</c:v>
                </c:pt>
                <c:pt idx="11">
                  <c:v>92.409204775896995</c:v>
                </c:pt>
                <c:pt idx="12">
                  <c:v>90.379330232710274</c:v>
                </c:pt>
                <c:pt idx="13">
                  <c:v>88.382729989570919</c:v>
                </c:pt>
                <c:pt idx="14">
                  <c:v>85.816364733099277</c:v>
                </c:pt>
                <c:pt idx="15">
                  <c:v>83.195887052489979</c:v>
                </c:pt>
                <c:pt idx="16">
                  <c:v>82.625348165030246</c:v>
                </c:pt>
                <c:pt idx="17">
                  <c:v>82.252837286810333</c:v>
                </c:pt>
                <c:pt idx="18">
                  <c:v>80.130407818105084</c:v>
                </c:pt>
                <c:pt idx="19">
                  <c:v>80.603841820281318</c:v>
                </c:pt>
                <c:pt idx="20">
                  <c:v>81.372454106738658</c:v>
                </c:pt>
                <c:pt idx="21">
                  <c:v>81.074252851409227</c:v>
                </c:pt>
                <c:pt idx="22">
                  <c:v>83.526028931430275</c:v>
                </c:pt>
                <c:pt idx="23">
                  <c:v>82.153118797030046</c:v>
                </c:pt>
                <c:pt idx="24">
                  <c:v>79.525196926512834</c:v>
                </c:pt>
                <c:pt idx="25">
                  <c:v>78.450385484732067</c:v>
                </c:pt>
                <c:pt idx="26">
                  <c:v>79.438186400139372</c:v>
                </c:pt>
                <c:pt idx="27">
                  <c:v>78.254889614625156</c:v>
                </c:pt>
                <c:pt idx="28">
                  <c:v>76.951671538621468</c:v>
                </c:pt>
                <c:pt idx="29">
                  <c:v>74.503419518704405</c:v>
                </c:pt>
                <c:pt idx="30">
                  <c:v>71.956780838528147</c:v>
                </c:pt>
                <c:pt idx="31">
                  <c:v>71.870975741648707</c:v>
                </c:pt>
                <c:pt idx="32">
                  <c:v>70.525483048840442</c:v>
                </c:pt>
                <c:pt idx="33">
                  <c:v>71.517032055909183</c:v>
                </c:pt>
                <c:pt idx="34">
                  <c:v>69.565133390007475</c:v>
                </c:pt>
                <c:pt idx="35">
                  <c:v>66.91414430559098</c:v>
                </c:pt>
                <c:pt idx="36">
                  <c:v>65.413931633944003</c:v>
                </c:pt>
                <c:pt idx="37">
                  <c:v>64.714756887670845</c:v>
                </c:pt>
                <c:pt idx="38">
                  <c:v>64.302298603975061</c:v>
                </c:pt>
                <c:pt idx="39">
                  <c:v>65.951965927516639</c:v>
                </c:pt>
                <c:pt idx="40">
                  <c:v>66.425486268049497</c:v>
                </c:pt>
                <c:pt idx="41">
                  <c:v>67.775431914251172</c:v>
                </c:pt>
                <c:pt idx="42">
                  <c:v>67.061315473096926</c:v>
                </c:pt>
                <c:pt idx="43">
                  <c:v>66.044544912173905</c:v>
                </c:pt>
                <c:pt idx="44">
                  <c:v>66.033217924908541</c:v>
                </c:pt>
                <c:pt idx="45">
                  <c:v>65.734798863195365</c:v>
                </c:pt>
                <c:pt idx="46">
                  <c:v>65.353010654185837</c:v>
                </c:pt>
                <c:pt idx="47">
                  <c:v>64.369688201703497</c:v>
                </c:pt>
                <c:pt idx="48">
                  <c:v>62.605779618475459</c:v>
                </c:pt>
                <c:pt idx="49">
                  <c:v>64.778664486993023</c:v>
                </c:pt>
                <c:pt idx="50">
                  <c:v>68.173592768717398</c:v>
                </c:pt>
                <c:pt idx="51">
                  <c:v>69.848199599854723</c:v>
                </c:pt>
                <c:pt idx="52">
                  <c:v>68.819857645782392</c:v>
                </c:pt>
                <c:pt idx="53">
                  <c:v>68.057719272247724</c:v>
                </c:pt>
                <c:pt idx="54">
                  <c:v>71.13889539043943</c:v>
                </c:pt>
                <c:pt idx="55">
                  <c:v>73.588827675709553</c:v>
                </c:pt>
                <c:pt idx="56">
                  <c:v>76.049223404337539</c:v>
                </c:pt>
                <c:pt idx="57">
                  <c:v>75.744236457581422</c:v>
                </c:pt>
                <c:pt idx="58">
                  <c:v>77.633929711880455</c:v>
                </c:pt>
                <c:pt idx="59">
                  <c:v>80.453489483079792</c:v>
                </c:pt>
                <c:pt idx="60">
                  <c:v>83.256443537830648</c:v>
                </c:pt>
                <c:pt idx="61">
                  <c:v>82.091525225190026</c:v>
                </c:pt>
                <c:pt idx="62">
                  <c:v>87.983118404293819</c:v>
                </c:pt>
                <c:pt idx="63">
                  <c:v>89.963166166696681</c:v>
                </c:pt>
                <c:pt idx="64">
                  <c:v>90.737092948848442</c:v>
                </c:pt>
                <c:pt idx="65">
                  <c:v>90.633670547679245</c:v>
                </c:pt>
                <c:pt idx="66">
                  <c:v>90.096928528743405</c:v>
                </c:pt>
                <c:pt idx="67">
                  <c:v>90.6650235237788</c:v>
                </c:pt>
                <c:pt idx="68">
                  <c:v>89.776504390102303</c:v>
                </c:pt>
                <c:pt idx="69">
                  <c:v>88.410649397529426</c:v>
                </c:pt>
                <c:pt idx="70">
                  <c:v>89.368546859167708</c:v>
                </c:pt>
                <c:pt idx="71">
                  <c:v>95.289681338121653</c:v>
                </c:pt>
                <c:pt idx="72">
                  <c:v>94.49315009200123</c:v>
                </c:pt>
                <c:pt idx="73">
                  <c:v>97.504710979813069</c:v>
                </c:pt>
                <c:pt idx="74">
                  <c:v>101.7778526118658</c:v>
                </c:pt>
                <c:pt idx="75">
                  <c:v>104.95339313720849</c:v>
                </c:pt>
                <c:pt idx="76">
                  <c:v>108.75038931877242</c:v>
                </c:pt>
                <c:pt idx="77">
                  <c:v>107.32200997113516</c:v>
                </c:pt>
                <c:pt idx="78">
                  <c:v>106.00972563219015</c:v>
                </c:pt>
                <c:pt idx="79">
                  <c:v>106.71108080579053</c:v>
                </c:pt>
                <c:pt idx="80">
                  <c:v>108.54694921812818</c:v>
                </c:pt>
                <c:pt idx="81">
                  <c:v>112.09204767158982</c:v>
                </c:pt>
                <c:pt idx="82">
                  <c:v>113.16119650263624</c:v>
                </c:pt>
                <c:pt idx="83">
                  <c:v>117.2706715356663</c:v>
                </c:pt>
                <c:pt idx="84">
                  <c:v>118.16621407033981</c:v>
                </c:pt>
                <c:pt idx="85">
                  <c:v>118.04019441909885</c:v>
                </c:pt>
                <c:pt idx="86">
                  <c:v>118.40881169475026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119.05068047210419</c:v>
                </c:pt>
                <c:pt idx="97">
                  <c:v>119.98997407526528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119.99676007742553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  <c:pt idx="32">
                  <c:v>45002</c:v>
                </c:pt>
                <c:pt idx="33">
                  <c:v>45003</c:v>
                </c:pt>
                <c:pt idx="34">
                  <c:v>45004</c:v>
                </c:pt>
                <c:pt idx="35">
                  <c:v>45005</c:v>
                </c:pt>
                <c:pt idx="36">
                  <c:v>45006</c:v>
                </c:pt>
                <c:pt idx="37">
                  <c:v>45007</c:v>
                </c:pt>
                <c:pt idx="38">
                  <c:v>45008</c:v>
                </c:pt>
                <c:pt idx="39">
                  <c:v>45009</c:v>
                </c:pt>
                <c:pt idx="40">
                  <c:v>45010</c:v>
                </c:pt>
                <c:pt idx="41">
                  <c:v>45011</c:v>
                </c:pt>
                <c:pt idx="42">
                  <c:v>45012</c:v>
                </c:pt>
                <c:pt idx="43">
                  <c:v>45013</c:v>
                </c:pt>
                <c:pt idx="44">
                  <c:v>45014</c:v>
                </c:pt>
                <c:pt idx="45">
                  <c:v>45015</c:v>
                </c:pt>
                <c:pt idx="46">
                  <c:v>45016</c:v>
                </c:pt>
                <c:pt idx="47">
                  <c:v>45017</c:v>
                </c:pt>
                <c:pt idx="48">
                  <c:v>45018</c:v>
                </c:pt>
                <c:pt idx="49">
                  <c:v>45019</c:v>
                </c:pt>
                <c:pt idx="50">
                  <c:v>45020</c:v>
                </c:pt>
                <c:pt idx="51">
                  <c:v>45021</c:v>
                </c:pt>
                <c:pt idx="52">
                  <c:v>45022</c:v>
                </c:pt>
                <c:pt idx="53">
                  <c:v>45023</c:v>
                </c:pt>
                <c:pt idx="54">
                  <c:v>45024</c:v>
                </c:pt>
                <c:pt idx="55">
                  <c:v>45025</c:v>
                </c:pt>
                <c:pt idx="56">
                  <c:v>45026</c:v>
                </c:pt>
                <c:pt idx="57">
                  <c:v>45027</c:v>
                </c:pt>
                <c:pt idx="58">
                  <c:v>45028</c:v>
                </c:pt>
                <c:pt idx="59">
                  <c:v>45029</c:v>
                </c:pt>
                <c:pt idx="60">
                  <c:v>45030</c:v>
                </c:pt>
                <c:pt idx="61">
                  <c:v>45031</c:v>
                </c:pt>
                <c:pt idx="62">
                  <c:v>45032</c:v>
                </c:pt>
                <c:pt idx="63">
                  <c:v>45033</c:v>
                </c:pt>
                <c:pt idx="64">
                  <c:v>45034</c:v>
                </c:pt>
                <c:pt idx="65">
                  <c:v>45035</c:v>
                </c:pt>
                <c:pt idx="66">
                  <c:v>45036</c:v>
                </c:pt>
                <c:pt idx="67">
                  <c:v>45037</c:v>
                </c:pt>
                <c:pt idx="68">
                  <c:v>45038</c:v>
                </c:pt>
                <c:pt idx="69">
                  <c:v>45039</c:v>
                </c:pt>
                <c:pt idx="70">
                  <c:v>45040</c:v>
                </c:pt>
                <c:pt idx="71">
                  <c:v>45041</c:v>
                </c:pt>
                <c:pt idx="72">
                  <c:v>45042</c:v>
                </c:pt>
                <c:pt idx="73">
                  <c:v>45043</c:v>
                </c:pt>
                <c:pt idx="74">
                  <c:v>45044</c:v>
                </c:pt>
                <c:pt idx="75">
                  <c:v>45045</c:v>
                </c:pt>
                <c:pt idx="76">
                  <c:v>45046</c:v>
                </c:pt>
                <c:pt idx="77">
                  <c:v>45047</c:v>
                </c:pt>
                <c:pt idx="78">
                  <c:v>45048</c:v>
                </c:pt>
                <c:pt idx="79">
                  <c:v>45049</c:v>
                </c:pt>
                <c:pt idx="80">
                  <c:v>45050</c:v>
                </c:pt>
                <c:pt idx="81">
                  <c:v>45051</c:v>
                </c:pt>
                <c:pt idx="82">
                  <c:v>45052</c:v>
                </c:pt>
                <c:pt idx="83">
                  <c:v>45053</c:v>
                </c:pt>
                <c:pt idx="84">
                  <c:v>45054</c:v>
                </c:pt>
                <c:pt idx="85">
                  <c:v>45055</c:v>
                </c:pt>
                <c:pt idx="86">
                  <c:v>45056</c:v>
                </c:pt>
                <c:pt idx="87">
                  <c:v>45057</c:v>
                </c:pt>
                <c:pt idx="88">
                  <c:v>45058</c:v>
                </c:pt>
                <c:pt idx="89">
                  <c:v>45059</c:v>
                </c:pt>
                <c:pt idx="90">
                  <c:v>45060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45066</c:v>
                </c:pt>
                <c:pt idx="97">
                  <c:v>45067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45073</c:v>
                </c:pt>
                <c:pt idx="104">
                  <c:v>45074</c:v>
                </c:pt>
                <c:pt idx="105">
                  <c:v>45075</c:v>
                </c:pt>
                <c:pt idx="106">
                  <c:v>45076</c:v>
                </c:pt>
                <c:pt idx="107">
                  <c:v>45077</c:v>
                </c:pt>
                <c:pt idx="108">
                  <c:v>45078</c:v>
                </c:pt>
                <c:pt idx="109">
                  <c:v>45079</c:v>
                </c:pt>
                <c:pt idx="110">
                  <c:v>45080</c:v>
                </c:pt>
                <c:pt idx="111">
                  <c:v>45081</c:v>
                </c:pt>
                <c:pt idx="112">
                  <c:v>45082</c:v>
                </c:pt>
                <c:pt idx="113">
                  <c:v>45083</c:v>
                </c:pt>
                <c:pt idx="114">
                  <c:v>45084</c:v>
                </c:pt>
                <c:pt idx="115">
                  <c:v>45085</c:v>
                </c:pt>
                <c:pt idx="116">
                  <c:v>45086</c:v>
                </c:pt>
                <c:pt idx="117">
                  <c:v>45087</c:v>
                </c:pt>
                <c:pt idx="118">
                  <c:v>45088</c:v>
                </c:pt>
                <c:pt idx="119">
                  <c:v>45089</c:v>
                </c:pt>
                <c:pt idx="120">
                  <c:v>45090</c:v>
                </c:pt>
                <c:pt idx="121">
                  <c:v>45091</c:v>
                </c:pt>
                <c:pt idx="122">
                  <c:v>45092</c:v>
                </c:pt>
                <c:pt idx="123">
                  <c:v>45093</c:v>
                </c:pt>
                <c:pt idx="124">
                  <c:v>45094</c:v>
                </c:pt>
                <c:pt idx="125">
                  <c:v>45095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  <c:pt idx="32">
                  <c:v>45002</c:v>
                </c:pt>
                <c:pt idx="33">
                  <c:v>45003</c:v>
                </c:pt>
                <c:pt idx="34">
                  <c:v>45004</c:v>
                </c:pt>
                <c:pt idx="35">
                  <c:v>45005</c:v>
                </c:pt>
                <c:pt idx="36">
                  <c:v>45006</c:v>
                </c:pt>
                <c:pt idx="37">
                  <c:v>45007</c:v>
                </c:pt>
                <c:pt idx="38">
                  <c:v>45008</c:v>
                </c:pt>
                <c:pt idx="39">
                  <c:v>45009</c:v>
                </c:pt>
                <c:pt idx="40">
                  <c:v>45010</c:v>
                </c:pt>
                <c:pt idx="41">
                  <c:v>45011</c:v>
                </c:pt>
                <c:pt idx="42">
                  <c:v>45012</c:v>
                </c:pt>
                <c:pt idx="43">
                  <c:v>45013</c:v>
                </c:pt>
                <c:pt idx="44">
                  <c:v>45014</c:v>
                </c:pt>
                <c:pt idx="45">
                  <c:v>45015</c:v>
                </c:pt>
                <c:pt idx="46">
                  <c:v>45016</c:v>
                </c:pt>
                <c:pt idx="47">
                  <c:v>45017</c:v>
                </c:pt>
                <c:pt idx="48">
                  <c:v>45018</c:v>
                </c:pt>
                <c:pt idx="49">
                  <c:v>45019</c:v>
                </c:pt>
                <c:pt idx="50">
                  <c:v>45020</c:v>
                </c:pt>
                <c:pt idx="51">
                  <c:v>45021</c:v>
                </c:pt>
                <c:pt idx="52">
                  <c:v>45022</c:v>
                </c:pt>
                <c:pt idx="53">
                  <c:v>45023</c:v>
                </c:pt>
                <c:pt idx="54">
                  <c:v>45024</c:v>
                </c:pt>
                <c:pt idx="55">
                  <c:v>45025</c:v>
                </c:pt>
                <c:pt idx="56">
                  <c:v>45026</c:v>
                </c:pt>
                <c:pt idx="57">
                  <c:v>45027</c:v>
                </c:pt>
                <c:pt idx="58">
                  <c:v>45028</c:v>
                </c:pt>
                <c:pt idx="59">
                  <c:v>45029</c:v>
                </c:pt>
                <c:pt idx="60">
                  <c:v>45030</c:v>
                </c:pt>
                <c:pt idx="61">
                  <c:v>45031</c:v>
                </c:pt>
                <c:pt idx="62">
                  <c:v>45032</c:v>
                </c:pt>
                <c:pt idx="63">
                  <c:v>45033</c:v>
                </c:pt>
                <c:pt idx="64">
                  <c:v>45034</c:v>
                </c:pt>
                <c:pt idx="65">
                  <c:v>45035</c:v>
                </c:pt>
                <c:pt idx="66">
                  <c:v>45036</c:v>
                </c:pt>
                <c:pt idx="67">
                  <c:v>45037</c:v>
                </c:pt>
                <c:pt idx="68">
                  <c:v>45038</c:v>
                </c:pt>
                <c:pt idx="69">
                  <c:v>45039</c:v>
                </c:pt>
                <c:pt idx="70">
                  <c:v>45040</c:v>
                </c:pt>
                <c:pt idx="71">
                  <c:v>45041</c:v>
                </c:pt>
                <c:pt idx="72">
                  <c:v>45042</c:v>
                </c:pt>
                <c:pt idx="73">
                  <c:v>45043</c:v>
                </c:pt>
                <c:pt idx="74">
                  <c:v>45044</c:v>
                </c:pt>
                <c:pt idx="75">
                  <c:v>45045</c:v>
                </c:pt>
                <c:pt idx="76">
                  <c:v>45046</c:v>
                </c:pt>
                <c:pt idx="77">
                  <c:v>45047</c:v>
                </c:pt>
                <c:pt idx="78">
                  <c:v>45048</c:v>
                </c:pt>
                <c:pt idx="79">
                  <c:v>45049</c:v>
                </c:pt>
                <c:pt idx="80">
                  <c:v>45050</c:v>
                </c:pt>
                <c:pt idx="81">
                  <c:v>45051</c:v>
                </c:pt>
                <c:pt idx="82">
                  <c:v>45052</c:v>
                </c:pt>
                <c:pt idx="83">
                  <c:v>45053</c:v>
                </c:pt>
                <c:pt idx="84">
                  <c:v>45054</c:v>
                </c:pt>
                <c:pt idx="85">
                  <c:v>45055</c:v>
                </c:pt>
                <c:pt idx="86">
                  <c:v>45056</c:v>
                </c:pt>
                <c:pt idx="87">
                  <c:v>45057</c:v>
                </c:pt>
                <c:pt idx="88">
                  <c:v>45058</c:v>
                </c:pt>
                <c:pt idx="89">
                  <c:v>45059</c:v>
                </c:pt>
                <c:pt idx="90">
                  <c:v>45060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45066</c:v>
                </c:pt>
                <c:pt idx="97">
                  <c:v>45067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45073</c:v>
                </c:pt>
                <c:pt idx="104">
                  <c:v>45074</c:v>
                </c:pt>
                <c:pt idx="105">
                  <c:v>45075</c:v>
                </c:pt>
                <c:pt idx="106">
                  <c:v>45076</c:v>
                </c:pt>
                <c:pt idx="107">
                  <c:v>45077</c:v>
                </c:pt>
                <c:pt idx="108">
                  <c:v>45078</c:v>
                </c:pt>
                <c:pt idx="109">
                  <c:v>45079</c:v>
                </c:pt>
                <c:pt idx="110">
                  <c:v>45080</c:v>
                </c:pt>
                <c:pt idx="111">
                  <c:v>45081</c:v>
                </c:pt>
                <c:pt idx="112">
                  <c:v>45082</c:v>
                </c:pt>
                <c:pt idx="113">
                  <c:v>45083</c:v>
                </c:pt>
                <c:pt idx="114">
                  <c:v>45084</c:v>
                </c:pt>
                <c:pt idx="115">
                  <c:v>45085</c:v>
                </c:pt>
                <c:pt idx="116">
                  <c:v>45086</c:v>
                </c:pt>
                <c:pt idx="117">
                  <c:v>45087</c:v>
                </c:pt>
                <c:pt idx="118">
                  <c:v>45088</c:v>
                </c:pt>
                <c:pt idx="119">
                  <c:v>45089</c:v>
                </c:pt>
                <c:pt idx="120">
                  <c:v>45090</c:v>
                </c:pt>
                <c:pt idx="121">
                  <c:v>45091</c:v>
                </c:pt>
                <c:pt idx="122">
                  <c:v>45092</c:v>
                </c:pt>
                <c:pt idx="123">
                  <c:v>45093</c:v>
                </c:pt>
                <c:pt idx="124">
                  <c:v>45094</c:v>
                </c:pt>
                <c:pt idx="125">
                  <c:v>45095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1.0436153854978869</c:v>
                </c:pt>
                <c:pt idx="88">
                  <c:v>5.9766728526904842</c:v>
                </c:pt>
                <c:pt idx="89">
                  <c:v>9.8071867722215416</c:v>
                </c:pt>
                <c:pt idx="90">
                  <c:v>13.483090176443881</c:v>
                </c:pt>
                <c:pt idx="91">
                  <c:v>21.098014743724192</c:v>
                </c:pt>
                <c:pt idx="92">
                  <c:v>24.72622301345605</c:v>
                </c:pt>
                <c:pt idx="93">
                  <c:v>27.135399863531163</c:v>
                </c:pt>
                <c:pt idx="94">
                  <c:v>28.419951194154606</c:v>
                </c:pt>
                <c:pt idx="95">
                  <c:v>29.473773553291622</c:v>
                </c:pt>
                <c:pt idx="96">
                  <c:v>29.473773553291622</c:v>
                </c:pt>
                <c:pt idx="97">
                  <c:v>29.473773553291622</c:v>
                </c:pt>
                <c:pt idx="98">
                  <c:v>31.289735491163768</c:v>
                </c:pt>
                <c:pt idx="99">
                  <c:v>33.140524670356101</c:v>
                </c:pt>
                <c:pt idx="100">
                  <c:v>37.801254207922</c:v>
                </c:pt>
                <c:pt idx="101">
                  <c:v>39.981942668979187</c:v>
                </c:pt>
                <c:pt idx="102">
                  <c:v>45.106635878458135</c:v>
                </c:pt>
                <c:pt idx="103">
                  <c:v>46.818217116057539</c:v>
                </c:pt>
                <c:pt idx="104">
                  <c:v>48.588815002474107</c:v>
                </c:pt>
                <c:pt idx="105">
                  <c:v>50.733980018535959</c:v>
                </c:pt>
                <c:pt idx="106">
                  <c:v>51.598609334345824</c:v>
                </c:pt>
                <c:pt idx="107">
                  <c:v>55.196639267157337</c:v>
                </c:pt>
                <c:pt idx="108">
                  <c:v>56.527629481799934</c:v>
                </c:pt>
                <c:pt idx="109">
                  <c:v>58.282873238281667</c:v>
                </c:pt>
                <c:pt idx="110">
                  <c:v>59.095103602237799</c:v>
                </c:pt>
                <c:pt idx="111">
                  <c:v>60.5843327247443</c:v>
                </c:pt>
                <c:pt idx="112">
                  <c:v>63.874339156096028</c:v>
                </c:pt>
                <c:pt idx="113">
                  <c:v>68.241911557333907</c:v>
                </c:pt>
                <c:pt idx="114">
                  <c:v>69.692785907910078</c:v>
                </c:pt>
                <c:pt idx="115">
                  <c:v>70.342214086260469</c:v>
                </c:pt>
                <c:pt idx="116">
                  <c:v>70.94653812033151</c:v>
                </c:pt>
                <c:pt idx="117">
                  <c:v>75.011409158349267</c:v>
                </c:pt>
                <c:pt idx="118">
                  <c:v>81.387987260804735</c:v>
                </c:pt>
                <c:pt idx="119">
                  <c:v>81.387987260804735</c:v>
                </c:pt>
                <c:pt idx="120">
                  <c:v>85.948407787246452</c:v>
                </c:pt>
                <c:pt idx="121">
                  <c:v>86.05342620948575</c:v>
                </c:pt>
                <c:pt idx="122">
                  <c:v>87.339793298719925</c:v>
                </c:pt>
                <c:pt idx="123">
                  <c:v>89.17678942027014</c:v>
                </c:pt>
                <c:pt idx="124">
                  <c:v>90.794004917046081</c:v>
                </c:pt>
                <c:pt idx="125">
                  <c:v>95.544109873063903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  <c:pt idx="32">
                  <c:v>45002</c:v>
                </c:pt>
                <c:pt idx="33">
                  <c:v>45003</c:v>
                </c:pt>
                <c:pt idx="34">
                  <c:v>45004</c:v>
                </c:pt>
                <c:pt idx="35">
                  <c:v>45005</c:v>
                </c:pt>
                <c:pt idx="36">
                  <c:v>45006</c:v>
                </c:pt>
                <c:pt idx="37">
                  <c:v>45007</c:v>
                </c:pt>
                <c:pt idx="38">
                  <c:v>45008</c:v>
                </c:pt>
                <c:pt idx="39">
                  <c:v>45009</c:v>
                </c:pt>
                <c:pt idx="40">
                  <c:v>45010</c:v>
                </c:pt>
                <c:pt idx="41">
                  <c:v>45011</c:v>
                </c:pt>
                <c:pt idx="42">
                  <c:v>45012</c:v>
                </c:pt>
                <c:pt idx="43">
                  <c:v>45013</c:v>
                </c:pt>
                <c:pt idx="44">
                  <c:v>45014</c:v>
                </c:pt>
                <c:pt idx="45">
                  <c:v>45015</c:v>
                </c:pt>
                <c:pt idx="46">
                  <c:v>45016</c:v>
                </c:pt>
                <c:pt idx="47">
                  <c:v>45017</c:v>
                </c:pt>
                <c:pt idx="48">
                  <c:v>45018</c:v>
                </c:pt>
                <c:pt idx="49">
                  <c:v>45019</c:v>
                </c:pt>
                <c:pt idx="50">
                  <c:v>45020</c:v>
                </c:pt>
                <c:pt idx="51">
                  <c:v>45021</c:v>
                </c:pt>
                <c:pt idx="52">
                  <c:v>45022</c:v>
                </c:pt>
                <c:pt idx="53">
                  <c:v>45023</c:v>
                </c:pt>
                <c:pt idx="54">
                  <c:v>45024</c:v>
                </c:pt>
                <c:pt idx="55">
                  <c:v>45025</c:v>
                </c:pt>
                <c:pt idx="56">
                  <c:v>45026</c:v>
                </c:pt>
                <c:pt idx="57">
                  <c:v>45027</c:v>
                </c:pt>
                <c:pt idx="58">
                  <c:v>45028</c:v>
                </c:pt>
                <c:pt idx="59">
                  <c:v>45029</c:v>
                </c:pt>
                <c:pt idx="60">
                  <c:v>45030</c:v>
                </c:pt>
                <c:pt idx="61">
                  <c:v>45031</c:v>
                </c:pt>
                <c:pt idx="62">
                  <c:v>45032</c:v>
                </c:pt>
                <c:pt idx="63">
                  <c:v>45033</c:v>
                </c:pt>
                <c:pt idx="64">
                  <c:v>45034</c:v>
                </c:pt>
                <c:pt idx="65">
                  <c:v>45035</c:v>
                </c:pt>
                <c:pt idx="66">
                  <c:v>45036</c:v>
                </c:pt>
                <c:pt idx="67">
                  <c:v>45037</c:v>
                </c:pt>
                <c:pt idx="68">
                  <c:v>45038</c:v>
                </c:pt>
                <c:pt idx="69">
                  <c:v>45039</c:v>
                </c:pt>
                <c:pt idx="70">
                  <c:v>45040</c:v>
                </c:pt>
                <c:pt idx="71">
                  <c:v>45041</c:v>
                </c:pt>
                <c:pt idx="72">
                  <c:v>45042</c:v>
                </c:pt>
                <c:pt idx="73">
                  <c:v>45043</c:v>
                </c:pt>
                <c:pt idx="74">
                  <c:v>45044</c:v>
                </c:pt>
                <c:pt idx="75">
                  <c:v>45045</c:v>
                </c:pt>
                <c:pt idx="76">
                  <c:v>45046</c:v>
                </c:pt>
                <c:pt idx="77">
                  <c:v>45047</c:v>
                </c:pt>
                <c:pt idx="78">
                  <c:v>45048</c:v>
                </c:pt>
                <c:pt idx="79">
                  <c:v>45049</c:v>
                </c:pt>
                <c:pt idx="80">
                  <c:v>45050</c:v>
                </c:pt>
                <c:pt idx="81">
                  <c:v>45051</c:v>
                </c:pt>
                <c:pt idx="82">
                  <c:v>45052</c:v>
                </c:pt>
                <c:pt idx="83">
                  <c:v>45053</c:v>
                </c:pt>
                <c:pt idx="84">
                  <c:v>45054</c:v>
                </c:pt>
                <c:pt idx="85">
                  <c:v>45055</c:v>
                </c:pt>
                <c:pt idx="86">
                  <c:v>45056</c:v>
                </c:pt>
                <c:pt idx="87">
                  <c:v>45057</c:v>
                </c:pt>
                <c:pt idx="88">
                  <c:v>45058</c:v>
                </c:pt>
                <c:pt idx="89">
                  <c:v>45059</c:v>
                </c:pt>
                <c:pt idx="90">
                  <c:v>45060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45066</c:v>
                </c:pt>
                <c:pt idx="97">
                  <c:v>45067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45073</c:v>
                </c:pt>
                <c:pt idx="104">
                  <c:v>45074</c:v>
                </c:pt>
                <c:pt idx="105">
                  <c:v>45075</c:v>
                </c:pt>
                <c:pt idx="106">
                  <c:v>45076</c:v>
                </c:pt>
                <c:pt idx="107">
                  <c:v>45077</c:v>
                </c:pt>
                <c:pt idx="108">
                  <c:v>45078</c:v>
                </c:pt>
                <c:pt idx="109">
                  <c:v>45079</c:v>
                </c:pt>
                <c:pt idx="110">
                  <c:v>45080</c:v>
                </c:pt>
                <c:pt idx="111">
                  <c:v>45081</c:v>
                </c:pt>
                <c:pt idx="112">
                  <c:v>45082</c:v>
                </c:pt>
                <c:pt idx="113">
                  <c:v>45083</c:v>
                </c:pt>
                <c:pt idx="114">
                  <c:v>45084</c:v>
                </c:pt>
                <c:pt idx="115">
                  <c:v>45085</c:v>
                </c:pt>
                <c:pt idx="116">
                  <c:v>45086</c:v>
                </c:pt>
                <c:pt idx="117">
                  <c:v>45087</c:v>
                </c:pt>
                <c:pt idx="118">
                  <c:v>45088</c:v>
                </c:pt>
                <c:pt idx="119">
                  <c:v>45089</c:v>
                </c:pt>
                <c:pt idx="120">
                  <c:v>45090</c:v>
                </c:pt>
                <c:pt idx="121">
                  <c:v>45091</c:v>
                </c:pt>
                <c:pt idx="122">
                  <c:v>45092</c:v>
                </c:pt>
                <c:pt idx="123">
                  <c:v>45093</c:v>
                </c:pt>
                <c:pt idx="124">
                  <c:v>45094</c:v>
                </c:pt>
                <c:pt idx="125">
                  <c:v>45095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8.8372981919199404E-3</c:v>
                </c:pt>
                <c:pt idx="1">
                  <c:v>1.1660058573634001E-2</c:v>
                </c:pt>
                <c:pt idx="2">
                  <c:v>1.52564423509212E-2</c:v>
                </c:pt>
                <c:pt idx="3">
                  <c:v>1.9855607438252199E-2</c:v>
                </c:pt>
                <c:pt idx="4">
                  <c:v>2.59292974780252E-2</c:v>
                </c:pt>
                <c:pt idx="5">
                  <c:v>3.3954313942126203E-2</c:v>
                </c:pt>
                <c:pt idx="6">
                  <c:v>4.4602267898357799E-2</c:v>
                </c:pt>
                <c:pt idx="7">
                  <c:v>5.8611297938746303E-2</c:v>
                </c:pt>
                <c:pt idx="8">
                  <c:v>7.6402286139564499E-2</c:v>
                </c:pt>
                <c:pt idx="9">
                  <c:v>9.8980924941649298E-2</c:v>
                </c:pt>
                <c:pt idx="10">
                  <c:v>0.12538079188703199</c:v>
                </c:pt>
                <c:pt idx="11">
                  <c:v>0.15600400357449601</c:v>
                </c:pt>
                <c:pt idx="12">
                  <c:v>0.193746178478576</c:v>
                </c:pt>
                <c:pt idx="13">
                  <c:v>0.236573557075235</c:v>
                </c:pt>
                <c:pt idx="14">
                  <c:v>0.28513308113006502</c:v>
                </c:pt>
                <c:pt idx="15">
                  <c:v>0.34153212744364497</c:v>
                </c:pt>
                <c:pt idx="16">
                  <c:v>0.40137370259141097</c:v>
                </c:pt>
                <c:pt idx="17">
                  <c:v>0.46401168200231302</c:v>
                </c:pt>
                <c:pt idx="18">
                  <c:v>0.52842908733704697</c:v>
                </c:pt>
                <c:pt idx="19">
                  <c:v>0.59016112071772997</c:v>
                </c:pt>
                <c:pt idx="20">
                  <c:v>0.65030063292142204</c:v>
                </c:pt>
                <c:pt idx="21">
                  <c:v>0.70449146049171496</c:v>
                </c:pt>
                <c:pt idx="22">
                  <c:v>0.75287571484530802</c:v>
                </c:pt>
                <c:pt idx="23">
                  <c:v>0.79576806830372304</c:v>
                </c:pt>
                <c:pt idx="24">
                  <c:v>0.83238941163950397</c:v>
                </c:pt>
                <c:pt idx="25">
                  <c:v>0.86436315916139395</c:v>
                </c:pt>
                <c:pt idx="26">
                  <c:v>0.89051304820876198</c:v>
                </c:pt>
                <c:pt idx="27">
                  <c:v>0.91229904970570397</c:v>
                </c:pt>
                <c:pt idx="28">
                  <c:v>0.92903051825715699</c:v>
                </c:pt>
                <c:pt idx="29">
                  <c:v>0.94318020313352502</c:v>
                </c:pt>
                <c:pt idx="30">
                  <c:v>0.95537680844171302</c:v>
                </c:pt>
                <c:pt idx="31">
                  <c:v>0.96545480094018099</c:v>
                </c:pt>
                <c:pt idx="32">
                  <c:v>0.97266339155510195</c:v>
                </c:pt>
                <c:pt idx="33">
                  <c:v>0.97817175004254098</c:v>
                </c:pt>
                <c:pt idx="34">
                  <c:v>0.98271255519367895</c:v>
                </c:pt>
                <c:pt idx="35">
                  <c:v>0.98639429012627999</c:v>
                </c:pt>
                <c:pt idx="36">
                  <c:v>0.98934271129704998</c:v>
                </c:pt>
                <c:pt idx="37">
                  <c:v>0.99168186390713997</c:v>
                </c:pt>
                <c:pt idx="38">
                  <c:v>0.99352264049274297</c:v>
                </c:pt>
                <c:pt idx="39">
                  <c:v>0.99491563013925899</c:v>
                </c:pt>
                <c:pt idx="40">
                  <c:v>0.99604807020153796</c:v>
                </c:pt>
                <c:pt idx="41">
                  <c:v>0.99693594093447302</c:v>
                </c:pt>
                <c:pt idx="42">
                  <c:v>0.99763456508215398</c:v>
                </c:pt>
                <c:pt idx="43">
                  <c:v>0.99813784297304398</c:v>
                </c:pt>
                <c:pt idx="44">
                  <c:v>0.99854340864792901</c:v>
                </c:pt>
                <c:pt idx="45">
                  <c:v>0.99886457941401796</c:v>
                </c:pt>
                <c:pt idx="46">
                  <c:v>0.99910811774406205</c:v>
                </c:pt>
                <c:pt idx="47">
                  <c:v>0.999296825840988</c:v>
                </c:pt>
                <c:pt idx="48">
                  <c:v>0.99944093416728497</c:v>
                </c:pt>
                <c:pt idx="49">
                  <c:v>0.99956191722310295</c:v>
                </c:pt>
                <c:pt idx="50">
                  <c:v>0.99965539608413401</c:v>
                </c:pt>
                <c:pt idx="51">
                  <c:v>0.99972401205977102</c:v>
                </c:pt>
                <c:pt idx="52">
                  <c:v>0.99977722158890903</c:v>
                </c:pt>
                <c:pt idx="53">
                  <c:v>0.99981738889945304</c:v>
                </c:pt>
                <c:pt idx="54">
                  <c:v>0.99985167441451395</c:v>
                </c:pt>
                <c:pt idx="55">
                  <c:v>0.99988049079021102</c:v>
                </c:pt>
                <c:pt idx="56">
                  <c:v>0.99990390768144899</c:v>
                </c:pt>
                <c:pt idx="57">
                  <c:v>0.99992243179497897</c:v>
                </c:pt>
                <c:pt idx="58">
                  <c:v>0.99993821308111996</c:v>
                </c:pt>
                <c:pt idx="59">
                  <c:v>0.99995041955187203</c:v>
                </c:pt>
                <c:pt idx="60">
                  <c:v>0.99995950982187698</c:v>
                </c:pt>
                <c:pt idx="61">
                  <c:v>0.99996706960491</c:v>
                </c:pt>
                <c:pt idx="62">
                  <c:v>0.99997327480976295</c:v>
                </c:pt>
                <c:pt idx="63">
                  <c:v>0.99997821976386003</c:v>
                </c:pt>
                <c:pt idx="64">
                  <c:v>0.99998226086013497</c:v>
                </c:pt>
                <c:pt idx="65">
                  <c:v>0.999985391482903</c:v>
                </c:pt>
                <c:pt idx="66">
                  <c:v>0.99998820928618604</c:v>
                </c:pt>
                <c:pt idx="67">
                  <c:v>0.99999048179070604</c:v>
                </c:pt>
                <c:pt idx="68">
                  <c:v>0.99999223763254896</c:v>
                </c:pt>
                <c:pt idx="69">
                  <c:v>0.99999369956865103</c:v>
                </c:pt>
                <c:pt idx="70">
                  <c:v>0.99999495536796201</c:v>
                </c:pt>
                <c:pt idx="71">
                  <c:v>0.99999593630332995</c:v>
                </c:pt>
                <c:pt idx="72">
                  <c:v>0.99999670288405096</c:v>
                </c:pt>
                <c:pt idx="73">
                  <c:v>0.99999735942037804</c:v>
                </c:pt>
                <c:pt idx="74">
                  <c:v>0.99999786304997795</c:v>
                </c:pt>
                <c:pt idx="75">
                  <c:v>0.999998263564993</c:v>
                </c:pt>
                <c:pt idx="76">
                  <c:v>0.99999858495203198</c:v>
                </c:pt>
                <c:pt idx="77">
                  <c:v>0.99999881596513596</c:v>
                </c:pt>
                <c:pt idx="78">
                  <c:v>0.99999900883081705</c:v>
                </c:pt>
                <c:pt idx="79">
                  <c:v>0.99999918548838596</c:v>
                </c:pt>
                <c:pt idx="80">
                  <c:v>0.99999933116180895</c:v>
                </c:pt>
                <c:pt idx="81">
                  <c:v>0.99999945451044003</c:v>
                </c:pt>
                <c:pt idx="82">
                  <c:v>0.999999552964836</c:v>
                </c:pt>
                <c:pt idx="83">
                  <c:v>0.999999630383821</c:v>
                </c:pt>
                <c:pt idx="84">
                  <c:v>0.99999969494850305</c:v>
                </c:pt>
                <c:pt idx="85">
                  <c:v>0.99999975309648004</c:v>
                </c:pt>
                <c:pt idx="86">
                  <c:v>0.99999979908352798</c:v>
                </c:pt>
                <c:pt idx="87">
                  <c:v>0.99999983492414701</c:v>
                </c:pt>
                <c:pt idx="88">
                  <c:v>0.99999986531732399</c:v>
                </c:pt>
                <c:pt idx="89">
                  <c:v>0.99999988898953096</c:v>
                </c:pt>
                <c:pt idx="90">
                  <c:v>0.99999990865530597</c:v>
                </c:pt>
                <c:pt idx="91">
                  <c:v>0.999999925366166</c:v>
                </c:pt>
                <c:pt idx="92">
                  <c:v>0.99999993846479396</c:v>
                </c:pt>
                <c:pt idx="93">
                  <c:v>0.99999994878350096</c:v>
                </c:pt>
                <c:pt idx="94">
                  <c:v>0.99999995695964305</c:v>
                </c:pt>
                <c:pt idx="95">
                  <c:v>0.99999996399743996</c:v>
                </c:pt>
                <c:pt idx="96">
                  <c:v>0.99999996982038397</c:v>
                </c:pt>
                <c:pt idx="97">
                  <c:v>0.99999997464456203</c:v>
                </c:pt>
                <c:pt idx="98">
                  <c:v>0.99999997823331699</c:v>
                </c:pt>
                <c:pt idx="99">
                  <c:v>0.99999998147227098</c:v>
                </c:pt>
                <c:pt idx="100">
                  <c:v>0.99999998428631998</c:v>
                </c:pt>
                <c:pt idx="101">
                  <c:v>0.99999998662958201</c:v>
                </c:pt>
                <c:pt idx="102">
                  <c:v>0.99999998869428697</c:v>
                </c:pt>
                <c:pt idx="103">
                  <c:v>0.99999999035132203</c:v>
                </c:pt>
                <c:pt idx="104">
                  <c:v>0.99999999173042398</c:v>
                </c:pt>
                <c:pt idx="105">
                  <c:v>0.99999999296712005</c:v>
                </c:pt>
                <c:pt idx="106">
                  <c:v>0.99999999391595096</c:v>
                </c:pt>
                <c:pt idx="107">
                  <c:v>0.99999999474104595</c:v>
                </c:pt>
                <c:pt idx="108">
                  <c:v>0.99999999547380503</c:v>
                </c:pt>
                <c:pt idx="109">
                  <c:v>0.99999999610397705</c:v>
                </c:pt>
                <c:pt idx="110">
                  <c:v>0.99999999664158801</c:v>
                </c:pt>
                <c:pt idx="111">
                  <c:v>0.99999999715025001</c:v>
                </c:pt>
                <c:pt idx="112">
                  <c:v>0.99999999757233005</c:v>
                </c:pt>
                <c:pt idx="113">
                  <c:v>0.99999999792801497</c:v>
                </c:pt>
                <c:pt idx="114">
                  <c:v>0.99999999822893304</c:v>
                </c:pt>
                <c:pt idx="115">
                  <c:v>0.99999999846614995</c:v>
                </c:pt>
                <c:pt idx="116">
                  <c:v>0.99999999866959899</c:v>
                </c:pt>
                <c:pt idx="117">
                  <c:v>0.99999999887025304</c:v>
                </c:pt>
                <c:pt idx="118">
                  <c:v>0.99999999904057901</c:v>
                </c:pt>
                <c:pt idx="119">
                  <c:v>0.99999999919665705</c:v>
                </c:pt>
                <c:pt idx="120">
                  <c:v>0.99999999931362804</c:v>
                </c:pt>
                <c:pt idx="121">
                  <c:v>0.99999999941040796</c:v>
                </c:pt>
                <c:pt idx="122">
                  <c:v>0.999999999485083</c:v>
                </c:pt>
                <c:pt idx="123">
                  <c:v>0.99999999955763197</c:v>
                </c:pt>
                <c:pt idx="124">
                  <c:v>0.99999999962055197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16</xdr:row>
      <xdr:rowOff>95249</xdr:rowOff>
    </xdr:from>
    <xdr:to>
      <xdr:col>15</xdr:col>
      <xdr:colOff>142875</xdr:colOff>
      <xdr:row>37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180975</xdr:colOff>
      <xdr:row>41</xdr:row>
      <xdr:rowOff>9525</xdr:rowOff>
    </xdr:from>
    <xdr:to>
      <xdr:col>15</xdr:col>
      <xdr:colOff>247650</xdr:colOff>
      <xdr:row>61</xdr:row>
      <xdr:rowOff>152401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238125</xdr:colOff>
      <xdr:row>16</xdr:row>
      <xdr:rowOff>85725</xdr:rowOff>
    </xdr:from>
    <xdr:to>
      <xdr:col>16</xdr:col>
      <xdr:colOff>6029325</xdr:colOff>
      <xdr:row>37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Z395"/>
  <sheetViews>
    <sheetView tabSelected="1" topLeftCell="C1" zoomScale="85" zoomScaleNormal="85" workbookViewId="0">
      <selection activeCell="F10" sqref="F10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29.28515625" style="62" bestFit="1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2" bestFit="1" customWidth="1"/>
    <col min="11" max="15" width="9.140625" style="122"/>
    <col min="16" max="16" width="4.42578125" style="122" customWidth="1"/>
    <col min="17" max="17" width="92.140625" style="62" customWidth="1"/>
    <col min="18" max="18" width="10.7109375" style="62" bestFit="1" customWidth="1"/>
    <col min="19" max="22" width="9.140625" style="62"/>
    <col min="23" max="16384" width="9.140625" style="60"/>
  </cols>
  <sheetData>
    <row r="1" spans="2:26" s="62" customFormat="1" ht="20.25" customHeight="1" x14ac:dyDescent="0.3">
      <c r="B1" s="62">
        <f>VLOOKUP(C1,ListMembers!U8:V10,2,FALSE)</f>
        <v>3</v>
      </c>
      <c r="C1" s="128" t="s">
        <v>197</v>
      </c>
      <c r="D1" s="137" t="s">
        <v>164</v>
      </c>
      <c r="E1" s="138"/>
      <c r="F1" s="138"/>
      <c r="G1" s="138"/>
      <c r="H1" s="139"/>
      <c r="I1" s="122"/>
      <c r="J1" s="122"/>
      <c r="K1" s="122"/>
      <c r="L1" s="122"/>
      <c r="M1" s="122"/>
      <c r="N1" s="122"/>
      <c r="O1" s="122"/>
      <c r="P1" s="122"/>
      <c r="W1" s="60"/>
      <c r="X1" s="60"/>
      <c r="Y1" s="60"/>
      <c r="Z1" s="60"/>
    </row>
    <row r="2" spans="2:26" s="62" customFormat="1" ht="47.25" customHeight="1" x14ac:dyDescent="0.25">
      <c r="C2" s="117"/>
      <c r="D2" s="140" t="s">
        <v>165</v>
      </c>
      <c r="E2" s="141"/>
      <c r="F2" s="141"/>
      <c r="G2" s="141"/>
      <c r="H2" s="142"/>
      <c r="I2" s="122"/>
      <c r="J2" s="122"/>
      <c r="K2" s="122"/>
      <c r="L2" s="122"/>
      <c r="M2" s="122"/>
      <c r="N2" s="122"/>
      <c r="O2" s="122"/>
      <c r="P2" s="122"/>
      <c r="W2" s="60"/>
      <c r="X2" s="60"/>
      <c r="Y2" s="60"/>
      <c r="Z2" s="60"/>
    </row>
    <row r="3" spans="2:26" s="61" customFormat="1" ht="15.75" thickBot="1" x14ac:dyDescent="0.3">
      <c r="B3" s="62"/>
      <c r="C3" s="143" t="s">
        <v>198</v>
      </c>
      <c r="D3" s="143"/>
      <c r="E3" s="143"/>
      <c r="F3" s="143"/>
      <c r="G3" s="144"/>
      <c r="H3" s="144"/>
      <c r="I3" s="122"/>
      <c r="J3" s="122"/>
      <c r="K3" s="122"/>
      <c r="L3" s="122"/>
      <c r="M3" s="122"/>
      <c r="N3" s="122"/>
      <c r="O3" s="122"/>
      <c r="P3" s="122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26" s="62" customFormat="1" ht="15.75" x14ac:dyDescent="0.25">
      <c r="C4" s="119" t="s">
        <v>185</v>
      </c>
      <c r="D4" s="120" t="s">
        <v>10</v>
      </c>
      <c r="E4" s="65"/>
      <c r="F4" s="119" t="s">
        <v>206</v>
      </c>
      <c r="G4" s="96" t="str">
        <f>IF(H4="","Typical",H4)</f>
        <v>Typical</v>
      </c>
      <c r="H4" s="130"/>
      <c r="I4" s="122"/>
      <c r="J4" s="122"/>
      <c r="K4" s="122"/>
      <c r="L4" s="122"/>
      <c r="M4" s="122"/>
      <c r="N4" s="122"/>
      <c r="O4" s="122"/>
      <c r="P4" s="122"/>
      <c r="W4" s="60"/>
      <c r="X4" s="60"/>
      <c r="Y4" s="60"/>
      <c r="Z4" s="60"/>
    </row>
    <row r="5" spans="2:26" s="62" customFormat="1" ht="15.75" x14ac:dyDescent="0.25">
      <c r="C5" s="119" t="s">
        <v>31</v>
      </c>
      <c r="D5" s="121" t="s">
        <v>71</v>
      </c>
      <c r="E5" s="65"/>
      <c r="F5" s="119" t="s">
        <v>207</v>
      </c>
      <c r="G5" s="96" t="str">
        <f>IF(H5="","Typical",H5)</f>
        <v>Typical</v>
      </c>
      <c r="H5" s="130"/>
      <c r="I5" s="122"/>
      <c r="J5" s="122"/>
      <c r="K5" s="122"/>
      <c r="L5" s="122"/>
      <c r="M5" s="122"/>
      <c r="N5" s="122"/>
      <c r="O5" s="122"/>
      <c r="P5" s="122"/>
      <c r="W5" s="60"/>
      <c r="X5" s="60"/>
      <c r="Y5" s="60"/>
      <c r="Z5" s="60"/>
    </row>
    <row r="6" spans="2:26" s="62" customFormat="1" ht="15.75" x14ac:dyDescent="0.25">
      <c r="C6" s="119" t="s">
        <v>101</v>
      </c>
      <c r="D6" s="121" t="s">
        <v>82</v>
      </c>
      <c r="F6" s="119" t="s">
        <v>202</v>
      </c>
      <c r="G6" s="96" t="str">
        <f>IF(H6="","None",H6)</f>
        <v>None</v>
      </c>
      <c r="H6" s="131" t="s">
        <v>203</v>
      </c>
      <c r="I6" s="122"/>
      <c r="J6" s="122"/>
      <c r="K6" s="122"/>
      <c r="L6" s="122"/>
      <c r="M6" s="122"/>
      <c r="N6" s="122"/>
      <c r="O6" s="122"/>
      <c r="P6" s="122"/>
      <c r="W6" s="60"/>
      <c r="X6" s="60"/>
      <c r="Y6" s="60"/>
      <c r="Z6" s="60"/>
    </row>
    <row r="7" spans="2:26" s="62" customFormat="1" x14ac:dyDescent="0.25">
      <c r="C7" s="64" t="s">
        <v>102</v>
      </c>
      <c r="D7" s="95" t="str">
        <f>IF(E7="","General",E7)</f>
        <v>General</v>
      </c>
      <c r="E7" s="102"/>
      <c r="I7" s="122"/>
      <c r="J7" s="122"/>
      <c r="K7" s="122"/>
      <c r="L7" s="122"/>
      <c r="M7" s="122"/>
      <c r="N7" s="122"/>
      <c r="O7" s="122"/>
      <c r="P7" s="122"/>
      <c r="W7" s="60"/>
      <c r="X7" s="60"/>
      <c r="Y7" s="60"/>
      <c r="Z7" s="60"/>
    </row>
    <row r="8" spans="2:26" s="62" customFormat="1" x14ac:dyDescent="0.25">
      <c r="C8" s="73" t="s">
        <v>160</v>
      </c>
      <c r="D8" s="74" t="str">
        <f>CurrentCropName&amp;" "&amp;CurrentCropType&amp;" "&amp;CurrentCropVariety</f>
        <v>Broccoli Vegetable General</v>
      </c>
      <c r="I8" s="122"/>
      <c r="J8" s="122"/>
      <c r="K8" s="122"/>
      <c r="L8" s="122"/>
      <c r="M8" s="122"/>
      <c r="N8" s="122"/>
      <c r="O8" s="122"/>
      <c r="P8" s="122"/>
      <c r="W8" s="60"/>
      <c r="X8" s="60"/>
      <c r="Y8" s="60"/>
      <c r="Z8" s="60"/>
    </row>
    <row r="9" spans="2:26" s="62" customFormat="1" x14ac:dyDescent="0.25">
      <c r="C9" s="64" t="s">
        <v>4</v>
      </c>
      <c r="D9" s="101">
        <f ca="1">TODAY()</f>
        <v>44970</v>
      </c>
      <c r="E9" s="76"/>
      <c r="F9" s="64" t="s">
        <v>155</v>
      </c>
      <c r="G9" s="95" t="str">
        <f>IF(H9="",VLOOKUP(CurrentCropNameFull,CropCoefficients,13,FALSE),#REF!)</f>
        <v>Seedling</v>
      </c>
      <c r="H9" s="81"/>
      <c r="I9" s="122"/>
      <c r="J9" s="122"/>
      <c r="K9" s="122"/>
      <c r="L9" s="122"/>
      <c r="M9" s="122"/>
      <c r="N9" s="122"/>
      <c r="O9" s="122"/>
      <c r="P9" s="122"/>
      <c r="W9" s="60"/>
      <c r="X9" s="60"/>
      <c r="Y9" s="60"/>
      <c r="Z9" s="60"/>
    </row>
    <row r="10" spans="2:26" s="62" customFormat="1" x14ac:dyDescent="0.25">
      <c r="C10" s="64" t="s">
        <v>5</v>
      </c>
      <c r="D10" s="101">
        <f ca="1">CurrentEstablishDate+125</f>
        <v>45095</v>
      </c>
      <c r="E10" s="76"/>
      <c r="F10" s="64" t="s">
        <v>156</v>
      </c>
      <c r="G10" s="95" t="str">
        <f>IF(H10="",VLOOKUP(CurrentCropNameFull,CropCoefficients,15,FALSE),H10)</f>
        <v>EarlyReproductive</v>
      </c>
      <c r="H10" s="81"/>
      <c r="I10" s="122"/>
      <c r="J10" s="122"/>
      <c r="K10" s="122"/>
      <c r="L10" s="122"/>
      <c r="M10" s="122"/>
      <c r="N10" s="122"/>
      <c r="O10" s="122"/>
      <c r="P10" s="122"/>
      <c r="W10" s="60"/>
      <c r="X10" s="60"/>
      <c r="Y10" s="60"/>
      <c r="Z10" s="60"/>
    </row>
    <row r="11" spans="2:26" s="62" customFormat="1" x14ac:dyDescent="0.25">
      <c r="C11" s="64" t="s">
        <v>146</v>
      </c>
      <c r="D11" s="95">
        <f>IF(CurrentUnits="kg/head",IF(E11="",VLOOKUP(CurrentCropNameFull,CropCoefficients,20,FALSE),E11),"  -")</f>
        <v>50000</v>
      </c>
      <c r="E11" s="81"/>
      <c r="F11" s="64" t="s">
        <v>143</v>
      </c>
      <c r="G11" s="95">
        <f>IF(H11="",VLOOKUP(CurrentCropNameFull,CropCoefficients,23,FALSE),H11)</f>
        <v>0</v>
      </c>
      <c r="H11" s="81"/>
      <c r="I11" s="122"/>
      <c r="J11" s="122"/>
      <c r="K11" s="122"/>
      <c r="L11" s="122"/>
      <c r="M11" s="122"/>
      <c r="N11" s="122"/>
      <c r="O11" s="122"/>
      <c r="P11" s="122"/>
      <c r="W11" s="60"/>
      <c r="X11" s="60"/>
      <c r="Y11" s="60"/>
      <c r="Z11" s="60"/>
    </row>
    <row r="12" spans="2:26" s="62" customFormat="1" x14ac:dyDescent="0.25">
      <c r="C12" s="64" t="str">
        <f>"Yield ("&amp;CurrentUnits&amp;")"</f>
        <v>Yield (kg/head)</v>
      </c>
      <c r="D12" s="95">
        <f>IF(E12="",VLOOKUP(CurrentCropNameFull,CropCoefficients,17,FALSE),E12)</f>
        <v>0.3</v>
      </c>
      <c r="E12" s="78">
        <v>0.3</v>
      </c>
      <c r="F12" s="64" t="s">
        <v>145</v>
      </c>
      <c r="G12" s="95">
        <f>IF(H12="",VLOOKUP(CurrentCropNameFull,CropCoefficients,22,FALSE),H12)</f>
        <v>0</v>
      </c>
      <c r="H12" s="81"/>
      <c r="I12" s="122"/>
      <c r="J12" s="122"/>
      <c r="K12" s="122"/>
      <c r="L12" s="122"/>
      <c r="M12" s="122"/>
      <c r="N12" s="122"/>
      <c r="O12" s="122"/>
      <c r="P12" s="122"/>
      <c r="W12" s="60"/>
      <c r="X12" s="60"/>
      <c r="Y12" s="60"/>
      <c r="Z12" s="60"/>
    </row>
    <row r="13" spans="2:26" s="62" customFormat="1" x14ac:dyDescent="0.25">
      <c r="C13" s="64" t="s">
        <v>15</v>
      </c>
      <c r="D13" s="96" t="str">
        <f>IF(E13="",VLOOKUP(CurrentCropNameFull,CropCoefficients,18,FALSE),E13)</f>
        <v>kg/head</v>
      </c>
      <c r="E13" s="80" t="s">
        <v>16</v>
      </c>
      <c r="F13" s="64" t="s">
        <v>144</v>
      </c>
      <c r="G13" s="109">
        <f>IF(H13="",VLOOKUP(CurrentCropNameFull,CropCoefficients,26,FALSE),H13)</f>
        <v>89</v>
      </c>
      <c r="H13" s="81"/>
      <c r="I13" s="122"/>
      <c r="J13" s="122"/>
      <c r="K13" s="122"/>
      <c r="L13" s="122"/>
      <c r="M13" s="122"/>
      <c r="N13" s="122"/>
      <c r="O13" s="122"/>
      <c r="P13" s="122"/>
      <c r="W13" s="60"/>
      <c r="X13" s="60"/>
      <c r="Y13" s="60"/>
      <c r="Z13" s="60"/>
    </row>
    <row r="14" spans="2:26" s="62" customFormat="1" x14ac:dyDescent="0.25">
      <c r="B14" s="100">
        <f>IF(CurrentUnits="kg/head",CurrentYield*CurrentPopulation/1000,IF(CurrentUnits="kg/ha",CurrentYield/1000,CurrentYield))</f>
        <v>15</v>
      </c>
      <c r="C14" s="73" t="str">
        <f>"Yield "&amp;CurrentYield_tperHa&amp;" (t/ha)"</f>
        <v>Yield 15 (t/ha)</v>
      </c>
      <c r="D14" s="100" t="str">
        <f ca="1">"requires "&amp;ROUND(SUM('Model Interface'!V3:W3),0)&amp;" kg N/ha from all sources"</f>
        <v>requires 172 kg N/ha from all sources</v>
      </c>
      <c r="F14" s="64" t="s">
        <v>171</v>
      </c>
      <c r="G14" s="95" t="str">
        <f>IF(H14="","None removed",H14)</f>
        <v>None removed</v>
      </c>
      <c r="H14" s="81"/>
      <c r="I14" s="122"/>
      <c r="J14" s="122"/>
      <c r="K14" s="122"/>
      <c r="L14" s="122"/>
      <c r="M14" s="122"/>
      <c r="N14" s="122"/>
      <c r="O14" s="122"/>
      <c r="P14" s="122"/>
      <c r="R14" s="93">
        <f ca="1">MAX(PriorHarvestDate,MIN(C33,CurrentEstablishDate))</f>
        <v>44970</v>
      </c>
      <c r="W14" s="60"/>
      <c r="X14" s="60"/>
      <c r="Y14" s="60"/>
      <c r="Z14" s="60"/>
    </row>
    <row r="15" spans="2:26" s="62" customFormat="1" ht="16.5" thickBot="1" x14ac:dyDescent="0.3">
      <c r="C15" s="123" t="s">
        <v>170</v>
      </c>
      <c r="D15" s="124" t="str">
        <f ca="1">'Model Interface'!U2 &amp; " Kg/ha"</f>
        <v>124 Kg/ha</v>
      </c>
      <c r="E15" s="125" t="s">
        <v>201</v>
      </c>
      <c r="F15" s="64" t="s">
        <v>172</v>
      </c>
      <c r="G15" s="95" t="str">
        <f>IF(H15="","Full (Plough)",H15)</f>
        <v>Full (Plough)</v>
      </c>
      <c r="H15" s="81"/>
      <c r="I15" s="122"/>
      <c r="J15" s="122"/>
      <c r="K15" s="122"/>
      <c r="L15" s="122"/>
      <c r="M15" s="122"/>
      <c r="N15" s="122"/>
      <c r="O15" s="122"/>
      <c r="P15" s="122"/>
      <c r="R15" s="136" t="s">
        <v>194</v>
      </c>
      <c r="S15" s="136"/>
      <c r="T15" s="136"/>
      <c r="U15" s="136"/>
      <c r="V15" s="136"/>
      <c r="W15" s="60"/>
      <c r="X15" s="60"/>
      <c r="Y15" s="60"/>
      <c r="Z15" s="60"/>
    </row>
    <row r="16" spans="2:26" s="62" customFormat="1" ht="5.25" customHeight="1" x14ac:dyDescent="0.25">
      <c r="C16" s="68"/>
      <c r="D16" s="116"/>
      <c r="E16" s="68"/>
      <c r="I16" s="122"/>
      <c r="J16" s="122"/>
      <c r="K16" s="122"/>
      <c r="L16" s="122"/>
      <c r="M16" s="122"/>
      <c r="N16" s="122"/>
      <c r="O16" s="122"/>
      <c r="P16" s="122"/>
      <c r="W16" s="60"/>
      <c r="X16" s="60"/>
      <c r="Y16" s="60"/>
      <c r="Z16" s="60"/>
    </row>
    <row r="17" spans="1:26" s="61" customFormat="1" ht="15.75" thickBot="1" x14ac:dyDescent="0.3">
      <c r="A17" s="62"/>
      <c r="B17" s="62"/>
      <c r="C17" s="143" t="s">
        <v>199</v>
      </c>
      <c r="D17" s="143"/>
      <c r="E17" s="143"/>
      <c r="F17" s="143"/>
      <c r="G17" s="143"/>
      <c r="H17" s="143"/>
      <c r="I17" s="122"/>
      <c r="J17" s="122"/>
      <c r="K17" s="122"/>
      <c r="L17" s="122"/>
      <c r="M17" s="122"/>
      <c r="N17" s="122"/>
      <c r="O17" s="122"/>
      <c r="P17" s="122"/>
      <c r="Q17" s="62"/>
      <c r="R17" s="62" t="str">
        <f ca="1">'Model Interface'!P5</f>
        <v>Date</v>
      </c>
      <c r="S17" s="62"/>
      <c r="T17" s="62" t="s">
        <v>169</v>
      </c>
      <c r="U17" s="62" t="s">
        <v>168</v>
      </c>
      <c r="V17" s="62" t="s">
        <v>13</v>
      </c>
      <c r="W17" s="62" t="s">
        <v>219</v>
      </c>
      <c r="X17" s="62" t="s">
        <v>220</v>
      </c>
      <c r="Y17" s="62" t="s">
        <v>202</v>
      </c>
      <c r="Z17" s="62" t="s">
        <v>223</v>
      </c>
    </row>
    <row r="18" spans="1:26" s="62" customFormat="1" ht="5.25" customHeight="1" x14ac:dyDescent="0.25">
      <c r="F18" s="66"/>
      <c r="G18" s="66"/>
      <c r="H18" s="66"/>
      <c r="I18" s="122"/>
      <c r="J18" s="122"/>
      <c r="K18" s="122"/>
      <c r="L18" s="122"/>
      <c r="M18" s="122"/>
      <c r="N18" s="122"/>
      <c r="O18" s="122"/>
      <c r="P18" s="122"/>
      <c r="R18" s="93">
        <f t="array" aca="1" ref="R18:R395" ca="1">_xlfn._xlws.FILTER('Model Interface'!AD6:AD495,('Model Interface'!AD6:AD495&gt;=StartGraphDate)*('Model Interface'!AD6:AD495&lt;=CurrentHarvestDate),"")</f>
        <v>44970</v>
      </c>
      <c r="S18" s="62">
        <f ca="1">IF(R18&gt;1,R18,"")</f>
        <v>44970</v>
      </c>
      <c r="T18" s="62">
        <f t="shared" ref="T18:T81" ca="1" si="0">VLOOKUP(S18,ModelOutputs,2,FALSE)</f>
        <v>59.304645925666094</v>
      </c>
      <c r="U18" s="62">
        <f t="shared" ref="U18:U81" ca="1" si="1">VLOOKUP(S18,ModelOutputs,7,FALSE)</f>
        <v>5.8525136439330003</v>
      </c>
      <c r="V18" s="62">
        <f t="shared" ref="V18:V81" ca="1" si="2">VLOOKUP(S18,ModelOutputs,6,FALSE)</f>
        <v>0</v>
      </c>
      <c r="W18" s="60">
        <f t="shared" ref="W18:W81" ca="1" si="3">VLOOKUP(S18,ModelOutputs,10,FALSE)*AWC</f>
        <v>100.73856757513937</v>
      </c>
      <c r="X18" s="60">
        <f ca="1">VLOOKUP(S18,ModelOutputs,11,FALSE)</f>
        <v>0</v>
      </c>
      <c r="Y18" s="60">
        <f t="shared" ref="Y18:Y81" ca="1" si="4">VLOOKUP(S18,ModelOutputs,12,FALSE)</f>
        <v>0</v>
      </c>
      <c r="Z18" s="60">
        <f ca="1">VLOOKUP(S18,ModelOutputs,13,FALSE)</f>
        <v>8.8372981919199404E-3</v>
      </c>
    </row>
    <row r="19" spans="1:26" s="62" customFormat="1" x14ac:dyDescent="0.25">
      <c r="C19" s="64" t="s">
        <v>27</v>
      </c>
      <c r="D19" s="96">
        <f>IF(E19="",5,E19)</f>
        <v>5</v>
      </c>
      <c r="E19" s="18"/>
      <c r="F19" s="110" t="str">
        <f ca="1">ROUND('Model Interface'!T2,0)&amp;" kg N/ha available from SOM mineralisation"</f>
        <v>45 kg N/ha available from SOM mineralisation</v>
      </c>
      <c r="I19" s="122"/>
      <c r="J19" s="122"/>
      <c r="K19" s="122"/>
      <c r="L19" s="122"/>
      <c r="M19" s="122"/>
      <c r="N19" s="122"/>
      <c r="O19" s="122"/>
      <c r="P19" s="122"/>
      <c r="R19" s="93">
        <f ca="1"/>
        <v>44971</v>
      </c>
      <c r="S19" s="62">
        <f t="shared" ref="S19:S82" ca="1" si="5">IF(R19&gt;1,R19,"")</f>
        <v>44971</v>
      </c>
      <c r="T19" s="62">
        <f t="shared" ca="1" si="0"/>
        <v>59.522256128879917</v>
      </c>
      <c r="U19" s="62">
        <f t="shared" ca="1" si="1"/>
        <v>6.1154400489536602</v>
      </c>
      <c r="V19" s="62">
        <f t="shared" ca="1" si="2"/>
        <v>0</v>
      </c>
      <c r="W19" s="60">
        <f t="shared" ca="1" si="3"/>
        <v>98.596243111555097</v>
      </c>
      <c r="X19" s="60">
        <f t="shared" ref="X19:X82" ca="1" si="6">VLOOKUP(S19,ModelOutputs,11,FALSE)+X18</f>
        <v>0</v>
      </c>
      <c r="Y19" s="60">
        <f t="shared" ca="1" si="4"/>
        <v>0</v>
      </c>
      <c r="Z19" s="60">
        <f ca="1">VLOOKUP(S19,ModelOutputs,13,FALSE)</f>
        <v>1.1660058573634001E-2</v>
      </c>
    </row>
    <row r="20" spans="1:26" s="62" customFormat="1" x14ac:dyDescent="0.25">
      <c r="C20" s="69" t="str">
        <f>IF(COUNT(C24:C29)&gt;0,"Side dressings remaining","Side dressings")</f>
        <v>Side dressings</v>
      </c>
      <c r="D20" s="96">
        <f>IF(E20="",1,E20)</f>
        <v>1</v>
      </c>
      <c r="E20" s="114"/>
      <c r="I20" s="122"/>
      <c r="J20" s="122"/>
      <c r="K20" s="122"/>
      <c r="L20" s="122"/>
      <c r="M20" s="122"/>
      <c r="N20" s="122"/>
      <c r="O20" s="122"/>
      <c r="P20" s="122"/>
      <c r="R20" s="93">
        <f ca="1"/>
        <v>44972</v>
      </c>
      <c r="S20" s="62">
        <f t="shared" ca="1" si="5"/>
        <v>44972</v>
      </c>
      <c r="T20" s="62">
        <f t="shared" ca="1" si="0"/>
        <v>59.719892633107214</v>
      </c>
      <c r="U20" s="62">
        <f t="shared" ca="1" si="1"/>
        <v>6.3823633315069896</v>
      </c>
      <c r="V20" s="62">
        <f t="shared" ca="1" si="2"/>
        <v>0</v>
      </c>
      <c r="W20" s="60">
        <f t="shared" ca="1" si="3"/>
        <v>97.203776942323913</v>
      </c>
      <c r="X20" s="60">
        <f t="shared" ca="1" si="6"/>
        <v>0</v>
      </c>
      <c r="Y20" s="60">
        <f t="shared" ca="1" si="4"/>
        <v>0</v>
      </c>
      <c r="Z20" s="60">
        <f ca="1">VLOOKUP(S20,ModelOutputs,13,FALSE)</f>
        <v>1.52564423509212E-2</v>
      </c>
    </row>
    <row r="21" spans="1:26" s="62" customFormat="1" ht="6.75" customHeight="1" thickBot="1" x14ac:dyDescent="0.3">
      <c r="C21" s="63"/>
      <c r="D21" s="63"/>
      <c r="E21" s="63"/>
      <c r="F21" s="63"/>
      <c r="I21" s="122"/>
      <c r="J21" s="122"/>
      <c r="K21" s="122"/>
      <c r="L21" s="122"/>
      <c r="M21" s="122"/>
      <c r="N21" s="122"/>
      <c r="O21" s="122"/>
      <c r="P21" s="122"/>
      <c r="R21" s="93">
        <f ca="1"/>
        <v>44973</v>
      </c>
      <c r="S21" s="62">
        <f t="shared" ca="1" si="5"/>
        <v>44973</v>
      </c>
      <c r="T21" s="62">
        <f t="shared" ca="1" si="0"/>
        <v>59.901046718280902</v>
      </c>
      <c r="U21" s="62">
        <f t="shared" ca="1" si="1"/>
        <v>6.6561872109164497</v>
      </c>
      <c r="V21" s="62">
        <f t="shared" ca="1" si="2"/>
        <v>0</v>
      </c>
      <c r="W21" s="60">
        <f t="shared" ca="1" si="3"/>
        <v>94.778471141631826</v>
      </c>
      <c r="X21" s="60">
        <f t="shared" ca="1" si="6"/>
        <v>0</v>
      </c>
      <c r="Y21" s="60">
        <f t="shared" ca="1" si="4"/>
        <v>0</v>
      </c>
      <c r="Z21" s="60">
        <f ca="1">VLOOKUP(S21,ModelOutputs,13,FALSE)</f>
        <v>1.9855607438252199E-2</v>
      </c>
    </row>
    <row r="22" spans="1:26" s="62" customFormat="1" ht="15" customHeight="1" thickBot="1" x14ac:dyDescent="0.3">
      <c r="C22" s="146" t="s">
        <v>147</v>
      </c>
      <c r="D22" s="147"/>
      <c r="E22" s="67"/>
      <c r="F22" s="148" t="s">
        <v>154</v>
      </c>
      <c r="G22" s="149"/>
      <c r="I22" s="122"/>
      <c r="J22" s="122"/>
      <c r="K22" s="122"/>
      <c r="L22" s="122"/>
      <c r="M22" s="122"/>
      <c r="N22" s="122"/>
      <c r="O22" s="122"/>
      <c r="P22" s="122"/>
      <c r="R22" s="93">
        <f ca="1"/>
        <v>44974</v>
      </c>
      <c r="S22" s="62">
        <f t="shared" ca="1" si="5"/>
        <v>44974</v>
      </c>
      <c r="T22" s="62">
        <f t="shared" ca="1" si="0"/>
        <v>60.071985815975054</v>
      </c>
      <c r="U22" s="62">
        <f t="shared" ca="1" si="1"/>
        <v>6.9468547700113898</v>
      </c>
      <c r="V22" s="62">
        <f t="shared" ca="1" si="2"/>
        <v>0</v>
      </c>
      <c r="W22" s="60">
        <f t="shared" ca="1" si="3"/>
        <v>94.873417747388231</v>
      </c>
      <c r="X22" s="60">
        <f t="shared" ca="1" si="6"/>
        <v>0</v>
      </c>
      <c r="Y22" s="60">
        <f t="shared" ca="1" si="4"/>
        <v>0</v>
      </c>
      <c r="Z22" s="60">
        <f ca="1">VLOOKUP(S22,ModelOutputs,13,FALSE)</f>
        <v>2.59292974780252E-2</v>
      </c>
    </row>
    <row r="23" spans="1:26" s="62" customFormat="1" ht="15.75" thickBot="1" x14ac:dyDescent="0.3">
      <c r="C23" s="126" t="s">
        <v>14</v>
      </c>
      <c r="D23" s="127" t="s">
        <v>118</v>
      </c>
      <c r="E23" s="68"/>
      <c r="F23" s="70" t="s">
        <v>14</v>
      </c>
      <c r="G23" s="71" t="s">
        <v>118</v>
      </c>
      <c r="I23" s="122"/>
      <c r="J23" s="122"/>
      <c r="K23" s="122"/>
      <c r="L23" s="122"/>
      <c r="M23" s="122"/>
      <c r="N23" s="122"/>
      <c r="O23" s="122"/>
      <c r="P23" s="122"/>
      <c r="R23" s="93">
        <f ca="1"/>
        <v>44975</v>
      </c>
      <c r="S23" s="62">
        <f t="shared" ca="1" si="5"/>
        <v>44975</v>
      </c>
      <c r="T23" s="62">
        <f t="shared" ca="1" si="0"/>
        <v>60.231790686485496</v>
      </c>
      <c r="U23" s="62">
        <f t="shared" ca="1" si="1"/>
        <v>7.25536746174076</v>
      </c>
      <c r="V23" s="62">
        <f t="shared" ca="1" si="2"/>
        <v>0</v>
      </c>
      <c r="W23" s="60">
        <f t="shared" ca="1" si="3"/>
        <v>94.904091862536845</v>
      </c>
      <c r="X23" s="60">
        <f t="shared" ca="1" si="6"/>
        <v>0</v>
      </c>
      <c r="Y23" s="60">
        <f t="shared" ca="1" si="4"/>
        <v>0</v>
      </c>
      <c r="Z23" s="60">
        <f ca="1">VLOOKUP(S23,ModelOutputs,13,FALSE)</f>
        <v>3.3954313942126203E-2</v>
      </c>
    </row>
    <row r="24" spans="1:26" s="62" customFormat="1" x14ac:dyDescent="0.25">
      <c r="A24" s="93">
        <f t="array" aca="1" ref="A24:A38" ca="1">_xlfn._xlws.FILTER('Model Interface'!AD6:AD495,'Model Interface'!AE6:AE495&gt;0,"")</f>
        <v>45036</v>
      </c>
      <c r="B24" s="62">
        <f t="shared" ref="B24:B38" ca="1" si="7">IF(AND(NOT(F24=""),F24&gt;=StartSchedullingDate),1,0)</f>
        <v>1</v>
      </c>
      <c r="C24" s="87"/>
      <c r="D24" s="90"/>
      <c r="E24" s="68"/>
      <c r="F24" s="83">
        <f ca="1">A24</f>
        <v>45036</v>
      </c>
      <c r="G24" s="85">
        <f ca="1">IFERROR(VLOOKUP(F24,'Model Interface'!$P$6:$U$495,6,FALSE),"")</f>
        <v>124</v>
      </c>
      <c r="H24" s="62" t="str">
        <f ca="1">IF(B24=1,"Suggested","Applied or Planned")</f>
        <v>Suggested</v>
      </c>
      <c r="I24" s="122"/>
      <c r="J24" s="122"/>
      <c r="K24" s="122"/>
      <c r="L24" s="122"/>
      <c r="M24" s="122"/>
      <c r="N24" s="122"/>
      <c r="O24" s="122"/>
      <c r="P24" s="122"/>
      <c r="R24" s="93">
        <f ca="1"/>
        <v>44976</v>
      </c>
      <c r="S24" s="62">
        <f t="shared" ca="1" si="5"/>
        <v>44976</v>
      </c>
      <c r="T24" s="62">
        <f t="shared" ca="1" si="0"/>
        <v>60.380058531429334</v>
      </c>
      <c r="U24" s="62">
        <f t="shared" ca="1" si="1"/>
        <v>7.58426613968716</v>
      </c>
      <c r="V24" s="62">
        <f t="shared" ca="1" si="2"/>
        <v>0</v>
      </c>
      <c r="W24" s="60">
        <f t="shared" ca="1" si="3"/>
        <v>95.862999814995845</v>
      </c>
      <c r="X24" s="60">
        <f t="shared" ca="1" si="6"/>
        <v>0</v>
      </c>
      <c r="Y24" s="60">
        <f t="shared" ca="1" si="4"/>
        <v>0</v>
      </c>
      <c r="Z24" s="60">
        <f ca="1">VLOOKUP(S24,ModelOutputs,13,FALSE)</f>
        <v>4.4602267898357799E-2</v>
      </c>
    </row>
    <row r="25" spans="1:26" s="62" customFormat="1" x14ac:dyDescent="0.25">
      <c r="A25" s="93">
        <f ca="1"/>
        <v>45036</v>
      </c>
      <c r="B25" s="62">
        <f t="shared" ca="1" si="7"/>
        <v>0</v>
      </c>
      <c r="C25" s="88"/>
      <c r="D25" s="91"/>
      <c r="E25" s="68"/>
      <c r="F25" s="83" t="str">
        <f t="shared" ref="F25:F38" ca="1" si="8">IFERROR(IF(A25=A24,"",A25),"")</f>
        <v/>
      </c>
      <c r="G25" s="85" t="str">
        <f ca="1">IFERROR(VLOOKUP(F25,'Model Interface'!$P$6:$U$495,6,FALSE),"")</f>
        <v/>
      </c>
      <c r="H25" s="62" t="str">
        <f t="shared" ref="H25:H38" ca="1" si="9">IF(F25="","",IF(F25&lt;=StartSchedullingDate,"Applied or Planned","Suggested"))</f>
        <v/>
      </c>
      <c r="I25" s="122"/>
      <c r="J25" s="122"/>
      <c r="K25" s="122"/>
      <c r="L25" s="122"/>
      <c r="M25" s="122"/>
      <c r="N25" s="122"/>
      <c r="O25" s="122"/>
      <c r="P25" s="122"/>
      <c r="R25" s="93">
        <f ca="1"/>
        <v>44977</v>
      </c>
      <c r="S25" s="62">
        <f t="shared" ca="1" si="5"/>
        <v>44977</v>
      </c>
      <c r="T25" s="62">
        <f t="shared" ca="1" si="0"/>
        <v>60.514680218303077</v>
      </c>
      <c r="U25" s="62">
        <f t="shared" ca="1" si="1"/>
        <v>7.9327086819732404</v>
      </c>
      <c r="V25" s="62">
        <f t="shared" ca="1" si="2"/>
        <v>0</v>
      </c>
      <c r="W25" s="60">
        <f t="shared" ca="1" si="3"/>
        <v>94.00826511919972</v>
      </c>
      <c r="X25" s="60">
        <f t="shared" ca="1" si="6"/>
        <v>0</v>
      </c>
      <c r="Y25" s="60">
        <f t="shared" ca="1" si="4"/>
        <v>0</v>
      </c>
      <c r="Z25" s="60">
        <f ca="1">VLOOKUP(S25,ModelOutputs,13,FALSE)</f>
        <v>5.8611297938746303E-2</v>
      </c>
    </row>
    <row r="26" spans="1:26" s="62" customFormat="1" x14ac:dyDescent="0.25">
      <c r="A26" s="93">
        <f ca="1"/>
        <v>45036</v>
      </c>
      <c r="B26" s="62">
        <f t="shared" ca="1" si="7"/>
        <v>0</v>
      </c>
      <c r="C26" s="88"/>
      <c r="D26" s="91"/>
      <c r="E26" s="68"/>
      <c r="F26" s="83" t="str">
        <f t="shared" ca="1" si="8"/>
        <v/>
      </c>
      <c r="G26" s="85" t="str">
        <f ca="1">IFERROR(VLOOKUP(F26,'Model Interface'!$P$6:$U$495,6,FALSE),"")</f>
        <v/>
      </c>
      <c r="H26" s="62" t="str">
        <f t="shared" ca="1" si="9"/>
        <v/>
      </c>
      <c r="I26" s="122"/>
      <c r="J26" s="122"/>
      <c r="K26" s="122"/>
      <c r="L26" s="122"/>
      <c r="M26" s="122"/>
      <c r="N26" s="122"/>
      <c r="O26" s="122"/>
      <c r="P26" s="122"/>
      <c r="R26" s="93">
        <f ca="1"/>
        <v>44978</v>
      </c>
      <c r="S26" s="62">
        <f t="shared" ca="1" si="5"/>
        <v>44978</v>
      </c>
      <c r="T26" s="62">
        <f t="shared" ca="1" si="0"/>
        <v>60.631562692320855</v>
      </c>
      <c r="U26" s="62">
        <f t="shared" ca="1" si="1"/>
        <v>8.2918788382152506</v>
      </c>
      <c r="V26" s="62">
        <f t="shared" ca="1" si="2"/>
        <v>0</v>
      </c>
      <c r="W26" s="60">
        <f t="shared" ca="1" si="3"/>
        <v>92.350128002604023</v>
      </c>
      <c r="X26" s="60">
        <f t="shared" ca="1" si="6"/>
        <v>0</v>
      </c>
      <c r="Y26" s="60">
        <f t="shared" ca="1" si="4"/>
        <v>0</v>
      </c>
      <c r="Z26" s="60">
        <f ca="1">VLOOKUP(S26,ModelOutputs,13,FALSE)</f>
        <v>7.6402286139564499E-2</v>
      </c>
    </row>
    <row r="27" spans="1:26" s="62" customFormat="1" x14ac:dyDescent="0.25">
      <c r="A27" s="93">
        <f ca="1"/>
        <v>45036</v>
      </c>
      <c r="B27" s="62">
        <f t="shared" ca="1" si="7"/>
        <v>0</v>
      </c>
      <c r="C27" s="88"/>
      <c r="D27" s="91"/>
      <c r="E27" s="68"/>
      <c r="F27" s="83" t="str">
        <f t="shared" ca="1" si="8"/>
        <v/>
      </c>
      <c r="G27" s="85" t="str">
        <f ca="1">IFERROR(VLOOKUP(F27,'Model Interface'!$P$6:$U$495,6,FALSE),"")</f>
        <v/>
      </c>
      <c r="H27" s="62" t="str">
        <f t="shared" ca="1" si="9"/>
        <v/>
      </c>
      <c r="I27" s="122"/>
      <c r="J27" s="122"/>
      <c r="K27" s="122"/>
      <c r="L27" s="122"/>
      <c r="M27" s="122"/>
      <c r="N27" s="122"/>
      <c r="O27" s="122"/>
      <c r="P27" s="122"/>
      <c r="R27" s="93">
        <f ca="1"/>
        <v>44979</v>
      </c>
      <c r="S27" s="62">
        <f t="shared" ca="1" si="5"/>
        <v>44979</v>
      </c>
      <c r="T27" s="62">
        <f t="shared" ca="1" si="0"/>
        <v>60.731937619816591</v>
      </c>
      <c r="U27" s="62">
        <f t="shared" ca="1" si="1"/>
        <v>8.6661727505606603</v>
      </c>
      <c r="V27" s="62">
        <f t="shared" ca="1" si="2"/>
        <v>0</v>
      </c>
      <c r="W27" s="60">
        <f t="shared" ca="1" si="3"/>
        <v>96.106411300134354</v>
      </c>
      <c r="X27" s="60">
        <f t="shared" ca="1" si="6"/>
        <v>0</v>
      </c>
      <c r="Y27" s="60">
        <f t="shared" ca="1" si="4"/>
        <v>0</v>
      </c>
      <c r="Z27" s="60">
        <f ca="1">VLOOKUP(S27,ModelOutputs,13,FALSE)</f>
        <v>9.8980924941649298E-2</v>
      </c>
    </row>
    <row r="28" spans="1:26" s="62" customFormat="1" x14ac:dyDescent="0.25">
      <c r="A28" s="93">
        <f ca="1"/>
        <v>45036</v>
      </c>
      <c r="B28" s="62">
        <f t="shared" ca="1" si="7"/>
        <v>0</v>
      </c>
      <c r="C28" s="88"/>
      <c r="D28" s="91"/>
      <c r="E28" s="68"/>
      <c r="F28" s="83" t="str">
        <f t="shared" ca="1" si="8"/>
        <v/>
      </c>
      <c r="G28" s="85" t="str">
        <f ca="1">IFERROR(VLOOKUP(F28,'Model Interface'!$P$6:$U$495,6,FALSE),"")</f>
        <v/>
      </c>
      <c r="H28" s="62" t="str">
        <f t="shared" ca="1" si="9"/>
        <v/>
      </c>
      <c r="I28" s="122"/>
      <c r="J28" s="122"/>
      <c r="K28" s="122"/>
      <c r="L28" s="122"/>
      <c r="M28" s="122"/>
      <c r="N28" s="122"/>
      <c r="O28" s="122"/>
      <c r="P28" s="122"/>
      <c r="R28" s="93">
        <f ca="1"/>
        <v>44980</v>
      </c>
      <c r="S28" s="62">
        <f t="shared" ca="1" si="5"/>
        <v>44980</v>
      </c>
      <c r="T28" s="62">
        <f t="shared" ca="1" si="0"/>
        <v>60.810832562414959</v>
      </c>
      <c r="U28" s="62">
        <f t="shared" ca="1" si="1"/>
        <v>9.0322701604247193</v>
      </c>
      <c r="V28" s="62">
        <f t="shared" ca="1" si="2"/>
        <v>0</v>
      </c>
      <c r="W28" s="60">
        <f t="shared" ca="1" si="3"/>
        <v>93.717954727100505</v>
      </c>
      <c r="X28" s="60">
        <f t="shared" ca="1" si="6"/>
        <v>0</v>
      </c>
      <c r="Y28" s="60">
        <f t="shared" ca="1" si="4"/>
        <v>0</v>
      </c>
      <c r="Z28" s="60">
        <f ca="1">VLOOKUP(S28,ModelOutputs,13,FALSE)</f>
        <v>0.12538079188703199</v>
      </c>
    </row>
    <row r="29" spans="1:26" s="62" customFormat="1" ht="15.75" thickBot="1" x14ac:dyDescent="0.3">
      <c r="A29" s="93">
        <f ca="1"/>
        <v>45036</v>
      </c>
      <c r="B29" s="62">
        <f t="shared" ca="1" si="7"/>
        <v>0</v>
      </c>
      <c r="C29" s="89"/>
      <c r="D29" s="92"/>
      <c r="E29" s="68"/>
      <c r="F29" s="83" t="str">
        <f t="shared" ca="1" si="8"/>
        <v/>
      </c>
      <c r="G29" s="85" t="str">
        <f ca="1">IFERROR(VLOOKUP(F29,'Model Interface'!$P$6:$U$495,6,FALSE),"")</f>
        <v/>
      </c>
      <c r="H29" s="62" t="str">
        <f t="shared" ca="1" si="9"/>
        <v/>
      </c>
      <c r="I29" s="122"/>
      <c r="J29" s="122"/>
      <c r="K29" s="122"/>
      <c r="L29" s="122"/>
      <c r="M29" s="122"/>
      <c r="N29" s="122"/>
      <c r="O29" s="122"/>
      <c r="P29" s="122"/>
      <c r="R29" s="93">
        <f ca="1"/>
        <v>44981</v>
      </c>
      <c r="S29" s="62">
        <f t="shared" ca="1" si="5"/>
        <v>44981</v>
      </c>
      <c r="T29" s="62">
        <f t="shared" ca="1" si="0"/>
        <v>60.871918388282971</v>
      </c>
      <c r="U29" s="62">
        <f t="shared" ca="1" si="1"/>
        <v>9.3958421699187298</v>
      </c>
      <c r="V29" s="62">
        <f t="shared" ca="1" si="2"/>
        <v>0</v>
      </c>
      <c r="W29" s="60">
        <f t="shared" ca="1" si="3"/>
        <v>92.409204775896995</v>
      </c>
      <c r="X29" s="60">
        <f t="shared" ca="1" si="6"/>
        <v>0</v>
      </c>
      <c r="Y29" s="60">
        <f t="shared" ca="1" si="4"/>
        <v>0</v>
      </c>
      <c r="Z29" s="60">
        <f ca="1">VLOOKUP(S29,ModelOutputs,13,FALSE)</f>
        <v>0.15600400357449601</v>
      </c>
    </row>
    <row r="30" spans="1:26" s="62" customFormat="1" ht="15.75" thickBot="1" x14ac:dyDescent="0.3">
      <c r="A30" s="93">
        <f ca="1"/>
        <v>45036</v>
      </c>
      <c r="B30" s="62">
        <f t="shared" ca="1" si="7"/>
        <v>0</v>
      </c>
      <c r="F30" s="83" t="str">
        <f t="shared" ca="1" si="8"/>
        <v/>
      </c>
      <c r="G30" s="85" t="str">
        <f ca="1">IFERROR(VLOOKUP(F30,'Model Interface'!$P$6:$U$495,6,FALSE),"")</f>
        <v/>
      </c>
      <c r="H30" s="62" t="str">
        <f t="shared" ca="1" si="9"/>
        <v/>
      </c>
      <c r="I30" s="122"/>
      <c r="J30" s="122"/>
      <c r="K30" s="122"/>
      <c r="L30" s="122"/>
      <c r="M30" s="122"/>
      <c r="N30" s="122"/>
      <c r="O30" s="122"/>
      <c r="P30" s="122"/>
      <c r="R30" s="93">
        <f ca="1"/>
        <v>44982</v>
      </c>
      <c r="S30" s="62">
        <f t="shared" ca="1" si="5"/>
        <v>44982</v>
      </c>
      <c r="T30" s="62">
        <f t="shared" ca="1" si="0"/>
        <v>60.919910040072892</v>
      </c>
      <c r="U30" s="62">
        <f t="shared" ca="1" si="1"/>
        <v>9.7860787295630693</v>
      </c>
      <c r="V30" s="62">
        <f t="shared" ca="1" si="2"/>
        <v>0</v>
      </c>
      <c r="W30" s="60">
        <f t="shared" ca="1" si="3"/>
        <v>90.379330232710274</v>
      </c>
      <c r="X30" s="60">
        <f t="shared" ca="1" si="6"/>
        <v>0</v>
      </c>
      <c r="Y30" s="60">
        <f t="shared" ca="1" si="4"/>
        <v>0</v>
      </c>
      <c r="Z30" s="60">
        <f ca="1">VLOOKUP(S30,ModelOutputs,13,FALSE)</f>
        <v>0.193746178478576</v>
      </c>
    </row>
    <row r="31" spans="1:26" s="62" customFormat="1" ht="15.75" thickBot="1" x14ac:dyDescent="0.3">
      <c r="A31" s="93">
        <f ca="1"/>
        <v>45036</v>
      </c>
      <c r="B31" s="62">
        <f t="shared" ca="1" si="7"/>
        <v>0</v>
      </c>
      <c r="C31" s="146" t="s">
        <v>148</v>
      </c>
      <c r="D31" s="147"/>
      <c r="F31" s="83" t="str">
        <f t="shared" ca="1" si="8"/>
        <v/>
      </c>
      <c r="G31" s="85" t="str">
        <f ca="1">IFERROR(VLOOKUP(F31,'Model Interface'!$P$6:$U$495,6,FALSE),"")</f>
        <v/>
      </c>
      <c r="H31" s="62" t="str">
        <f t="shared" ca="1" si="9"/>
        <v/>
      </c>
      <c r="I31" s="122"/>
      <c r="J31" s="122"/>
      <c r="K31" s="122"/>
      <c r="L31" s="122"/>
      <c r="M31" s="122"/>
      <c r="N31" s="122"/>
      <c r="O31" s="122"/>
      <c r="P31" s="122"/>
      <c r="R31" s="93">
        <f ca="1"/>
        <v>44983</v>
      </c>
      <c r="S31" s="62">
        <f t="shared" ca="1" si="5"/>
        <v>44983</v>
      </c>
      <c r="T31" s="62">
        <f t="shared" ca="1" si="0"/>
        <v>60.951311337480035</v>
      </c>
      <c r="U31" s="62">
        <f t="shared" ca="1" si="1"/>
        <v>10.179168859379001</v>
      </c>
      <c r="V31" s="62">
        <f t="shared" ca="1" si="2"/>
        <v>0</v>
      </c>
      <c r="W31" s="60">
        <f t="shared" ca="1" si="3"/>
        <v>88.382729989570919</v>
      </c>
      <c r="X31" s="60">
        <f t="shared" ca="1" si="6"/>
        <v>0</v>
      </c>
      <c r="Y31" s="60">
        <f t="shared" ca="1" si="4"/>
        <v>0</v>
      </c>
      <c r="Z31" s="60">
        <f ca="1">VLOOKUP(S31,ModelOutputs,13,FALSE)</f>
        <v>0.236573557075235</v>
      </c>
    </row>
    <row r="32" spans="1:26" s="62" customFormat="1" ht="15.75" thickBot="1" x14ac:dyDescent="0.3">
      <c r="A32" s="93">
        <f ca="1"/>
        <v>45036</v>
      </c>
      <c r="B32" s="62">
        <f t="shared" ca="1" si="7"/>
        <v>0</v>
      </c>
      <c r="C32" s="126" t="s">
        <v>14</v>
      </c>
      <c r="D32" s="127" t="s">
        <v>19</v>
      </c>
      <c r="F32" s="83" t="str">
        <f t="shared" ca="1" si="8"/>
        <v/>
      </c>
      <c r="G32" s="85" t="str">
        <f ca="1">IFERROR(VLOOKUP(F32,'Model Interface'!$P$6:$U$495,6,FALSE),"")</f>
        <v/>
      </c>
      <c r="H32" s="62" t="str">
        <f t="shared" ca="1" si="9"/>
        <v/>
      </c>
      <c r="I32" s="122"/>
      <c r="J32" s="122"/>
      <c r="K32" s="122"/>
      <c r="L32" s="122"/>
      <c r="M32" s="122"/>
      <c r="N32" s="122"/>
      <c r="O32" s="122"/>
      <c r="P32" s="122"/>
      <c r="R32" s="93">
        <f ca="1"/>
        <v>44984</v>
      </c>
      <c r="S32" s="62">
        <f t="shared" ca="1" si="5"/>
        <v>44984</v>
      </c>
      <c r="T32" s="62">
        <f t="shared" ca="1" si="0"/>
        <v>60.967286349596492</v>
      </c>
      <c r="U32" s="62">
        <f t="shared" ca="1" si="1"/>
        <v>10.5844268813097</v>
      </c>
      <c r="V32" s="62">
        <f t="shared" ca="1" si="2"/>
        <v>0</v>
      </c>
      <c r="W32" s="60">
        <f t="shared" ca="1" si="3"/>
        <v>85.816364733099277</v>
      </c>
      <c r="X32" s="60">
        <f t="shared" ca="1" si="6"/>
        <v>0</v>
      </c>
      <c r="Y32" s="60">
        <f t="shared" ca="1" si="4"/>
        <v>0</v>
      </c>
      <c r="Z32" s="60">
        <f ca="1">VLOOKUP(S32,ModelOutputs,13,FALSE)</f>
        <v>0.28513308113006502</v>
      </c>
    </row>
    <row r="33" spans="1:26" s="62" customFormat="1" x14ac:dyDescent="0.25">
      <c r="A33" s="93">
        <f ca="1"/>
        <v>45036</v>
      </c>
      <c r="B33" s="62">
        <f t="shared" ca="1" si="7"/>
        <v>0</v>
      </c>
      <c r="C33" s="87"/>
      <c r="D33" s="90"/>
      <c r="F33" s="83" t="str">
        <f t="shared" ca="1" si="8"/>
        <v/>
      </c>
      <c r="G33" s="85" t="str">
        <f ca="1">IFERROR(VLOOKUP(F33,'Model Interface'!$P$6:$U$495,6,FALSE),"")</f>
        <v/>
      </c>
      <c r="H33" s="62" t="str">
        <f t="shared" ca="1" si="9"/>
        <v/>
      </c>
      <c r="I33" s="122"/>
      <c r="J33" s="122"/>
      <c r="K33" s="122"/>
      <c r="L33" s="122"/>
      <c r="M33" s="122"/>
      <c r="N33" s="122"/>
      <c r="O33" s="122"/>
      <c r="P33" s="122"/>
      <c r="R33" s="93">
        <f ca="1"/>
        <v>44985</v>
      </c>
      <c r="S33" s="62">
        <f t="shared" ca="1" si="5"/>
        <v>44985</v>
      </c>
      <c r="T33" s="62">
        <f t="shared" ca="1" si="0"/>
        <v>60.967291880562641</v>
      </c>
      <c r="U33" s="62">
        <f t="shared" ca="1" si="1"/>
        <v>11.0226522890804</v>
      </c>
      <c r="V33" s="62">
        <f t="shared" ca="1" si="2"/>
        <v>0</v>
      </c>
      <c r="W33" s="60">
        <f t="shared" ca="1" si="3"/>
        <v>83.195887052489979</v>
      </c>
      <c r="X33" s="60">
        <f t="shared" ca="1" si="6"/>
        <v>0</v>
      </c>
      <c r="Y33" s="60">
        <f t="shared" ca="1" si="4"/>
        <v>0</v>
      </c>
      <c r="Z33" s="60">
        <f ca="1">VLOOKUP(S33,ModelOutputs,13,FALSE)</f>
        <v>0.34153212744364497</v>
      </c>
    </row>
    <row r="34" spans="1:26" s="62" customFormat="1" x14ac:dyDescent="0.25">
      <c r="A34" s="93">
        <f ca="1"/>
        <v>45036</v>
      </c>
      <c r="B34" s="62">
        <f t="shared" ca="1" si="7"/>
        <v>0</v>
      </c>
      <c r="C34" s="88"/>
      <c r="D34" s="91"/>
      <c r="F34" s="83" t="str">
        <f t="shared" ca="1" si="8"/>
        <v/>
      </c>
      <c r="G34" s="85" t="str">
        <f ca="1">IFERROR(VLOOKUP(F34,'Model Interface'!$P$6:$U$495,6,FALSE),"")</f>
        <v/>
      </c>
      <c r="H34" s="62" t="str">
        <f t="shared" ca="1" si="9"/>
        <v/>
      </c>
      <c r="I34" s="122"/>
      <c r="J34" s="122"/>
      <c r="K34" s="122"/>
      <c r="L34" s="122"/>
      <c r="M34" s="122"/>
      <c r="N34" s="122"/>
      <c r="O34" s="122"/>
      <c r="P34" s="122"/>
      <c r="R34" s="93">
        <f ca="1"/>
        <v>44986</v>
      </c>
      <c r="S34" s="62">
        <f t="shared" ca="1" si="5"/>
        <v>44986</v>
      </c>
      <c r="T34" s="62">
        <f t="shared" ca="1" si="0"/>
        <v>60.950351736728877</v>
      </c>
      <c r="U34" s="62">
        <f t="shared" ca="1" si="1"/>
        <v>11.4678321330712</v>
      </c>
      <c r="V34" s="62">
        <f t="shared" ca="1" si="2"/>
        <v>0</v>
      </c>
      <c r="W34" s="60">
        <f t="shared" ca="1" si="3"/>
        <v>82.625348165030246</v>
      </c>
      <c r="X34" s="60">
        <f t="shared" ca="1" si="6"/>
        <v>0</v>
      </c>
      <c r="Y34" s="60">
        <f t="shared" ca="1" si="4"/>
        <v>0</v>
      </c>
      <c r="Z34" s="60">
        <f ca="1">VLOOKUP(S34,ModelOutputs,13,FALSE)</f>
        <v>0.40137370259141097</v>
      </c>
    </row>
    <row r="35" spans="1:26" s="62" customFormat="1" x14ac:dyDescent="0.25">
      <c r="A35" s="93">
        <f ca="1"/>
        <v>45036</v>
      </c>
      <c r="B35" s="62">
        <f t="shared" ca="1" si="7"/>
        <v>0</v>
      </c>
      <c r="C35" s="88"/>
      <c r="D35" s="91"/>
      <c r="F35" s="83" t="str">
        <f t="shared" ca="1" si="8"/>
        <v/>
      </c>
      <c r="G35" s="85" t="str">
        <f ca="1">IFERROR(VLOOKUP(F35,'Model Interface'!$P$6:$U$495,6,FALSE),"")</f>
        <v/>
      </c>
      <c r="H35" s="62" t="str">
        <f t="shared" ca="1" si="9"/>
        <v/>
      </c>
      <c r="I35" s="122"/>
      <c r="J35" s="122"/>
      <c r="K35" s="122"/>
      <c r="L35" s="122"/>
      <c r="M35" s="122"/>
      <c r="N35" s="122"/>
      <c r="O35" s="122"/>
      <c r="P35" s="122"/>
      <c r="R35" s="93">
        <f ca="1"/>
        <v>44987</v>
      </c>
      <c r="S35" s="62">
        <f t="shared" ca="1" si="5"/>
        <v>44987</v>
      </c>
      <c r="T35" s="62">
        <f t="shared" ca="1" si="0"/>
        <v>60.916278777691822</v>
      </c>
      <c r="U35" s="62">
        <f t="shared" ca="1" si="1"/>
        <v>11.9280980873323</v>
      </c>
      <c r="V35" s="62">
        <f t="shared" ca="1" si="2"/>
        <v>0</v>
      </c>
      <c r="W35" s="60">
        <f t="shared" ca="1" si="3"/>
        <v>82.252837286810333</v>
      </c>
      <c r="X35" s="60">
        <f t="shared" ca="1" si="6"/>
        <v>0</v>
      </c>
      <c r="Y35" s="60">
        <f t="shared" ca="1" si="4"/>
        <v>0</v>
      </c>
      <c r="Z35" s="60">
        <f ca="1">VLOOKUP(S35,ModelOutputs,13,FALSE)</f>
        <v>0.46401168200231302</v>
      </c>
    </row>
    <row r="36" spans="1:26" s="62" customFormat="1" x14ac:dyDescent="0.25">
      <c r="A36" s="93">
        <f ca="1"/>
        <v>45036</v>
      </c>
      <c r="B36" s="62">
        <f t="shared" ca="1" si="7"/>
        <v>0</v>
      </c>
      <c r="C36" s="88"/>
      <c r="D36" s="91"/>
      <c r="F36" s="83" t="str">
        <f t="shared" ca="1" si="8"/>
        <v/>
      </c>
      <c r="G36" s="85" t="str">
        <f ca="1">IFERROR(VLOOKUP(F36,'Model Interface'!$P$6:$U$495,6,FALSE),"")</f>
        <v/>
      </c>
      <c r="H36" s="62" t="str">
        <f t="shared" ca="1" si="9"/>
        <v/>
      </c>
      <c r="I36" s="122"/>
      <c r="J36" s="122"/>
      <c r="K36" s="122"/>
      <c r="L36" s="122"/>
      <c r="M36" s="122"/>
      <c r="N36" s="122"/>
      <c r="O36" s="122"/>
      <c r="P36" s="122"/>
      <c r="R36" s="93">
        <f ca="1"/>
        <v>44988</v>
      </c>
      <c r="S36" s="62">
        <f t="shared" ca="1" si="5"/>
        <v>44988</v>
      </c>
      <c r="T36" s="62">
        <f t="shared" ca="1" si="0"/>
        <v>60.86384820522504</v>
      </c>
      <c r="U36" s="62">
        <f t="shared" ca="1" si="1"/>
        <v>12.4108380740426</v>
      </c>
      <c r="V36" s="62">
        <f t="shared" ca="1" si="2"/>
        <v>0</v>
      </c>
      <c r="W36" s="60">
        <f t="shared" ca="1" si="3"/>
        <v>80.130407818105084</v>
      </c>
      <c r="X36" s="60">
        <f t="shared" ca="1" si="6"/>
        <v>0</v>
      </c>
      <c r="Y36" s="60">
        <f t="shared" ca="1" si="4"/>
        <v>0</v>
      </c>
      <c r="Z36" s="60">
        <f ca="1">VLOOKUP(S36,ModelOutputs,13,FALSE)</f>
        <v>0.52842908733704697</v>
      </c>
    </row>
    <row r="37" spans="1:26" s="62" customFormat="1" x14ac:dyDescent="0.25">
      <c r="A37" s="93">
        <f ca="1"/>
        <v>45036</v>
      </c>
      <c r="B37" s="62">
        <f t="shared" ca="1" si="7"/>
        <v>0</v>
      </c>
      <c r="C37" s="88"/>
      <c r="D37" s="91"/>
      <c r="F37" s="83" t="str">
        <f t="shared" ca="1" si="8"/>
        <v/>
      </c>
      <c r="G37" s="85" t="str">
        <f ca="1">IFERROR(VLOOKUP(F37,'Model Interface'!$P$6:$U$495,6,FALSE),"")</f>
        <v/>
      </c>
      <c r="H37" s="62" t="str">
        <f t="shared" ca="1" si="9"/>
        <v/>
      </c>
      <c r="I37" s="122"/>
      <c r="J37" s="122"/>
      <c r="K37" s="122"/>
      <c r="L37" s="122"/>
      <c r="M37" s="122"/>
      <c r="N37" s="122"/>
      <c r="O37" s="122"/>
      <c r="P37" s="122"/>
      <c r="R37" s="93">
        <f ca="1"/>
        <v>44989</v>
      </c>
      <c r="S37" s="62">
        <f t="shared" ca="1" si="5"/>
        <v>44989</v>
      </c>
      <c r="T37" s="62">
        <f t="shared" ca="1" si="0"/>
        <v>60.794941218718783</v>
      </c>
      <c r="U37" s="62">
        <f t="shared" ca="1" si="1"/>
        <v>12.897924192313599</v>
      </c>
      <c r="V37" s="62">
        <f t="shared" ca="1" si="2"/>
        <v>0</v>
      </c>
      <c r="W37" s="60">
        <f t="shared" ca="1" si="3"/>
        <v>80.603841820281318</v>
      </c>
      <c r="X37" s="60">
        <f t="shared" ca="1" si="6"/>
        <v>0</v>
      </c>
      <c r="Y37" s="60">
        <f t="shared" ca="1" si="4"/>
        <v>0</v>
      </c>
      <c r="Z37" s="60">
        <f ca="1">VLOOKUP(S37,ModelOutputs,13,FALSE)</f>
        <v>0.59016112071772997</v>
      </c>
    </row>
    <row r="38" spans="1:26" s="62" customFormat="1" ht="15.75" thickBot="1" x14ac:dyDescent="0.3">
      <c r="A38" s="93">
        <f ca="1"/>
        <v>45036</v>
      </c>
      <c r="B38" s="62">
        <f t="shared" ca="1" si="7"/>
        <v>0</v>
      </c>
      <c r="C38" s="89"/>
      <c r="D38" s="92"/>
      <c r="F38" s="84" t="str">
        <f t="shared" ca="1" si="8"/>
        <v/>
      </c>
      <c r="G38" s="86" t="str">
        <f ca="1">IFERROR(VLOOKUP(F38,'Model Interface'!$P$6:$U$495,6,FALSE),"")</f>
        <v/>
      </c>
      <c r="H38" s="62" t="str">
        <f t="shared" ca="1" si="9"/>
        <v/>
      </c>
      <c r="I38" s="122"/>
      <c r="J38" s="122"/>
      <c r="K38" s="122"/>
      <c r="L38" s="122"/>
      <c r="M38" s="122"/>
      <c r="N38" s="122"/>
      <c r="O38" s="122"/>
      <c r="P38" s="122"/>
      <c r="R38" s="93">
        <f ca="1"/>
        <v>44990</v>
      </c>
      <c r="S38" s="62">
        <f t="shared" ca="1" si="5"/>
        <v>44990</v>
      </c>
      <c r="T38" s="62">
        <f t="shared" ca="1" si="0"/>
        <v>60.705838901646153</v>
      </c>
      <c r="U38" s="62">
        <f t="shared" ca="1" si="1"/>
        <v>13.413405536224801</v>
      </c>
      <c r="V38" s="62">
        <f t="shared" ca="1" si="2"/>
        <v>0</v>
      </c>
      <c r="W38" s="60">
        <f t="shared" ca="1" si="3"/>
        <v>81.372454106738658</v>
      </c>
      <c r="X38" s="60">
        <f t="shared" ca="1" si="6"/>
        <v>0</v>
      </c>
      <c r="Y38" s="60">
        <f t="shared" ca="1" si="4"/>
        <v>0</v>
      </c>
      <c r="Z38" s="60">
        <f ca="1">VLOOKUP(S38,ModelOutputs,13,FALSE)</f>
        <v>0.65030063292142204</v>
      </c>
    </row>
    <row r="39" spans="1:26" s="62" customFormat="1" x14ac:dyDescent="0.25">
      <c r="B39" s="62">
        <f ca="1">IF(C33="",CurrentEstablishDate,IF(AND(C33&gt;CurrentEstablishDate,(C33-CurrentEstablishDate)&lt;10),C33,CurrentEstablishDate))</f>
        <v>44970</v>
      </c>
      <c r="C39" s="110" t="s">
        <v>159</v>
      </c>
      <c r="D39" s="112">
        <f ca="1">MAX(CurrentEstablishDate,C33:C38,MAX(C24:C29)+1)</f>
        <v>44970</v>
      </c>
      <c r="I39" s="122"/>
      <c r="J39" s="122"/>
      <c r="K39" s="122"/>
      <c r="L39" s="122"/>
      <c r="M39" s="122"/>
      <c r="N39" s="122"/>
      <c r="O39" s="122"/>
      <c r="P39" s="122"/>
      <c r="R39" s="93">
        <f ca="1"/>
        <v>44991</v>
      </c>
      <c r="S39" s="62">
        <f t="shared" ca="1" si="5"/>
        <v>44991</v>
      </c>
      <c r="T39" s="62">
        <f t="shared" ca="1" si="0"/>
        <v>60.600459826238982</v>
      </c>
      <c r="U39" s="62">
        <f t="shared" ca="1" si="1"/>
        <v>13.9329468052025</v>
      </c>
      <c r="V39" s="62">
        <f t="shared" ca="1" si="2"/>
        <v>0</v>
      </c>
      <c r="W39" s="60">
        <f t="shared" ca="1" si="3"/>
        <v>81.074252851409227</v>
      </c>
      <c r="X39" s="60">
        <f t="shared" ca="1" si="6"/>
        <v>0</v>
      </c>
      <c r="Y39" s="60">
        <f t="shared" ca="1" si="4"/>
        <v>0</v>
      </c>
      <c r="Z39" s="60">
        <f ca="1">VLOOKUP(S39,ModelOutputs,13,FALSE)</f>
        <v>0.70449146049171496</v>
      </c>
    </row>
    <row r="40" spans="1:26" s="62" customFormat="1" ht="6.75" customHeight="1" x14ac:dyDescent="0.25">
      <c r="I40" s="122"/>
      <c r="J40" s="122"/>
      <c r="K40" s="122"/>
      <c r="L40" s="122"/>
      <c r="M40" s="122"/>
      <c r="N40" s="122"/>
      <c r="O40" s="122"/>
      <c r="P40" s="122"/>
      <c r="R40" s="93">
        <f ca="1"/>
        <v>44992</v>
      </c>
      <c r="S40" s="62">
        <f t="shared" ca="1" si="5"/>
        <v>44992</v>
      </c>
      <c r="T40" s="62">
        <f t="shared" ca="1" si="0"/>
        <v>60.477636692978209</v>
      </c>
      <c r="U40" s="62">
        <f t="shared" ca="1" si="1"/>
        <v>14.464598793067999</v>
      </c>
      <c r="V40" s="62">
        <f t="shared" ca="1" si="2"/>
        <v>0</v>
      </c>
      <c r="W40" s="60">
        <f t="shared" ca="1" si="3"/>
        <v>83.526028931430275</v>
      </c>
      <c r="X40" s="60">
        <f t="shared" ca="1" si="6"/>
        <v>0</v>
      </c>
      <c r="Y40" s="60">
        <f t="shared" ca="1" si="4"/>
        <v>0</v>
      </c>
      <c r="Z40" s="60">
        <f ca="1">VLOOKUP(S40,ModelOutputs,13,FALSE)</f>
        <v>0.75287571484530802</v>
      </c>
    </row>
    <row r="41" spans="1:26" s="62" customFormat="1" ht="15.75" thickBot="1" x14ac:dyDescent="0.3">
      <c r="C41" s="143" t="s">
        <v>166</v>
      </c>
      <c r="D41" s="143"/>
      <c r="E41" s="143"/>
      <c r="F41" s="143"/>
      <c r="G41" s="143"/>
      <c r="H41" s="143"/>
      <c r="I41" s="122"/>
      <c r="J41" s="122"/>
      <c r="K41" s="122"/>
      <c r="L41" s="122"/>
      <c r="M41" s="122"/>
      <c r="N41" s="122"/>
      <c r="O41" s="122"/>
      <c r="P41" s="122"/>
      <c r="R41" s="93">
        <f ca="1"/>
        <v>44993</v>
      </c>
      <c r="S41" s="62">
        <f t="shared" ca="1" si="5"/>
        <v>44993</v>
      </c>
      <c r="T41" s="62">
        <f t="shared" ca="1" si="0"/>
        <v>60.335031979153499</v>
      </c>
      <c r="U41" s="62">
        <f t="shared" ca="1" si="1"/>
        <v>15.017371266876101</v>
      </c>
      <c r="V41" s="62">
        <f t="shared" ca="1" si="2"/>
        <v>0</v>
      </c>
      <c r="W41" s="60">
        <f t="shared" ca="1" si="3"/>
        <v>82.153118797030046</v>
      </c>
      <c r="X41" s="60">
        <f t="shared" ca="1" si="6"/>
        <v>0</v>
      </c>
      <c r="Y41" s="60">
        <f t="shared" ca="1" si="4"/>
        <v>0</v>
      </c>
      <c r="Z41" s="60">
        <f ca="1">VLOOKUP(S41,ModelOutputs,13,FALSE)</f>
        <v>0.79576806830372304</v>
      </c>
    </row>
    <row r="42" spans="1:26" s="62" customFormat="1" x14ac:dyDescent="0.25">
      <c r="C42" s="69" t="s">
        <v>31</v>
      </c>
      <c r="D42" s="98" t="str">
        <f>IF(E42="","Fodder",E42)</f>
        <v>Fodder</v>
      </c>
      <c r="E42" s="97"/>
      <c r="F42" s="69" t="s">
        <v>143</v>
      </c>
      <c r="G42" s="98">
        <f>IF(H42="",VLOOKUP(PriorCropNameFull,CropCoefficients,23,FALSE),H42)</f>
        <v>0</v>
      </c>
      <c r="H42" s="99"/>
      <c r="I42" s="122"/>
      <c r="J42" s="122"/>
      <c r="K42" s="122"/>
      <c r="L42" s="122"/>
      <c r="M42" s="122"/>
      <c r="N42" s="122"/>
      <c r="O42" s="122"/>
      <c r="P42" s="122"/>
      <c r="R42" s="93">
        <f ca="1"/>
        <v>44994</v>
      </c>
      <c r="S42" s="62">
        <f t="shared" ca="1" si="5"/>
        <v>44994</v>
      </c>
      <c r="T42" s="62">
        <f t="shared" ca="1" si="0"/>
        <v>60.174812148264081</v>
      </c>
      <c r="U42" s="62">
        <f t="shared" ca="1" si="1"/>
        <v>15.5820164592191</v>
      </c>
      <c r="V42" s="62">
        <f t="shared" ca="1" si="2"/>
        <v>0</v>
      </c>
      <c r="W42" s="60">
        <f t="shared" ca="1" si="3"/>
        <v>79.525196926512834</v>
      </c>
      <c r="X42" s="60">
        <f t="shared" ca="1" si="6"/>
        <v>0</v>
      </c>
      <c r="Y42" s="60">
        <f t="shared" ca="1" si="4"/>
        <v>0</v>
      </c>
      <c r="Z42" s="60">
        <f ca="1">VLOOKUP(S42,ModelOutputs,13,FALSE)</f>
        <v>0.83238941163950397</v>
      </c>
    </row>
    <row r="43" spans="1:26" s="62" customFormat="1" x14ac:dyDescent="0.25">
      <c r="C43" s="69" t="s">
        <v>101</v>
      </c>
      <c r="D43" s="94" t="str">
        <f>IF(E43="","Barley",E43)</f>
        <v>Barley</v>
      </c>
      <c r="E43" s="75"/>
      <c r="F43" s="69" t="s">
        <v>145</v>
      </c>
      <c r="G43" s="94">
        <f>IF(H43="",VLOOKUP(PriorCropNameFull,CropCoefficients,22,FALSE),H43)</f>
        <v>0</v>
      </c>
      <c r="H43" s="81"/>
      <c r="I43" s="122"/>
      <c r="J43" s="122"/>
      <c r="K43" s="122"/>
      <c r="L43" s="122"/>
      <c r="M43" s="122"/>
      <c r="N43" s="122"/>
      <c r="O43" s="122"/>
      <c r="P43" s="122"/>
      <c r="R43" s="93">
        <f ca="1"/>
        <v>44995</v>
      </c>
      <c r="S43" s="62">
        <f t="shared" ca="1" si="5"/>
        <v>44995</v>
      </c>
      <c r="T43" s="62">
        <f t="shared" ca="1" si="0"/>
        <v>59.989201173306284</v>
      </c>
      <c r="U43" s="62">
        <f t="shared" ca="1" si="1"/>
        <v>16.183294149611999</v>
      </c>
      <c r="V43" s="62">
        <f t="shared" ca="1" si="2"/>
        <v>0</v>
      </c>
      <c r="W43" s="60">
        <f t="shared" ca="1" si="3"/>
        <v>78.450385484732067</v>
      </c>
      <c r="X43" s="60">
        <f t="shared" ca="1" si="6"/>
        <v>0</v>
      </c>
      <c r="Y43" s="60">
        <f t="shared" ca="1" si="4"/>
        <v>0</v>
      </c>
      <c r="Z43" s="60">
        <f ca="1">VLOOKUP(S43,ModelOutputs,13,FALSE)</f>
        <v>0.86436315916139395</v>
      </c>
    </row>
    <row r="44" spans="1:26" s="61" customFormat="1" x14ac:dyDescent="0.25">
      <c r="B44" s="62"/>
      <c r="C44" s="69" t="s">
        <v>102</v>
      </c>
      <c r="D44" s="94" t="str">
        <f>IF(E44="","General",E44)</f>
        <v>General</v>
      </c>
      <c r="E44" s="75"/>
      <c r="F44" s="69" t="s">
        <v>144</v>
      </c>
      <c r="G44" s="94">
        <f>IF(H44="",VLOOKUP(PriorCropNameFull,CropCoefficients,26,FALSE),H44)</f>
        <v>80</v>
      </c>
      <c r="H44" s="81"/>
      <c r="I44" s="122"/>
      <c r="J44" s="122"/>
      <c r="K44" s="122"/>
      <c r="L44" s="122"/>
      <c r="M44" s="122"/>
      <c r="N44" s="122"/>
      <c r="O44" s="122"/>
      <c r="P44" s="122"/>
      <c r="Q44" s="62"/>
      <c r="R44" s="93">
        <f ca="1"/>
        <v>44996</v>
      </c>
      <c r="S44" s="62">
        <f t="shared" ca="1" si="5"/>
        <v>44996</v>
      </c>
      <c r="T44" s="62">
        <f t="shared" ca="1" si="0"/>
        <v>59.786406127630869</v>
      </c>
      <c r="U44" s="62">
        <f t="shared" ca="1" si="1"/>
        <v>16.792788535406501</v>
      </c>
      <c r="V44" s="62">
        <f t="shared" ca="1" si="2"/>
        <v>0</v>
      </c>
      <c r="W44" s="60">
        <f t="shared" ca="1" si="3"/>
        <v>79.438186400139372</v>
      </c>
      <c r="X44" s="60">
        <f t="shared" ca="1" si="6"/>
        <v>0</v>
      </c>
      <c r="Y44" s="60">
        <f t="shared" ca="1" si="4"/>
        <v>0</v>
      </c>
      <c r="Z44" s="60">
        <f ca="1">VLOOKUP(S44,ModelOutputs,13,FALSE)</f>
        <v>0.89051304820876198</v>
      </c>
    </row>
    <row r="45" spans="1:26" s="62" customFormat="1" x14ac:dyDescent="0.25">
      <c r="C45" s="73" t="s">
        <v>160</v>
      </c>
      <c r="D45" s="74" t="str">
        <f>PriorCropName&amp;" "&amp;PriorCropType&amp;" "&amp;PriorCropVariety</f>
        <v>Barley Fodder General</v>
      </c>
      <c r="F45" s="63"/>
      <c r="I45" s="122"/>
      <c r="J45" s="122"/>
      <c r="K45" s="122"/>
      <c r="L45" s="122"/>
      <c r="M45" s="122"/>
      <c r="N45" s="122"/>
      <c r="O45" s="122"/>
      <c r="P45" s="122"/>
      <c r="R45" s="93">
        <f ca="1"/>
        <v>44997</v>
      </c>
      <c r="S45" s="62">
        <f t="shared" ca="1" si="5"/>
        <v>44997</v>
      </c>
      <c r="T45" s="62">
        <f t="shared" ca="1" si="0"/>
        <v>59.560014055709111</v>
      </c>
      <c r="U45" s="62">
        <f t="shared" ca="1" si="1"/>
        <v>17.4293112918627</v>
      </c>
      <c r="V45" s="62">
        <f t="shared" ca="1" si="2"/>
        <v>0</v>
      </c>
      <c r="W45" s="60">
        <f t="shared" ca="1" si="3"/>
        <v>78.254889614625156</v>
      </c>
      <c r="X45" s="60">
        <f t="shared" ca="1" si="6"/>
        <v>0</v>
      </c>
      <c r="Y45" s="60">
        <f t="shared" ca="1" si="4"/>
        <v>0</v>
      </c>
      <c r="Z45" s="60">
        <f ca="1">VLOOKUP(S45,ModelOutputs,13,FALSE)</f>
        <v>0.91229904970570397</v>
      </c>
    </row>
    <row r="46" spans="1:26" s="62" customFormat="1" x14ac:dyDescent="0.25">
      <c r="C46" s="69" t="s">
        <v>4</v>
      </c>
      <c r="D46" s="77">
        <f ca="1">IF(E46="",CurrentEstablishDate-60,E46)</f>
        <v>44910</v>
      </c>
      <c r="E46" s="76"/>
      <c r="F46" s="69" t="s">
        <v>155</v>
      </c>
      <c r="G46" s="94" t="str">
        <f>IF(H46="",VLOOKUP(PriorCropNameFull,CropCoefficients,13,FALSE),H46)</f>
        <v>Seed</v>
      </c>
      <c r="H46" s="81"/>
      <c r="I46" s="122"/>
      <c r="J46" s="122"/>
      <c r="K46" s="122"/>
      <c r="L46" s="122"/>
      <c r="M46" s="122"/>
      <c r="N46" s="122"/>
      <c r="O46" s="122"/>
      <c r="P46" s="122"/>
      <c r="R46" s="93">
        <f ca="1"/>
        <v>44998</v>
      </c>
      <c r="S46" s="62">
        <f t="shared" ca="1" si="5"/>
        <v>44998</v>
      </c>
      <c r="T46" s="62">
        <f t="shared" ca="1" si="0"/>
        <v>59.328064210467197</v>
      </c>
      <c r="U46" s="62">
        <f t="shared" ca="1" si="1"/>
        <v>18.044406033828501</v>
      </c>
      <c r="V46" s="62">
        <f t="shared" ca="1" si="2"/>
        <v>0</v>
      </c>
      <c r="W46" s="60">
        <f t="shared" ca="1" si="3"/>
        <v>76.951671538621468</v>
      </c>
      <c r="X46" s="60">
        <f t="shared" ca="1" si="6"/>
        <v>0</v>
      </c>
      <c r="Y46" s="60">
        <f t="shared" ca="1" si="4"/>
        <v>0</v>
      </c>
      <c r="Z46" s="60">
        <f ca="1">VLOOKUP(S46,ModelOutputs,13,FALSE)</f>
        <v>0.92903051825715699</v>
      </c>
    </row>
    <row r="47" spans="1:26" s="62" customFormat="1" x14ac:dyDescent="0.25">
      <c r="C47" s="69" t="s">
        <v>5</v>
      </c>
      <c r="D47" s="77">
        <f ca="1">IF(E47="",CurrentEstablishDate-15,E47)</f>
        <v>44955</v>
      </c>
      <c r="E47" s="76"/>
      <c r="F47" s="69" t="s">
        <v>156</v>
      </c>
      <c r="G47" s="94" t="str">
        <f>IF(H47="",VLOOKUP(PriorCropNameFull,CropCoefficients,15,FALSE),H47)</f>
        <v>EarlyReproductive</v>
      </c>
      <c r="H47" s="81"/>
      <c r="I47" s="122"/>
      <c r="J47" s="122"/>
      <c r="K47" s="122"/>
      <c r="L47" s="122"/>
      <c r="M47" s="122"/>
      <c r="N47" s="122"/>
      <c r="O47" s="122"/>
      <c r="P47" s="122"/>
      <c r="R47" s="93">
        <f ca="1"/>
        <v>44999</v>
      </c>
      <c r="S47" s="62">
        <f t="shared" ca="1" si="5"/>
        <v>44999</v>
      </c>
      <c r="T47" s="62">
        <f t="shared" ca="1" si="0"/>
        <v>59.06705974930783</v>
      </c>
      <c r="U47" s="62">
        <f t="shared" ca="1" si="1"/>
        <v>18.701260604645999</v>
      </c>
      <c r="V47" s="62">
        <f t="shared" ca="1" si="2"/>
        <v>0</v>
      </c>
      <c r="W47" s="60">
        <f t="shared" ca="1" si="3"/>
        <v>74.503419518704405</v>
      </c>
      <c r="X47" s="60">
        <f t="shared" ca="1" si="6"/>
        <v>0</v>
      </c>
      <c r="Y47" s="60">
        <f t="shared" ca="1" si="4"/>
        <v>0</v>
      </c>
      <c r="Z47" s="60">
        <f ca="1">VLOOKUP(S47,ModelOutputs,13,FALSE)</f>
        <v>0.94318020313352502</v>
      </c>
    </row>
    <row r="48" spans="1:26" s="62" customFormat="1" x14ac:dyDescent="0.25">
      <c r="C48" s="69" t="s">
        <v>146</v>
      </c>
      <c r="D48" s="82" t="str">
        <f>IF(PriorUnits="kg/head",IF(E11="",VLOOKUP(PriorCropNameFull,CropCoefficients,20,FALSE),E11),"")</f>
        <v/>
      </c>
      <c r="E48" s="81"/>
      <c r="F48" s="69"/>
      <c r="G48" s="69"/>
      <c r="H48" s="69"/>
      <c r="I48" s="122"/>
      <c r="J48" s="122"/>
      <c r="K48" s="122"/>
      <c r="L48" s="122"/>
      <c r="M48" s="122"/>
      <c r="N48" s="122"/>
      <c r="O48" s="122"/>
      <c r="P48" s="122"/>
      <c r="R48" s="93">
        <f ca="1"/>
        <v>45000</v>
      </c>
      <c r="S48" s="62">
        <f t="shared" ca="1" si="5"/>
        <v>45000</v>
      </c>
      <c r="T48" s="62">
        <f t="shared" ca="1" si="0"/>
        <v>58.762566472463838</v>
      </c>
      <c r="U48" s="62">
        <f t="shared" ca="1" si="1"/>
        <v>19.4299351096533</v>
      </c>
      <c r="V48" s="62">
        <f t="shared" ca="1" si="2"/>
        <v>0</v>
      </c>
      <c r="W48" s="60">
        <f t="shared" ca="1" si="3"/>
        <v>71.956780838528147</v>
      </c>
      <c r="X48" s="60">
        <f t="shared" ca="1" si="6"/>
        <v>0</v>
      </c>
      <c r="Y48" s="60">
        <f t="shared" ca="1" si="4"/>
        <v>0</v>
      </c>
      <c r="Z48" s="60">
        <f ca="1">VLOOKUP(S48,ModelOutputs,13,FALSE)</f>
        <v>0.95537680844171302</v>
      </c>
    </row>
    <row r="49" spans="2:26" s="62" customFormat="1" x14ac:dyDescent="0.25">
      <c r="C49" s="69" t="s">
        <v>107</v>
      </c>
      <c r="D49" s="79">
        <f>IF(E49="",VLOOKUP(PriorCropNameFull,CropCoefficients,17,FALSE),E49)</f>
        <v>8</v>
      </c>
      <c r="E49" s="78"/>
      <c r="F49" s="69" t="s">
        <v>158</v>
      </c>
      <c r="G49" s="95" t="str">
        <f>IF(H49="","None removed",H49)</f>
        <v>None removed</v>
      </c>
      <c r="H49" s="81"/>
      <c r="I49" s="122"/>
      <c r="J49" s="122"/>
      <c r="K49" s="122"/>
      <c r="L49" s="122"/>
      <c r="M49" s="122"/>
      <c r="N49" s="122"/>
      <c r="O49" s="122"/>
      <c r="P49" s="122"/>
      <c r="R49" s="93">
        <f ca="1"/>
        <v>45001</v>
      </c>
      <c r="S49" s="62">
        <f t="shared" ca="1" si="5"/>
        <v>45001</v>
      </c>
      <c r="T49" s="62">
        <f t="shared" ca="1" si="0"/>
        <v>58.415366417881749</v>
      </c>
      <c r="U49" s="62">
        <f t="shared" ca="1" si="1"/>
        <v>20.2213139744808</v>
      </c>
      <c r="V49" s="62">
        <f t="shared" ca="1" si="2"/>
        <v>0</v>
      </c>
      <c r="W49" s="60">
        <f t="shared" ca="1" si="3"/>
        <v>71.870975741648707</v>
      </c>
      <c r="X49" s="60">
        <f t="shared" ca="1" si="6"/>
        <v>0</v>
      </c>
      <c r="Y49" s="60">
        <f t="shared" ca="1" si="4"/>
        <v>0</v>
      </c>
      <c r="Z49" s="60">
        <f ca="1">VLOOKUP(S49,ModelOutputs,13,FALSE)</f>
        <v>0.96545480094018099</v>
      </c>
    </row>
    <row r="50" spans="2:26" s="62" customFormat="1" x14ac:dyDescent="0.25">
      <c r="B50" s="100">
        <f>IF(PriorUnits="kg/head",PriorYield*PriorPopulation,IF(PriorUnits="kg/ha",PriorYield/1000,PriorYield))</f>
        <v>8</v>
      </c>
      <c r="C50" s="69" t="s">
        <v>15</v>
      </c>
      <c r="D50" s="94" t="str">
        <f>IF(E50="",VLOOKUP(PriorCropNameFull,CropCoefficients,18,FALSE),E50)</f>
        <v>t/ha</v>
      </c>
      <c r="E50" s="80"/>
      <c r="F50" s="65" t="s">
        <v>172</v>
      </c>
      <c r="G50" s="95" t="str">
        <f>IF(H50="","Full (Plough)",H50)</f>
        <v>Full (Plough)</v>
      </c>
      <c r="H50" s="81"/>
      <c r="I50" s="122"/>
      <c r="J50" s="122"/>
      <c r="K50" s="122"/>
      <c r="L50" s="122"/>
      <c r="M50" s="122"/>
      <c r="N50" s="122"/>
      <c r="O50" s="122"/>
      <c r="P50" s="122"/>
      <c r="R50" s="93">
        <f ca="1"/>
        <v>45002</v>
      </c>
      <c r="S50" s="62">
        <f t="shared" ca="1" si="5"/>
        <v>45002</v>
      </c>
      <c r="T50" s="62">
        <f t="shared" ca="1" si="0"/>
        <v>58.074927098715918</v>
      </c>
      <c r="U50" s="62">
        <f t="shared" ca="1" si="1"/>
        <v>20.9642619519135</v>
      </c>
      <c r="V50" s="62">
        <f t="shared" ca="1" si="2"/>
        <v>0</v>
      </c>
      <c r="W50" s="60">
        <f t="shared" ca="1" si="3"/>
        <v>70.525483048840442</v>
      </c>
      <c r="X50" s="60">
        <f t="shared" ca="1" si="6"/>
        <v>0</v>
      </c>
      <c r="Y50" s="60">
        <f t="shared" ca="1" si="4"/>
        <v>0</v>
      </c>
      <c r="Z50" s="60">
        <f ca="1">VLOOKUP(S50,ModelOutputs,13,FALSE)</f>
        <v>0.97266339155510195</v>
      </c>
    </row>
    <row r="51" spans="2:26" s="62" customFormat="1" x14ac:dyDescent="0.25">
      <c r="C51" s="73" t="str">
        <f>"Yield "&amp;ROUND(PriorYield_tperHa,0)&amp;" (t/ha)"</f>
        <v>Yield 8 (t/ha)</v>
      </c>
      <c r="D51" s="100" t="str">
        <f ca="1">"Previous crop residues are providing "&amp;ROUND('Model Interface'!S4,0)&amp;" kg N/ha to the current crop"</f>
        <v>Previous crop residues are providing 3 kg N/ha to the current crop</v>
      </c>
      <c r="I51" s="122"/>
      <c r="J51" s="122"/>
      <c r="K51" s="122"/>
      <c r="L51" s="122"/>
      <c r="M51" s="122"/>
      <c r="N51" s="122"/>
      <c r="O51" s="122"/>
      <c r="P51" s="122"/>
      <c r="R51" s="93">
        <f ca="1"/>
        <v>45003</v>
      </c>
      <c r="S51" s="62">
        <f t="shared" ca="1" si="5"/>
        <v>45003</v>
      </c>
      <c r="T51" s="62">
        <f t="shared" ca="1" si="0"/>
        <v>57.726150175586461</v>
      </c>
      <c r="U51" s="62">
        <f t="shared" ca="1" si="1"/>
        <v>21.697524714443102</v>
      </c>
      <c r="V51" s="62">
        <f t="shared" ca="1" si="2"/>
        <v>0</v>
      </c>
      <c r="W51" s="60">
        <f t="shared" ca="1" si="3"/>
        <v>71.517032055909183</v>
      </c>
      <c r="X51" s="60">
        <f t="shared" ca="1" si="6"/>
        <v>0</v>
      </c>
      <c r="Y51" s="60">
        <f t="shared" ca="1" si="4"/>
        <v>0</v>
      </c>
      <c r="Z51" s="60">
        <f ca="1">VLOOKUP(S51,ModelOutputs,13,FALSE)</f>
        <v>0.97817175004254098</v>
      </c>
    </row>
    <row r="52" spans="2:26" s="62" customFormat="1" ht="15.75" thickBot="1" x14ac:dyDescent="0.3">
      <c r="C52" s="143" t="s">
        <v>167</v>
      </c>
      <c r="D52" s="143"/>
      <c r="E52" s="143"/>
      <c r="F52" s="143"/>
      <c r="G52" s="143"/>
      <c r="H52" s="143"/>
      <c r="I52" s="122"/>
      <c r="J52" s="122"/>
      <c r="K52" s="122"/>
      <c r="L52" s="122"/>
      <c r="M52" s="122"/>
      <c r="N52" s="122"/>
      <c r="O52" s="122"/>
      <c r="P52" s="122"/>
      <c r="R52" s="93">
        <f ca="1"/>
        <v>45004</v>
      </c>
      <c r="S52" s="62">
        <f t="shared" ca="1" si="5"/>
        <v>45004</v>
      </c>
      <c r="T52" s="62">
        <f t="shared" ca="1" si="0"/>
        <v>57.34171676369683</v>
      </c>
      <c r="U52" s="62">
        <f t="shared" ca="1" si="1"/>
        <v>22.478422070479901</v>
      </c>
      <c r="V52" s="62">
        <f t="shared" ca="1" si="2"/>
        <v>0</v>
      </c>
      <c r="W52" s="60">
        <f t="shared" ca="1" si="3"/>
        <v>69.565133390007475</v>
      </c>
      <c r="X52" s="60">
        <f t="shared" ca="1" si="6"/>
        <v>0</v>
      </c>
      <c r="Y52" s="60">
        <f t="shared" ca="1" si="4"/>
        <v>0</v>
      </c>
      <c r="Z52" s="60">
        <f ca="1">VLOOKUP(S52,ModelOutputs,13,FALSE)</f>
        <v>0.98271255519367895</v>
      </c>
    </row>
    <row r="53" spans="2:26" s="62" customFormat="1" x14ac:dyDescent="0.25">
      <c r="C53" s="69" t="s">
        <v>31</v>
      </c>
      <c r="D53" s="98" t="str">
        <f>IF(E53="","Fodder",E53)</f>
        <v>Fodder</v>
      </c>
      <c r="E53" s="97"/>
      <c r="F53" s="69" t="s">
        <v>143</v>
      </c>
      <c r="G53" s="98">
        <f>IF(H53="",VLOOKUP(FollowingCropFullName,CropCoefficients,23,FALSE),H53)</f>
        <v>0</v>
      </c>
      <c r="H53" s="99"/>
      <c r="I53" s="122"/>
      <c r="J53" s="122"/>
      <c r="K53" s="122"/>
      <c r="L53" s="122"/>
      <c r="M53" s="122"/>
      <c r="N53" s="122"/>
      <c r="O53" s="122"/>
      <c r="P53" s="122"/>
      <c r="R53" s="93">
        <f ca="1"/>
        <v>45005</v>
      </c>
      <c r="S53" s="62">
        <f t="shared" ca="1" si="5"/>
        <v>45005</v>
      </c>
      <c r="T53" s="62">
        <f t="shared" ca="1" si="0"/>
        <v>56.921862108173549</v>
      </c>
      <c r="U53" s="62">
        <f t="shared" ca="1" si="1"/>
        <v>23.3036980384007</v>
      </c>
      <c r="V53" s="62">
        <f t="shared" ca="1" si="2"/>
        <v>0</v>
      </c>
      <c r="W53" s="60">
        <f t="shared" ca="1" si="3"/>
        <v>66.91414430559098</v>
      </c>
      <c r="X53" s="60">
        <f t="shared" ca="1" si="6"/>
        <v>0</v>
      </c>
      <c r="Y53" s="60">
        <f t="shared" ca="1" si="4"/>
        <v>0</v>
      </c>
      <c r="Z53" s="60">
        <f ca="1">VLOOKUP(S53,ModelOutputs,13,FALSE)</f>
        <v>0.98639429012627999</v>
      </c>
    </row>
    <row r="54" spans="2:26" s="61" customFormat="1" x14ac:dyDescent="0.25">
      <c r="B54" s="62"/>
      <c r="C54" s="69" t="s">
        <v>101</v>
      </c>
      <c r="D54" s="94" t="str">
        <f>IF(E54="","Oat",E54)</f>
        <v>Oat</v>
      </c>
      <c r="E54" s="75"/>
      <c r="F54" s="69" t="s">
        <v>145</v>
      </c>
      <c r="G54" s="94">
        <f>IF(H54="",VLOOKUP(FollowingCropFullName,CropCoefficients,22,FALSE),H54)</f>
        <v>0</v>
      </c>
      <c r="H54" s="81"/>
      <c r="I54" s="122"/>
      <c r="J54" s="122"/>
      <c r="K54" s="122"/>
      <c r="L54" s="122"/>
      <c r="M54" s="122"/>
      <c r="N54" s="122"/>
      <c r="O54" s="122"/>
      <c r="P54" s="122"/>
      <c r="Q54" s="62"/>
      <c r="R54" s="93">
        <f ca="1"/>
        <v>45006</v>
      </c>
      <c r="S54" s="62">
        <f t="shared" ca="1" si="5"/>
        <v>45006</v>
      </c>
      <c r="T54" s="62">
        <f t="shared" ca="1" si="0"/>
        <v>56.466643802293753</v>
      </c>
      <c r="U54" s="62">
        <f t="shared" ca="1" si="1"/>
        <v>24.1710034808135</v>
      </c>
      <c r="V54" s="62">
        <f t="shared" ca="1" si="2"/>
        <v>0</v>
      </c>
      <c r="W54" s="60">
        <f t="shared" ca="1" si="3"/>
        <v>65.413931633944003</v>
      </c>
      <c r="X54" s="60">
        <f t="shared" ca="1" si="6"/>
        <v>0</v>
      </c>
      <c r="Y54" s="60">
        <f t="shared" ca="1" si="4"/>
        <v>0</v>
      </c>
      <c r="Z54" s="60">
        <f ca="1">VLOOKUP(S54,ModelOutputs,13,FALSE)</f>
        <v>0.98934271129704998</v>
      </c>
    </row>
    <row r="55" spans="2:26" s="62" customFormat="1" x14ac:dyDescent="0.25">
      <c r="C55" s="69" t="s">
        <v>102</v>
      </c>
      <c r="D55" s="94" t="str">
        <f>IF(E55="","General",E55)</f>
        <v>General</v>
      </c>
      <c r="E55" s="75"/>
      <c r="F55" s="69" t="s">
        <v>144</v>
      </c>
      <c r="G55" s="94">
        <f>IF(H55="",VLOOKUP(FollowingCropFullName,CropCoefficients,26,FALSE),H55)</f>
        <v>80</v>
      </c>
      <c r="H55" s="81"/>
      <c r="I55" s="122"/>
      <c r="J55" s="122"/>
      <c r="K55" s="122"/>
      <c r="L55" s="122"/>
      <c r="M55" s="122"/>
      <c r="N55" s="122"/>
      <c r="O55" s="122"/>
      <c r="P55" s="122"/>
      <c r="R55" s="93">
        <f ca="1"/>
        <v>45007</v>
      </c>
      <c r="S55" s="62">
        <f t="shared" ca="1" si="5"/>
        <v>45007</v>
      </c>
      <c r="T55" s="62">
        <f t="shared" ca="1" si="0"/>
        <v>55.97601583781509</v>
      </c>
      <c r="U55" s="62">
        <f t="shared" ca="1" si="1"/>
        <v>25.078613699132699</v>
      </c>
      <c r="V55" s="62">
        <f t="shared" ca="1" si="2"/>
        <v>0</v>
      </c>
      <c r="W55" s="60">
        <f t="shared" ca="1" si="3"/>
        <v>64.714756887670845</v>
      </c>
      <c r="X55" s="60">
        <f t="shared" ca="1" si="6"/>
        <v>0</v>
      </c>
      <c r="Y55" s="60">
        <f t="shared" ca="1" si="4"/>
        <v>0</v>
      </c>
      <c r="Z55" s="60">
        <f ca="1">VLOOKUP(S55,ModelOutputs,13,FALSE)</f>
        <v>0.99168186390713997</v>
      </c>
    </row>
    <row r="56" spans="2:26" s="62" customFormat="1" x14ac:dyDescent="0.25">
      <c r="C56" s="73" t="s">
        <v>160</v>
      </c>
      <c r="D56" s="74" t="str">
        <f>FollowingCropName&amp;" "&amp;FollowingCropType&amp;" "&amp;FollowingCropVariety</f>
        <v>Oat Fodder General</v>
      </c>
      <c r="F56" s="63"/>
      <c r="I56" s="122"/>
      <c r="J56" s="122"/>
      <c r="K56" s="122"/>
      <c r="L56" s="122"/>
      <c r="M56" s="122"/>
      <c r="N56" s="122"/>
      <c r="O56" s="122"/>
      <c r="P56" s="122"/>
      <c r="R56" s="93">
        <f ca="1"/>
        <v>45008</v>
      </c>
      <c r="S56" s="62">
        <f t="shared" ca="1" si="5"/>
        <v>45008</v>
      </c>
      <c r="T56" s="62">
        <f t="shared" ca="1" si="0"/>
        <v>55.450500056708449</v>
      </c>
      <c r="U56" s="62">
        <f t="shared" ca="1" si="1"/>
        <v>26.024131967404202</v>
      </c>
      <c r="V56" s="62">
        <f t="shared" ca="1" si="2"/>
        <v>0</v>
      </c>
      <c r="W56" s="60">
        <f t="shared" ca="1" si="3"/>
        <v>64.302298603975061</v>
      </c>
      <c r="X56" s="60">
        <f t="shared" ca="1" si="6"/>
        <v>0</v>
      </c>
      <c r="Y56" s="60">
        <f t="shared" ca="1" si="4"/>
        <v>0</v>
      </c>
      <c r="Z56" s="60">
        <f ca="1">VLOOKUP(S56,ModelOutputs,13,FALSE)</f>
        <v>0.99352264049274297</v>
      </c>
    </row>
    <row r="57" spans="2:26" s="62" customFormat="1" x14ac:dyDescent="0.25">
      <c r="C57" s="69" t="s">
        <v>4</v>
      </c>
      <c r="D57" s="77">
        <f ca="1">IF(E57="",CurrentHarvestDate+15,E57)</f>
        <v>45110</v>
      </c>
      <c r="E57" s="76"/>
      <c r="F57" s="69" t="s">
        <v>155</v>
      </c>
      <c r="G57" s="94" t="str">
        <f>IF(H57="",VLOOKUP(FollowingCropFullName,CropCoefficients,13,FALSE),H57)</f>
        <v>Seed</v>
      </c>
      <c r="H57" s="81"/>
      <c r="I57" s="122"/>
      <c r="J57" s="122"/>
      <c r="K57" s="122"/>
      <c r="L57" s="122"/>
      <c r="M57" s="122"/>
      <c r="N57" s="122"/>
      <c r="O57" s="122"/>
      <c r="P57" s="122"/>
      <c r="R57" s="93">
        <f ca="1"/>
        <v>45009</v>
      </c>
      <c r="S57" s="62">
        <f t="shared" ca="1" si="5"/>
        <v>45009</v>
      </c>
      <c r="T57" s="62">
        <f t="shared" ca="1" si="0"/>
        <v>54.911905495887488</v>
      </c>
      <c r="U57" s="62">
        <f t="shared" ca="1" si="1"/>
        <v>26.968665947490301</v>
      </c>
      <c r="V57" s="62">
        <f t="shared" ca="1" si="2"/>
        <v>0</v>
      </c>
      <c r="W57" s="60">
        <f t="shared" ca="1" si="3"/>
        <v>65.951965927516639</v>
      </c>
      <c r="X57" s="60">
        <f t="shared" ca="1" si="6"/>
        <v>0</v>
      </c>
      <c r="Y57" s="60">
        <f t="shared" ca="1" si="4"/>
        <v>0</v>
      </c>
      <c r="Z57" s="60">
        <f ca="1">VLOOKUP(S57,ModelOutputs,13,FALSE)</f>
        <v>0.99491563013925899</v>
      </c>
    </row>
    <row r="58" spans="2:26" s="62" customFormat="1" x14ac:dyDescent="0.25">
      <c r="C58" s="69" t="s">
        <v>5</v>
      </c>
      <c r="D58" s="77">
        <f ca="1">IF(E58="",FollowingEstablishDate+120,E58)</f>
        <v>45230</v>
      </c>
      <c r="E58" s="76"/>
      <c r="F58" s="69" t="s">
        <v>156</v>
      </c>
      <c r="G58" s="94" t="str">
        <f>IF(H58="",VLOOKUP(FollowingCropFullName,CropCoefficients,15,FALSE),H58)</f>
        <v>EarlyReproductive</v>
      </c>
      <c r="H58" s="81"/>
      <c r="I58" s="122"/>
      <c r="J58" s="122"/>
      <c r="K58" s="122"/>
      <c r="L58" s="122"/>
      <c r="M58" s="122"/>
      <c r="N58" s="122"/>
      <c r="O58" s="122"/>
      <c r="P58" s="122"/>
      <c r="R58" s="93">
        <f ca="1"/>
        <v>45010</v>
      </c>
      <c r="S58" s="62">
        <f t="shared" ca="1" si="5"/>
        <v>45010</v>
      </c>
      <c r="T58" s="62">
        <f t="shared" ca="1" si="0"/>
        <v>54.319384763598201</v>
      </c>
      <c r="U58" s="62">
        <f t="shared" ca="1" si="1"/>
        <v>27.9830632857458</v>
      </c>
      <c r="V58" s="62">
        <f t="shared" ca="1" si="2"/>
        <v>0</v>
      </c>
      <c r="W58" s="60">
        <f t="shared" ca="1" si="3"/>
        <v>66.425486268049497</v>
      </c>
      <c r="X58" s="60">
        <f t="shared" ca="1" si="6"/>
        <v>0</v>
      </c>
      <c r="Y58" s="60">
        <f t="shared" ca="1" si="4"/>
        <v>0</v>
      </c>
      <c r="Z58" s="60">
        <f ca="1">VLOOKUP(S58,ModelOutputs,13,FALSE)</f>
        <v>0.99604807020153796</v>
      </c>
    </row>
    <row r="59" spans="2:26" s="62" customFormat="1" x14ac:dyDescent="0.25">
      <c r="C59" s="69" t="s">
        <v>146</v>
      </c>
      <c r="D59" s="82" t="str" cm="1">
        <f t="array" ref="D59">IF(FollowingUnits="kg/head",IF(G20="",VLOOKUP(FollowingCropNameFull,CropCoefficients,20,FALSE),G20),"")</f>
        <v/>
      </c>
      <c r="E59" s="81"/>
      <c r="I59" s="122"/>
      <c r="J59" s="122"/>
      <c r="K59" s="122"/>
      <c r="L59" s="122"/>
      <c r="M59" s="122"/>
      <c r="N59" s="122"/>
      <c r="O59" s="122"/>
      <c r="P59" s="122"/>
      <c r="R59" s="93">
        <f ca="1"/>
        <v>45011</v>
      </c>
      <c r="S59" s="62">
        <f t="shared" ca="1" si="5"/>
        <v>45011</v>
      </c>
      <c r="T59" s="62">
        <f t="shared" ca="1" si="0"/>
        <v>53.686875352293491</v>
      </c>
      <c r="U59" s="62">
        <f t="shared" ca="1" si="1"/>
        <v>29.041198989192999</v>
      </c>
      <c r="V59" s="62">
        <f t="shared" ca="1" si="2"/>
        <v>0</v>
      </c>
      <c r="W59" s="60">
        <f t="shared" ca="1" si="3"/>
        <v>67.775431914251172</v>
      </c>
      <c r="X59" s="60">
        <f t="shared" ca="1" si="6"/>
        <v>0</v>
      </c>
      <c r="Y59" s="60">
        <f t="shared" ca="1" si="4"/>
        <v>0</v>
      </c>
      <c r="Z59" s="60">
        <f ca="1">VLOOKUP(S59,ModelOutputs,13,FALSE)</f>
        <v>0.99693594093447302</v>
      </c>
    </row>
    <row r="60" spans="2:26" s="62" customFormat="1" x14ac:dyDescent="0.25">
      <c r="C60" s="69" t="s">
        <v>107</v>
      </c>
      <c r="D60" s="79">
        <f>IF(E60="",VLOOKUP(FollowingCropFullName,CropCoefficients,17,FALSE),E60)</f>
        <v>10</v>
      </c>
      <c r="E60" s="78"/>
      <c r="F60" s="69" t="s">
        <v>158</v>
      </c>
      <c r="G60" s="95" t="str">
        <f>IF(H60="","None removed",H60)</f>
        <v>None removed</v>
      </c>
      <c r="H60" s="81"/>
      <c r="I60" s="122"/>
      <c r="J60" s="122"/>
      <c r="K60" s="122"/>
      <c r="L60" s="122"/>
      <c r="M60" s="122"/>
      <c r="N60" s="122"/>
      <c r="O60" s="122"/>
      <c r="P60" s="122"/>
      <c r="R60" s="93">
        <f ca="1"/>
        <v>45012</v>
      </c>
      <c r="S60" s="62">
        <f t="shared" ca="1" si="5"/>
        <v>45012</v>
      </c>
      <c r="T60" s="62">
        <f t="shared" ca="1" si="0"/>
        <v>53.007515869637423</v>
      </c>
      <c r="U60" s="62">
        <f t="shared" ca="1" si="1"/>
        <v>30.153059516614501</v>
      </c>
      <c r="V60" s="62">
        <f t="shared" ca="1" si="2"/>
        <v>0</v>
      </c>
      <c r="W60" s="60">
        <f t="shared" ca="1" si="3"/>
        <v>67.061315473096926</v>
      </c>
      <c r="X60" s="60">
        <f t="shared" ca="1" si="6"/>
        <v>0</v>
      </c>
      <c r="Y60" s="60">
        <f t="shared" ca="1" si="4"/>
        <v>0</v>
      </c>
      <c r="Z60" s="60">
        <f ca="1">VLOOKUP(S60,ModelOutputs,13,FALSE)</f>
        <v>0.99763456508215398</v>
      </c>
    </row>
    <row r="61" spans="2:26" s="62" customFormat="1" x14ac:dyDescent="0.25">
      <c r="B61" s="100">
        <f>IF(FollowingUnits="kg/head",FollowingYIeld*FollowingPopulation,IF(FollowingUnits="kg/ha",FollowingYIeld/1000,FollowingYIeld))</f>
        <v>10</v>
      </c>
      <c r="C61" s="69" t="s">
        <v>15</v>
      </c>
      <c r="D61" s="94" t="str">
        <f>IF(E61="",VLOOKUP(FollowingCropFullName,CropCoefficients,18,FALSE),E61)</f>
        <v>t/ha</v>
      </c>
      <c r="E61" s="80"/>
      <c r="F61" s="64" t="s">
        <v>172</v>
      </c>
      <c r="G61" s="95" t="str">
        <f>IF(H61="","Full (Plough)",H61)</f>
        <v>Full (Plough)</v>
      </c>
      <c r="H61" s="81"/>
      <c r="I61" s="122"/>
      <c r="J61" s="122"/>
      <c r="K61" s="122"/>
      <c r="L61" s="122"/>
      <c r="M61" s="122"/>
      <c r="N61" s="122"/>
      <c r="O61" s="122"/>
      <c r="P61" s="122"/>
      <c r="R61" s="93">
        <f ca="1"/>
        <v>45013</v>
      </c>
      <c r="S61" s="62">
        <f t="shared" ca="1" si="5"/>
        <v>45013</v>
      </c>
      <c r="T61" s="62">
        <f t="shared" ca="1" si="0"/>
        <v>52.346244114112771</v>
      </c>
      <c r="U61" s="62">
        <f t="shared" ca="1" si="1"/>
        <v>31.213915370336899</v>
      </c>
      <c r="V61" s="62">
        <f t="shared" ca="1" si="2"/>
        <v>0</v>
      </c>
      <c r="W61" s="60">
        <f t="shared" ca="1" si="3"/>
        <v>66.044544912173905</v>
      </c>
      <c r="X61" s="60">
        <f t="shared" ca="1" si="6"/>
        <v>0</v>
      </c>
      <c r="Y61" s="60">
        <f t="shared" ca="1" si="4"/>
        <v>0</v>
      </c>
      <c r="Z61" s="60">
        <f ca="1">VLOOKUP(S61,ModelOutputs,13,FALSE)</f>
        <v>0.99813784297304398</v>
      </c>
    </row>
    <row r="62" spans="2:26" s="62" customFormat="1" x14ac:dyDescent="0.25">
      <c r="C62" s="73" t="str">
        <f>"Yield "&amp;ROUND(FollowingYield_tperHa,0)&amp;" (t/ha)"</f>
        <v>Yield 10 (t/ha)</v>
      </c>
      <c r="D62" s="118" t="str">
        <f ca="1">"Following crop will take up "&amp;ROUND('Model Interface'!R4,0)&amp;" kg N/ha"</f>
        <v>Following crop will take up 32 kg N/ha</v>
      </c>
      <c r="I62" s="122"/>
      <c r="J62" s="122"/>
      <c r="K62" s="122"/>
      <c r="L62" s="122"/>
      <c r="M62" s="122"/>
      <c r="N62" s="122"/>
      <c r="O62" s="122"/>
      <c r="P62" s="122"/>
      <c r="R62" s="93">
        <f ca="1"/>
        <v>45014</v>
      </c>
      <c r="S62" s="62">
        <f t="shared" ca="1" si="5"/>
        <v>45014</v>
      </c>
      <c r="T62" s="62">
        <f t="shared" ca="1" si="0"/>
        <v>51.633202738481828</v>
      </c>
      <c r="U62" s="62">
        <f t="shared" ca="1" si="1"/>
        <v>32.337061547073901</v>
      </c>
      <c r="V62" s="62">
        <f t="shared" ca="1" si="2"/>
        <v>0</v>
      </c>
      <c r="W62" s="60">
        <f t="shared" ca="1" si="3"/>
        <v>66.033217924908541</v>
      </c>
      <c r="X62" s="60">
        <f t="shared" ca="1" si="6"/>
        <v>0</v>
      </c>
      <c r="Y62" s="60">
        <f t="shared" ca="1" si="4"/>
        <v>0</v>
      </c>
      <c r="Z62" s="60">
        <f ca="1">VLOOKUP(S62,ModelOutputs,13,FALSE)</f>
        <v>0.99854340864792901</v>
      </c>
    </row>
    <row r="63" spans="2:26" s="62" customFormat="1" ht="15.75" thickBot="1" x14ac:dyDescent="0.3">
      <c r="C63" s="145" t="s">
        <v>200</v>
      </c>
      <c r="D63" s="145"/>
      <c r="E63" s="145"/>
      <c r="F63" s="145"/>
      <c r="G63" s="145"/>
      <c r="H63" s="145"/>
      <c r="I63" s="122"/>
      <c r="J63" s="122"/>
      <c r="K63" s="122"/>
      <c r="L63" s="122"/>
      <c r="M63" s="122"/>
      <c r="N63" s="122"/>
      <c r="O63" s="122"/>
      <c r="P63" s="122"/>
      <c r="R63" s="93">
        <f ca="1"/>
        <v>45015</v>
      </c>
      <c r="S63" s="62">
        <f t="shared" ca="1" si="5"/>
        <v>45015</v>
      </c>
      <c r="T63" s="62">
        <f t="shared" ca="1" si="0"/>
        <v>50.874060409395675</v>
      </c>
      <c r="U63" s="62">
        <f t="shared" ca="1" si="1"/>
        <v>33.511933559365701</v>
      </c>
      <c r="V63" s="62">
        <f t="shared" ca="1" si="2"/>
        <v>0</v>
      </c>
      <c r="W63" s="60">
        <f t="shared" ca="1" si="3"/>
        <v>65.734798863195365</v>
      </c>
      <c r="X63" s="60">
        <f t="shared" ca="1" si="6"/>
        <v>0</v>
      </c>
      <c r="Y63" s="60">
        <f t="shared" ca="1" si="4"/>
        <v>0</v>
      </c>
      <c r="Z63" s="60">
        <f ca="1">VLOOKUP(S63,ModelOutputs,13,FALSE)</f>
        <v>0.99886457941401796</v>
      </c>
    </row>
    <row r="64" spans="2:26" s="61" customFormat="1" x14ac:dyDescent="0.25">
      <c r="B64" s="62"/>
      <c r="C64" s="69" t="s">
        <v>161</v>
      </c>
      <c r="D64" s="98">
        <v>50</v>
      </c>
      <c r="E64" s="115"/>
      <c r="F64" s="62"/>
      <c r="G64" s="62"/>
      <c r="H64" s="62"/>
      <c r="I64" s="122"/>
      <c r="J64" s="122"/>
      <c r="K64" s="122"/>
      <c r="L64" s="122"/>
      <c r="M64" s="122"/>
      <c r="N64" s="122"/>
      <c r="O64" s="122"/>
      <c r="P64" s="122"/>
      <c r="Q64" s="62"/>
      <c r="R64" s="93">
        <f ca="1"/>
        <v>45016</v>
      </c>
      <c r="S64" s="62">
        <f t="shared" ca="1" si="5"/>
        <v>45016</v>
      </c>
      <c r="T64" s="62">
        <f t="shared" ca="1" si="0"/>
        <v>50.102862347737563</v>
      </c>
      <c r="U64" s="62">
        <f t="shared" ca="1" si="1"/>
        <v>34.685944521641197</v>
      </c>
      <c r="V64" s="62">
        <f t="shared" ca="1" si="2"/>
        <v>0</v>
      </c>
      <c r="W64" s="60">
        <f t="shared" ca="1" si="3"/>
        <v>65.353010654185837</v>
      </c>
      <c r="X64" s="60">
        <f t="shared" ca="1" si="6"/>
        <v>0</v>
      </c>
      <c r="Y64" s="60">
        <f t="shared" ca="1" si="4"/>
        <v>0</v>
      </c>
      <c r="Z64" s="60">
        <f ca="1">VLOOKUP(S64,ModelOutputs,13,FALSE)</f>
        <v>0.99910811774406205</v>
      </c>
    </row>
    <row r="65" spans="2:26" s="62" customFormat="1" x14ac:dyDescent="0.25">
      <c r="C65" s="69" t="s">
        <v>162</v>
      </c>
      <c r="D65" s="94">
        <f>IF(E65="",30,E65)</f>
        <v>30</v>
      </c>
      <c r="E65" s="78"/>
      <c r="I65" s="122"/>
      <c r="J65" s="122"/>
      <c r="K65" s="122"/>
      <c r="L65" s="122"/>
      <c r="M65" s="122"/>
      <c r="N65" s="122"/>
      <c r="O65" s="122"/>
      <c r="P65" s="122"/>
      <c r="R65" s="93">
        <f ca="1"/>
        <v>45017</v>
      </c>
      <c r="S65" s="62">
        <f t="shared" ca="1" si="5"/>
        <v>45017</v>
      </c>
      <c r="T65" s="62">
        <f t="shared" ca="1" si="0"/>
        <v>49.308647289643211</v>
      </c>
      <c r="U65" s="62">
        <f t="shared" ca="1" si="1"/>
        <v>35.876722397879497</v>
      </c>
      <c r="V65" s="62">
        <f t="shared" ca="1" si="2"/>
        <v>0</v>
      </c>
      <c r="W65" s="60">
        <f t="shared" ca="1" si="3"/>
        <v>64.369688201703497</v>
      </c>
      <c r="X65" s="60">
        <f t="shared" ca="1" si="6"/>
        <v>0</v>
      </c>
      <c r="Y65" s="60">
        <f t="shared" ca="1" si="4"/>
        <v>0</v>
      </c>
      <c r="Z65" s="60">
        <f ca="1">VLOOKUP(S65,ModelOutputs,13,FALSE)</f>
        <v>0.999296825840988</v>
      </c>
    </row>
    <row r="66" spans="2:26" s="62" customFormat="1" x14ac:dyDescent="0.25">
      <c r="C66" s="69" t="s">
        <v>163</v>
      </c>
      <c r="D66" s="94">
        <f>IF(E66="",80,E66)</f>
        <v>80</v>
      </c>
      <c r="E66" s="78"/>
      <c r="I66" s="122"/>
      <c r="J66" s="122"/>
      <c r="K66" s="122"/>
      <c r="L66" s="122"/>
      <c r="M66" s="122"/>
      <c r="N66" s="122"/>
      <c r="O66" s="122"/>
      <c r="P66" s="122"/>
      <c r="R66" s="93">
        <f ca="1"/>
        <v>45018</v>
      </c>
      <c r="S66" s="62">
        <f t="shared" ca="1" si="5"/>
        <v>45018</v>
      </c>
      <c r="T66" s="62">
        <f t="shared" ca="1" si="0"/>
        <v>48.509065922472047</v>
      </c>
      <c r="U66" s="62">
        <f t="shared" ca="1" si="1"/>
        <v>37.0588040135016</v>
      </c>
      <c r="V66" s="62">
        <f t="shared" ca="1" si="2"/>
        <v>0</v>
      </c>
      <c r="W66" s="60">
        <f t="shared" ca="1" si="3"/>
        <v>62.605779618475459</v>
      </c>
      <c r="X66" s="60">
        <f t="shared" ca="1" si="6"/>
        <v>0</v>
      </c>
      <c r="Y66" s="60">
        <f t="shared" ca="1" si="4"/>
        <v>0</v>
      </c>
      <c r="Z66" s="60">
        <f ca="1">VLOOKUP(S66,ModelOutputs,13,FALSE)</f>
        <v>0.99944093416728497</v>
      </c>
    </row>
    <row r="67" spans="2:26" x14ac:dyDescent="0.25">
      <c r="B67" s="62"/>
      <c r="C67" s="64" t="s">
        <v>217</v>
      </c>
      <c r="D67" s="94">
        <f>IF(E67="",120,E67)</f>
        <v>120</v>
      </c>
      <c r="E67" s="78"/>
      <c r="R67" s="93">
        <f ca="1"/>
        <v>45019</v>
      </c>
      <c r="S67" s="62">
        <f t="shared" ca="1" si="5"/>
        <v>45019</v>
      </c>
      <c r="T67" s="62">
        <f t="shared" ca="1" si="0"/>
        <v>47.622170255694925</v>
      </c>
      <c r="U67" s="62">
        <f t="shared" ca="1" si="1"/>
        <v>38.352366562596103</v>
      </c>
      <c r="V67" s="62">
        <f t="shared" ca="1" si="2"/>
        <v>0</v>
      </c>
      <c r="W67" s="60">
        <f t="shared" ca="1" si="3"/>
        <v>64.778664486993023</v>
      </c>
      <c r="X67" s="60">
        <f t="shared" ca="1" si="6"/>
        <v>0</v>
      </c>
      <c r="Y67" s="60">
        <f t="shared" ca="1" si="4"/>
        <v>0</v>
      </c>
      <c r="Z67" s="60">
        <f ca="1">VLOOKUP(S67,ModelOutputs,13,FALSE)</f>
        <v>0.99956191722310295</v>
      </c>
    </row>
    <row r="68" spans="2:26" x14ac:dyDescent="0.25">
      <c r="R68" s="93">
        <f ca="1"/>
        <v>45020</v>
      </c>
      <c r="S68" s="62">
        <f t="shared" ca="1" si="5"/>
        <v>45020</v>
      </c>
      <c r="T68" s="62">
        <f t="shared" ca="1" si="0"/>
        <v>46.711657435558607</v>
      </c>
      <c r="U68" s="62">
        <f t="shared" ca="1" si="1"/>
        <v>39.663087886865199</v>
      </c>
      <c r="V68" s="62">
        <f t="shared" ca="1" si="2"/>
        <v>0</v>
      </c>
      <c r="W68" s="60">
        <f t="shared" ca="1" si="3"/>
        <v>68.173592768717398</v>
      </c>
      <c r="X68" s="60">
        <f t="shared" ca="1" si="6"/>
        <v>0</v>
      </c>
      <c r="Y68" s="60">
        <f t="shared" ca="1" si="4"/>
        <v>0</v>
      </c>
      <c r="Z68" s="60">
        <f ca="1">VLOOKUP(S68,ModelOutputs,13,FALSE)</f>
        <v>0.99965539608413401</v>
      </c>
    </row>
    <row r="69" spans="2:26" x14ac:dyDescent="0.25">
      <c r="R69" s="93">
        <f ca="1"/>
        <v>45021</v>
      </c>
      <c r="S69" s="62">
        <f t="shared" ca="1" si="5"/>
        <v>45021</v>
      </c>
      <c r="T69" s="62">
        <f t="shared" ca="1" si="0"/>
        <v>45.835518912447583</v>
      </c>
      <c r="U69" s="62">
        <f t="shared" ca="1" si="1"/>
        <v>40.909434870954598</v>
      </c>
      <c r="V69" s="62">
        <f t="shared" ca="1" si="2"/>
        <v>0</v>
      </c>
      <c r="W69" s="60">
        <f t="shared" ca="1" si="3"/>
        <v>69.848199599854723</v>
      </c>
      <c r="X69" s="60">
        <f t="shared" ca="1" si="6"/>
        <v>0</v>
      </c>
      <c r="Y69" s="60">
        <f t="shared" ca="1" si="4"/>
        <v>0</v>
      </c>
      <c r="Z69" s="60">
        <f ca="1">VLOOKUP(S69,ModelOutputs,13,FALSE)</f>
        <v>0.99972401205977102</v>
      </c>
    </row>
    <row r="70" spans="2:26" x14ac:dyDescent="0.25">
      <c r="R70" s="93">
        <f ca="1"/>
        <v>45022</v>
      </c>
      <c r="S70" s="62">
        <f t="shared" ca="1" si="5"/>
        <v>45022</v>
      </c>
      <c r="T70" s="62">
        <f t="shared" ca="1" si="0"/>
        <v>44.959102745536022</v>
      </c>
      <c r="U70" s="62">
        <f t="shared" ca="1" si="1"/>
        <v>42.1429344724408</v>
      </c>
      <c r="V70" s="62">
        <f t="shared" ca="1" si="2"/>
        <v>0</v>
      </c>
      <c r="W70" s="60">
        <f t="shared" ca="1" si="3"/>
        <v>68.819857645782392</v>
      </c>
      <c r="X70" s="60">
        <f t="shared" ca="1" si="6"/>
        <v>0</v>
      </c>
      <c r="Y70" s="60">
        <f t="shared" ca="1" si="4"/>
        <v>0</v>
      </c>
      <c r="Z70" s="60">
        <f ca="1">VLOOKUP(S70,ModelOutputs,13,FALSE)</f>
        <v>0.99977722158890903</v>
      </c>
    </row>
    <row r="71" spans="2:26" x14ac:dyDescent="0.25">
      <c r="R71" s="93">
        <f ca="1"/>
        <v>45023</v>
      </c>
      <c r="S71" s="62">
        <f t="shared" ca="1" si="5"/>
        <v>45023</v>
      </c>
      <c r="T71" s="62">
        <f t="shared" ca="1" si="0"/>
        <v>44.117646241460037</v>
      </c>
      <c r="U71" s="62">
        <f t="shared" ca="1" si="1"/>
        <v>43.3158493877187</v>
      </c>
      <c r="V71" s="62">
        <f t="shared" ca="1" si="2"/>
        <v>0</v>
      </c>
      <c r="W71" s="60">
        <f t="shared" ca="1" si="3"/>
        <v>68.057719272247724</v>
      </c>
      <c r="X71" s="60">
        <f t="shared" ca="1" si="6"/>
        <v>0</v>
      </c>
      <c r="Y71" s="60">
        <f t="shared" ca="1" si="4"/>
        <v>0</v>
      </c>
      <c r="Z71" s="60">
        <f ca="1">VLOOKUP(S71,ModelOutputs,13,FALSE)</f>
        <v>0.99981738889945304</v>
      </c>
    </row>
    <row r="72" spans="2:26" x14ac:dyDescent="0.25">
      <c r="R72" s="93">
        <f ca="1"/>
        <v>45024</v>
      </c>
      <c r="S72" s="62">
        <f t="shared" ca="1" si="5"/>
        <v>45024</v>
      </c>
      <c r="T72" s="62">
        <f t="shared" ca="1" si="0"/>
        <v>43.208424677282032</v>
      </c>
      <c r="U72" s="62">
        <f t="shared" ca="1" si="1"/>
        <v>44.571737687047403</v>
      </c>
      <c r="V72" s="62">
        <f t="shared" ca="1" si="2"/>
        <v>0</v>
      </c>
      <c r="W72" s="60">
        <f t="shared" ca="1" si="3"/>
        <v>71.13889539043943</v>
      </c>
      <c r="X72" s="60">
        <f t="shared" ca="1" si="6"/>
        <v>0</v>
      </c>
      <c r="Y72" s="60">
        <f t="shared" ca="1" si="4"/>
        <v>0</v>
      </c>
      <c r="Z72" s="60">
        <f ca="1">VLOOKUP(S72,ModelOutputs,13,FALSE)</f>
        <v>0.99985167441451395</v>
      </c>
    </row>
    <row r="73" spans="2:26" x14ac:dyDescent="0.25">
      <c r="R73" s="93">
        <f ca="1"/>
        <v>45025</v>
      </c>
      <c r="S73" s="62">
        <f t="shared" ca="1" si="5"/>
        <v>45025</v>
      </c>
      <c r="T73" s="62">
        <f t="shared" ca="1" si="0"/>
        <v>42.231993318089927</v>
      </c>
      <c r="U73" s="62">
        <f t="shared" ca="1" si="1"/>
        <v>45.908273272207403</v>
      </c>
      <c r="V73" s="62">
        <f t="shared" ca="1" si="2"/>
        <v>0</v>
      </c>
      <c r="W73" s="60">
        <f t="shared" ca="1" si="3"/>
        <v>73.588827675709553</v>
      </c>
      <c r="X73" s="60">
        <f t="shared" ca="1" si="6"/>
        <v>0</v>
      </c>
      <c r="Y73" s="60">
        <f t="shared" ca="1" si="4"/>
        <v>0</v>
      </c>
      <c r="Z73" s="60">
        <f ca="1">VLOOKUP(S73,ModelOutputs,13,FALSE)</f>
        <v>0.99988049079021102</v>
      </c>
    </row>
    <row r="74" spans="2:26" x14ac:dyDescent="0.25">
      <c r="R74" s="93">
        <f ca="1"/>
        <v>45026</v>
      </c>
      <c r="S74" s="62">
        <f t="shared" ca="1" si="5"/>
        <v>45026</v>
      </c>
      <c r="T74" s="62">
        <f t="shared" ca="1" si="0"/>
        <v>41.212790085911593</v>
      </c>
      <c r="U74" s="62">
        <f t="shared" ca="1" si="1"/>
        <v>47.291018220571601</v>
      </c>
      <c r="V74" s="62">
        <f t="shared" ca="1" si="2"/>
        <v>0</v>
      </c>
      <c r="W74" s="60">
        <f t="shared" ca="1" si="3"/>
        <v>76.049223404337539</v>
      </c>
      <c r="X74" s="60">
        <f t="shared" ca="1" si="6"/>
        <v>0</v>
      </c>
      <c r="Y74" s="60">
        <f t="shared" ca="1" si="4"/>
        <v>0</v>
      </c>
      <c r="Z74" s="60">
        <f ca="1">VLOOKUP(S74,ModelOutputs,13,FALSE)</f>
        <v>0.99990390768144899</v>
      </c>
    </row>
    <row r="75" spans="2:26" x14ac:dyDescent="0.25">
      <c r="R75" s="93">
        <f ca="1"/>
        <v>45027</v>
      </c>
      <c r="S75" s="62">
        <f t="shared" ca="1" si="5"/>
        <v>45027</v>
      </c>
      <c r="T75" s="62">
        <f t="shared" ca="1" si="0"/>
        <v>40.178895935043244</v>
      </c>
      <c r="U75" s="62">
        <f t="shared" ca="1" si="1"/>
        <v>48.681891578246798</v>
      </c>
      <c r="V75" s="62">
        <f t="shared" ca="1" si="2"/>
        <v>0</v>
      </c>
      <c r="W75" s="60">
        <f t="shared" ca="1" si="3"/>
        <v>75.744236457581422</v>
      </c>
      <c r="X75" s="60">
        <f t="shared" ca="1" si="6"/>
        <v>0</v>
      </c>
      <c r="Y75" s="60">
        <f t="shared" ca="1" si="4"/>
        <v>0</v>
      </c>
      <c r="Z75" s="60">
        <f ca="1">VLOOKUP(S75,ModelOutputs,13,FALSE)</f>
        <v>0.99992243179497897</v>
      </c>
    </row>
    <row r="76" spans="2:26" x14ac:dyDescent="0.25">
      <c r="R76" s="93">
        <f ca="1"/>
        <v>45028</v>
      </c>
      <c r="S76" s="62">
        <f t="shared" ca="1" si="5"/>
        <v>45028</v>
      </c>
      <c r="T76" s="62">
        <f t="shared" ca="1" si="0"/>
        <v>39.044434046473299</v>
      </c>
      <c r="U76" s="62">
        <f t="shared" ca="1" si="1"/>
        <v>50.195520168812898</v>
      </c>
      <c r="V76" s="62">
        <f t="shared" ca="1" si="2"/>
        <v>0</v>
      </c>
      <c r="W76" s="60">
        <f t="shared" ca="1" si="3"/>
        <v>77.633929711880455</v>
      </c>
      <c r="X76" s="60">
        <f t="shared" ca="1" si="6"/>
        <v>0</v>
      </c>
      <c r="Y76" s="60">
        <f t="shared" ca="1" si="4"/>
        <v>0</v>
      </c>
      <c r="Z76" s="60">
        <f ca="1">VLOOKUP(S76,ModelOutputs,13,FALSE)</f>
        <v>0.99993821308111996</v>
      </c>
    </row>
    <row r="77" spans="2:26" x14ac:dyDescent="0.25">
      <c r="R77" s="93">
        <f ca="1"/>
        <v>45029</v>
      </c>
      <c r="S77" s="62">
        <f t="shared" ca="1" si="5"/>
        <v>45029</v>
      </c>
      <c r="T77" s="62">
        <f t="shared" ca="1" si="0"/>
        <v>37.910778504720625</v>
      </c>
      <c r="U77" s="62">
        <f t="shared" ca="1" si="1"/>
        <v>51.696050738528299</v>
      </c>
      <c r="V77" s="62">
        <f t="shared" ca="1" si="2"/>
        <v>0</v>
      </c>
      <c r="W77" s="60">
        <f t="shared" ca="1" si="3"/>
        <v>80.453489483079792</v>
      </c>
      <c r="X77" s="60">
        <f t="shared" ca="1" si="6"/>
        <v>0</v>
      </c>
      <c r="Y77" s="60">
        <f t="shared" ca="1" si="4"/>
        <v>0</v>
      </c>
      <c r="Z77" s="60">
        <f ca="1">VLOOKUP(S77,ModelOutputs,13,FALSE)</f>
        <v>0.99995041955187203</v>
      </c>
    </row>
    <row r="78" spans="2:26" x14ac:dyDescent="0.25">
      <c r="R78" s="93">
        <f ca="1"/>
        <v>45030</v>
      </c>
      <c r="S78" s="62">
        <f t="shared" ca="1" si="5"/>
        <v>45030</v>
      </c>
      <c r="T78" s="62">
        <f t="shared" ca="1" si="0"/>
        <v>36.836024237257824</v>
      </c>
      <c r="U78" s="62">
        <f t="shared" ca="1" si="1"/>
        <v>53.108409193858101</v>
      </c>
      <c r="V78" s="62">
        <f t="shared" ca="1" si="2"/>
        <v>0</v>
      </c>
      <c r="W78" s="60">
        <f t="shared" ca="1" si="3"/>
        <v>83.256443537830648</v>
      </c>
      <c r="X78" s="60">
        <f t="shared" ca="1" si="6"/>
        <v>0</v>
      </c>
      <c r="Y78" s="60">
        <f t="shared" ca="1" si="4"/>
        <v>0</v>
      </c>
      <c r="Z78" s="60">
        <f ca="1">VLOOKUP(S78,ModelOutputs,13,FALSE)</f>
        <v>0.99995950982187698</v>
      </c>
    </row>
    <row r="79" spans="2:26" x14ac:dyDescent="0.25">
      <c r="R79" s="93">
        <f ca="1"/>
        <v>45031</v>
      </c>
      <c r="S79" s="62">
        <f t="shared" ca="1" si="5"/>
        <v>45031</v>
      </c>
      <c r="T79" s="62">
        <f t="shared" ca="1" si="0"/>
        <v>35.707963988846963</v>
      </c>
      <c r="U79" s="62">
        <f t="shared" ca="1" si="1"/>
        <v>54.580948627062199</v>
      </c>
      <c r="V79" s="62">
        <f t="shared" ca="1" si="2"/>
        <v>0</v>
      </c>
      <c r="W79" s="60">
        <f t="shared" ca="1" si="3"/>
        <v>82.091525225190026</v>
      </c>
      <c r="X79" s="60">
        <f t="shared" ca="1" si="6"/>
        <v>0</v>
      </c>
      <c r="Y79" s="60">
        <f t="shared" ca="1" si="4"/>
        <v>0</v>
      </c>
      <c r="Z79" s="60">
        <f ca="1">VLOOKUP(S79,ModelOutputs,13,FALSE)</f>
        <v>0.99996706960491</v>
      </c>
    </row>
    <row r="80" spans="2:26" x14ac:dyDescent="0.25">
      <c r="R80" s="93">
        <f ca="1"/>
        <v>45032</v>
      </c>
      <c r="S80" s="62">
        <f t="shared" ca="1" si="5"/>
        <v>45032</v>
      </c>
      <c r="T80" s="62">
        <f t="shared" ca="1" si="0"/>
        <v>34.535847559245788</v>
      </c>
      <c r="U80" s="62">
        <f t="shared" ca="1" si="1"/>
        <v>56.1010859052816</v>
      </c>
      <c r="V80" s="62">
        <f t="shared" ca="1" si="2"/>
        <v>0</v>
      </c>
      <c r="W80" s="60">
        <f t="shared" ca="1" si="3"/>
        <v>87.983118404293819</v>
      </c>
      <c r="X80" s="60">
        <f t="shared" ca="1" si="6"/>
        <v>0</v>
      </c>
      <c r="Y80" s="60">
        <f t="shared" ca="1" si="4"/>
        <v>0</v>
      </c>
      <c r="Z80" s="60">
        <f ca="1">VLOOKUP(S80,ModelOutputs,13,FALSE)</f>
        <v>0.99997327480976295</v>
      </c>
    </row>
    <row r="81" spans="18:26" x14ac:dyDescent="0.25">
      <c r="R81" s="93">
        <f ca="1"/>
        <v>45033</v>
      </c>
      <c r="S81" s="62">
        <f t="shared" ca="1" si="5"/>
        <v>45033</v>
      </c>
      <c r="T81" s="62">
        <f t="shared" ca="1" si="0"/>
        <v>33.35538643621792</v>
      </c>
      <c r="U81" s="62">
        <f t="shared" ca="1" si="1"/>
        <v>57.622588707452401</v>
      </c>
      <c r="V81" s="62">
        <f t="shared" ca="1" si="2"/>
        <v>0</v>
      </c>
      <c r="W81" s="60">
        <f t="shared" ca="1" si="3"/>
        <v>89.963166166696681</v>
      </c>
      <c r="X81" s="60">
        <f t="shared" ca="1" si="6"/>
        <v>0</v>
      </c>
      <c r="Y81" s="60">
        <f t="shared" ca="1" si="4"/>
        <v>0</v>
      </c>
      <c r="Z81" s="60">
        <f ca="1">VLOOKUP(S81,ModelOutputs,13,FALSE)</f>
        <v>0.99997821976386003</v>
      </c>
    </row>
    <row r="82" spans="18:26" x14ac:dyDescent="0.25">
      <c r="R82" s="93">
        <f ca="1"/>
        <v>45034</v>
      </c>
      <c r="S82" s="62">
        <f t="shared" ca="1" si="5"/>
        <v>45034</v>
      </c>
      <c r="T82" s="62">
        <f t="shared" ref="T82:T145" ca="1" si="10">VLOOKUP(S82,ModelOutputs,2,FALSE)</f>
        <v>32.139475171665843</v>
      </c>
      <c r="U82" s="62">
        <f t="shared" ref="U82:U145" ca="1" si="11">VLOOKUP(S82,ModelOutputs,7,FALSE)</f>
        <v>59.180583315803602</v>
      </c>
      <c r="V82" s="62">
        <f t="shared" ref="V82:V145" ca="1" si="12">VLOOKUP(S82,ModelOutputs,6,FALSE)</f>
        <v>0</v>
      </c>
      <c r="W82" s="60">
        <f t="shared" ref="W82:W145" ca="1" si="13">VLOOKUP(S82,ModelOutputs,10,FALSE)*AWC</f>
        <v>90.737092948848442</v>
      </c>
      <c r="X82" s="60">
        <f t="shared" ca="1" si="6"/>
        <v>0</v>
      </c>
      <c r="Y82" s="60">
        <f t="shared" ref="Y82:Y145" ca="1" si="14">VLOOKUP(S82,ModelOutputs,12,FALSE)</f>
        <v>0</v>
      </c>
      <c r="Z82" s="60">
        <f ca="1">VLOOKUP(S82,ModelOutputs,13,FALSE)</f>
        <v>0.99998226086013497</v>
      </c>
    </row>
    <row r="83" spans="18:26" x14ac:dyDescent="0.25">
      <c r="R83" s="93">
        <f ca="1"/>
        <v>45035</v>
      </c>
      <c r="S83" s="62">
        <f t="shared" ref="S83:S146" ca="1" si="15">IF(R83&gt;1,R83,"")</f>
        <v>45035</v>
      </c>
      <c r="T83" s="62">
        <f t="shared" ca="1" si="10"/>
        <v>30.95960737563497</v>
      </c>
      <c r="U83" s="62">
        <f t="shared" ca="1" si="11"/>
        <v>60.6840969534436</v>
      </c>
      <c r="V83" s="62">
        <f t="shared" ca="1" si="12"/>
        <v>0</v>
      </c>
      <c r="W83" s="60">
        <f t="shared" ca="1" si="13"/>
        <v>90.633670547679245</v>
      </c>
      <c r="X83" s="60">
        <f t="shared" ref="X83:X146" ca="1" si="16">VLOOKUP(S83,ModelOutputs,11,FALSE)+X82</f>
        <v>0</v>
      </c>
      <c r="Y83" s="60">
        <f t="shared" ca="1" si="14"/>
        <v>0</v>
      </c>
      <c r="Z83" s="60">
        <f ca="1">VLOOKUP(S83,ModelOutputs,13,FALSE)</f>
        <v>0.999985391482903</v>
      </c>
    </row>
    <row r="84" spans="18:26" x14ac:dyDescent="0.25">
      <c r="R84" s="93">
        <f ca="1"/>
        <v>45036</v>
      </c>
      <c r="S84" s="62">
        <f t="shared" ca="1" si="15"/>
        <v>45036</v>
      </c>
      <c r="T84" s="62">
        <f t="shared" ca="1" si="10"/>
        <v>128.82405625355804</v>
      </c>
      <c r="U84" s="62">
        <f t="shared" ca="1" si="11"/>
        <v>62.376835583235199</v>
      </c>
      <c r="V84" s="62">
        <f t="shared" ca="1" si="12"/>
        <v>124</v>
      </c>
      <c r="W84" s="60">
        <f t="shared" ca="1" si="13"/>
        <v>90.096928528743405</v>
      </c>
      <c r="X84" s="60">
        <f t="shared" ca="1" si="16"/>
        <v>0</v>
      </c>
      <c r="Y84" s="60">
        <f t="shared" ca="1" si="14"/>
        <v>0</v>
      </c>
      <c r="Z84" s="60">
        <f ca="1">VLOOKUP(S84,ModelOutputs,13,FALSE)</f>
        <v>0.99998820928618604</v>
      </c>
    </row>
    <row r="85" spans="18:26" x14ac:dyDescent="0.25">
      <c r="R85" s="93">
        <f ca="1"/>
        <v>45037</v>
      </c>
      <c r="S85" s="62">
        <f t="shared" ca="1" si="15"/>
        <v>45037</v>
      </c>
      <c r="T85" s="62">
        <f t="shared" ca="1" si="10"/>
        <v>127.45457568950059</v>
      </c>
      <c r="U85" s="62">
        <f t="shared" ca="1" si="11"/>
        <v>64.103191153679006</v>
      </c>
      <c r="V85" s="62">
        <f t="shared" ca="1" si="12"/>
        <v>0</v>
      </c>
      <c r="W85" s="60">
        <f t="shared" ca="1" si="13"/>
        <v>90.6650235237788</v>
      </c>
      <c r="X85" s="60">
        <f t="shared" ca="1" si="16"/>
        <v>0</v>
      </c>
      <c r="Y85" s="60">
        <f t="shared" ca="1" si="14"/>
        <v>0</v>
      </c>
      <c r="Z85" s="60">
        <f ca="1">VLOOKUP(S85,ModelOutputs,13,FALSE)</f>
        <v>0.99999048179070604</v>
      </c>
    </row>
    <row r="86" spans="18:26" x14ac:dyDescent="0.25">
      <c r="R86" s="93">
        <f ca="1"/>
        <v>45038</v>
      </c>
      <c r="S86" s="62">
        <f t="shared" ca="1" si="15"/>
        <v>45038</v>
      </c>
      <c r="T86" s="62">
        <f t="shared" ca="1" si="10"/>
        <v>126.11757886486306</v>
      </c>
      <c r="U86" s="62">
        <f t="shared" ca="1" si="11"/>
        <v>65.780083816690393</v>
      </c>
      <c r="V86" s="62">
        <f t="shared" ca="1" si="12"/>
        <v>0</v>
      </c>
      <c r="W86" s="60">
        <f t="shared" ca="1" si="13"/>
        <v>89.776504390102303</v>
      </c>
      <c r="X86" s="60">
        <f t="shared" ca="1" si="16"/>
        <v>0</v>
      </c>
      <c r="Y86" s="60">
        <f t="shared" ca="1" si="14"/>
        <v>0</v>
      </c>
      <c r="Z86" s="60">
        <f ca="1">VLOOKUP(S86,ModelOutputs,13,FALSE)</f>
        <v>0.99999223763254896</v>
      </c>
    </row>
    <row r="87" spans="18:26" x14ac:dyDescent="0.25">
      <c r="R87" s="93">
        <f ca="1"/>
        <v>45039</v>
      </c>
      <c r="S87" s="62">
        <f t="shared" ca="1" si="15"/>
        <v>45039</v>
      </c>
      <c r="T87" s="62">
        <f t="shared" ca="1" si="10"/>
        <v>124.71642441558025</v>
      </c>
      <c r="U87" s="62">
        <f t="shared" ca="1" si="11"/>
        <v>67.5290507702897</v>
      </c>
      <c r="V87" s="62">
        <f t="shared" ca="1" si="12"/>
        <v>0</v>
      </c>
      <c r="W87" s="60">
        <f t="shared" ca="1" si="13"/>
        <v>88.410649397529426</v>
      </c>
      <c r="X87" s="60">
        <f t="shared" ca="1" si="16"/>
        <v>0</v>
      </c>
      <c r="Y87" s="60">
        <f t="shared" ca="1" si="14"/>
        <v>0</v>
      </c>
      <c r="Z87" s="60">
        <f ca="1">VLOOKUP(S87,ModelOutputs,13,FALSE)</f>
        <v>0.99999369956865103</v>
      </c>
    </row>
    <row r="88" spans="18:26" x14ac:dyDescent="0.25">
      <c r="R88" s="93">
        <f ca="1"/>
        <v>45040</v>
      </c>
      <c r="S88" s="62">
        <f t="shared" ca="1" si="15"/>
        <v>45040</v>
      </c>
      <c r="T88" s="62">
        <f t="shared" ca="1" si="10"/>
        <v>123.18707252791175</v>
      </c>
      <c r="U88" s="62">
        <f t="shared" ca="1" si="11"/>
        <v>69.428923495122106</v>
      </c>
      <c r="V88" s="62">
        <f t="shared" ca="1" si="12"/>
        <v>0</v>
      </c>
      <c r="W88" s="60">
        <f t="shared" ca="1" si="13"/>
        <v>89.368546859167708</v>
      </c>
      <c r="X88" s="60">
        <f t="shared" ca="1" si="16"/>
        <v>0</v>
      </c>
      <c r="Y88" s="60">
        <f t="shared" ca="1" si="14"/>
        <v>0</v>
      </c>
      <c r="Z88" s="60">
        <f ca="1">VLOOKUP(S88,ModelOutputs,13,FALSE)</f>
        <v>0.99999495536796201</v>
      </c>
    </row>
    <row r="89" spans="18:26" x14ac:dyDescent="0.25">
      <c r="R89" s="93">
        <f ca="1"/>
        <v>45041</v>
      </c>
      <c r="S89" s="62">
        <f t="shared" ca="1" si="15"/>
        <v>45041</v>
      </c>
      <c r="T89" s="62">
        <f t="shared" ca="1" si="10"/>
        <v>121.66314959228178</v>
      </c>
      <c r="U89" s="62">
        <f t="shared" ca="1" si="11"/>
        <v>71.313263100482203</v>
      </c>
      <c r="V89" s="62">
        <f t="shared" ca="1" si="12"/>
        <v>0</v>
      </c>
      <c r="W89" s="60">
        <f t="shared" ca="1" si="13"/>
        <v>95.289681338121653</v>
      </c>
      <c r="X89" s="60">
        <f t="shared" ca="1" si="16"/>
        <v>0</v>
      </c>
      <c r="Y89" s="60">
        <f t="shared" ca="1" si="14"/>
        <v>0</v>
      </c>
      <c r="Z89" s="60">
        <f ca="1">VLOOKUP(S89,ModelOutputs,13,FALSE)</f>
        <v>0.99999593630332995</v>
      </c>
    </row>
    <row r="90" spans="18:26" x14ac:dyDescent="0.25">
      <c r="R90" s="93">
        <f ca="1"/>
        <v>45042</v>
      </c>
      <c r="S90" s="62">
        <f t="shared" ca="1" si="15"/>
        <v>45042</v>
      </c>
      <c r="T90" s="62">
        <f t="shared" ca="1" si="10"/>
        <v>120.15597125672049</v>
      </c>
      <c r="U90" s="62">
        <f t="shared" ca="1" si="11"/>
        <v>73.168878938492796</v>
      </c>
      <c r="V90" s="62">
        <f t="shared" ca="1" si="12"/>
        <v>0</v>
      </c>
      <c r="W90" s="60">
        <f t="shared" ca="1" si="13"/>
        <v>94.49315009200123</v>
      </c>
      <c r="X90" s="60">
        <f t="shared" ca="1" si="16"/>
        <v>0</v>
      </c>
      <c r="Y90" s="60">
        <f t="shared" ca="1" si="14"/>
        <v>0</v>
      </c>
      <c r="Z90" s="60">
        <f ca="1">VLOOKUP(S90,ModelOutputs,13,FALSE)</f>
        <v>0.99999670288405096</v>
      </c>
    </row>
    <row r="91" spans="18:26" x14ac:dyDescent="0.25">
      <c r="R91" s="93">
        <f ca="1"/>
        <v>45043</v>
      </c>
      <c r="S91" s="62">
        <f t="shared" ca="1" si="15"/>
        <v>45043</v>
      </c>
      <c r="T91" s="62">
        <f t="shared" ca="1" si="10"/>
        <v>118.51868655381671</v>
      </c>
      <c r="U91" s="62">
        <f t="shared" ca="1" si="11"/>
        <v>75.176277279926694</v>
      </c>
      <c r="V91" s="62">
        <f t="shared" ca="1" si="12"/>
        <v>0</v>
      </c>
      <c r="W91" s="60">
        <f t="shared" ca="1" si="13"/>
        <v>97.504710979813069</v>
      </c>
      <c r="X91" s="60">
        <f t="shared" ca="1" si="16"/>
        <v>0</v>
      </c>
      <c r="Y91" s="60">
        <f t="shared" ca="1" si="14"/>
        <v>0</v>
      </c>
      <c r="Z91" s="60">
        <f ca="1">VLOOKUP(S91,ModelOutputs,13,FALSE)</f>
        <v>0.99999735942037804</v>
      </c>
    </row>
    <row r="92" spans="18:26" x14ac:dyDescent="0.25">
      <c r="R92" s="93">
        <f ca="1"/>
        <v>45044</v>
      </c>
      <c r="S92" s="62">
        <f t="shared" ca="1" si="15"/>
        <v>45044</v>
      </c>
      <c r="T92" s="62">
        <f t="shared" ca="1" si="10"/>
        <v>116.9236717588569</v>
      </c>
      <c r="U92" s="62">
        <f t="shared" ca="1" si="11"/>
        <v>77.124019349311695</v>
      </c>
      <c r="V92" s="62">
        <f t="shared" ca="1" si="12"/>
        <v>0</v>
      </c>
      <c r="W92" s="60">
        <f t="shared" ca="1" si="13"/>
        <v>101.7778526118658</v>
      </c>
      <c r="X92" s="60">
        <f t="shared" ca="1" si="16"/>
        <v>0</v>
      </c>
      <c r="Y92" s="60">
        <f t="shared" ca="1" si="14"/>
        <v>0</v>
      </c>
      <c r="Z92" s="60">
        <f ca="1">VLOOKUP(S92,ModelOutputs,13,FALSE)</f>
        <v>0.99999786304997795</v>
      </c>
    </row>
    <row r="93" spans="18:26" x14ac:dyDescent="0.25">
      <c r="R93" s="93">
        <f ca="1"/>
        <v>45045</v>
      </c>
      <c r="S93" s="62">
        <f t="shared" ca="1" si="15"/>
        <v>45045</v>
      </c>
      <c r="T93" s="62">
        <f t="shared" ca="1" si="10"/>
        <v>115.3267573268773</v>
      </c>
      <c r="U93" s="62">
        <f t="shared" ca="1" si="11"/>
        <v>79.066871282674597</v>
      </c>
      <c r="V93" s="62">
        <f t="shared" ca="1" si="12"/>
        <v>0</v>
      </c>
      <c r="W93" s="60">
        <f t="shared" ca="1" si="13"/>
        <v>104.95339313720849</v>
      </c>
      <c r="X93" s="60">
        <f t="shared" ca="1" si="16"/>
        <v>0</v>
      </c>
      <c r="Y93" s="60">
        <f t="shared" ca="1" si="14"/>
        <v>0</v>
      </c>
      <c r="Z93" s="60">
        <f ca="1">VLOOKUP(S93,ModelOutputs,13,FALSE)</f>
        <v>0.999998263564993</v>
      </c>
    </row>
    <row r="94" spans="18:26" x14ac:dyDescent="0.25">
      <c r="R94" s="93">
        <f ca="1"/>
        <v>45046</v>
      </c>
      <c r="S94" s="62">
        <f t="shared" ca="1" si="15"/>
        <v>45046</v>
      </c>
      <c r="T94" s="62">
        <f t="shared" ca="1" si="10"/>
        <v>113.72061153492587</v>
      </c>
      <c r="U94" s="62">
        <f t="shared" ca="1" si="11"/>
        <v>81.014162909096996</v>
      </c>
      <c r="V94" s="62">
        <f t="shared" ca="1" si="12"/>
        <v>0</v>
      </c>
      <c r="W94" s="60">
        <f t="shared" ca="1" si="13"/>
        <v>108.75038931877242</v>
      </c>
      <c r="X94" s="60">
        <f t="shared" ca="1" si="16"/>
        <v>0</v>
      </c>
      <c r="Y94" s="60">
        <f t="shared" ca="1" si="14"/>
        <v>0</v>
      </c>
      <c r="Z94" s="60">
        <f ca="1">VLOOKUP(S94,ModelOutputs,13,FALSE)</f>
        <v>0.99999858495203198</v>
      </c>
    </row>
    <row r="95" spans="18:26" x14ac:dyDescent="0.25">
      <c r="R95" s="93">
        <f ca="1"/>
        <v>45047</v>
      </c>
      <c r="S95" s="62">
        <f t="shared" ca="1" si="15"/>
        <v>45047</v>
      </c>
      <c r="T95" s="62">
        <f t="shared" ca="1" si="10"/>
        <v>112.29679327245276</v>
      </c>
      <c r="U95" s="62">
        <f t="shared" ca="1" si="11"/>
        <v>82.735064505731899</v>
      </c>
      <c r="V95" s="62">
        <f t="shared" ca="1" si="12"/>
        <v>0</v>
      </c>
      <c r="W95" s="60">
        <f t="shared" ca="1" si="13"/>
        <v>107.32200997113516</v>
      </c>
      <c r="X95" s="60">
        <f t="shared" ca="1" si="16"/>
        <v>0</v>
      </c>
      <c r="Y95" s="60">
        <f t="shared" ca="1" si="14"/>
        <v>0</v>
      </c>
      <c r="Z95" s="60">
        <f ca="1">VLOOKUP(S95,ModelOutputs,13,FALSE)</f>
        <v>0.99999881596513596</v>
      </c>
    </row>
    <row r="96" spans="18:26" x14ac:dyDescent="0.25">
      <c r="R96" s="93">
        <f ca="1"/>
        <v>45048</v>
      </c>
      <c r="S96" s="62">
        <f t="shared" ca="1" si="15"/>
        <v>45048</v>
      </c>
      <c r="T96" s="62">
        <f t="shared" ca="1" si="10"/>
        <v>110.85340446202335</v>
      </c>
      <c r="U96" s="62">
        <f t="shared" ca="1" si="11"/>
        <v>84.474807483536495</v>
      </c>
      <c r="V96" s="62">
        <f t="shared" ca="1" si="12"/>
        <v>0</v>
      </c>
      <c r="W96" s="60">
        <f t="shared" ca="1" si="13"/>
        <v>106.00972563219015</v>
      </c>
      <c r="X96" s="60">
        <f t="shared" ca="1" si="16"/>
        <v>0</v>
      </c>
      <c r="Y96" s="60">
        <f t="shared" ca="1" si="14"/>
        <v>0</v>
      </c>
      <c r="Z96" s="60">
        <f ca="1">VLOOKUP(S96,ModelOutputs,13,FALSE)</f>
        <v>0.99999900883081705</v>
      </c>
    </row>
    <row r="97" spans="18:26" x14ac:dyDescent="0.25">
      <c r="R97" s="93">
        <f ca="1"/>
        <v>45049</v>
      </c>
      <c r="S97" s="62">
        <f t="shared" ca="1" si="15"/>
        <v>45049</v>
      </c>
      <c r="T97" s="62">
        <f t="shared" ca="1" si="10"/>
        <v>109.23338850621307</v>
      </c>
      <c r="U97" s="62">
        <f t="shared" ca="1" si="11"/>
        <v>86.422010940017799</v>
      </c>
      <c r="V97" s="62">
        <f t="shared" ca="1" si="12"/>
        <v>0</v>
      </c>
      <c r="W97" s="60">
        <f t="shared" ca="1" si="13"/>
        <v>106.71108080579053</v>
      </c>
      <c r="X97" s="60">
        <f t="shared" ca="1" si="16"/>
        <v>0</v>
      </c>
      <c r="Y97" s="60">
        <f t="shared" ca="1" si="14"/>
        <v>0</v>
      </c>
      <c r="Z97" s="60">
        <f ca="1">VLOOKUP(S97,ModelOutputs,13,FALSE)</f>
        <v>0.99999918548838596</v>
      </c>
    </row>
    <row r="98" spans="18:26" x14ac:dyDescent="0.25">
      <c r="R98" s="93">
        <f ca="1"/>
        <v>45050</v>
      </c>
      <c r="S98" s="62">
        <f t="shared" ca="1" si="15"/>
        <v>45050</v>
      </c>
      <c r="T98" s="62">
        <f t="shared" ca="1" si="10"/>
        <v>107.57962776636364</v>
      </c>
      <c r="U98" s="62">
        <f t="shared" ca="1" si="11"/>
        <v>88.404209180435004</v>
      </c>
      <c r="V98" s="62">
        <f t="shared" ca="1" si="12"/>
        <v>0</v>
      </c>
      <c r="W98" s="60">
        <f t="shared" ca="1" si="13"/>
        <v>108.54694921812818</v>
      </c>
      <c r="X98" s="60">
        <f t="shared" ca="1" si="16"/>
        <v>0</v>
      </c>
      <c r="Y98" s="60">
        <f t="shared" ca="1" si="14"/>
        <v>0</v>
      </c>
      <c r="Z98" s="60">
        <f ca="1">VLOOKUP(S98,ModelOutputs,13,FALSE)</f>
        <v>0.99999933116180895</v>
      </c>
    </row>
    <row r="99" spans="18:26" x14ac:dyDescent="0.25">
      <c r="R99" s="93">
        <f ca="1"/>
        <v>45051</v>
      </c>
      <c r="S99" s="62">
        <f t="shared" ca="1" si="15"/>
        <v>45051</v>
      </c>
      <c r="T99" s="62">
        <f t="shared" ca="1" si="10"/>
        <v>105.84008329282116</v>
      </c>
      <c r="U99" s="62">
        <f t="shared" ca="1" si="11"/>
        <v>90.483545321139005</v>
      </c>
      <c r="V99" s="62">
        <f t="shared" ca="1" si="12"/>
        <v>0</v>
      </c>
      <c r="W99" s="60">
        <f t="shared" ca="1" si="13"/>
        <v>112.09204767158982</v>
      </c>
      <c r="X99" s="60">
        <f t="shared" ca="1" si="16"/>
        <v>0</v>
      </c>
      <c r="Y99" s="60">
        <f t="shared" ca="1" si="14"/>
        <v>0</v>
      </c>
      <c r="Z99" s="60">
        <f ca="1">VLOOKUP(S99,ModelOutputs,13,FALSE)</f>
        <v>0.99999945451044003</v>
      </c>
    </row>
    <row r="100" spans="18:26" x14ac:dyDescent="0.25">
      <c r="R100" s="93">
        <f ca="1"/>
        <v>45052</v>
      </c>
      <c r="S100" s="62">
        <f t="shared" ca="1" si="15"/>
        <v>45052</v>
      </c>
      <c r="T100" s="62">
        <f t="shared" ca="1" si="10"/>
        <v>104.11400262089863</v>
      </c>
      <c r="U100" s="62">
        <f t="shared" ca="1" si="11"/>
        <v>92.5413968267992</v>
      </c>
      <c r="V100" s="62">
        <f t="shared" ca="1" si="12"/>
        <v>0</v>
      </c>
      <c r="W100" s="60">
        <f t="shared" ca="1" si="13"/>
        <v>113.16119650263624</v>
      </c>
      <c r="X100" s="60">
        <f t="shared" ca="1" si="16"/>
        <v>0</v>
      </c>
      <c r="Y100" s="60">
        <f t="shared" ca="1" si="14"/>
        <v>0</v>
      </c>
      <c r="Z100" s="60">
        <f ca="1">VLOOKUP(S100,ModelOutputs,13,FALSE)</f>
        <v>0.999999552964836</v>
      </c>
    </row>
    <row r="101" spans="18:26" x14ac:dyDescent="0.25">
      <c r="R101" s="93">
        <f ca="1"/>
        <v>45053</v>
      </c>
      <c r="S101" s="62">
        <f t="shared" ca="1" si="15"/>
        <v>45053</v>
      </c>
      <c r="T101" s="62">
        <f t="shared" ca="1" si="10"/>
        <v>102.43987920012049</v>
      </c>
      <c r="U101" s="62">
        <f t="shared" ca="1" si="11"/>
        <v>94.532499414568804</v>
      </c>
      <c r="V101" s="62">
        <f t="shared" ca="1" si="12"/>
        <v>0</v>
      </c>
      <c r="W101" s="60">
        <f t="shared" ca="1" si="13"/>
        <v>117.2706715356663</v>
      </c>
      <c r="X101" s="60">
        <f t="shared" ca="1" si="16"/>
        <v>0</v>
      </c>
      <c r="Y101" s="60">
        <f t="shared" ca="1" si="14"/>
        <v>0</v>
      </c>
      <c r="Z101" s="60">
        <f ca="1">VLOOKUP(S101,ModelOutputs,13,FALSE)</f>
        <v>0.999999630383821</v>
      </c>
    </row>
    <row r="102" spans="18:26" x14ac:dyDescent="0.25">
      <c r="R102" s="93">
        <f ca="1"/>
        <v>45054</v>
      </c>
      <c r="S102" s="62">
        <f t="shared" ca="1" si="15"/>
        <v>45054</v>
      </c>
      <c r="T102" s="62">
        <f t="shared" ca="1" si="10"/>
        <v>100.72551930365599</v>
      </c>
      <c r="U102" s="62">
        <f t="shared" ca="1" si="11"/>
        <v>96.566859311311305</v>
      </c>
      <c r="V102" s="62">
        <f t="shared" ca="1" si="12"/>
        <v>0</v>
      </c>
      <c r="W102" s="60">
        <f t="shared" ca="1" si="13"/>
        <v>118.16621407033981</v>
      </c>
      <c r="X102" s="60">
        <f t="shared" ca="1" si="16"/>
        <v>0</v>
      </c>
      <c r="Y102" s="60">
        <f t="shared" ca="1" si="14"/>
        <v>0</v>
      </c>
      <c r="Z102" s="60">
        <f ca="1">VLOOKUP(S102,ModelOutputs,13,FALSE)</f>
        <v>0.99999969494850305</v>
      </c>
    </row>
    <row r="103" spans="18:26" x14ac:dyDescent="0.25">
      <c r="R103" s="93">
        <f ca="1"/>
        <v>45055</v>
      </c>
      <c r="S103" s="62">
        <f t="shared" ca="1" si="15"/>
        <v>45055</v>
      </c>
      <c r="T103" s="62">
        <f t="shared" ca="1" si="10"/>
        <v>98.809438603310042</v>
      </c>
      <c r="U103" s="62">
        <f t="shared" ca="1" si="11"/>
        <v>98.835440011916504</v>
      </c>
      <c r="V103" s="62">
        <f t="shared" ca="1" si="12"/>
        <v>0</v>
      </c>
      <c r="W103" s="60">
        <f t="shared" ca="1" si="13"/>
        <v>118.04019441909885</v>
      </c>
      <c r="X103" s="60">
        <f t="shared" ca="1" si="16"/>
        <v>0</v>
      </c>
      <c r="Y103" s="60">
        <f t="shared" ca="1" si="14"/>
        <v>0</v>
      </c>
      <c r="Z103" s="60">
        <f ca="1">VLOOKUP(S103,ModelOutputs,13,FALSE)</f>
        <v>0.99999975309648004</v>
      </c>
    </row>
    <row r="104" spans="18:26" x14ac:dyDescent="0.25">
      <c r="R104" s="93">
        <f ca="1"/>
        <v>45056</v>
      </c>
      <c r="S104" s="62">
        <f t="shared" ca="1" si="15"/>
        <v>45056</v>
      </c>
      <c r="T104" s="62">
        <f t="shared" ca="1" si="10"/>
        <v>96.914907885082741</v>
      </c>
      <c r="U104" s="62">
        <f t="shared" ca="1" si="11"/>
        <v>101.07351239702</v>
      </c>
      <c r="V104" s="62">
        <f t="shared" ca="1" si="12"/>
        <v>0</v>
      </c>
      <c r="W104" s="60">
        <f t="shared" ca="1" si="13"/>
        <v>118.40881169475026</v>
      </c>
      <c r="X104" s="60">
        <f t="shared" ca="1" si="16"/>
        <v>0</v>
      </c>
      <c r="Y104" s="60">
        <f t="shared" ca="1" si="14"/>
        <v>0</v>
      </c>
      <c r="Z104" s="60">
        <f ca="1">VLOOKUP(S104,ModelOutputs,13,FALSE)</f>
        <v>0.99999979908352798</v>
      </c>
    </row>
    <row r="105" spans="18:26" x14ac:dyDescent="0.25">
      <c r="R105" s="93">
        <f ca="1"/>
        <v>45057</v>
      </c>
      <c r="S105" s="62">
        <f t="shared" ca="1" si="15"/>
        <v>45057</v>
      </c>
      <c r="T105" s="62">
        <f t="shared" ca="1" si="10"/>
        <v>95.084586175184199</v>
      </c>
      <c r="U105" s="62">
        <f t="shared" ca="1" si="11"/>
        <v>103.231334107086</v>
      </c>
      <c r="V105" s="62">
        <f t="shared" ca="1" si="12"/>
        <v>0</v>
      </c>
      <c r="W105" s="60">
        <f t="shared" ca="1" si="13"/>
        <v>120</v>
      </c>
      <c r="X105" s="60">
        <f t="shared" ca="1" si="16"/>
        <v>1.0436153854978869</v>
      </c>
      <c r="Y105" s="60">
        <f t="shared" ca="1" si="14"/>
        <v>0</v>
      </c>
      <c r="Z105" s="60">
        <f ca="1">VLOOKUP(S105,ModelOutputs,13,FALSE)</f>
        <v>0.99999983492414701</v>
      </c>
    </row>
    <row r="106" spans="18:26" x14ac:dyDescent="0.25">
      <c r="R106" s="93">
        <f ca="1"/>
        <v>45058</v>
      </c>
      <c r="S106" s="62">
        <f t="shared" ca="1" si="15"/>
        <v>45058</v>
      </c>
      <c r="T106" s="62">
        <f t="shared" ca="1" si="10"/>
        <v>93.164851249225862</v>
      </c>
      <c r="U106" s="62">
        <f t="shared" ca="1" si="11"/>
        <v>105.490235699857</v>
      </c>
      <c r="V106" s="62">
        <f t="shared" ca="1" si="12"/>
        <v>0</v>
      </c>
      <c r="W106" s="60">
        <f t="shared" ca="1" si="13"/>
        <v>120</v>
      </c>
      <c r="X106" s="60">
        <f t="shared" ca="1" si="16"/>
        <v>5.9766728526904842</v>
      </c>
      <c r="Y106" s="60">
        <f t="shared" ca="1" si="14"/>
        <v>0</v>
      </c>
      <c r="Z106" s="60">
        <f ca="1">VLOOKUP(S106,ModelOutputs,13,FALSE)</f>
        <v>0.99999986531732399</v>
      </c>
    </row>
    <row r="107" spans="18:26" x14ac:dyDescent="0.25">
      <c r="R107" s="93">
        <f ca="1"/>
        <v>45059</v>
      </c>
      <c r="S107" s="62">
        <f t="shared" ca="1" si="15"/>
        <v>45059</v>
      </c>
      <c r="T107" s="62">
        <f t="shared" ca="1" si="10"/>
        <v>91.319131301727026</v>
      </c>
      <c r="U107" s="62">
        <f t="shared" ca="1" si="11"/>
        <v>107.658143147472</v>
      </c>
      <c r="V107" s="62">
        <f t="shared" ca="1" si="12"/>
        <v>0</v>
      </c>
      <c r="W107" s="60">
        <f t="shared" ca="1" si="13"/>
        <v>120</v>
      </c>
      <c r="X107" s="60">
        <f t="shared" ca="1" si="16"/>
        <v>9.8071867722215416</v>
      </c>
      <c r="Y107" s="60">
        <f t="shared" ca="1" si="14"/>
        <v>0</v>
      </c>
      <c r="Z107" s="60">
        <f ca="1">VLOOKUP(S107,ModelOutputs,13,FALSE)</f>
        <v>0.99999988898953096</v>
      </c>
    </row>
    <row r="108" spans="18:26" x14ac:dyDescent="0.25">
      <c r="R108" s="93">
        <f ca="1"/>
        <v>45060</v>
      </c>
      <c r="S108" s="62">
        <f t="shared" ca="1" si="15"/>
        <v>45060</v>
      </c>
      <c r="T108" s="62">
        <f t="shared" ca="1" si="10"/>
        <v>89.436245506568298</v>
      </c>
      <c r="U108" s="62">
        <f t="shared" ca="1" si="11"/>
        <v>109.866028942729</v>
      </c>
      <c r="V108" s="62">
        <f t="shared" ca="1" si="12"/>
        <v>0</v>
      </c>
      <c r="W108" s="60">
        <f t="shared" ca="1" si="13"/>
        <v>120</v>
      </c>
      <c r="X108" s="60">
        <f t="shared" ca="1" si="16"/>
        <v>13.483090176443881</v>
      </c>
      <c r="Y108" s="60">
        <f t="shared" ca="1" si="14"/>
        <v>0</v>
      </c>
      <c r="Z108" s="60">
        <f ca="1">VLOOKUP(S108,ModelOutputs,13,FALSE)</f>
        <v>0.99999990865530597</v>
      </c>
    </row>
    <row r="109" spans="18:26" x14ac:dyDescent="0.25">
      <c r="R109" s="93">
        <f ca="1"/>
        <v>45061</v>
      </c>
      <c r="S109" s="62">
        <f t="shared" ca="1" si="15"/>
        <v>45061</v>
      </c>
      <c r="T109" s="62">
        <f t="shared" ca="1" si="10"/>
        <v>87.463689899485161</v>
      </c>
      <c r="U109" s="62">
        <f t="shared" ca="1" si="11"/>
        <v>112.175355383232</v>
      </c>
      <c r="V109" s="62">
        <f t="shared" ca="1" si="12"/>
        <v>0</v>
      </c>
      <c r="W109" s="60">
        <f t="shared" ca="1" si="13"/>
        <v>120</v>
      </c>
      <c r="X109" s="60">
        <f t="shared" ca="1" si="16"/>
        <v>21.098014743724192</v>
      </c>
      <c r="Y109" s="60">
        <f t="shared" ca="1" si="14"/>
        <v>0</v>
      </c>
      <c r="Z109" s="60">
        <f ca="1">VLOOKUP(S109,ModelOutputs,13,FALSE)</f>
        <v>0.999999925366166</v>
      </c>
    </row>
    <row r="110" spans="18:26" x14ac:dyDescent="0.25">
      <c r="R110" s="93">
        <f ca="1"/>
        <v>45062</v>
      </c>
      <c r="S110" s="62">
        <f t="shared" ca="1" si="15"/>
        <v>45062</v>
      </c>
      <c r="T110" s="62">
        <f t="shared" ca="1" si="10"/>
        <v>85.560019989148941</v>
      </c>
      <c r="U110" s="62">
        <f t="shared" ca="1" si="11"/>
        <v>114.400691960304</v>
      </c>
      <c r="V110" s="62">
        <f t="shared" ca="1" si="12"/>
        <v>0</v>
      </c>
      <c r="W110" s="60">
        <f t="shared" ca="1" si="13"/>
        <v>120</v>
      </c>
      <c r="X110" s="60">
        <f t="shared" ca="1" si="16"/>
        <v>24.72622301345605</v>
      </c>
      <c r="Y110" s="60">
        <f t="shared" ca="1" si="14"/>
        <v>0</v>
      </c>
      <c r="Z110" s="60">
        <f ca="1">VLOOKUP(S110,ModelOutputs,13,FALSE)</f>
        <v>0.99999993846479396</v>
      </c>
    </row>
    <row r="111" spans="18:26" x14ac:dyDescent="0.25">
      <c r="R111" s="93">
        <f ca="1"/>
        <v>45063</v>
      </c>
      <c r="S111" s="62">
        <f t="shared" ca="1" si="15"/>
        <v>45063</v>
      </c>
      <c r="T111" s="62">
        <f t="shared" ca="1" si="10"/>
        <v>83.732447916931378</v>
      </c>
      <c r="U111" s="62">
        <f t="shared" ca="1" si="11"/>
        <v>116.534201532578</v>
      </c>
      <c r="V111" s="62">
        <f t="shared" ca="1" si="12"/>
        <v>0</v>
      </c>
      <c r="W111" s="60">
        <f t="shared" ca="1" si="13"/>
        <v>120</v>
      </c>
      <c r="X111" s="60">
        <f t="shared" ca="1" si="16"/>
        <v>27.135399863531163</v>
      </c>
      <c r="Y111" s="60">
        <f t="shared" ca="1" si="14"/>
        <v>0</v>
      </c>
      <c r="Z111" s="60">
        <f ca="1">VLOOKUP(S111,ModelOutputs,13,FALSE)</f>
        <v>0.99999994878350096</v>
      </c>
    </row>
    <row r="112" spans="18:26" x14ac:dyDescent="0.25">
      <c r="R112" s="93">
        <f ca="1"/>
        <v>45064</v>
      </c>
      <c r="S112" s="62">
        <f t="shared" ca="1" si="15"/>
        <v>45064</v>
      </c>
      <c r="T112" s="62">
        <f t="shared" ca="1" si="10"/>
        <v>81.986097745324685</v>
      </c>
      <c r="U112" s="62">
        <f t="shared" ca="1" si="11"/>
        <v>118.570447537563</v>
      </c>
      <c r="V112" s="62">
        <f t="shared" ca="1" si="12"/>
        <v>0</v>
      </c>
      <c r="W112" s="60">
        <f t="shared" ca="1" si="13"/>
        <v>120</v>
      </c>
      <c r="X112" s="60">
        <f t="shared" ca="1" si="16"/>
        <v>28.419951194154606</v>
      </c>
      <c r="Y112" s="60">
        <f t="shared" ca="1" si="14"/>
        <v>0</v>
      </c>
      <c r="Z112" s="60">
        <f ca="1">VLOOKUP(S112,ModelOutputs,13,FALSE)</f>
        <v>0.99999995695964305</v>
      </c>
    </row>
    <row r="113" spans="18:26" x14ac:dyDescent="0.25">
      <c r="R113" s="93">
        <f ca="1"/>
        <v>45065</v>
      </c>
      <c r="S113" s="62">
        <f t="shared" ca="1" si="15"/>
        <v>45065</v>
      </c>
      <c r="T113" s="62">
        <f t="shared" ca="1" si="10"/>
        <v>80.179218198200061</v>
      </c>
      <c r="U113" s="62">
        <f t="shared" ca="1" si="11"/>
        <v>120.674931251394</v>
      </c>
      <c r="V113" s="62">
        <f t="shared" ca="1" si="12"/>
        <v>0</v>
      </c>
      <c r="W113" s="60">
        <f t="shared" ca="1" si="13"/>
        <v>120</v>
      </c>
      <c r="X113" s="60">
        <f t="shared" ca="1" si="16"/>
        <v>29.473773553291622</v>
      </c>
      <c r="Y113" s="60">
        <f t="shared" ca="1" si="14"/>
        <v>0</v>
      </c>
      <c r="Z113" s="60">
        <f ca="1">VLOOKUP(S113,ModelOutputs,13,FALSE)</f>
        <v>0.99999996399743996</v>
      </c>
    </row>
    <row r="114" spans="18:26" x14ac:dyDescent="0.25">
      <c r="R114" s="93">
        <f ca="1"/>
        <v>45066</v>
      </c>
      <c r="S114" s="62">
        <f t="shared" ca="1" si="15"/>
        <v>45066</v>
      </c>
      <c r="T114" s="62">
        <f t="shared" ca="1" si="10"/>
        <v>78.380515360197364</v>
      </c>
      <c r="U114" s="62">
        <f t="shared" ca="1" si="11"/>
        <v>122.76769658943</v>
      </c>
      <c r="V114" s="62">
        <f t="shared" ca="1" si="12"/>
        <v>0</v>
      </c>
      <c r="W114" s="60">
        <f t="shared" ca="1" si="13"/>
        <v>119.05068047210419</v>
      </c>
      <c r="X114" s="60">
        <f t="shared" ca="1" si="16"/>
        <v>29.473773553291622</v>
      </c>
      <c r="Y114" s="60">
        <f t="shared" ca="1" si="14"/>
        <v>0</v>
      </c>
      <c r="Z114" s="60">
        <f ca="1">VLOOKUP(S114,ModelOutputs,13,FALSE)</f>
        <v>0.99999996982038397</v>
      </c>
    </row>
    <row r="115" spans="18:26" x14ac:dyDescent="0.25">
      <c r="R115" s="93">
        <f ca="1"/>
        <v>45067</v>
      </c>
      <c r="S115" s="62">
        <f t="shared" ca="1" si="15"/>
        <v>45067</v>
      </c>
      <c r="T115" s="62">
        <f t="shared" ca="1" si="10"/>
        <v>76.592456808382082</v>
      </c>
      <c r="U115" s="62">
        <f t="shared" ca="1" si="11"/>
        <v>124.846067641274</v>
      </c>
      <c r="V115" s="62">
        <f t="shared" ca="1" si="12"/>
        <v>0</v>
      </c>
      <c r="W115" s="60">
        <f t="shared" ca="1" si="13"/>
        <v>119.98997407526528</v>
      </c>
      <c r="X115" s="60">
        <f t="shared" ca="1" si="16"/>
        <v>29.473773553291622</v>
      </c>
      <c r="Y115" s="60">
        <f t="shared" ca="1" si="14"/>
        <v>0</v>
      </c>
      <c r="Z115" s="60">
        <f ca="1">VLOOKUP(S115,ModelOutputs,13,FALSE)</f>
        <v>0.99999997464456203</v>
      </c>
    </row>
    <row r="116" spans="18:26" x14ac:dyDescent="0.25">
      <c r="R116" s="93">
        <f ca="1"/>
        <v>45068</v>
      </c>
      <c r="S116" s="62">
        <f t="shared" ca="1" si="15"/>
        <v>45068</v>
      </c>
      <c r="T116" s="62">
        <f t="shared" ca="1" si="10"/>
        <v>75.016258070602049</v>
      </c>
      <c r="U116" s="62">
        <f t="shared" ca="1" si="11"/>
        <v>126.676641379076</v>
      </c>
      <c r="V116" s="62">
        <f t="shared" ca="1" si="12"/>
        <v>0</v>
      </c>
      <c r="W116" s="60">
        <f t="shared" ca="1" si="13"/>
        <v>120</v>
      </c>
      <c r="X116" s="60">
        <f t="shared" ca="1" si="16"/>
        <v>31.289735491163768</v>
      </c>
      <c r="Y116" s="60">
        <f t="shared" ca="1" si="14"/>
        <v>0</v>
      </c>
      <c r="Z116" s="60">
        <f ca="1">VLOOKUP(S116,ModelOutputs,13,FALSE)</f>
        <v>0.99999997823331699</v>
      </c>
    </row>
    <row r="117" spans="18:26" x14ac:dyDescent="0.25">
      <c r="R117" s="93">
        <f ca="1"/>
        <v>45069</v>
      </c>
      <c r="S117" s="62">
        <f t="shared" ca="1" si="15"/>
        <v>45069</v>
      </c>
      <c r="T117" s="62">
        <f t="shared" ca="1" si="10"/>
        <v>73.343228168494306</v>
      </c>
      <c r="U117" s="62">
        <f t="shared" ca="1" si="11"/>
        <v>128.61821294787001</v>
      </c>
      <c r="V117" s="62">
        <f t="shared" ca="1" si="12"/>
        <v>0</v>
      </c>
      <c r="W117" s="60">
        <f t="shared" ca="1" si="13"/>
        <v>120</v>
      </c>
      <c r="X117" s="60">
        <f t="shared" ca="1" si="16"/>
        <v>33.140524670356101</v>
      </c>
      <c r="Y117" s="60">
        <f t="shared" ca="1" si="14"/>
        <v>0</v>
      </c>
      <c r="Z117" s="60">
        <f ca="1">VLOOKUP(S117,ModelOutputs,13,FALSE)</f>
        <v>0.99999998147227098</v>
      </c>
    </row>
    <row r="118" spans="18:26" x14ac:dyDescent="0.25">
      <c r="R118" s="93">
        <f ca="1"/>
        <v>45070</v>
      </c>
      <c r="S118" s="62">
        <f t="shared" ca="1" si="15"/>
        <v>45070</v>
      </c>
      <c r="T118" s="62">
        <f t="shared" ca="1" si="10"/>
        <v>71.62354390160526</v>
      </c>
      <c r="U118" s="62">
        <f t="shared" ca="1" si="11"/>
        <v>130.61248054811</v>
      </c>
      <c r="V118" s="62">
        <f t="shared" ca="1" si="12"/>
        <v>0</v>
      </c>
      <c r="W118" s="60">
        <f t="shared" ca="1" si="13"/>
        <v>120</v>
      </c>
      <c r="X118" s="60">
        <f t="shared" ca="1" si="16"/>
        <v>37.801254207922</v>
      </c>
      <c r="Y118" s="60">
        <f t="shared" ca="1" si="14"/>
        <v>0</v>
      </c>
      <c r="Z118" s="60">
        <f ca="1">VLOOKUP(S118,ModelOutputs,13,FALSE)</f>
        <v>0.99999998428631998</v>
      </c>
    </row>
    <row r="119" spans="18:26" x14ac:dyDescent="0.25">
      <c r="R119" s="93">
        <f ca="1"/>
        <v>45071</v>
      </c>
      <c r="S119" s="62">
        <f t="shared" ca="1" si="15"/>
        <v>45071</v>
      </c>
      <c r="T119" s="62">
        <f t="shared" ca="1" si="10"/>
        <v>69.929543975070459</v>
      </c>
      <c r="U119" s="62">
        <f t="shared" ca="1" si="11"/>
        <v>132.57564714132701</v>
      </c>
      <c r="V119" s="62">
        <f t="shared" ca="1" si="12"/>
        <v>0</v>
      </c>
      <c r="W119" s="60">
        <f t="shared" ca="1" si="13"/>
        <v>120</v>
      </c>
      <c r="X119" s="60">
        <f t="shared" ca="1" si="16"/>
        <v>39.981942668979187</v>
      </c>
      <c r="Y119" s="60">
        <f t="shared" ca="1" si="14"/>
        <v>0</v>
      </c>
      <c r="Z119" s="60">
        <f ca="1">VLOOKUP(S119,ModelOutputs,13,FALSE)</f>
        <v>0.99999998662958201</v>
      </c>
    </row>
    <row r="120" spans="18:26" x14ac:dyDescent="0.25">
      <c r="R120" s="93">
        <f ca="1"/>
        <v>45072</v>
      </c>
      <c r="S120" s="62">
        <f t="shared" ca="1" si="15"/>
        <v>45072</v>
      </c>
      <c r="T120" s="62">
        <f t="shared" ca="1" si="10"/>
        <v>68.162006125494145</v>
      </c>
      <c r="U120" s="62">
        <f t="shared" ca="1" si="11"/>
        <v>134.62276832424999</v>
      </c>
      <c r="V120" s="62">
        <f t="shared" ca="1" si="12"/>
        <v>0</v>
      </c>
      <c r="W120" s="60">
        <f t="shared" ca="1" si="13"/>
        <v>120</v>
      </c>
      <c r="X120" s="60">
        <f t="shared" ca="1" si="16"/>
        <v>45.106635878458135</v>
      </c>
      <c r="Y120" s="60">
        <f t="shared" ca="1" si="14"/>
        <v>0</v>
      </c>
      <c r="Z120" s="60">
        <f ca="1">VLOOKUP(S120,ModelOutputs,13,FALSE)</f>
        <v>0.99999998869428697</v>
      </c>
    </row>
    <row r="121" spans="18:26" x14ac:dyDescent="0.25">
      <c r="R121" s="93">
        <f ca="1"/>
        <v>45073</v>
      </c>
      <c r="S121" s="62">
        <f t="shared" ca="1" si="15"/>
        <v>45073</v>
      </c>
      <c r="T121" s="62">
        <f t="shared" ca="1" si="10"/>
        <v>66.485077953134038</v>
      </c>
      <c r="U121" s="62">
        <f t="shared" ca="1" si="11"/>
        <v>136.563863163288</v>
      </c>
      <c r="V121" s="62">
        <f t="shared" ca="1" si="12"/>
        <v>0</v>
      </c>
      <c r="W121" s="60">
        <f t="shared" ca="1" si="13"/>
        <v>120</v>
      </c>
      <c r="X121" s="60">
        <f t="shared" ca="1" si="16"/>
        <v>46.818217116057539</v>
      </c>
      <c r="Y121" s="60">
        <f t="shared" ca="1" si="14"/>
        <v>0</v>
      </c>
      <c r="Z121" s="60">
        <f ca="1">VLOOKUP(S121,ModelOutputs,13,FALSE)</f>
        <v>0.99999999035132203</v>
      </c>
    </row>
    <row r="122" spans="18:26" x14ac:dyDescent="0.25">
      <c r="R122" s="93">
        <f ca="1"/>
        <v>45074</v>
      </c>
      <c r="S122" s="62">
        <f t="shared" ca="1" si="15"/>
        <v>45074</v>
      </c>
      <c r="T122" s="62">
        <f t="shared" ca="1" si="10"/>
        <v>64.847294439766657</v>
      </c>
      <c r="U122" s="62">
        <f t="shared" ca="1" si="11"/>
        <v>138.45873000999799</v>
      </c>
      <c r="V122" s="62">
        <f t="shared" ca="1" si="12"/>
        <v>0</v>
      </c>
      <c r="W122" s="60">
        <f t="shared" ca="1" si="13"/>
        <v>120</v>
      </c>
      <c r="X122" s="60">
        <f t="shared" ca="1" si="16"/>
        <v>48.588815002474107</v>
      </c>
      <c r="Y122" s="60">
        <f t="shared" ca="1" si="14"/>
        <v>0</v>
      </c>
      <c r="Z122" s="60">
        <f ca="1">VLOOKUP(S122,ModelOutputs,13,FALSE)</f>
        <v>0.99999999173042398</v>
      </c>
    </row>
    <row r="123" spans="18:26" x14ac:dyDescent="0.25">
      <c r="R123" s="93">
        <f ca="1"/>
        <v>45075</v>
      </c>
      <c r="S123" s="62">
        <f t="shared" ca="1" si="15"/>
        <v>45075</v>
      </c>
      <c r="T123" s="62">
        <f t="shared" ca="1" si="10"/>
        <v>63.121653652961143</v>
      </c>
      <c r="U123" s="62">
        <f t="shared" ca="1" si="11"/>
        <v>140.45437079681199</v>
      </c>
      <c r="V123" s="62">
        <f t="shared" ca="1" si="12"/>
        <v>0</v>
      </c>
      <c r="W123" s="60">
        <f t="shared" ca="1" si="13"/>
        <v>120</v>
      </c>
      <c r="X123" s="60">
        <f t="shared" ca="1" si="16"/>
        <v>50.733980018535959</v>
      </c>
      <c r="Y123" s="60">
        <f t="shared" ca="1" si="14"/>
        <v>0</v>
      </c>
      <c r="Z123" s="60">
        <f ca="1">VLOOKUP(S123,ModelOutputs,13,FALSE)</f>
        <v>0.99999999296712005</v>
      </c>
    </row>
    <row r="124" spans="18:26" x14ac:dyDescent="0.25">
      <c r="R124" s="93">
        <f ca="1"/>
        <v>45076</v>
      </c>
      <c r="S124" s="62">
        <f t="shared" ca="1" si="15"/>
        <v>45076</v>
      </c>
      <c r="T124" s="62">
        <f t="shared" ca="1" si="10"/>
        <v>61.573449194297069</v>
      </c>
      <c r="U124" s="62">
        <f t="shared" ca="1" si="11"/>
        <v>142.244137755483</v>
      </c>
      <c r="V124" s="62">
        <f t="shared" ca="1" si="12"/>
        <v>0</v>
      </c>
      <c r="W124" s="60">
        <f t="shared" ca="1" si="13"/>
        <v>120</v>
      </c>
      <c r="X124" s="60">
        <f t="shared" ca="1" si="16"/>
        <v>51.598609334345824</v>
      </c>
      <c r="Y124" s="60">
        <f t="shared" ca="1" si="14"/>
        <v>0</v>
      </c>
      <c r="Z124" s="60">
        <f ca="1">VLOOKUP(S124,ModelOutputs,13,FALSE)</f>
        <v>0.99999999391595096</v>
      </c>
    </row>
    <row r="125" spans="18:26" x14ac:dyDescent="0.25">
      <c r="R125" s="93">
        <f ca="1"/>
        <v>45077</v>
      </c>
      <c r="S125" s="62">
        <f t="shared" ca="1" si="15"/>
        <v>45077</v>
      </c>
      <c r="T125" s="62">
        <f t="shared" ca="1" si="10"/>
        <v>60.012948192952436</v>
      </c>
      <c r="U125" s="62">
        <f t="shared" ca="1" si="11"/>
        <v>144.047555423501</v>
      </c>
      <c r="V125" s="62">
        <f t="shared" ca="1" si="12"/>
        <v>0</v>
      </c>
      <c r="W125" s="60">
        <f t="shared" ca="1" si="13"/>
        <v>120</v>
      </c>
      <c r="X125" s="60">
        <f t="shared" ca="1" si="16"/>
        <v>55.196639267157337</v>
      </c>
      <c r="Y125" s="60">
        <f t="shared" ca="1" si="14"/>
        <v>0</v>
      </c>
      <c r="Z125" s="60">
        <f ca="1">VLOOKUP(S125,ModelOutputs,13,FALSE)</f>
        <v>0.99999999474104595</v>
      </c>
    </row>
    <row r="126" spans="18:26" x14ac:dyDescent="0.25">
      <c r="R126" s="93">
        <f ca="1"/>
        <v>45078</v>
      </c>
      <c r="S126" s="62">
        <f t="shared" ca="1" si="15"/>
        <v>45078</v>
      </c>
      <c r="T126" s="62">
        <f t="shared" ca="1" si="10"/>
        <v>58.402990619979427</v>
      </c>
      <c r="U126" s="62">
        <f t="shared" ca="1" si="11"/>
        <v>145.907617163146</v>
      </c>
      <c r="V126" s="62">
        <f t="shared" ca="1" si="12"/>
        <v>0</v>
      </c>
      <c r="W126" s="60">
        <f t="shared" ca="1" si="13"/>
        <v>120</v>
      </c>
      <c r="X126" s="60">
        <f t="shared" ca="1" si="16"/>
        <v>56.527629481799934</v>
      </c>
      <c r="Y126" s="60">
        <f t="shared" ca="1" si="14"/>
        <v>0</v>
      </c>
      <c r="Z126" s="60">
        <f ca="1">VLOOKUP(S126,ModelOutputs,13,FALSE)</f>
        <v>0.99999999547380503</v>
      </c>
    </row>
    <row r="127" spans="18:26" x14ac:dyDescent="0.25">
      <c r="R127" s="93">
        <f ca="1"/>
        <v>45079</v>
      </c>
      <c r="S127" s="62">
        <f t="shared" ca="1" si="15"/>
        <v>45079</v>
      </c>
      <c r="T127" s="62">
        <f t="shared" ca="1" si="10"/>
        <v>56.79156899973573</v>
      </c>
      <c r="U127" s="62">
        <f t="shared" ca="1" si="11"/>
        <v>147.76893461672799</v>
      </c>
      <c r="V127" s="62">
        <f t="shared" ca="1" si="12"/>
        <v>0</v>
      </c>
      <c r="W127" s="60">
        <f t="shared" ca="1" si="13"/>
        <v>120</v>
      </c>
      <c r="X127" s="60">
        <f t="shared" ca="1" si="16"/>
        <v>58.282873238281667</v>
      </c>
      <c r="Y127" s="60">
        <f t="shared" ca="1" si="14"/>
        <v>0</v>
      </c>
      <c r="Z127" s="60">
        <f ca="1">VLOOKUP(S127,ModelOutputs,13,FALSE)</f>
        <v>0.99999999610397705</v>
      </c>
    </row>
    <row r="128" spans="18:26" x14ac:dyDescent="0.25">
      <c r="R128" s="93">
        <f ca="1"/>
        <v>45080</v>
      </c>
      <c r="S128" s="62">
        <f t="shared" ca="1" si="15"/>
        <v>45080</v>
      </c>
      <c r="T128" s="62">
        <f t="shared" ca="1" si="10"/>
        <v>55.193353979217001</v>
      </c>
      <c r="U128" s="62">
        <f t="shared" ca="1" si="11"/>
        <v>149.61464963725101</v>
      </c>
      <c r="V128" s="62">
        <f t="shared" ca="1" si="12"/>
        <v>0</v>
      </c>
      <c r="W128" s="60">
        <f t="shared" ca="1" si="13"/>
        <v>120</v>
      </c>
      <c r="X128" s="60">
        <f t="shared" ca="1" si="16"/>
        <v>59.095103602237799</v>
      </c>
      <c r="Y128" s="60">
        <f t="shared" ca="1" si="14"/>
        <v>0</v>
      </c>
      <c r="Z128" s="60">
        <f ca="1">VLOOKUP(S128,ModelOutputs,13,FALSE)</f>
        <v>0.99999999664158801</v>
      </c>
    </row>
    <row r="129" spans="18:26" x14ac:dyDescent="0.25">
      <c r="R129" s="93">
        <f ca="1"/>
        <v>45081</v>
      </c>
      <c r="S129" s="62">
        <f t="shared" ca="1" si="15"/>
        <v>45081</v>
      </c>
      <c r="T129" s="62">
        <f t="shared" ca="1" si="10"/>
        <v>53.42365813098445</v>
      </c>
      <c r="U129" s="62">
        <f t="shared" ca="1" si="11"/>
        <v>151.658095485487</v>
      </c>
      <c r="V129" s="62">
        <f t="shared" ca="1" si="12"/>
        <v>0</v>
      </c>
      <c r="W129" s="60">
        <f t="shared" ca="1" si="13"/>
        <v>120</v>
      </c>
      <c r="X129" s="60">
        <f t="shared" ca="1" si="16"/>
        <v>60.5843327247443</v>
      </c>
      <c r="Y129" s="60">
        <f t="shared" ca="1" si="14"/>
        <v>0</v>
      </c>
      <c r="Z129" s="60">
        <f ca="1">VLOOKUP(S129,ModelOutputs,13,FALSE)</f>
        <v>0.99999999715025001</v>
      </c>
    </row>
    <row r="130" spans="18:26" x14ac:dyDescent="0.25">
      <c r="R130" s="93">
        <f ca="1"/>
        <v>45082</v>
      </c>
      <c r="S130" s="62">
        <f t="shared" ca="1" si="15"/>
        <v>45082</v>
      </c>
      <c r="T130" s="62">
        <f t="shared" ca="1" si="10"/>
        <v>51.695038942297131</v>
      </c>
      <c r="U130" s="62">
        <f t="shared" ca="1" si="11"/>
        <v>153.653902174178</v>
      </c>
      <c r="V130" s="62">
        <f t="shared" ca="1" si="12"/>
        <v>0</v>
      </c>
      <c r="W130" s="60">
        <f t="shared" ca="1" si="13"/>
        <v>120</v>
      </c>
      <c r="X130" s="60">
        <f t="shared" ca="1" si="16"/>
        <v>63.874339156096028</v>
      </c>
      <c r="Y130" s="60">
        <f t="shared" ca="1" si="14"/>
        <v>0</v>
      </c>
      <c r="Z130" s="60">
        <f ca="1">VLOOKUP(S130,ModelOutputs,13,FALSE)</f>
        <v>0.99999999757233005</v>
      </c>
    </row>
    <row r="131" spans="18:26" x14ac:dyDescent="0.25">
      <c r="R131" s="93">
        <f ca="1"/>
        <v>45083</v>
      </c>
      <c r="S131" s="62">
        <f t="shared" ca="1" si="15"/>
        <v>45083</v>
      </c>
      <c r="T131" s="62">
        <f t="shared" ca="1" si="10"/>
        <v>49.985976460447567</v>
      </c>
      <c r="U131" s="62">
        <f t="shared" ca="1" si="11"/>
        <v>155.62702715603101</v>
      </c>
      <c r="V131" s="62">
        <f t="shared" ca="1" si="12"/>
        <v>0</v>
      </c>
      <c r="W131" s="60">
        <f t="shared" ca="1" si="13"/>
        <v>120</v>
      </c>
      <c r="X131" s="60">
        <f t="shared" ca="1" si="16"/>
        <v>68.241911557333907</v>
      </c>
      <c r="Y131" s="60">
        <f t="shared" ca="1" si="14"/>
        <v>0</v>
      </c>
      <c r="Z131" s="60">
        <f ca="1">VLOOKUP(S131,ModelOutputs,13,FALSE)</f>
        <v>0.99999999792801497</v>
      </c>
    </row>
    <row r="132" spans="18:26" x14ac:dyDescent="0.25">
      <c r="R132" s="93">
        <f ca="1"/>
        <v>45084</v>
      </c>
      <c r="S132" s="62">
        <f t="shared" ca="1" si="15"/>
        <v>45084</v>
      </c>
      <c r="T132" s="62">
        <f t="shared" ca="1" si="10"/>
        <v>48.293071806909481</v>
      </c>
      <c r="U132" s="62">
        <f t="shared" ca="1" si="11"/>
        <v>157.58149430957201</v>
      </c>
      <c r="V132" s="62">
        <f t="shared" ca="1" si="12"/>
        <v>0</v>
      </c>
      <c r="W132" s="60">
        <f t="shared" ca="1" si="13"/>
        <v>120</v>
      </c>
      <c r="X132" s="60">
        <f t="shared" ca="1" si="16"/>
        <v>69.692785907910078</v>
      </c>
      <c r="Y132" s="60">
        <f t="shared" ca="1" si="14"/>
        <v>0</v>
      </c>
      <c r="Z132" s="60">
        <f ca="1">VLOOKUP(S132,ModelOutputs,13,FALSE)</f>
        <v>0.99999999822893304</v>
      </c>
    </row>
    <row r="133" spans="18:26" x14ac:dyDescent="0.25">
      <c r="R133" s="93">
        <f ca="1"/>
        <v>45085</v>
      </c>
      <c r="S133" s="62">
        <f t="shared" ca="1" si="15"/>
        <v>45085</v>
      </c>
      <c r="T133" s="62">
        <f t="shared" ca="1" si="10"/>
        <v>46.742255852552404</v>
      </c>
      <c r="U133" s="62">
        <f t="shared" ca="1" si="11"/>
        <v>159.37199776393101</v>
      </c>
      <c r="V133" s="62">
        <f t="shared" ca="1" si="12"/>
        <v>0</v>
      </c>
      <c r="W133" s="60">
        <f t="shared" ca="1" si="13"/>
        <v>120</v>
      </c>
      <c r="X133" s="60">
        <f t="shared" ca="1" si="16"/>
        <v>70.342214086260469</v>
      </c>
      <c r="Y133" s="60">
        <f t="shared" ca="1" si="14"/>
        <v>0</v>
      </c>
      <c r="Z133" s="60">
        <f ca="1">VLOOKUP(S133,ModelOutputs,13,FALSE)</f>
        <v>0.99999999846614995</v>
      </c>
    </row>
    <row r="134" spans="18:26" x14ac:dyDescent="0.25">
      <c r="R134" s="93">
        <f ca="1"/>
        <v>45086</v>
      </c>
      <c r="S134" s="62">
        <f t="shared" ca="1" si="15"/>
        <v>45086</v>
      </c>
      <c r="T134" s="62">
        <f t="shared" ca="1" si="10"/>
        <v>45.20857183775027</v>
      </c>
      <c r="U134" s="62">
        <f t="shared" ca="1" si="11"/>
        <v>161.14286927873499</v>
      </c>
      <c r="V134" s="62">
        <f t="shared" ca="1" si="12"/>
        <v>0</v>
      </c>
      <c r="W134" s="60">
        <f t="shared" ca="1" si="13"/>
        <v>120</v>
      </c>
      <c r="X134" s="60">
        <f t="shared" ca="1" si="16"/>
        <v>70.94653812033151</v>
      </c>
      <c r="Y134" s="60">
        <f t="shared" ca="1" si="14"/>
        <v>0</v>
      </c>
      <c r="Z134" s="60">
        <f ca="1">VLOOKUP(S134,ModelOutputs,13,FALSE)</f>
        <v>0.99999999866959899</v>
      </c>
    </row>
    <row r="135" spans="18:26" x14ac:dyDescent="0.25">
      <c r="R135" s="93">
        <f ca="1"/>
        <v>45087</v>
      </c>
      <c r="S135" s="62">
        <f t="shared" ca="1" si="15"/>
        <v>45087</v>
      </c>
      <c r="T135" s="62">
        <f t="shared" ca="1" si="10"/>
        <v>43.448322384799425</v>
      </c>
      <c r="U135" s="62">
        <f t="shared" ca="1" si="11"/>
        <v>163.175618731687</v>
      </c>
      <c r="V135" s="62">
        <f t="shared" ca="1" si="12"/>
        <v>0</v>
      </c>
      <c r="W135" s="60">
        <f t="shared" ca="1" si="13"/>
        <v>120</v>
      </c>
      <c r="X135" s="60">
        <f t="shared" ca="1" si="16"/>
        <v>75.011409158349267</v>
      </c>
      <c r="Y135" s="60">
        <f t="shared" ca="1" si="14"/>
        <v>0</v>
      </c>
      <c r="Z135" s="60">
        <f ca="1">VLOOKUP(S135,ModelOutputs,13,FALSE)</f>
        <v>0.99999999887025304</v>
      </c>
    </row>
    <row r="136" spans="18:26" x14ac:dyDescent="0.25">
      <c r="R136" s="93">
        <f ca="1"/>
        <v>45088</v>
      </c>
      <c r="S136" s="62">
        <f t="shared" ca="1" si="15"/>
        <v>45088</v>
      </c>
      <c r="T136" s="62">
        <f t="shared" ca="1" si="10"/>
        <v>41.691359257006532</v>
      </c>
      <c r="U136" s="62">
        <f t="shared" ca="1" si="11"/>
        <v>165.20496822311799</v>
      </c>
      <c r="V136" s="62">
        <f t="shared" ca="1" si="12"/>
        <v>0</v>
      </c>
      <c r="W136" s="60">
        <f t="shared" ca="1" si="13"/>
        <v>120</v>
      </c>
      <c r="X136" s="60">
        <f t="shared" ca="1" si="16"/>
        <v>81.387987260804735</v>
      </c>
      <c r="Y136" s="60">
        <f t="shared" ca="1" si="14"/>
        <v>0</v>
      </c>
      <c r="Z136" s="60">
        <f ca="1">VLOOKUP(S136,ModelOutputs,13,FALSE)</f>
        <v>0.99999999904057901</v>
      </c>
    </row>
    <row r="137" spans="18:26" x14ac:dyDescent="0.25">
      <c r="R137" s="93">
        <f ca="1"/>
        <v>45089</v>
      </c>
      <c r="S137" s="62">
        <f t="shared" ca="1" si="15"/>
        <v>45089</v>
      </c>
      <c r="T137" s="62">
        <f t="shared" ca="1" si="10"/>
        <v>39.786178946964888</v>
      </c>
      <c r="U137" s="62">
        <f t="shared" ca="1" si="11"/>
        <v>167.40608603316099</v>
      </c>
      <c r="V137" s="62">
        <f t="shared" ca="1" si="12"/>
        <v>0</v>
      </c>
      <c r="W137" s="60">
        <f t="shared" ca="1" si="13"/>
        <v>119.99676007742553</v>
      </c>
      <c r="X137" s="60">
        <f t="shared" ca="1" si="16"/>
        <v>81.387987260804735</v>
      </c>
      <c r="Y137" s="60">
        <f t="shared" ca="1" si="14"/>
        <v>0</v>
      </c>
      <c r="Z137" s="60">
        <f ca="1">VLOOKUP(S137,ModelOutputs,13,FALSE)</f>
        <v>0.99999999919665705</v>
      </c>
    </row>
    <row r="138" spans="18:26" x14ac:dyDescent="0.25">
      <c r="R138" s="93">
        <f ca="1"/>
        <v>45090</v>
      </c>
      <c r="S138" s="62">
        <f t="shared" ca="1" si="15"/>
        <v>45090</v>
      </c>
      <c r="T138" s="62">
        <f t="shared" ca="1" si="10"/>
        <v>38.101503620584289</v>
      </c>
      <c r="U138" s="62">
        <f t="shared" ca="1" si="11"/>
        <v>169.35305302621001</v>
      </c>
      <c r="V138" s="62">
        <f t="shared" ca="1" si="12"/>
        <v>0</v>
      </c>
      <c r="W138" s="60">
        <f t="shared" ca="1" si="13"/>
        <v>120</v>
      </c>
      <c r="X138" s="60">
        <f t="shared" ca="1" si="16"/>
        <v>85.948407787246452</v>
      </c>
      <c r="Y138" s="60">
        <f t="shared" ca="1" si="14"/>
        <v>0</v>
      </c>
      <c r="Z138" s="60">
        <f ca="1">VLOOKUP(S138,ModelOutputs,13,FALSE)</f>
        <v>0.99999999931362804</v>
      </c>
    </row>
    <row r="139" spans="18:26" x14ac:dyDescent="0.25">
      <c r="R139" s="93">
        <f ca="1"/>
        <v>45091</v>
      </c>
      <c r="S139" s="62">
        <f t="shared" ca="1" si="15"/>
        <v>45091</v>
      </c>
      <c r="T139" s="62">
        <f t="shared" ca="1" si="10"/>
        <v>36.478438958401497</v>
      </c>
      <c r="U139" s="62">
        <f t="shared" ca="1" si="11"/>
        <v>171.22945102172699</v>
      </c>
      <c r="V139" s="62">
        <f t="shared" ca="1" si="12"/>
        <v>0</v>
      </c>
      <c r="W139" s="60">
        <f t="shared" ca="1" si="13"/>
        <v>120</v>
      </c>
      <c r="X139" s="60">
        <f t="shared" ca="1" si="16"/>
        <v>86.05342620948575</v>
      </c>
      <c r="Y139" s="60">
        <f t="shared" ca="1" si="14"/>
        <v>0</v>
      </c>
      <c r="Z139" s="60">
        <f ca="1">VLOOKUP(S139,ModelOutputs,13,FALSE)</f>
        <v>0.99999999941040796</v>
      </c>
    </row>
    <row r="140" spans="18:26" x14ac:dyDescent="0.25">
      <c r="R140" s="93">
        <f ca="1"/>
        <v>45092</v>
      </c>
      <c r="S140" s="62">
        <f t="shared" ca="1" si="15"/>
        <v>45092</v>
      </c>
      <c r="T140" s="62">
        <f t="shared" ca="1" si="10"/>
        <v>35.036044754358855</v>
      </c>
      <c r="U140" s="62">
        <f t="shared" ca="1" si="11"/>
        <v>172.89757439243701</v>
      </c>
      <c r="V140" s="62">
        <f t="shared" ca="1" si="12"/>
        <v>0</v>
      </c>
      <c r="W140" s="60">
        <f t="shared" ca="1" si="13"/>
        <v>120</v>
      </c>
      <c r="X140" s="60">
        <f t="shared" ca="1" si="16"/>
        <v>87.339793298719925</v>
      </c>
      <c r="Y140" s="60">
        <f t="shared" ca="1" si="14"/>
        <v>0</v>
      </c>
      <c r="Z140" s="60">
        <f ca="1">VLOOKUP(S140,ModelOutputs,13,FALSE)</f>
        <v>0.999999999485083</v>
      </c>
    </row>
    <row r="141" spans="18:26" x14ac:dyDescent="0.25">
      <c r="R141" s="93">
        <f ca="1"/>
        <v>45093</v>
      </c>
      <c r="S141" s="62">
        <f t="shared" ca="1" si="15"/>
        <v>45093</v>
      </c>
      <c r="T141" s="62">
        <f t="shared" ca="1" si="10"/>
        <v>33.423356168627294</v>
      </c>
      <c r="U141" s="62">
        <f t="shared" ca="1" si="11"/>
        <v>174.76338797816899</v>
      </c>
      <c r="V141" s="62">
        <f t="shared" ca="1" si="12"/>
        <v>0</v>
      </c>
      <c r="W141" s="60">
        <f t="shared" ca="1" si="13"/>
        <v>120</v>
      </c>
      <c r="X141" s="60">
        <f t="shared" ca="1" si="16"/>
        <v>89.17678942027014</v>
      </c>
      <c r="Y141" s="60">
        <f t="shared" ca="1" si="14"/>
        <v>0</v>
      </c>
      <c r="Z141" s="60">
        <f ca="1">VLOOKUP(S141,ModelOutputs,13,FALSE)</f>
        <v>0.99999999955763197</v>
      </c>
    </row>
    <row r="142" spans="18:26" x14ac:dyDescent="0.25">
      <c r="R142" s="93">
        <f ca="1"/>
        <v>45094</v>
      </c>
      <c r="S142" s="62">
        <f t="shared" ca="1" si="15"/>
        <v>45094</v>
      </c>
      <c r="T142" s="62">
        <f t="shared" ca="1" si="10"/>
        <v>31.799708552857368</v>
      </c>
      <c r="U142" s="62">
        <f t="shared" ca="1" si="11"/>
        <v>176.64276476060701</v>
      </c>
      <c r="V142" s="62">
        <f t="shared" ca="1" si="12"/>
        <v>0</v>
      </c>
      <c r="W142" s="60">
        <f t="shared" ca="1" si="13"/>
        <v>120</v>
      </c>
      <c r="X142" s="60">
        <f t="shared" ca="1" si="16"/>
        <v>90.794004917046081</v>
      </c>
      <c r="Y142" s="60">
        <f t="shared" ca="1" si="14"/>
        <v>0</v>
      </c>
      <c r="Z142" s="60">
        <f ca="1">VLOOKUP(S142,ModelOutputs,13,FALSE)</f>
        <v>0.99999999962055197</v>
      </c>
    </row>
    <row r="143" spans="18:26" x14ac:dyDescent="0.25">
      <c r="R143" s="93">
        <f ca="1"/>
        <v>45095</v>
      </c>
      <c r="S143" s="62">
        <f t="shared" ca="1" si="15"/>
        <v>45095</v>
      </c>
      <c r="T143" s="62">
        <f t="shared" ca="1" si="10"/>
        <v>30.168451112857724</v>
      </c>
      <c r="U143" s="62">
        <f t="shared" ca="1" si="11"/>
        <v>178.53193886727399</v>
      </c>
      <c r="V143" s="62">
        <f t="shared" ca="1" si="12"/>
        <v>0</v>
      </c>
      <c r="W143" s="60">
        <f t="shared" ca="1" si="13"/>
        <v>120</v>
      </c>
      <c r="X143" s="60">
        <f t="shared" ca="1" si="16"/>
        <v>95.544109873063903</v>
      </c>
      <c r="Y143" s="60">
        <f t="shared" ca="1" si="14"/>
        <v>0</v>
      </c>
      <c r="Z143" s="60">
        <f ca="1">VLOOKUP(S143,ModelOutputs,13,FALSE)</f>
        <v>0.99999999967495001</v>
      </c>
    </row>
    <row r="144" spans="18:26" x14ac:dyDescent="0.25">
      <c r="R144" s="93" t="e">
        <f ca="1"/>
        <v>#N/A</v>
      </c>
      <c r="S144" s="62" t="e">
        <f t="shared" ca="1" si="15"/>
        <v>#N/A</v>
      </c>
      <c r="T144" s="62" t="e">
        <f t="shared" ca="1" si="10"/>
        <v>#N/A</v>
      </c>
      <c r="U144" s="62" t="e">
        <f t="shared" ca="1" si="11"/>
        <v>#N/A</v>
      </c>
      <c r="V144" s="62" t="e">
        <f t="shared" ca="1" si="12"/>
        <v>#N/A</v>
      </c>
      <c r="W144" s="60" t="e">
        <f t="shared" ca="1" si="13"/>
        <v>#N/A</v>
      </c>
      <c r="X144" s="60" t="e">
        <f t="shared" ca="1" si="16"/>
        <v>#N/A</v>
      </c>
      <c r="Y144" s="60" t="e">
        <f t="shared" ca="1" si="14"/>
        <v>#N/A</v>
      </c>
      <c r="Z144" s="60" t="e">
        <f ca="1">VLOOKUP(S144,ModelOutputs,13,FALSE)</f>
        <v>#N/A</v>
      </c>
    </row>
    <row r="145" spans="18:26" x14ac:dyDescent="0.25">
      <c r="R145" s="93" t="e">
        <f ca="1"/>
        <v>#N/A</v>
      </c>
      <c r="S145" s="62" t="e">
        <f t="shared" ca="1" si="15"/>
        <v>#N/A</v>
      </c>
      <c r="T145" s="62" t="e">
        <f t="shared" ca="1" si="10"/>
        <v>#N/A</v>
      </c>
      <c r="U145" s="62" t="e">
        <f t="shared" ca="1" si="11"/>
        <v>#N/A</v>
      </c>
      <c r="V145" s="62" t="e">
        <f t="shared" ca="1" si="12"/>
        <v>#N/A</v>
      </c>
      <c r="W145" s="60" t="e">
        <f t="shared" ca="1" si="13"/>
        <v>#N/A</v>
      </c>
      <c r="X145" s="60" t="e">
        <f t="shared" ca="1" si="16"/>
        <v>#N/A</v>
      </c>
      <c r="Y145" s="60" t="e">
        <f t="shared" ca="1" si="14"/>
        <v>#N/A</v>
      </c>
      <c r="Z145" s="60" t="e">
        <f ca="1">VLOOKUP(S145,ModelOutputs,13,FALSE)</f>
        <v>#N/A</v>
      </c>
    </row>
    <row r="146" spans="18:26" x14ac:dyDescent="0.25">
      <c r="R146" s="93" t="e">
        <f ca="1"/>
        <v>#N/A</v>
      </c>
      <c r="S146" s="62" t="e">
        <f t="shared" ca="1" si="15"/>
        <v>#N/A</v>
      </c>
      <c r="T146" s="62" t="e">
        <f t="shared" ref="T146:T209" ca="1" si="17">VLOOKUP(S146,ModelOutputs,2,FALSE)</f>
        <v>#N/A</v>
      </c>
      <c r="U146" s="62" t="e">
        <f t="shared" ref="U146:U209" ca="1" si="18">VLOOKUP(S146,ModelOutputs,7,FALSE)</f>
        <v>#N/A</v>
      </c>
      <c r="V146" s="62" t="e">
        <f t="shared" ref="V146:V209" ca="1" si="19">VLOOKUP(S146,ModelOutputs,6,FALSE)</f>
        <v>#N/A</v>
      </c>
      <c r="W146" s="60" t="e">
        <f t="shared" ref="W146:W209" ca="1" si="20">VLOOKUP(S146,ModelOutputs,10,FALSE)*AWC</f>
        <v>#N/A</v>
      </c>
      <c r="X146" s="60" t="e">
        <f t="shared" ca="1" si="16"/>
        <v>#N/A</v>
      </c>
      <c r="Y146" s="60" t="e">
        <f t="shared" ref="Y146:Y209" ca="1" si="21">VLOOKUP(S146,ModelOutputs,12,FALSE)</f>
        <v>#N/A</v>
      </c>
      <c r="Z146" s="60" t="e">
        <f ca="1">VLOOKUP(S146,ModelOutputs,13,FALSE)</f>
        <v>#N/A</v>
      </c>
    </row>
    <row r="147" spans="18:26" x14ac:dyDescent="0.25">
      <c r="R147" s="93" t="e">
        <f ca="1"/>
        <v>#N/A</v>
      </c>
      <c r="S147" s="62" t="e">
        <f t="shared" ref="S147:S210" ca="1" si="22">IF(R147&gt;1,R147,"")</f>
        <v>#N/A</v>
      </c>
      <c r="T147" s="62" t="e">
        <f t="shared" ca="1" si="17"/>
        <v>#N/A</v>
      </c>
      <c r="U147" s="62" t="e">
        <f t="shared" ca="1" si="18"/>
        <v>#N/A</v>
      </c>
      <c r="V147" s="62" t="e">
        <f t="shared" ca="1" si="19"/>
        <v>#N/A</v>
      </c>
      <c r="W147" s="60" t="e">
        <f t="shared" ca="1" si="20"/>
        <v>#N/A</v>
      </c>
      <c r="X147" s="60" t="e">
        <f t="shared" ref="X147:X210" ca="1" si="23">VLOOKUP(S147,ModelOutputs,11,FALSE)+X146</f>
        <v>#N/A</v>
      </c>
      <c r="Y147" s="60" t="e">
        <f t="shared" ca="1" si="21"/>
        <v>#N/A</v>
      </c>
      <c r="Z147" s="60" t="e">
        <f ca="1">VLOOKUP(S147,ModelOutputs,13,FALSE)</f>
        <v>#N/A</v>
      </c>
    </row>
    <row r="148" spans="18:26" x14ac:dyDescent="0.25">
      <c r="R148" s="93" t="e">
        <f ca="1"/>
        <v>#N/A</v>
      </c>
      <c r="S148" s="62" t="e">
        <f t="shared" ca="1" si="22"/>
        <v>#N/A</v>
      </c>
      <c r="T148" s="62" t="e">
        <f t="shared" ca="1" si="17"/>
        <v>#N/A</v>
      </c>
      <c r="U148" s="62" t="e">
        <f t="shared" ca="1" si="18"/>
        <v>#N/A</v>
      </c>
      <c r="V148" s="62" t="e">
        <f t="shared" ca="1" si="19"/>
        <v>#N/A</v>
      </c>
      <c r="W148" s="60" t="e">
        <f t="shared" ca="1" si="20"/>
        <v>#N/A</v>
      </c>
      <c r="X148" s="60" t="e">
        <f t="shared" ca="1" si="23"/>
        <v>#N/A</v>
      </c>
      <c r="Y148" s="60" t="e">
        <f t="shared" ca="1" si="21"/>
        <v>#N/A</v>
      </c>
      <c r="Z148" s="60" t="e">
        <f ca="1">VLOOKUP(S148,ModelOutputs,13,FALSE)</f>
        <v>#N/A</v>
      </c>
    </row>
    <row r="149" spans="18:26" x14ac:dyDescent="0.25">
      <c r="R149" s="93" t="e">
        <f ca="1"/>
        <v>#N/A</v>
      </c>
      <c r="S149" s="62" t="e">
        <f t="shared" ca="1" si="22"/>
        <v>#N/A</v>
      </c>
      <c r="T149" s="62" t="e">
        <f t="shared" ca="1" si="17"/>
        <v>#N/A</v>
      </c>
      <c r="U149" s="62" t="e">
        <f t="shared" ca="1" si="18"/>
        <v>#N/A</v>
      </c>
      <c r="V149" s="62" t="e">
        <f t="shared" ca="1" si="19"/>
        <v>#N/A</v>
      </c>
      <c r="W149" s="60" t="e">
        <f t="shared" ca="1" si="20"/>
        <v>#N/A</v>
      </c>
      <c r="X149" s="60" t="e">
        <f t="shared" ca="1" si="23"/>
        <v>#N/A</v>
      </c>
      <c r="Y149" s="60" t="e">
        <f t="shared" ca="1" si="21"/>
        <v>#N/A</v>
      </c>
      <c r="Z149" s="60" t="e">
        <f ca="1">VLOOKUP(S149,ModelOutputs,13,FALSE)</f>
        <v>#N/A</v>
      </c>
    </row>
    <row r="150" spans="18:26" x14ac:dyDescent="0.25">
      <c r="R150" s="93" t="e">
        <f ca="1"/>
        <v>#N/A</v>
      </c>
      <c r="S150" s="62" t="e">
        <f t="shared" ca="1" si="22"/>
        <v>#N/A</v>
      </c>
      <c r="T150" s="62" t="e">
        <f t="shared" ca="1" si="17"/>
        <v>#N/A</v>
      </c>
      <c r="U150" s="62" t="e">
        <f t="shared" ca="1" si="18"/>
        <v>#N/A</v>
      </c>
      <c r="V150" s="62" t="e">
        <f t="shared" ca="1" si="19"/>
        <v>#N/A</v>
      </c>
      <c r="W150" s="60" t="e">
        <f t="shared" ca="1" si="20"/>
        <v>#N/A</v>
      </c>
      <c r="X150" s="60" t="e">
        <f t="shared" ca="1" si="23"/>
        <v>#N/A</v>
      </c>
      <c r="Y150" s="60" t="e">
        <f t="shared" ca="1" si="21"/>
        <v>#N/A</v>
      </c>
      <c r="Z150" s="60" t="e">
        <f ca="1">VLOOKUP(S150,ModelOutputs,13,FALSE)</f>
        <v>#N/A</v>
      </c>
    </row>
    <row r="151" spans="18:26" x14ac:dyDescent="0.25">
      <c r="R151" s="93" t="e">
        <f ca="1"/>
        <v>#N/A</v>
      </c>
      <c r="S151" s="62" t="e">
        <f t="shared" ca="1" si="22"/>
        <v>#N/A</v>
      </c>
      <c r="T151" s="62" t="e">
        <f t="shared" ca="1" si="17"/>
        <v>#N/A</v>
      </c>
      <c r="U151" s="62" t="e">
        <f t="shared" ca="1" si="18"/>
        <v>#N/A</v>
      </c>
      <c r="V151" s="62" t="e">
        <f t="shared" ca="1" si="19"/>
        <v>#N/A</v>
      </c>
      <c r="W151" s="60" t="e">
        <f t="shared" ca="1" si="20"/>
        <v>#N/A</v>
      </c>
      <c r="X151" s="60" t="e">
        <f t="shared" ca="1" si="23"/>
        <v>#N/A</v>
      </c>
      <c r="Y151" s="60" t="e">
        <f t="shared" ca="1" si="21"/>
        <v>#N/A</v>
      </c>
      <c r="Z151" s="60" t="e">
        <f ca="1">VLOOKUP(S151,ModelOutputs,13,FALSE)</f>
        <v>#N/A</v>
      </c>
    </row>
    <row r="152" spans="18:26" x14ac:dyDescent="0.25">
      <c r="R152" s="93" t="e">
        <f ca="1"/>
        <v>#N/A</v>
      </c>
      <c r="S152" s="62" t="e">
        <f t="shared" ca="1" si="22"/>
        <v>#N/A</v>
      </c>
      <c r="T152" s="62" t="e">
        <f t="shared" ca="1" si="17"/>
        <v>#N/A</v>
      </c>
      <c r="U152" s="62" t="e">
        <f t="shared" ca="1" si="18"/>
        <v>#N/A</v>
      </c>
      <c r="V152" s="62" t="e">
        <f t="shared" ca="1" si="19"/>
        <v>#N/A</v>
      </c>
      <c r="W152" s="60" t="e">
        <f t="shared" ca="1" si="20"/>
        <v>#N/A</v>
      </c>
      <c r="X152" s="60" t="e">
        <f t="shared" ca="1" si="23"/>
        <v>#N/A</v>
      </c>
      <c r="Y152" s="60" t="e">
        <f t="shared" ca="1" si="21"/>
        <v>#N/A</v>
      </c>
      <c r="Z152" s="60" t="e">
        <f ca="1">VLOOKUP(S152,ModelOutputs,13,FALSE)</f>
        <v>#N/A</v>
      </c>
    </row>
    <row r="153" spans="18:26" x14ac:dyDescent="0.25">
      <c r="R153" s="93" t="e">
        <f ca="1"/>
        <v>#N/A</v>
      </c>
      <c r="S153" s="62" t="e">
        <f t="shared" ca="1" si="22"/>
        <v>#N/A</v>
      </c>
      <c r="T153" s="62" t="e">
        <f t="shared" ca="1" si="17"/>
        <v>#N/A</v>
      </c>
      <c r="U153" s="62" t="e">
        <f t="shared" ca="1" si="18"/>
        <v>#N/A</v>
      </c>
      <c r="V153" s="62" t="e">
        <f t="shared" ca="1" si="19"/>
        <v>#N/A</v>
      </c>
      <c r="W153" s="60" t="e">
        <f t="shared" ca="1" si="20"/>
        <v>#N/A</v>
      </c>
      <c r="X153" s="60" t="e">
        <f t="shared" ca="1" si="23"/>
        <v>#N/A</v>
      </c>
      <c r="Y153" s="60" t="e">
        <f t="shared" ca="1" si="21"/>
        <v>#N/A</v>
      </c>
      <c r="Z153" s="60" t="e">
        <f ca="1">VLOOKUP(S153,ModelOutputs,13,FALSE)</f>
        <v>#N/A</v>
      </c>
    </row>
    <row r="154" spans="18:26" x14ac:dyDescent="0.25">
      <c r="R154" s="93" t="e">
        <f ca="1"/>
        <v>#N/A</v>
      </c>
      <c r="S154" s="62" t="e">
        <f t="shared" ca="1" si="22"/>
        <v>#N/A</v>
      </c>
      <c r="T154" s="62" t="e">
        <f t="shared" ca="1" si="17"/>
        <v>#N/A</v>
      </c>
      <c r="U154" s="62" t="e">
        <f t="shared" ca="1" si="18"/>
        <v>#N/A</v>
      </c>
      <c r="V154" s="62" t="e">
        <f t="shared" ca="1" si="19"/>
        <v>#N/A</v>
      </c>
      <c r="W154" s="60" t="e">
        <f t="shared" ca="1" si="20"/>
        <v>#N/A</v>
      </c>
      <c r="X154" s="60" t="e">
        <f t="shared" ca="1" si="23"/>
        <v>#N/A</v>
      </c>
      <c r="Y154" s="60" t="e">
        <f t="shared" ca="1" si="21"/>
        <v>#N/A</v>
      </c>
      <c r="Z154" s="60" t="e">
        <f ca="1">VLOOKUP(S154,ModelOutputs,13,FALSE)</f>
        <v>#N/A</v>
      </c>
    </row>
    <row r="155" spans="18:26" x14ac:dyDescent="0.25">
      <c r="R155" s="93" t="e">
        <f ca="1"/>
        <v>#N/A</v>
      </c>
      <c r="S155" s="62" t="e">
        <f t="shared" ca="1" si="22"/>
        <v>#N/A</v>
      </c>
      <c r="T155" s="62" t="e">
        <f t="shared" ca="1" si="17"/>
        <v>#N/A</v>
      </c>
      <c r="U155" s="62" t="e">
        <f t="shared" ca="1" si="18"/>
        <v>#N/A</v>
      </c>
      <c r="V155" s="62" t="e">
        <f t="shared" ca="1" si="19"/>
        <v>#N/A</v>
      </c>
      <c r="W155" s="60" t="e">
        <f t="shared" ca="1" si="20"/>
        <v>#N/A</v>
      </c>
      <c r="X155" s="60" t="e">
        <f t="shared" ca="1" si="23"/>
        <v>#N/A</v>
      </c>
      <c r="Y155" s="60" t="e">
        <f t="shared" ca="1" si="21"/>
        <v>#N/A</v>
      </c>
      <c r="Z155" s="60" t="e">
        <f ca="1">VLOOKUP(S155,ModelOutputs,13,FALSE)</f>
        <v>#N/A</v>
      </c>
    </row>
    <row r="156" spans="18:26" x14ac:dyDescent="0.25">
      <c r="R156" s="93" t="e">
        <f ca="1"/>
        <v>#N/A</v>
      </c>
      <c r="S156" s="62" t="e">
        <f t="shared" ca="1" si="22"/>
        <v>#N/A</v>
      </c>
      <c r="T156" s="62" t="e">
        <f t="shared" ca="1" si="17"/>
        <v>#N/A</v>
      </c>
      <c r="U156" s="62" t="e">
        <f t="shared" ca="1" si="18"/>
        <v>#N/A</v>
      </c>
      <c r="V156" s="62" t="e">
        <f t="shared" ca="1" si="19"/>
        <v>#N/A</v>
      </c>
      <c r="W156" s="60" t="e">
        <f t="shared" ca="1" si="20"/>
        <v>#N/A</v>
      </c>
      <c r="X156" s="60" t="e">
        <f t="shared" ca="1" si="23"/>
        <v>#N/A</v>
      </c>
      <c r="Y156" s="60" t="e">
        <f t="shared" ca="1" si="21"/>
        <v>#N/A</v>
      </c>
      <c r="Z156" s="60" t="e">
        <f ca="1">VLOOKUP(S156,ModelOutputs,13,FALSE)</f>
        <v>#N/A</v>
      </c>
    </row>
    <row r="157" spans="18:26" x14ac:dyDescent="0.25">
      <c r="R157" s="93" t="e">
        <f ca="1"/>
        <v>#N/A</v>
      </c>
      <c r="S157" s="62" t="e">
        <f t="shared" ca="1" si="22"/>
        <v>#N/A</v>
      </c>
      <c r="T157" s="62" t="e">
        <f t="shared" ca="1" si="17"/>
        <v>#N/A</v>
      </c>
      <c r="U157" s="62" t="e">
        <f t="shared" ca="1" si="18"/>
        <v>#N/A</v>
      </c>
      <c r="V157" s="62" t="e">
        <f t="shared" ca="1" si="19"/>
        <v>#N/A</v>
      </c>
      <c r="W157" s="60" t="e">
        <f t="shared" ca="1" si="20"/>
        <v>#N/A</v>
      </c>
      <c r="X157" s="60" t="e">
        <f t="shared" ca="1" si="23"/>
        <v>#N/A</v>
      </c>
      <c r="Y157" s="60" t="e">
        <f t="shared" ca="1" si="21"/>
        <v>#N/A</v>
      </c>
      <c r="Z157" s="60" t="e">
        <f ca="1">VLOOKUP(S157,ModelOutputs,13,FALSE)</f>
        <v>#N/A</v>
      </c>
    </row>
    <row r="158" spans="18:26" x14ac:dyDescent="0.25">
      <c r="R158" s="93" t="e">
        <f ca="1"/>
        <v>#N/A</v>
      </c>
      <c r="S158" s="62" t="e">
        <f t="shared" ca="1" si="22"/>
        <v>#N/A</v>
      </c>
      <c r="T158" s="62" t="e">
        <f t="shared" ca="1" si="17"/>
        <v>#N/A</v>
      </c>
      <c r="U158" s="62" t="e">
        <f t="shared" ca="1" si="18"/>
        <v>#N/A</v>
      </c>
      <c r="V158" s="62" t="e">
        <f t="shared" ca="1" si="19"/>
        <v>#N/A</v>
      </c>
      <c r="W158" s="60" t="e">
        <f t="shared" ca="1" si="20"/>
        <v>#N/A</v>
      </c>
      <c r="X158" s="60" t="e">
        <f t="shared" ca="1" si="23"/>
        <v>#N/A</v>
      </c>
      <c r="Y158" s="60" t="e">
        <f t="shared" ca="1" si="21"/>
        <v>#N/A</v>
      </c>
      <c r="Z158" s="60" t="e">
        <f ca="1">VLOOKUP(S158,ModelOutputs,13,FALSE)</f>
        <v>#N/A</v>
      </c>
    </row>
    <row r="159" spans="18:26" x14ac:dyDescent="0.25">
      <c r="R159" s="93" t="e">
        <f ca="1"/>
        <v>#N/A</v>
      </c>
      <c r="S159" s="62" t="e">
        <f t="shared" ca="1" si="22"/>
        <v>#N/A</v>
      </c>
      <c r="T159" s="62" t="e">
        <f t="shared" ca="1" si="17"/>
        <v>#N/A</v>
      </c>
      <c r="U159" s="62" t="e">
        <f t="shared" ca="1" si="18"/>
        <v>#N/A</v>
      </c>
      <c r="V159" s="62" t="e">
        <f t="shared" ca="1" si="19"/>
        <v>#N/A</v>
      </c>
      <c r="W159" s="60" t="e">
        <f t="shared" ca="1" si="20"/>
        <v>#N/A</v>
      </c>
      <c r="X159" s="60" t="e">
        <f t="shared" ca="1" si="23"/>
        <v>#N/A</v>
      </c>
      <c r="Y159" s="60" t="e">
        <f t="shared" ca="1" si="21"/>
        <v>#N/A</v>
      </c>
      <c r="Z159" s="60" t="e">
        <f ca="1">VLOOKUP(S159,ModelOutputs,13,FALSE)</f>
        <v>#N/A</v>
      </c>
    </row>
    <row r="160" spans="18:26" x14ac:dyDescent="0.25">
      <c r="R160" s="93" t="e">
        <f ca="1"/>
        <v>#N/A</v>
      </c>
      <c r="S160" s="62" t="e">
        <f t="shared" ca="1" si="22"/>
        <v>#N/A</v>
      </c>
      <c r="T160" s="62" t="e">
        <f t="shared" ca="1" si="17"/>
        <v>#N/A</v>
      </c>
      <c r="U160" s="62" t="e">
        <f t="shared" ca="1" si="18"/>
        <v>#N/A</v>
      </c>
      <c r="V160" s="62" t="e">
        <f t="shared" ca="1" si="19"/>
        <v>#N/A</v>
      </c>
      <c r="W160" s="60" t="e">
        <f t="shared" ca="1" si="20"/>
        <v>#N/A</v>
      </c>
      <c r="X160" s="60" t="e">
        <f t="shared" ca="1" si="23"/>
        <v>#N/A</v>
      </c>
      <c r="Y160" s="60" t="e">
        <f t="shared" ca="1" si="21"/>
        <v>#N/A</v>
      </c>
      <c r="Z160" s="60" t="e">
        <f ca="1">VLOOKUP(S160,ModelOutputs,13,FALSE)</f>
        <v>#N/A</v>
      </c>
    </row>
    <row r="161" spans="18:26" x14ac:dyDescent="0.25">
      <c r="R161" s="93" t="e">
        <f ca="1"/>
        <v>#N/A</v>
      </c>
      <c r="S161" s="62" t="e">
        <f t="shared" ca="1" si="22"/>
        <v>#N/A</v>
      </c>
      <c r="T161" s="62" t="e">
        <f t="shared" ca="1" si="17"/>
        <v>#N/A</v>
      </c>
      <c r="U161" s="62" t="e">
        <f t="shared" ca="1" si="18"/>
        <v>#N/A</v>
      </c>
      <c r="V161" s="62" t="e">
        <f t="shared" ca="1" si="19"/>
        <v>#N/A</v>
      </c>
      <c r="W161" s="60" t="e">
        <f t="shared" ca="1" si="20"/>
        <v>#N/A</v>
      </c>
      <c r="X161" s="60" t="e">
        <f t="shared" ca="1" si="23"/>
        <v>#N/A</v>
      </c>
      <c r="Y161" s="60" t="e">
        <f t="shared" ca="1" si="21"/>
        <v>#N/A</v>
      </c>
      <c r="Z161" s="60" t="e">
        <f ca="1">VLOOKUP(S161,ModelOutputs,13,FALSE)</f>
        <v>#N/A</v>
      </c>
    </row>
    <row r="162" spans="18:26" x14ac:dyDescent="0.25">
      <c r="R162" s="93" t="e">
        <f ca="1"/>
        <v>#N/A</v>
      </c>
      <c r="S162" s="62" t="e">
        <f t="shared" ca="1" si="22"/>
        <v>#N/A</v>
      </c>
      <c r="T162" s="62" t="e">
        <f t="shared" ca="1" si="17"/>
        <v>#N/A</v>
      </c>
      <c r="U162" s="62" t="e">
        <f t="shared" ca="1" si="18"/>
        <v>#N/A</v>
      </c>
      <c r="V162" s="62" t="e">
        <f t="shared" ca="1" si="19"/>
        <v>#N/A</v>
      </c>
      <c r="W162" s="60" t="e">
        <f t="shared" ca="1" si="20"/>
        <v>#N/A</v>
      </c>
      <c r="X162" s="60" t="e">
        <f t="shared" ca="1" si="23"/>
        <v>#N/A</v>
      </c>
      <c r="Y162" s="60" t="e">
        <f t="shared" ca="1" si="21"/>
        <v>#N/A</v>
      </c>
      <c r="Z162" s="60" t="e">
        <f ca="1">VLOOKUP(S162,ModelOutputs,13,FALSE)</f>
        <v>#N/A</v>
      </c>
    </row>
    <row r="163" spans="18:26" x14ac:dyDescent="0.25">
      <c r="R163" s="93" t="e">
        <f ca="1"/>
        <v>#N/A</v>
      </c>
      <c r="S163" s="62" t="e">
        <f t="shared" ca="1" si="22"/>
        <v>#N/A</v>
      </c>
      <c r="T163" s="62" t="e">
        <f t="shared" ca="1" si="17"/>
        <v>#N/A</v>
      </c>
      <c r="U163" s="62" t="e">
        <f t="shared" ca="1" si="18"/>
        <v>#N/A</v>
      </c>
      <c r="V163" s="62" t="e">
        <f t="shared" ca="1" si="19"/>
        <v>#N/A</v>
      </c>
      <c r="W163" s="60" t="e">
        <f t="shared" ca="1" si="20"/>
        <v>#N/A</v>
      </c>
      <c r="X163" s="60" t="e">
        <f t="shared" ca="1" si="23"/>
        <v>#N/A</v>
      </c>
      <c r="Y163" s="60" t="e">
        <f t="shared" ca="1" si="21"/>
        <v>#N/A</v>
      </c>
      <c r="Z163" s="60" t="e">
        <f ca="1">VLOOKUP(S163,ModelOutputs,13,FALSE)</f>
        <v>#N/A</v>
      </c>
    </row>
    <row r="164" spans="18:26" x14ac:dyDescent="0.25">
      <c r="R164" s="93" t="e">
        <f ca="1"/>
        <v>#N/A</v>
      </c>
      <c r="S164" s="62" t="e">
        <f t="shared" ca="1" si="22"/>
        <v>#N/A</v>
      </c>
      <c r="T164" s="62" t="e">
        <f t="shared" ca="1" si="17"/>
        <v>#N/A</v>
      </c>
      <c r="U164" s="62" t="e">
        <f t="shared" ca="1" si="18"/>
        <v>#N/A</v>
      </c>
      <c r="V164" s="62" t="e">
        <f t="shared" ca="1" si="19"/>
        <v>#N/A</v>
      </c>
      <c r="W164" s="60" t="e">
        <f t="shared" ca="1" si="20"/>
        <v>#N/A</v>
      </c>
      <c r="X164" s="60" t="e">
        <f t="shared" ca="1" si="23"/>
        <v>#N/A</v>
      </c>
      <c r="Y164" s="60" t="e">
        <f t="shared" ca="1" si="21"/>
        <v>#N/A</v>
      </c>
      <c r="Z164" s="60" t="e">
        <f ca="1">VLOOKUP(S164,ModelOutputs,13,FALSE)</f>
        <v>#N/A</v>
      </c>
    </row>
    <row r="165" spans="18:26" x14ac:dyDescent="0.25">
      <c r="R165" s="93" t="e">
        <f ca="1"/>
        <v>#N/A</v>
      </c>
      <c r="S165" s="62" t="e">
        <f t="shared" ca="1" si="22"/>
        <v>#N/A</v>
      </c>
      <c r="T165" s="62" t="e">
        <f t="shared" ca="1" si="17"/>
        <v>#N/A</v>
      </c>
      <c r="U165" s="62" t="e">
        <f t="shared" ca="1" si="18"/>
        <v>#N/A</v>
      </c>
      <c r="V165" s="62" t="e">
        <f t="shared" ca="1" si="19"/>
        <v>#N/A</v>
      </c>
      <c r="W165" s="60" t="e">
        <f t="shared" ca="1" si="20"/>
        <v>#N/A</v>
      </c>
      <c r="X165" s="60" t="e">
        <f t="shared" ca="1" si="23"/>
        <v>#N/A</v>
      </c>
      <c r="Y165" s="60" t="e">
        <f t="shared" ca="1" si="21"/>
        <v>#N/A</v>
      </c>
      <c r="Z165" s="60" t="e">
        <f ca="1">VLOOKUP(S165,ModelOutputs,13,FALSE)</f>
        <v>#N/A</v>
      </c>
    </row>
    <row r="166" spans="18:26" x14ac:dyDescent="0.25">
      <c r="R166" s="93" t="e">
        <f ca="1"/>
        <v>#N/A</v>
      </c>
      <c r="S166" s="62" t="e">
        <f t="shared" ca="1" si="22"/>
        <v>#N/A</v>
      </c>
      <c r="T166" s="62" t="e">
        <f t="shared" ca="1" si="17"/>
        <v>#N/A</v>
      </c>
      <c r="U166" s="62" t="e">
        <f t="shared" ca="1" si="18"/>
        <v>#N/A</v>
      </c>
      <c r="V166" s="62" t="e">
        <f t="shared" ca="1" si="19"/>
        <v>#N/A</v>
      </c>
      <c r="W166" s="60" t="e">
        <f t="shared" ca="1" si="20"/>
        <v>#N/A</v>
      </c>
      <c r="X166" s="60" t="e">
        <f t="shared" ca="1" si="23"/>
        <v>#N/A</v>
      </c>
      <c r="Y166" s="60" t="e">
        <f t="shared" ca="1" si="21"/>
        <v>#N/A</v>
      </c>
      <c r="Z166" s="60" t="e">
        <f ca="1">VLOOKUP(S166,ModelOutputs,13,FALSE)</f>
        <v>#N/A</v>
      </c>
    </row>
    <row r="167" spans="18:26" x14ac:dyDescent="0.25">
      <c r="R167" s="93" t="e">
        <f ca="1"/>
        <v>#N/A</v>
      </c>
      <c r="S167" s="62" t="e">
        <f t="shared" ca="1" si="22"/>
        <v>#N/A</v>
      </c>
      <c r="T167" s="62" t="e">
        <f t="shared" ca="1" si="17"/>
        <v>#N/A</v>
      </c>
      <c r="U167" s="62" t="e">
        <f t="shared" ca="1" si="18"/>
        <v>#N/A</v>
      </c>
      <c r="V167" s="62" t="e">
        <f t="shared" ca="1" si="19"/>
        <v>#N/A</v>
      </c>
      <c r="W167" s="60" t="e">
        <f t="shared" ca="1" si="20"/>
        <v>#N/A</v>
      </c>
      <c r="X167" s="60" t="e">
        <f t="shared" ca="1" si="23"/>
        <v>#N/A</v>
      </c>
      <c r="Y167" s="60" t="e">
        <f t="shared" ca="1" si="21"/>
        <v>#N/A</v>
      </c>
      <c r="Z167" s="60" t="e">
        <f ca="1">VLOOKUP(S167,ModelOutputs,13,FALSE)</f>
        <v>#N/A</v>
      </c>
    </row>
    <row r="168" spans="18:26" x14ac:dyDescent="0.25">
      <c r="R168" s="93" t="e">
        <f ca="1"/>
        <v>#N/A</v>
      </c>
      <c r="S168" s="62" t="e">
        <f t="shared" ca="1" si="22"/>
        <v>#N/A</v>
      </c>
      <c r="T168" s="62" t="e">
        <f t="shared" ca="1" si="17"/>
        <v>#N/A</v>
      </c>
      <c r="U168" s="62" t="e">
        <f t="shared" ca="1" si="18"/>
        <v>#N/A</v>
      </c>
      <c r="V168" s="62" t="e">
        <f t="shared" ca="1" si="19"/>
        <v>#N/A</v>
      </c>
      <c r="W168" s="60" t="e">
        <f t="shared" ca="1" si="20"/>
        <v>#N/A</v>
      </c>
      <c r="X168" s="60" t="e">
        <f t="shared" ca="1" si="23"/>
        <v>#N/A</v>
      </c>
      <c r="Y168" s="60" t="e">
        <f t="shared" ca="1" si="21"/>
        <v>#N/A</v>
      </c>
      <c r="Z168" s="60" t="e">
        <f ca="1">VLOOKUP(S168,ModelOutputs,13,FALSE)</f>
        <v>#N/A</v>
      </c>
    </row>
    <row r="169" spans="18:26" x14ac:dyDescent="0.25">
      <c r="R169" s="93" t="e">
        <f ca="1"/>
        <v>#N/A</v>
      </c>
      <c r="S169" s="62" t="e">
        <f t="shared" ca="1" si="22"/>
        <v>#N/A</v>
      </c>
      <c r="T169" s="62" t="e">
        <f t="shared" ca="1" si="17"/>
        <v>#N/A</v>
      </c>
      <c r="U169" s="62" t="e">
        <f t="shared" ca="1" si="18"/>
        <v>#N/A</v>
      </c>
      <c r="V169" s="62" t="e">
        <f t="shared" ca="1" si="19"/>
        <v>#N/A</v>
      </c>
      <c r="W169" s="60" t="e">
        <f t="shared" ca="1" si="20"/>
        <v>#N/A</v>
      </c>
      <c r="X169" s="60" t="e">
        <f t="shared" ca="1" si="23"/>
        <v>#N/A</v>
      </c>
      <c r="Y169" s="60" t="e">
        <f t="shared" ca="1" si="21"/>
        <v>#N/A</v>
      </c>
      <c r="Z169" s="60" t="e">
        <f ca="1">VLOOKUP(S169,ModelOutputs,13,FALSE)</f>
        <v>#N/A</v>
      </c>
    </row>
    <row r="170" spans="18:26" x14ac:dyDescent="0.25">
      <c r="R170" s="93" t="e">
        <f ca="1"/>
        <v>#N/A</v>
      </c>
      <c r="S170" s="62" t="e">
        <f t="shared" ca="1" si="22"/>
        <v>#N/A</v>
      </c>
      <c r="T170" s="62" t="e">
        <f t="shared" ca="1" si="17"/>
        <v>#N/A</v>
      </c>
      <c r="U170" s="62" t="e">
        <f t="shared" ca="1" si="18"/>
        <v>#N/A</v>
      </c>
      <c r="V170" s="62" t="e">
        <f t="shared" ca="1" si="19"/>
        <v>#N/A</v>
      </c>
      <c r="W170" s="60" t="e">
        <f t="shared" ca="1" si="20"/>
        <v>#N/A</v>
      </c>
      <c r="X170" s="60" t="e">
        <f t="shared" ca="1" si="23"/>
        <v>#N/A</v>
      </c>
      <c r="Y170" s="60" t="e">
        <f t="shared" ca="1" si="21"/>
        <v>#N/A</v>
      </c>
      <c r="Z170" s="60" t="e">
        <f ca="1">VLOOKUP(S170,ModelOutputs,13,FALSE)</f>
        <v>#N/A</v>
      </c>
    </row>
    <row r="171" spans="18:26" x14ac:dyDescent="0.25">
      <c r="R171" s="93" t="e">
        <f ca="1"/>
        <v>#N/A</v>
      </c>
      <c r="S171" s="62" t="e">
        <f t="shared" ca="1" si="22"/>
        <v>#N/A</v>
      </c>
      <c r="T171" s="62" t="e">
        <f t="shared" ca="1" si="17"/>
        <v>#N/A</v>
      </c>
      <c r="U171" s="62" t="e">
        <f t="shared" ca="1" si="18"/>
        <v>#N/A</v>
      </c>
      <c r="V171" s="62" t="e">
        <f t="shared" ca="1" si="19"/>
        <v>#N/A</v>
      </c>
      <c r="W171" s="60" t="e">
        <f t="shared" ca="1" si="20"/>
        <v>#N/A</v>
      </c>
      <c r="X171" s="60" t="e">
        <f t="shared" ca="1" si="23"/>
        <v>#N/A</v>
      </c>
      <c r="Y171" s="60" t="e">
        <f t="shared" ca="1" si="21"/>
        <v>#N/A</v>
      </c>
      <c r="Z171" s="60" t="e">
        <f ca="1">VLOOKUP(S171,ModelOutputs,13,FALSE)</f>
        <v>#N/A</v>
      </c>
    </row>
    <row r="172" spans="18:26" x14ac:dyDescent="0.25">
      <c r="R172" s="93" t="e">
        <f ca="1"/>
        <v>#N/A</v>
      </c>
      <c r="S172" s="62" t="e">
        <f t="shared" ca="1" si="22"/>
        <v>#N/A</v>
      </c>
      <c r="T172" s="62" t="e">
        <f t="shared" ca="1" si="17"/>
        <v>#N/A</v>
      </c>
      <c r="U172" s="62" t="e">
        <f t="shared" ca="1" si="18"/>
        <v>#N/A</v>
      </c>
      <c r="V172" s="62" t="e">
        <f t="shared" ca="1" si="19"/>
        <v>#N/A</v>
      </c>
      <c r="W172" s="60" t="e">
        <f t="shared" ca="1" si="20"/>
        <v>#N/A</v>
      </c>
      <c r="X172" s="60" t="e">
        <f t="shared" ca="1" si="23"/>
        <v>#N/A</v>
      </c>
      <c r="Y172" s="60" t="e">
        <f t="shared" ca="1" si="21"/>
        <v>#N/A</v>
      </c>
      <c r="Z172" s="60" t="e">
        <f ca="1">VLOOKUP(S172,ModelOutputs,13,FALSE)</f>
        <v>#N/A</v>
      </c>
    </row>
    <row r="173" spans="18:26" x14ac:dyDescent="0.25">
      <c r="R173" s="93" t="e">
        <f ca="1"/>
        <v>#N/A</v>
      </c>
      <c r="S173" s="62" t="e">
        <f t="shared" ca="1" si="22"/>
        <v>#N/A</v>
      </c>
      <c r="T173" s="62" t="e">
        <f t="shared" ca="1" si="17"/>
        <v>#N/A</v>
      </c>
      <c r="U173" s="62" t="e">
        <f t="shared" ca="1" si="18"/>
        <v>#N/A</v>
      </c>
      <c r="V173" s="62" t="e">
        <f t="shared" ca="1" si="19"/>
        <v>#N/A</v>
      </c>
      <c r="W173" s="60" t="e">
        <f t="shared" ca="1" si="20"/>
        <v>#N/A</v>
      </c>
      <c r="X173" s="60" t="e">
        <f t="shared" ca="1" si="23"/>
        <v>#N/A</v>
      </c>
      <c r="Y173" s="60" t="e">
        <f t="shared" ca="1" si="21"/>
        <v>#N/A</v>
      </c>
      <c r="Z173" s="60" t="e">
        <f ca="1">VLOOKUP(S173,ModelOutputs,13,FALSE)</f>
        <v>#N/A</v>
      </c>
    </row>
    <row r="174" spans="18:26" x14ac:dyDescent="0.25">
      <c r="R174" s="93" t="e">
        <f ca="1"/>
        <v>#N/A</v>
      </c>
      <c r="S174" s="62" t="e">
        <f t="shared" ca="1" si="22"/>
        <v>#N/A</v>
      </c>
      <c r="T174" s="62" t="e">
        <f t="shared" ca="1" si="17"/>
        <v>#N/A</v>
      </c>
      <c r="U174" s="62" t="e">
        <f t="shared" ca="1" si="18"/>
        <v>#N/A</v>
      </c>
      <c r="V174" s="62" t="e">
        <f t="shared" ca="1" si="19"/>
        <v>#N/A</v>
      </c>
      <c r="W174" s="60" t="e">
        <f t="shared" ca="1" si="20"/>
        <v>#N/A</v>
      </c>
      <c r="X174" s="60" t="e">
        <f t="shared" ca="1" si="23"/>
        <v>#N/A</v>
      </c>
      <c r="Y174" s="60" t="e">
        <f t="shared" ca="1" si="21"/>
        <v>#N/A</v>
      </c>
      <c r="Z174" s="60" t="e">
        <f ca="1">VLOOKUP(S174,ModelOutputs,13,FALSE)</f>
        <v>#N/A</v>
      </c>
    </row>
    <row r="175" spans="18:26" x14ac:dyDescent="0.25">
      <c r="R175" s="93" t="e">
        <f ca="1"/>
        <v>#N/A</v>
      </c>
      <c r="S175" s="62" t="e">
        <f t="shared" ca="1" si="22"/>
        <v>#N/A</v>
      </c>
      <c r="T175" s="62" t="e">
        <f t="shared" ca="1" si="17"/>
        <v>#N/A</v>
      </c>
      <c r="U175" s="62" t="e">
        <f t="shared" ca="1" si="18"/>
        <v>#N/A</v>
      </c>
      <c r="V175" s="62" t="e">
        <f t="shared" ca="1" si="19"/>
        <v>#N/A</v>
      </c>
      <c r="W175" s="60" t="e">
        <f t="shared" ca="1" si="20"/>
        <v>#N/A</v>
      </c>
      <c r="X175" s="60" t="e">
        <f t="shared" ca="1" si="23"/>
        <v>#N/A</v>
      </c>
      <c r="Y175" s="60" t="e">
        <f t="shared" ca="1" si="21"/>
        <v>#N/A</v>
      </c>
      <c r="Z175" s="60" t="e">
        <f ca="1">VLOOKUP(S175,ModelOutputs,13,FALSE)</f>
        <v>#N/A</v>
      </c>
    </row>
    <row r="176" spans="18:26" x14ac:dyDescent="0.25">
      <c r="R176" s="93" t="e">
        <f ca="1"/>
        <v>#N/A</v>
      </c>
      <c r="S176" s="62" t="e">
        <f t="shared" ca="1" si="22"/>
        <v>#N/A</v>
      </c>
      <c r="T176" s="62" t="e">
        <f t="shared" ca="1" si="17"/>
        <v>#N/A</v>
      </c>
      <c r="U176" s="62" t="e">
        <f t="shared" ca="1" si="18"/>
        <v>#N/A</v>
      </c>
      <c r="V176" s="62" t="e">
        <f t="shared" ca="1" si="19"/>
        <v>#N/A</v>
      </c>
      <c r="W176" s="60" t="e">
        <f t="shared" ca="1" si="20"/>
        <v>#N/A</v>
      </c>
      <c r="X176" s="60" t="e">
        <f t="shared" ca="1" si="23"/>
        <v>#N/A</v>
      </c>
      <c r="Y176" s="60" t="e">
        <f t="shared" ca="1" si="21"/>
        <v>#N/A</v>
      </c>
      <c r="Z176" s="60" t="e">
        <f ca="1">VLOOKUP(S176,ModelOutputs,13,FALSE)</f>
        <v>#N/A</v>
      </c>
    </row>
    <row r="177" spans="18:26" x14ac:dyDescent="0.25">
      <c r="R177" s="93" t="e">
        <f ca="1"/>
        <v>#N/A</v>
      </c>
      <c r="S177" s="62" t="e">
        <f t="shared" ca="1" si="22"/>
        <v>#N/A</v>
      </c>
      <c r="T177" s="62" t="e">
        <f t="shared" ca="1" si="17"/>
        <v>#N/A</v>
      </c>
      <c r="U177" s="62" t="e">
        <f t="shared" ca="1" si="18"/>
        <v>#N/A</v>
      </c>
      <c r="V177" s="62" t="e">
        <f t="shared" ca="1" si="19"/>
        <v>#N/A</v>
      </c>
      <c r="W177" s="60" t="e">
        <f t="shared" ca="1" si="20"/>
        <v>#N/A</v>
      </c>
      <c r="X177" s="60" t="e">
        <f t="shared" ca="1" si="23"/>
        <v>#N/A</v>
      </c>
      <c r="Y177" s="60" t="e">
        <f t="shared" ca="1" si="21"/>
        <v>#N/A</v>
      </c>
      <c r="Z177" s="60" t="e">
        <f ca="1">VLOOKUP(S177,ModelOutputs,13,FALSE)</f>
        <v>#N/A</v>
      </c>
    </row>
    <row r="178" spans="18:26" x14ac:dyDescent="0.25">
      <c r="R178" s="93" t="e">
        <f ca="1"/>
        <v>#N/A</v>
      </c>
      <c r="S178" s="62" t="e">
        <f t="shared" ca="1" si="22"/>
        <v>#N/A</v>
      </c>
      <c r="T178" s="62" t="e">
        <f t="shared" ca="1" si="17"/>
        <v>#N/A</v>
      </c>
      <c r="U178" s="62" t="e">
        <f t="shared" ca="1" si="18"/>
        <v>#N/A</v>
      </c>
      <c r="V178" s="62" t="e">
        <f t="shared" ca="1" si="19"/>
        <v>#N/A</v>
      </c>
      <c r="W178" s="60" t="e">
        <f t="shared" ca="1" si="20"/>
        <v>#N/A</v>
      </c>
      <c r="X178" s="60" t="e">
        <f t="shared" ca="1" si="23"/>
        <v>#N/A</v>
      </c>
      <c r="Y178" s="60" t="e">
        <f t="shared" ca="1" si="21"/>
        <v>#N/A</v>
      </c>
      <c r="Z178" s="60" t="e">
        <f ca="1">VLOOKUP(S178,ModelOutputs,13,FALSE)</f>
        <v>#N/A</v>
      </c>
    </row>
    <row r="179" spans="18:26" x14ac:dyDescent="0.25">
      <c r="R179" s="93" t="e">
        <f ca="1"/>
        <v>#N/A</v>
      </c>
      <c r="S179" s="62" t="e">
        <f t="shared" ca="1" si="22"/>
        <v>#N/A</v>
      </c>
      <c r="T179" s="62" t="e">
        <f t="shared" ca="1" si="17"/>
        <v>#N/A</v>
      </c>
      <c r="U179" s="62" t="e">
        <f t="shared" ca="1" si="18"/>
        <v>#N/A</v>
      </c>
      <c r="V179" s="62" t="e">
        <f t="shared" ca="1" si="19"/>
        <v>#N/A</v>
      </c>
      <c r="W179" s="60" t="e">
        <f t="shared" ca="1" si="20"/>
        <v>#N/A</v>
      </c>
      <c r="X179" s="60" t="e">
        <f t="shared" ca="1" si="23"/>
        <v>#N/A</v>
      </c>
      <c r="Y179" s="60" t="e">
        <f t="shared" ca="1" si="21"/>
        <v>#N/A</v>
      </c>
      <c r="Z179" s="60" t="e">
        <f ca="1">VLOOKUP(S179,ModelOutputs,13,FALSE)</f>
        <v>#N/A</v>
      </c>
    </row>
    <row r="180" spans="18:26" x14ac:dyDescent="0.25">
      <c r="R180" s="93" t="e">
        <f ca="1"/>
        <v>#N/A</v>
      </c>
      <c r="S180" s="62" t="e">
        <f t="shared" ca="1" si="22"/>
        <v>#N/A</v>
      </c>
      <c r="T180" s="62" t="e">
        <f t="shared" ca="1" si="17"/>
        <v>#N/A</v>
      </c>
      <c r="U180" s="62" t="e">
        <f t="shared" ca="1" si="18"/>
        <v>#N/A</v>
      </c>
      <c r="V180" s="62" t="e">
        <f t="shared" ca="1" si="19"/>
        <v>#N/A</v>
      </c>
      <c r="W180" s="60" t="e">
        <f t="shared" ca="1" si="20"/>
        <v>#N/A</v>
      </c>
      <c r="X180" s="60" t="e">
        <f t="shared" ca="1" si="23"/>
        <v>#N/A</v>
      </c>
      <c r="Y180" s="60" t="e">
        <f t="shared" ca="1" si="21"/>
        <v>#N/A</v>
      </c>
      <c r="Z180" s="60" t="e">
        <f ca="1">VLOOKUP(S180,ModelOutputs,13,FALSE)</f>
        <v>#N/A</v>
      </c>
    </row>
    <row r="181" spans="18:26" x14ac:dyDescent="0.25">
      <c r="R181" s="93" t="e">
        <f ca="1"/>
        <v>#N/A</v>
      </c>
      <c r="S181" s="62" t="e">
        <f t="shared" ca="1" si="22"/>
        <v>#N/A</v>
      </c>
      <c r="T181" s="62" t="e">
        <f t="shared" ca="1" si="17"/>
        <v>#N/A</v>
      </c>
      <c r="U181" s="62" t="e">
        <f t="shared" ca="1" si="18"/>
        <v>#N/A</v>
      </c>
      <c r="V181" s="62" t="e">
        <f t="shared" ca="1" si="19"/>
        <v>#N/A</v>
      </c>
      <c r="W181" s="60" t="e">
        <f t="shared" ca="1" si="20"/>
        <v>#N/A</v>
      </c>
      <c r="X181" s="60" t="e">
        <f t="shared" ca="1" si="23"/>
        <v>#N/A</v>
      </c>
      <c r="Y181" s="60" t="e">
        <f t="shared" ca="1" si="21"/>
        <v>#N/A</v>
      </c>
      <c r="Z181" s="60" t="e">
        <f ca="1">VLOOKUP(S181,ModelOutputs,13,FALSE)</f>
        <v>#N/A</v>
      </c>
    </row>
    <row r="182" spans="18:26" x14ac:dyDescent="0.25">
      <c r="R182" s="93" t="e">
        <f ca="1"/>
        <v>#N/A</v>
      </c>
      <c r="S182" s="62" t="e">
        <f t="shared" ca="1" si="22"/>
        <v>#N/A</v>
      </c>
      <c r="T182" s="62" t="e">
        <f t="shared" ca="1" si="17"/>
        <v>#N/A</v>
      </c>
      <c r="U182" s="62" t="e">
        <f t="shared" ca="1" si="18"/>
        <v>#N/A</v>
      </c>
      <c r="V182" s="62" t="e">
        <f t="shared" ca="1" si="19"/>
        <v>#N/A</v>
      </c>
      <c r="W182" s="60" t="e">
        <f t="shared" ca="1" si="20"/>
        <v>#N/A</v>
      </c>
      <c r="X182" s="60" t="e">
        <f t="shared" ca="1" si="23"/>
        <v>#N/A</v>
      </c>
      <c r="Y182" s="60" t="e">
        <f t="shared" ca="1" si="21"/>
        <v>#N/A</v>
      </c>
      <c r="Z182" s="60" t="e">
        <f ca="1">VLOOKUP(S182,ModelOutputs,13,FALSE)</f>
        <v>#N/A</v>
      </c>
    </row>
    <row r="183" spans="18:26" x14ac:dyDescent="0.25">
      <c r="R183" s="93" t="e">
        <f ca="1"/>
        <v>#N/A</v>
      </c>
      <c r="S183" s="62" t="e">
        <f t="shared" ca="1" si="22"/>
        <v>#N/A</v>
      </c>
      <c r="T183" s="62" t="e">
        <f t="shared" ca="1" si="17"/>
        <v>#N/A</v>
      </c>
      <c r="U183" s="62" t="e">
        <f t="shared" ca="1" si="18"/>
        <v>#N/A</v>
      </c>
      <c r="V183" s="62" t="e">
        <f t="shared" ca="1" si="19"/>
        <v>#N/A</v>
      </c>
      <c r="W183" s="60" t="e">
        <f t="shared" ca="1" si="20"/>
        <v>#N/A</v>
      </c>
      <c r="X183" s="60" t="e">
        <f t="shared" ca="1" si="23"/>
        <v>#N/A</v>
      </c>
      <c r="Y183" s="60" t="e">
        <f t="shared" ca="1" si="21"/>
        <v>#N/A</v>
      </c>
      <c r="Z183" s="60" t="e">
        <f ca="1">VLOOKUP(S183,ModelOutputs,13,FALSE)</f>
        <v>#N/A</v>
      </c>
    </row>
    <row r="184" spans="18:26" x14ac:dyDescent="0.25">
      <c r="R184" s="93" t="e">
        <f ca="1"/>
        <v>#N/A</v>
      </c>
      <c r="S184" s="62" t="e">
        <f t="shared" ca="1" si="22"/>
        <v>#N/A</v>
      </c>
      <c r="T184" s="62" t="e">
        <f t="shared" ca="1" si="17"/>
        <v>#N/A</v>
      </c>
      <c r="U184" s="62" t="e">
        <f t="shared" ca="1" si="18"/>
        <v>#N/A</v>
      </c>
      <c r="V184" s="62" t="e">
        <f t="shared" ca="1" si="19"/>
        <v>#N/A</v>
      </c>
      <c r="W184" s="60" t="e">
        <f t="shared" ca="1" si="20"/>
        <v>#N/A</v>
      </c>
      <c r="X184" s="60" t="e">
        <f t="shared" ca="1" si="23"/>
        <v>#N/A</v>
      </c>
      <c r="Y184" s="60" t="e">
        <f t="shared" ca="1" si="21"/>
        <v>#N/A</v>
      </c>
      <c r="Z184" s="60" t="e">
        <f ca="1">VLOOKUP(S184,ModelOutputs,13,FALSE)</f>
        <v>#N/A</v>
      </c>
    </row>
    <row r="185" spans="18:26" x14ac:dyDescent="0.25">
      <c r="R185" s="93" t="e">
        <f ca="1"/>
        <v>#N/A</v>
      </c>
      <c r="S185" s="62" t="e">
        <f t="shared" ca="1" si="22"/>
        <v>#N/A</v>
      </c>
      <c r="T185" s="62" t="e">
        <f t="shared" ca="1" si="17"/>
        <v>#N/A</v>
      </c>
      <c r="U185" s="62" t="e">
        <f t="shared" ca="1" si="18"/>
        <v>#N/A</v>
      </c>
      <c r="V185" s="62" t="e">
        <f t="shared" ca="1" si="19"/>
        <v>#N/A</v>
      </c>
      <c r="W185" s="60" t="e">
        <f t="shared" ca="1" si="20"/>
        <v>#N/A</v>
      </c>
      <c r="X185" s="60" t="e">
        <f t="shared" ca="1" si="23"/>
        <v>#N/A</v>
      </c>
      <c r="Y185" s="60" t="e">
        <f t="shared" ca="1" si="21"/>
        <v>#N/A</v>
      </c>
      <c r="Z185" s="60" t="e">
        <f ca="1">VLOOKUP(S185,ModelOutputs,13,FALSE)</f>
        <v>#N/A</v>
      </c>
    </row>
    <row r="186" spans="18:26" x14ac:dyDescent="0.25">
      <c r="R186" s="93" t="e">
        <f ca="1"/>
        <v>#N/A</v>
      </c>
      <c r="S186" s="62" t="e">
        <f t="shared" ca="1" si="22"/>
        <v>#N/A</v>
      </c>
      <c r="T186" s="62" t="e">
        <f t="shared" ca="1" si="17"/>
        <v>#N/A</v>
      </c>
      <c r="U186" s="62" t="e">
        <f t="shared" ca="1" si="18"/>
        <v>#N/A</v>
      </c>
      <c r="V186" s="62" t="e">
        <f t="shared" ca="1" si="19"/>
        <v>#N/A</v>
      </c>
      <c r="W186" s="60" t="e">
        <f t="shared" ca="1" si="20"/>
        <v>#N/A</v>
      </c>
      <c r="X186" s="60" t="e">
        <f t="shared" ca="1" si="23"/>
        <v>#N/A</v>
      </c>
      <c r="Y186" s="60" t="e">
        <f t="shared" ca="1" si="21"/>
        <v>#N/A</v>
      </c>
      <c r="Z186" s="60" t="e">
        <f ca="1">VLOOKUP(S186,ModelOutputs,13,FALSE)</f>
        <v>#N/A</v>
      </c>
    </row>
    <row r="187" spans="18:26" x14ac:dyDescent="0.25">
      <c r="R187" s="93" t="e">
        <f ca="1"/>
        <v>#N/A</v>
      </c>
      <c r="S187" s="62" t="e">
        <f t="shared" ca="1" si="22"/>
        <v>#N/A</v>
      </c>
      <c r="T187" s="62" t="e">
        <f t="shared" ca="1" si="17"/>
        <v>#N/A</v>
      </c>
      <c r="U187" s="62" t="e">
        <f t="shared" ca="1" si="18"/>
        <v>#N/A</v>
      </c>
      <c r="V187" s="62" t="e">
        <f t="shared" ca="1" si="19"/>
        <v>#N/A</v>
      </c>
      <c r="W187" s="60" t="e">
        <f t="shared" ca="1" si="20"/>
        <v>#N/A</v>
      </c>
      <c r="X187" s="60" t="e">
        <f t="shared" ca="1" si="23"/>
        <v>#N/A</v>
      </c>
      <c r="Y187" s="60" t="e">
        <f t="shared" ca="1" si="21"/>
        <v>#N/A</v>
      </c>
      <c r="Z187" s="60" t="e">
        <f ca="1">VLOOKUP(S187,ModelOutputs,13,FALSE)</f>
        <v>#N/A</v>
      </c>
    </row>
    <row r="188" spans="18:26" x14ac:dyDescent="0.25">
      <c r="R188" s="93" t="e">
        <f ca="1"/>
        <v>#N/A</v>
      </c>
      <c r="S188" s="62" t="e">
        <f t="shared" ca="1" si="22"/>
        <v>#N/A</v>
      </c>
      <c r="T188" s="62" t="e">
        <f t="shared" ca="1" si="17"/>
        <v>#N/A</v>
      </c>
      <c r="U188" s="62" t="e">
        <f t="shared" ca="1" si="18"/>
        <v>#N/A</v>
      </c>
      <c r="V188" s="62" t="e">
        <f t="shared" ca="1" si="19"/>
        <v>#N/A</v>
      </c>
      <c r="W188" s="60" t="e">
        <f t="shared" ca="1" si="20"/>
        <v>#N/A</v>
      </c>
      <c r="X188" s="60" t="e">
        <f t="shared" ca="1" si="23"/>
        <v>#N/A</v>
      </c>
      <c r="Y188" s="60" t="e">
        <f t="shared" ca="1" si="21"/>
        <v>#N/A</v>
      </c>
      <c r="Z188" s="60" t="e">
        <f ca="1">VLOOKUP(S188,ModelOutputs,13,FALSE)</f>
        <v>#N/A</v>
      </c>
    </row>
    <row r="189" spans="18:26" x14ac:dyDescent="0.25">
      <c r="R189" s="93" t="e">
        <f ca="1"/>
        <v>#N/A</v>
      </c>
      <c r="S189" s="62" t="e">
        <f t="shared" ca="1" si="22"/>
        <v>#N/A</v>
      </c>
      <c r="T189" s="62" t="e">
        <f t="shared" ca="1" si="17"/>
        <v>#N/A</v>
      </c>
      <c r="U189" s="62" t="e">
        <f t="shared" ca="1" si="18"/>
        <v>#N/A</v>
      </c>
      <c r="V189" s="62" t="e">
        <f t="shared" ca="1" si="19"/>
        <v>#N/A</v>
      </c>
      <c r="W189" s="60" t="e">
        <f t="shared" ca="1" si="20"/>
        <v>#N/A</v>
      </c>
      <c r="X189" s="60" t="e">
        <f t="shared" ca="1" si="23"/>
        <v>#N/A</v>
      </c>
      <c r="Y189" s="60" t="e">
        <f t="shared" ca="1" si="21"/>
        <v>#N/A</v>
      </c>
      <c r="Z189" s="60" t="e">
        <f ca="1">VLOOKUP(S189,ModelOutputs,13,FALSE)</f>
        <v>#N/A</v>
      </c>
    </row>
    <row r="190" spans="18:26" x14ac:dyDescent="0.25">
      <c r="R190" s="93" t="e">
        <f ca="1"/>
        <v>#N/A</v>
      </c>
      <c r="S190" s="62" t="e">
        <f t="shared" ca="1" si="22"/>
        <v>#N/A</v>
      </c>
      <c r="T190" s="62" t="e">
        <f t="shared" ca="1" si="17"/>
        <v>#N/A</v>
      </c>
      <c r="U190" s="62" t="e">
        <f t="shared" ca="1" si="18"/>
        <v>#N/A</v>
      </c>
      <c r="V190" s="62" t="e">
        <f t="shared" ca="1" si="19"/>
        <v>#N/A</v>
      </c>
      <c r="W190" s="60" t="e">
        <f t="shared" ca="1" si="20"/>
        <v>#N/A</v>
      </c>
      <c r="X190" s="60" t="e">
        <f t="shared" ca="1" si="23"/>
        <v>#N/A</v>
      </c>
      <c r="Y190" s="60" t="e">
        <f t="shared" ca="1" si="21"/>
        <v>#N/A</v>
      </c>
      <c r="Z190" s="60" t="e">
        <f ca="1">VLOOKUP(S190,ModelOutputs,13,FALSE)</f>
        <v>#N/A</v>
      </c>
    </row>
    <row r="191" spans="18:26" x14ac:dyDescent="0.25">
      <c r="R191" s="93" t="e">
        <f ca="1"/>
        <v>#N/A</v>
      </c>
      <c r="S191" s="62" t="e">
        <f t="shared" ca="1" si="22"/>
        <v>#N/A</v>
      </c>
      <c r="T191" s="62" t="e">
        <f t="shared" ca="1" si="17"/>
        <v>#N/A</v>
      </c>
      <c r="U191" s="62" t="e">
        <f t="shared" ca="1" si="18"/>
        <v>#N/A</v>
      </c>
      <c r="V191" s="62" t="e">
        <f t="shared" ca="1" si="19"/>
        <v>#N/A</v>
      </c>
      <c r="W191" s="60" t="e">
        <f t="shared" ca="1" si="20"/>
        <v>#N/A</v>
      </c>
      <c r="X191" s="60" t="e">
        <f t="shared" ca="1" si="23"/>
        <v>#N/A</v>
      </c>
      <c r="Y191" s="60" t="e">
        <f t="shared" ca="1" si="21"/>
        <v>#N/A</v>
      </c>
      <c r="Z191" s="60" t="e">
        <f ca="1">VLOOKUP(S191,ModelOutputs,13,FALSE)</f>
        <v>#N/A</v>
      </c>
    </row>
    <row r="192" spans="18:26" x14ac:dyDescent="0.25">
      <c r="R192" s="93" t="e">
        <f ca="1"/>
        <v>#N/A</v>
      </c>
      <c r="S192" s="62" t="e">
        <f t="shared" ca="1" si="22"/>
        <v>#N/A</v>
      </c>
      <c r="T192" s="62" t="e">
        <f t="shared" ca="1" si="17"/>
        <v>#N/A</v>
      </c>
      <c r="U192" s="62" t="e">
        <f t="shared" ca="1" si="18"/>
        <v>#N/A</v>
      </c>
      <c r="V192" s="62" t="e">
        <f t="shared" ca="1" si="19"/>
        <v>#N/A</v>
      </c>
      <c r="W192" s="60" t="e">
        <f t="shared" ca="1" si="20"/>
        <v>#N/A</v>
      </c>
      <c r="X192" s="60" t="e">
        <f t="shared" ca="1" si="23"/>
        <v>#N/A</v>
      </c>
      <c r="Y192" s="60" t="e">
        <f t="shared" ca="1" si="21"/>
        <v>#N/A</v>
      </c>
      <c r="Z192" s="60" t="e">
        <f ca="1">VLOOKUP(S192,ModelOutputs,13,FALSE)</f>
        <v>#N/A</v>
      </c>
    </row>
    <row r="193" spans="18:26" x14ac:dyDescent="0.25">
      <c r="R193" s="93" t="e">
        <f ca="1"/>
        <v>#N/A</v>
      </c>
      <c r="S193" s="62" t="e">
        <f t="shared" ca="1" si="22"/>
        <v>#N/A</v>
      </c>
      <c r="T193" s="62" t="e">
        <f t="shared" ca="1" si="17"/>
        <v>#N/A</v>
      </c>
      <c r="U193" s="62" t="e">
        <f t="shared" ca="1" si="18"/>
        <v>#N/A</v>
      </c>
      <c r="V193" s="62" t="e">
        <f t="shared" ca="1" si="19"/>
        <v>#N/A</v>
      </c>
      <c r="W193" s="60" t="e">
        <f t="shared" ca="1" si="20"/>
        <v>#N/A</v>
      </c>
      <c r="X193" s="60" t="e">
        <f t="shared" ca="1" si="23"/>
        <v>#N/A</v>
      </c>
      <c r="Y193" s="60" t="e">
        <f t="shared" ca="1" si="21"/>
        <v>#N/A</v>
      </c>
      <c r="Z193" s="60" t="e">
        <f ca="1">VLOOKUP(S193,ModelOutputs,13,FALSE)</f>
        <v>#N/A</v>
      </c>
    </row>
    <row r="194" spans="18:26" x14ac:dyDescent="0.25">
      <c r="R194" s="93" t="e">
        <f ca="1"/>
        <v>#N/A</v>
      </c>
      <c r="S194" s="62" t="e">
        <f t="shared" ca="1" si="22"/>
        <v>#N/A</v>
      </c>
      <c r="T194" s="62" t="e">
        <f t="shared" ca="1" si="17"/>
        <v>#N/A</v>
      </c>
      <c r="U194" s="62" t="e">
        <f t="shared" ca="1" si="18"/>
        <v>#N/A</v>
      </c>
      <c r="V194" s="62" t="e">
        <f t="shared" ca="1" si="19"/>
        <v>#N/A</v>
      </c>
      <c r="W194" s="60" t="e">
        <f t="shared" ca="1" si="20"/>
        <v>#N/A</v>
      </c>
      <c r="X194" s="60" t="e">
        <f t="shared" ca="1" si="23"/>
        <v>#N/A</v>
      </c>
      <c r="Y194" s="60" t="e">
        <f t="shared" ca="1" si="21"/>
        <v>#N/A</v>
      </c>
      <c r="Z194" s="60" t="e">
        <f ca="1">VLOOKUP(S194,ModelOutputs,13,FALSE)</f>
        <v>#N/A</v>
      </c>
    </row>
    <row r="195" spans="18:26" x14ac:dyDescent="0.25">
      <c r="R195" s="93" t="e">
        <f ca="1"/>
        <v>#N/A</v>
      </c>
      <c r="S195" s="62" t="e">
        <f t="shared" ca="1" si="22"/>
        <v>#N/A</v>
      </c>
      <c r="T195" s="62" t="e">
        <f t="shared" ca="1" si="17"/>
        <v>#N/A</v>
      </c>
      <c r="U195" s="62" t="e">
        <f t="shared" ca="1" si="18"/>
        <v>#N/A</v>
      </c>
      <c r="V195" s="62" t="e">
        <f t="shared" ca="1" si="19"/>
        <v>#N/A</v>
      </c>
      <c r="W195" s="60" t="e">
        <f t="shared" ca="1" si="20"/>
        <v>#N/A</v>
      </c>
      <c r="X195" s="60" t="e">
        <f t="shared" ca="1" si="23"/>
        <v>#N/A</v>
      </c>
      <c r="Y195" s="60" t="e">
        <f t="shared" ca="1" si="21"/>
        <v>#N/A</v>
      </c>
      <c r="Z195" s="60" t="e">
        <f ca="1">VLOOKUP(S195,ModelOutputs,13,FALSE)</f>
        <v>#N/A</v>
      </c>
    </row>
    <row r="196" spans="18:26" x14ac:dyDescent="0.25">
      <c r="R196" s="93" t="e">
        <f ca="1"/>
        <v>#N/A</v>
      </c>
      <c r="S196" s="62" t="e">
        <f t="shared" ca="1" si="22"/>
        <v>#N/A</v>
      </c>
      <c r="T196" s="62" t="e">
        <f t="shared" ca="1" si="17"/>
        <v>#N/A</v>
      </c>
      <c r="U196" s="62" t="e">
        <f t="shared" ca="1" si="18"/>
        <v>#N/A</v>
      </c>
      <c r="V196" s="62" t="e">
        <f t="shared" ca="1" si="19"/>
        <v>#N/A</v>
      </c>
      <c r="W196" s="60" t="e">
        <f t="shared" ca="1" si="20"/>
        <v>#N/A</v>
      </c>
      <c r="X196" s="60" t="e">
        <f t="shared" ca="1" si="23"/>
        <v>#N/A</v>
      </c>
      <c r="Y196" s="60" t="e">
        <f t="shared" ca="1" si="21"/>
        <v>#N/A</v>
      </c>
      <c r="Z196" s="60" t="e">
        <f ca="1">VLOOKUP(S196,ModelOutputs,13,FALSE)</f>
        <v>#N/A</v>
      </c>
    </row>
    <row r="197" spans="18:26" x14ac:dyDescent="0.25">
      <c r="R197" s="93" t="e">
        <f ca="1"/>
        <v>#N/A</v>
      </c>
      <c r="S197" s="62" t="e">
        <f t="shared" ca="1" si="22"/>
        <v>#N/A</v>
      </c>
      <c r="T197" s="62" t="e">
        <f t="shared" ca="1" si="17"/>
        <v>#N/A</v>
      </c>
      <c r="U197" s="62" t="e">
        <f t="shared" ca="1" si="18"/>
        <v>#N/A</v>
      </c>
      <c r="V197" s="62" t="e">
        <f t="shared" ca="1" si="19"/>
        <v>#N/A</v>
      </c>
      <c r="W197" s="60" t="e">
        <f t="shared" ca="1" si="20"/>
        <v>#N/A</v>
      </c>
      <c r="X197" s="60" t="e">
        <f t="shared" ca="1" si="23"/>
        <v>#N/A</v>
      </c>
      <c r="Y197" s="60" t="e">
        <f t="shared" ca="1" si="21"/>
        <v>#N/A</v>
      </c>
      <c r="Z197" s="60" t="e">
        <f ca="1">VLOOKUP(S197,ModelOutputs,13,FALSE)</f>
        <v>#N/A</v>
      </c>
    </row>
    <row r="198" spans="18:26" x14ac:dyDescent="0.25">
      <c r="R198" s="93" t="e">
        <f ca="1"/>
        <v>#N/A</v>
      </c>
      <c r="S198" s="62" t="e">
        <f t="shared" ca="1" si="22"/>
        <v>#N/A</v>
      </c>
      <c r="T198" s="62" t="e">
        <f t="shared" ca="1" si="17"/>
        <v>#N/A</v>
      </c>
      <c r="U198" s="62" t="e">
        <f t="shared" ca="1" si="18"/>
        <v>#N/A</v>
      </c>
      <c r="V198" s="62" t="e">
        <f t="shared" ca="1" si="19"/>
        <v>#N/A</v>
      </c>
      <c r="W198" s="60" t="e">
        <f t="shared" ca="1" si="20"/>
        <v>#N/A</v>
      </c>
      <c r="X198" s="60" t="e">
        <f t="shared" ca="1" si="23"/>
        <v>#N/A</v>
      </c>
      <c r="Y198" s="60" t="e">
        <f t="shared" ca="1" si="21"/>
        <v>#N/A</v>
      </c>
      <c r="Z198" s="60" t="e">
        <f ca="1">VLOOKUP(S198,ModelOutputs,13,FALSE)</f>
        <v>#N/A</v>
      </c>
    </row>
    <row r="199" spans="18:26" x14ac:dyDescent="0.25">
      <c r="R199" s="93" t="e">
        <f ca="1"/>
        <v>#N/A</v>
      </c>
      <c r="S199" s="62" t="e">
        <f t="shared" ca="1" si="22"/>
        <v>#N/A</v>
      </c>
      <c r="T199" s="62" t="e">
        <f t="shared" ca="1" si="17"/>
        <v>#N/A</v>
      </c>
      <c r="U199" s="62" t="e">
        <f t="shared" ca="1" si="18"/>
        <v>#N/A</v>
      </c>
      <c r="V199" s="62" t="e">
        <f t="shared" ca="1" si="19"/>
        <v>#N/A</v>
      </c>
      <c r="W199" s="60" t="e">
        <f t="shared" ca="1" si="20"/>
        <v>#N/A</v>
      </c>
      <c r="X199" s="60" t="e">
        <f t="shared" ca="1" si="23"/>
        <v>#N/A</v>
      </c>
      <c r="Y199" s="60" t="e">
        <f t="shared" ca="1" si="21"/>
        <v>#N/A</v>
      </c>
      <c r="Z199" s="60" t="e">
        <f ca="1">VLOOKUP(S199,ModelOutputs,13,FALSE)</f>
        <v>#N/A</v>
      </c>
    </row>
    <row r="200" spans="18:26" x14ac:dyDescent="0.25">
      <c r="R200" s="93" t="e">
        <f ca="1"/>
        <v>#N/A</v>
      </c>
      <c r="S200" s="62" t="e">
        <f t="shared" ca="1" si="22"/>
        <v>#N/A</v>
      </c>
      <c r="T200" s="62" t="e">
        <f t="shared" ca="1" si="17"/>
        <v>#N/A</v>
      </c>
      <c r="U200" s="62" t="e">
        <f t="shared" ca="1" si="18"/>
        <v>#N/A</v>
      </c>
      <c r="V200" s="62" t="e">
        <f t="shared" ca="1" si="19"/>
        <v>#N/A</v>
      </c>
      <c r="W200" s="60" t="e">
        <f t="shared" ca="1" si="20"/>
        <v>#N/A</v>
      </c>
      <c r="X200" s="60" t="e">
        <f t="shared" ca="1" si="23"/>
        <v>#N/A</v>
      </c>
      <c r="Y200" s="60" t="e">
        <f t="shared" ca="1" si="21"/>
        <v>#N/A</v>
      </c>
      <c r="Z200" s="60" t="e">
        <f ca="1">VLOOKUP(S200,ModelOutputs,13,FALSE)</f>
        <v>#N/A</v>
      </c>
    </row>
    <row r="201" spans="18:26" x14ac:dyDescent="0.25">
      <c r="R201" s="93" t="e">
        <f ca="1"/>
        <v>#N/A</v>
      </c>
      <c r="S201" s="62" t="e">
        <f t="shared" ca="1" si="22"/>
        <v>#N/A</v>
      </c>
      <c r="T201" s="62" t="e">
        <f t="shared" ca="1" si="17"/>
        <v>#N/A</v>
      </c>
      <c r="U201" s="62" t="e">
        <f t="shared" ca="1" si="18"/>
        <v>#N/A</v>
      </c>
      <c r="V201" s="62" t="e">
        <f t="shared" ca="1" si="19"/>
        <v>#N/A</v>
      </c>
      <c r="W201" s="60" t="e">
        <f t="shared" ca="1" si="20"/>
        <v>#N/A</v>
      </c>
      <c r="X201" s="60" t="e">
        <f t="shared" ca="1" si="23"/>
        <v>#N/A</v>
      </c>
      <c r="Y201" s="60" t="e">
        <f t="shared" ca="1" si="21"/>
        <v>#N/A</v>
      </c>
      <c r="Z201" s="60" t="e">
        <f ca="1">VLOOKUP(S201,ModelOutputs,13,FALSE)</f>
        <v>#N/A</v>
      </c>
    </row>
    <row r="202" spans="18:26" x14ac:dyDescent="0.25">
      <c r="R202" s="93" t="e">
        <f ca="1"/>
        <v>#N/A</v>
      </c>
      <c r="S202" s="62" t="e">
        <f t="shared" ca="1" si="22"/>
        <v>#N/A</v>
      </c>
      <c r="T202" s="62" t="e">
        <f t="shared" ca="1" si="17"/>
        <v>#N/A</v>
      </c>
      <c r="U202" s="62" t="e">
        <f t="shared" ca="1" si="18"/>
        <v>#N/A</v>
      </c>
      <c r="V202" s="62" t="e">
        <f t="shared" ca="1" si="19"/>
        <v>#N/A</v>
      </c>
      <c r="W202" s="60" t="e">
        <f t="shared" ca="1" si="20"/>
        <v>#N/A</v>
      </c>
      <c r="X202" s="60" t="e">
        <f t="shared" ca="1" si="23"/>
        <v>#N/A</v>
      </c>
      <c r="Y202" s="60" t="e">
        <f t="shared" ca="1" si="21"/>
        <v>#N/A</v>
      </c>
      <c r="Z202" s="60" t="e">
        <f ca="1">VLOOKUP(S202,ModelOutputs,13,FALSE)</f>
        <v>#N/A</v>
      </c>
    </row>
    <row r="203" spans="18:26" x14ac:dyDescent="0.25">
      <c r="R203" s="93" t="e">
        <f ca="1"/>
        <v>#N/A</v>
      </c>
      <c r="S203" s="62" t="e">
        <f t="shared" ca="1" si="22"/>
        <v>#N/A</v>
      </c>
      <c r="T203" s="62" t="e">
        <f t="shared" ca="1" si="17"/>
        <v>#N/A</v>
      </c>
      <c r="U203" s="62" t="e">
        <f t="shared" ca="1" si="18"/>
        <v>#N/A</v>
      </c>
      <c r="V203" s="62" t="e">
        <f t="shared" ca="1" si="19"/>
        <v>#N/A</v>
      </c>
      <c r="W203" s="60" t="e">
        <f t="shared" ca="1" si="20"/>
        <v>#N/A</v>
      </c>
      <c r="X203" s="60" t="e">
        <f t="shared" ca="1" si="23"/>
        <v>#N/A</v>
      </c>
      <c r="Y203" s="60" t="e">
        <f t="shared" ca="1" si="21"/>
        <v>#N/A</v>
      </c>
      <c r="Z203" s="60" t="e">
        <f ca="1">VLOOKUP(S203,ModelOutputs,13,FALSE)</f>
        <v>#N/A</v>
      </c>
    </row>
    <row r="204" spans="18:26" x14ac:dyDescent="0.25">
      <c r="R204" s="93" t="e">
        <f ca="1"/>
        <v>#N/A</v>
      </c>
      <c r="S204" s="62" t="e">
        <f t="shared" ca="1" si="22"/>
        <v>#N/A</v>
      </c>
      <c r="T204" s="62" t="e">
        <f t="shared" ca="1" si="17"/>
        <v>#N/A</v>
      </c>
      <c r="U204" s="62" t="e">
        <f t="shared" ca="1" si="18"/>
        <v>#N/A</v>
      </c>
      <c r="V204" s="62" t="e">
        <f t="shared" ca="1" si="19"/>
        <v>#N/A</v>
      </c>
      <c r="W204" s="60" t="e">
        <f t="shared" ca="1" si="20"/>
        <v>#N/A</v>
      </c>
      <c r="X204" s="60" t="e">
        <f t="shared" ca="1" si="23"/>
        <v>#N/A</v>
      </c>
      <c r="Y204" s="60" t="e">
        <f t="shared" ca="1" si="21"/>
        <v>#N/A</v>
      </c>
      <c r="Z204" s="60" t="e">
        <f ca="1">VLOOKUP(S204,ModelOutputs,13,FALSE)</f>
        <v>#N/A</v>
      </c>
    </row>
    <row r="205" spans="18:26" x14ac:dyDescent="0.25">
      <c r="R205" s="93" t="e">
        <f ca="1"/>
        <v>#N/A</v>
      </c>
      <c r="S205" s="62" t="e">
        <f t="shared" ca="1" si="22"/>
        <v>#N/A</v>
      </c>
      <c r="T205" s="62" t="e">
        <f t="shared" ca="1" si="17"/>
        <v>#N/A</v>
      </c>
      <c r="U205" s="62" t="e">
        <f t="shared" ca="1" si="18"/>
        <v>#N/A</v>
      </c>
      <c r="V205" s="62" t="e">
        <f t="shared" ca="1" si="19"/>
        <v>#N/A</v>
      </c>
      <c r="W205" s="60" t="e">
        <f t="shared" ca="1" si="20"/>
        <v>#N/A</v>
      </c>
      <c r="X205" s="60" t="e">
        <f t="shared" ca="1" si="23"/>
        <v>#N/A</v>
      </c>
      <c r="Y205" s="60" t="e">
        <f t="shared" ca="1" si="21"/>
        <v>#N/A</v>
      </c>
      <c r="Z205" s="60" t="e">
        <f ca="1">VLOOKUP(S205,ModelOutputs,13,FALSE)</f>
        <v>#N/A</v>
      </c>
    </row>
    <row r="206" spans="18:26" x14ac:dyDescent="0.25">
      <c r="R206" s="93" t="e">
        <f ca="1"/>
        <v>#N/A</v>
      </c>
      <c r="S206" s="62" t="e">
        <f t="shared" ca="1" si="22"/>
        <v>#N/A</v>
      </c>
      <c r="T206" s="62" t="e">
        <f t="shared" ca="1" si="17"/>
        <v>#N/A</v>
      </c>
      <c r="U206" s="62" t="e">
        <f t="shared" ca="1" si="18"/>
        <v>#N/A</v>
      </c>
      <c r="V206" s="62" t="e">
        <f t="shared" ca="1" si="19"/>
        <v>#N/A</v>
      </c>
      <c r="W206" s="60" t="e">
        <f t="shared" ca="1" si="20"/>
        <v>#N/A</v>
      </c>
      <c r="X206" s="60" t="e">
        <f t="shared" ca="1" si="23"/>
        <v>#N/A</v>
      </c>
      <c r="Y206" s="60" t="e">
        <f t="shared" ca="1" si="21"/>
        <v>#N/A</v>
      </c>
      <c r="Z206" s="60" t="e">
        <f ca="1">VLOOKUP(S206,ModelOutputs,13,FALSE)</f>
        <v>#N/A</v>
      </c>
    </row>
    <row r="207" spans="18:26" x14ac:dyDescent="0.25">
      <c r="R207" s="93" t="e">
        <f ca="1"/>
        <v>#N/A</v>
      </c>
      <c r="S207" s="62" t="e">
        <f t="shared" ca="1" si="22"/>
        <v>#N/A</v>
      </c>
      <c r="T207" s="62" t="e">
        <f t="shared" ca="1" si="17"/>
        <v>#N/A</v>
      </c>
      <c r="U207" s="62" t="e">
        <f t="shared" ca="1" si="18"/>
        <v>#N/A</v>
      </c>
      <c r="V207" s="62" t="e">
        <f t="shared" ca="1" si="19"/>
        <v>#N/A</v>
      </c>
      <c r="W207" s="60" t="e">
        <f t="shared" ca="1" si="20"/>
        <v>#N/A</v>
      </c>
      <c r="X207" s="60" t="e">
        <f t="shared" ca="1" si="23"/>
        <v>#N/A</v>
      </c>
      <c r="Y207" s="60" t="e">
        <f t="shared" ca="1" si="21"/>
        <v>#N/A</v>
      </c>
      <c r="Z207" s="60" t="e">
        <f ca="1">VLOOKUP(S207,ModelOutputs,13,FALSE)</f>
        <v>#N/A</v>
      </c>
    </row>
    <row r="208" spans="18:26" x14ac:dyDescent="0.25">
      <c r="R208" s="93" t="e">
        <f ca="1"/>
        <v>#N/A</v>
      </c>
      <c r="S208" s="62" t="e">
        <f t="shared" ca="1" si="22"/>
        <v>#N/A</v>
      </c>
      <c r="T208" s="62" t="e">
        <f t="shared" ca="1" si="17"/>
        <v>#N/A</v>
      </c>
      <c r="U208" s="62" t="e">
        <f t="shared" ca="1" si="18"/>
        <v>#N/A</v>
      </c>
      <c r="V208" s="62" t="e">
        <f t="shared" ca="1" si="19"/>
        <v>#N/A</v>
      </c>
      <c r="W208" s="60" t="e">
        <f t="shared" ca="1" si="20"/>
        <v>#N/A</v>
      </c>
      <c r="X208" s="60" t="e">
        <f t="shared" ca="1" si="23"/>
        <v>#N/A</v>
      </c>
      <c r="Y208" s="60" t="e">
        <f t="shared" ca="1" si="21"/>
        <v>#N/A</v>
      </c>
      <c r="Z208" s="60" t="e">
        <f ca="1">VLOOKUP(S208,ModelOutputs,13,FALSE)</f>
        <v>#N/A</v>
      </c>
    </row>
    <row r="209" spans="18:26" x14ac:dyDescent="0.25">
      <c r="R209" s="93" t="e">
        <f ca="1"/>
        <v>#N/A</v>
      </c>
      <c r="S209" s="62" t="e">
        <f t="shared" ca="1" si="22"/>
        <v>#N/A</v>
      </c>
      <c r="T209" s="62" t="e">
        <f t="shared" ca="1" si="17"/>
        <v>#N/A</v>
      </c>
      <c r="U209" s="62" t="e">
        <f t="shared" ca="1" si="18"/>
        <v>#N/A</v>
      </c>
      <c r="V209" s="62" t="e">
        <f t="shared" ca="1" si="19"/>
        <v>#N/A</v>
      </c>
      <c r="W209" s="60" t="e">
        <f t="shared" ca="1" si="20"/>
        <v>#N/A</v>
      </c>
      <c r="X209" s="60" t="e">
        <f t="shared" ca="1" si="23"/>
        <v>#N/A</v>
      </c>
      <c r="Y209" s="60" t="e">
        <f t="shared" ca="1" si="21"/>
        <v>#N/A</v>
      </c>
      <c r="Z209" s="60" t="e">
        <f ca="1">VLOOKUP(S209,ModelOutputs,13,FALSE)</f>
        <v>#N/A</v>
      </c>
    </row>
    <row r="210" spans="18:26" x14ac:dyDescent="0.25">
      <c r="R210" s="93" t="e">
        <f ca="1"/>
        <v>#N/A</v>
      </c>
      <c r="S210" s="62" t="e">
        <f t="shared" ca="1" si="22"/>
        <v>#N/A</v>
      </c>
      <c r="T210" s="62" t="e">
        <f t="shared" ref="T210:T273" ca="1" si="24">VLOOKUP(S210,ModelOutputs,2,FALSE)</f>
        <v>#N/A</v>
      </c>
      <c r="U210" s="62" t="e">
        <f t="shared" ref="U210:U273" ca="1" si="25">VLOOKUP(S210,ModelOutputs,7,FALSE)</f>
        <v>#N/A</v>
      </c>
      <c r="V210" s="62" t="e">
        <f t="shared" ref="V210:V273" ca="1" si="26">VLOOKUP(S210,ModelOutputs,6,FALSE)</f>
        <v>#N/A</v>
      </c>
      <c r="W210" s="60" t="e">
        <f t="shared" ref="W210:W273" ca="1" si="27">VLOOKUP(S210,ModelOutputs,10,FALSE)*AWC</f>
        <v>#N/A</v>
      </c>
      <c r="X210" s="60" t="e">
        <f t="shared" ca="1" si="23"/>
        <v>#N/A</v>
      </c>
      <c r="Y210" s="60" t="e">
        <f t="shared" ref="Y210:Y273" ca="1" si="28">VLOOKUP(S210,ModelOutputs,12,FALSE)</f>
        <v>#N/A</v>
      </c>
      <c r="Z210" s="60" t="e">
        <f ca="1">VLOOKUP(S210,ModelOutputs,13,FALSE)</f>
        <v>#N/A</v>
      </c>
    </row>
    <row r="211" spans="18:26" x14ac:dyDescent="0.25">
      <c r="R211" s="93" t="e">
        <f ca="1"/>
        <v>#N/A</v>
      </c>
      <c r="S211" s="62" t="e">
        <f t="shared" ref="S211:S274" ca="1" si="29">IF(R211&gt;1,R211,"")</f>
        <v>#N/A</v>
      </c>
      <c r="T211" s="62" t="e">
        <f t="shared" ca="1" si="24"/>
        <v>#N/A</v>
      </c>
      <c r="U211" s="62" t="e">
        <f t="shared" ca="1" si="25"/>
        <v>#N/A</v>
      </c>
      <c r="V211" s="62" t="e">
        <f t="shared" ca="1" si="26"/>
        <v>#N/A</v>
      </c>
      <c r="W211" s="60" t="e">
        <f t="shared" ca="1" si="27"/>
        <v>#N/A</v>
      </c>
      <c r="X211" s="60" t="e">
        <f t="shared" ref="X211:X274" ca="1" si="30">VLOOKUP(S211,ModelOutputs,11,FALSE)+X210</f>
        <v>#N/A</v>
      </c>
      <c r="Y211" s="60" t="e">
        <f t="shared" ca="1" si="28"/>
        <v>#N/A</v>
      </c>
      <c r="Z211" s="60" t="e">
        <f ca="1">VLOOKUP(S211,ModelOutputs,13,FALSE)</f>
        <v>#N/A</v>
      </c>
    </row>
    <row r="212" spans="18:26" x14ac:dyDescent="0.25">
      <c r="R212" s="93" t="e">
        <f ca="1"/>
        <v>#N/A</v>
      </c>
      <c r="S212" s="62" t="e">
        <f t="shared" ca="1" si="29"/>
        <v>#N/A</v>
      </c>
      <c r="T212" s="62" t="e">
        <f t="shared" ca="1" si="24"/>
        <v>#N/A</v>
      </c>
      <c r="U212" s="62" t="e">
        <f t="shared" ca="1" si="25"/>
        <v>#N/A</v>
      </c>
      <c r="V212" s="62" t="e">
        <f t="shared" ca="1" si="26"/>
        <v>#N/A</v>
      </c>
      <c r="W212" s="60" t="e">
        <f t="shared" ca="1" si="27"/>
        <v>#N/A</v>
      </c>
      <c r="X212" s="60" t="e">
        <f t="shared" ca="1" si="30"/>
        <v>#N/A</v>
      </c>
      <c r="Y212" s="60" t="e">
        <f t="shared" ca="1" si="28"/>
        <v>#N/A</v>
      </c>
      <c r="Z212" s="60" t="e">
        <f ca="1">VLOOKUP(S212,ModelOutputs,13,FALSE)</f>
        <v>#N/A</v>
      </c>
    </row>
    <row r="213" spans="18:26" x14ac:dyDescent="0.25">
      <c r="R213" s="93" t="e">
        <f ca="1"/>
        <v>#N/A</v>
      </c>
      <c r="S213" s="62" t="e">
        <f t="shared" ca="1" si="29"/>
        <v>#N/A</v>
      </c>
      <c r="T213" s="62" t="e">
        <f t="shared" ca="1" si="24"/>
        <v>#N/A</v>
      </c>
      <c r="U213" s="62" t="e">
        <f t="shared" ca="1" si="25"/>
        <v>#N/A</v>
      </c>
      <c r="V213" s="62" t="e">
        <f t="shared" ca="1" si="26"/>
        <v>#N/A</v>
      </c>
      <c r="W213" s="60" t="e">
        <f t="shared" ca="1" si="27"/>
        <v>#N/A</v>
      </c>
      <c r="X213" s="60" t="e">
        <f t="shared" ca="1" si="30"/>
        <v>#N/A</v>
      </c>
      <c r="Y213" s="60" t="e">
        <f t="shared" ca="1" si="28"/>
        <v>#N/A</v>
      </c>
      <c r="Z213" s="60" t="e">
        <f ca="1">VLOOKUP(S213,ModelOutputs,13,FALSE)</f>
        <v>#N/A</v>
      </c>
    </row>
    <row r="214" spans="18:26" x14ac:dyDescent="0.25">
      <c r="R214" s="93" t="e">
        <f ca="1"/>
        <v>#N/A</v>
      </c>
      <c r="S214" s="62" t="e">
        <f t="shared" ca="1" si="29"/>
        <v>#N/A</v>
      </c>
      <c r="T214" s="62" t="e">
        <f t="shared" ca="1" si="24"/>
        <v>#N/A</v>
      </c>
      <c r="U214" s="62" t="e">
        <f t="shared" ca="1" si="25"/>
        <v>#N/A</v>
      </c>
      <c r="V214" s="62" t="e">
        <f t="shared" ca="1" si="26"/>
        <v>#N/A</v>
      </c>
      <c r="W214" s="60" t="e">
        <f t="shared" ca="1" si="27"/>
        <v>#N/A</v>
      </c>
      <c r="X214" s="60" t="e">
        <f t="shared" ca="1" si="30"/>
        <v>#N/A</v>
      </c>
      <c r="Y214" s="60" t="e">
        <f t="shared" ca="1" si="28"/>
        <v>#N/A</v>
      </c>
      <c r="Z214" s="60" t="e">
        <f ca="1">VLOOKUP(S214,ModelOutputs,13,FALSE)</f>
        <v>#N/A</v>
      </c>
    </row>
    <row r="215" spans="18:26" x14ac:dyDescent="0.25">
      <c r="R215" s="93" t="e">
        <f ca="1"/>
        <v>#N/A</v>
      </c>
      <c r="S215" s="62" t="e">
        <f t="shared" ca="1" si="29"/>
        <v>#N/A</v>
      </c>
      <c r="T215" s="62" t="e">
        <f t="shared" ca="1" si="24"/>
        <v>#N/A</v>
      </c>
      <c r="U215" s="62" t="e">
        <f t="shared" ca="1" si="25"/>
        <v>#N/A</v>
      </c>
      <c r="V215" s="62" t="e">
        <f t="shared" ca="1" si="26"/>
        <v>#N/A</v>
      </c>
      <c r="W215" s="60" t="e">
        <f t="shared" ca="1" si="27"/>
        <v>#N/A</v>
      </c>
      <c r="X215" s="60" t="e">
        <f t="shared" ca="1" si="30"/>
        <v>#N/A</v>
      </c>
      <c r="Y215" s="60" t="e">
        <f t="shared" ca="1" si="28"/>
        <v>#N/A</v>
      </c>
      <c r="Z215" s="60" t="e">
        <f ca="1">VLOOKUP(S215,ModelOutputs,13,FALSE)</f>
        <v>#N/A</v>
      </c>
    </row>
    <row r="216" spans="18:26" x14ac:dyDescent="0.25">
      <c r="R216" s="93" t="e">
        <f ca="1"/>
        <v>#N/A</v>
      </c>
      <c r="S216" s="62" t="e">
        <f t="shared" ca="1" si="29"/>
        <v>#N/A</v>
      </c>
      <c r="T216" s="62" t="e">
        <f t="shared" ca="1" si="24"/>
        <v>#N/A</v>
      </c>
      <c r="U216" s="62" t="e">
        <f t="shared" ca="1" si="25"/>
        <v>#N/A</v>
      </c>
      <c r="V216" s="62" t="e">
        <f t="shared" ca="1" si="26"/>
        <v>#N/A</v>
      </c>
      <c r="W216" s="60" t="e">
        <f t="shared" ca="1" si="27"/>
        <v>#N/A</v>
      </c>
      <c r="X216" s="60" t="e">
        <f t="shared" ca="1" si="30"/>
        <v>#N/A</v>
      </c>
      <c r="Y216" s="60" t="e">
        <f t="shared" ca="1" si="28"/>
        <v>#N/A</v>
      </c>
      <c r="Z216" s="60" t="e">
        <f ca="1">VLOOKUP(S216,ModelOutputs,13,FALSE)</f>
        <v>#N/A</v>
      </c>
    </row>
    <row r="217" spans="18:26" x14ac:dyDescent="0.25">
      <c r="R217" s="93" t="e">
        <f ca="1"/>
        <v>#N/A</v>
      </c>
      <c r="S217" s="62" t="e">
        <f t="shared" ca="1" si="29"/>
        <v>#N/A</v>
      </c>
      <c r="T217" s="62" t="e">
        <f t="shared" ca="1" si="24"/>
        <v>#N/A</v>
      </c>
      <c r="U217" s="62" t="e">
        <f t="shared" ca="1" si="25"/>
        <v>#N/A</v>
      </c>
      <c r="V217" s="62" t="e">
        <f t="shared" ca="1" si="26"/>
        <v>#N/A</v>
      </c>
      <c r="W217" s="60" t="e">
        <f t="shared" ca="1" si="27"/>
        <v>#N/A</v>
      </c>
      <c r="X217" s="60" t="e">
        <f t="shared" ca="1" si="30"/>
        <v>#N/A</v>
      </c>
      <c r="Y217" s="60" t="e">
        <f t="shared" ca="1" si="28"/>
        <v>#N/A</v>
      </c>
      <c r="Z217" s="60" t="e">
        <f ca="1">VLOOKUP(S217,ModelOutputs,13,FALSE)</f>
        <v>#N/A</v>
      </c>
    </row>
    <row r="218" spans="18:26" x14ac:dyDescent="0.25">
      <c r="R218" s="93" t="e">
        <f ca="1"/>
        <v>#N/A</v>
      </c>
      <c r="S218" s="62" t="e">
        <f t="shared" ca="1" si="29"/>
        <v>#N/A</v>
      </c>
      <c r="T218" s="62" t="e">
        <f t="shared" ca="1" si="24"/>
        <v>#N/A</v>
      </c>
      <c r="U218" s="62" t="e">
        <f t="shared" ca="1" si="25"/>
        <v>#N/A</v>
      </c>
      <c r="V218" s="62" t="e">
        <f t="shared" ca="1" si="26"/>
        <v>#N/A</v>
      </c>
      <c r="W218" s="60" t="e">
        <f t="shared" ca="1" si="27"/>
        <v>#N/A</v>
      </c>
      <c r="X218" s="60" t="e">
        <f t="shared" ca="1" si="30"/>
        <v>#N/A</v>
      </c>
      <c r="Y218" s="60" t="e">
        <f t="shared" ca="1" si="28"/>
        <v>#N/A</v>
      </c>
      <c r="Z218" s="60" t="e">
        <f ca="1">VLOOKUP(S218,ModelOutputs,13,FALSE)</f>
        <v>#N/A</v>
      </c>
    </row>
    <row r="219" spans="18:26" x14ac:dyDescent="0.25">
      <c r="R219" s="93" t="e">
        <f ca="1"/>
        <v>#N/A</v>
      </c>
      <c r="S219" s="62" t="e">
        <f t="shared" ca="1" si="29"/>
        <v>#N/A</v>
      </c>
      <c r="T219" s="62" t="e">
        <f t="shared" ca="1" si="24"/>
        <v>#N/A</v>
      </c>
      <c r="U219" s="62" t="e">
        <f t="shared" ca="1" si="25"/>
        <v>#N/A</v>
      </c>
      <c r="V219" s="62" t="e">
        <f t="shared" ca="1" si="26"/>
        <v>#N/A</v>
      </c>
      <c r="W219" s="60" t="e">
        <f t="shared" ca="1" si="27"/>
        <v>#N/A</v>
      </c>
      <c r="X219" s="60" t="e">
        <f t="shared" ca="1" si="30"/>
        <v>#N/A</v>
      </c>
      <c r="Y219" s="60" t="e">
        <f t="shared" ca="1" si="28"/>
        <v>#N/A</v>
      </c>
      <c r="Z219" s="60" t="e">
        <f ca="1">VLOOKUP(S219,ModelOutputs,13,FALSE)</f>
        <v>#N/A</v>
      </c>
    </row>
    <row r="220" spans="18:26" x14ac:dyDescent="0.25">
      <c r="R220" s="93" t="e">
        <f ca="1"/>
        <v>#N/A</v>
      </c>
      <c r="S220" s="62" t="e">
        <f t="shared" ca="1" si="29"/>
        <v>#N/A</v>
      </c>
      <c r="T220" s="62" t="e">
        <f t="shared" ca="1" si="24"/>
        <v>#N/A</v>
      </c>
      <c r="U220" s="62" t="e">
        <f t="shared" ca="1" si="25"/>
        <v>#N/A</v>
      </c>
      <c r="V220" s="62" t="e">
        <f t="shared" ca="1" si="26"/>
        <v>#N/A</v>
      </c>
      <c r="W220" s="60" t="e">
        <f t="shared" ca="1" si="27"/>
        <v>#N/A</v>
      </c>
      <c r="X220" s="60" t="e">
        <f t="shared" ca="1" si="30"/>
        <v>#N/A</v>
      </c>
      <c r="Y220" s="60" t="e">
        <f t="shared" ca="1" si="28"/>
        <v>#N/A</v>
      </c>
      <c r="Z220" s="60" t="e">
        <f ca="1">VLOOKUP(S220,ModelOutputs,13,FALSE)</f>
        <v>#N/A</v>
      </c>
    </row>
    <row r="221" spans="18:26" x14ac:dyDescent="0.25">
      <c r="R221" s="93" t="e">
        <f ca="1"/>
        <v>#N/A</v>
      </c>
      <c r="S221" s="62" t="e">
        <f t="shared" ca="1" si="29"/>
        <v>#N/A</v>
      </c>
      <c r="T221" s="62" t="e">
        <f t="shared" ca="1" si="24"/>
        <v>#N/A</v>
      </c>
      <c r="U221" s="62" t="e">
        <f t="shared" ca="1" si="25"/>
        <v>#N/A</v>
      </c>
      <c r="V221" s="62" t="e">
        <f t="shared" ca="1" si="26"/>
        <v>#N/A</v>
      </c>
      <c r="W221" s="60" t="e">
        <f t="shared" ca="1" si="27"/>
        <v>#N/A</v>
      </c>
      <c r="X221" s="60" t="e">
        <f t="shared" ca="1" si="30"/>
        <v>#N/A</v>
      </c>
      <c r="Y221" s="60" t="e">
        <f t="shared" ca="1" si="28"/>
        <v>#N/A</v>
      </c>
      <c r="Z221" s="60" t="e">
        <f ca="1">VLOOKUP(S221,ModelOutputs,13,FALSE)</f>
        <v>#N/A</v>
      </c>
    </row>
    <row r="222" spans="18:26" x14ac:dyDescent="0.25">
      <c r="R222" s="93" t="e">
        <f ca="1"/>
        <v>#N/A</v>
      </c>
      <c r="S222" s="62" t="e">
        <f t="shared" ca="1" si="29"/>
        <v>#N/A</v>
      </c>
      <c r="T222" s="62" t="e">
        <f t="shared" ca="1" si="24"/>
        <v>#N/A</v>
      </c>
      <c r="U222" s="62" t="e">
        <f t="shared" ca="1" si="25"/>
        <v>#N/A</v>
      </c>
      <c r="V222" s="62" t="e">
        <f t="shared" ca="1" si="26"/>
        <v>#N/A</v>
      </c>
      <c r="W222" s="60" t="e">
        <f t="shared" ca="1" si="27"/>
        <v>#N/A</v>
      </c>
      <c r="X222" s="60" t="e">
        <f t="shared" ca="1" si="30"/>
        <v>#N/A</v>
      </c>
      <c r="Y222" s="60" t="e">
        <f t="shared" ca="1" si="28"/>
        <v>#N/A</v>
      </c>
      <c r="Z222" s="60" t="e">
        <f ca="1">VLOOKUP(S222,ModelOutputs,13,FALSE)</f>
        <v>#N/A</v>
      </c>
    </row>
    <row r="223" spans="18:26" x14ac:dyDescent="0.25">
      <c r="R223" s="93" t="e">
        <f ca="1"/>
        <v>#N/A</v>
      </c>
      <c r="S223" s="62" t="e">
        <f t="shared" ca="1" si="29"/>
        <v>#N/A</v>
      </c>
      <c r="T223" s="62" t="e">
        <f t="shared" ca="1" si="24"/>
        <v>#N/A</v>
      </c>
      <c r="U223" s="62" t="e">
        <f t="shared" ca="1" si="25"/>
        <v>#N/A</v>
      </c>
      <c r="V223" s="62" t="e">
        <f t="shared" ca="1" si="26"/>
        <v>#N/A</v>
      </c>
      <c r="W223" s="60" t="e">
        <f t="shared" ca="1" si="27"/>
        <v>#N/A</v>
      </c>
      <c r="X223" s="60" t="e">
        <f t="shared" ca="1" si="30"/>
        <v>#N/A</v>
      </c>
      <c r="Y223" s="60" t="e">
        <f t="shared" ca="1" si="28"/>
        <v>#N/A</v>
      </c>
      <c r="Z223" s="60" t="e">
        <f ca="1">VLOOKUP(S223,ModelOutputs,13,FALSE)</f>
        <v>#N/A</v>
      </c>
    </row>
    <row r="224" spans="18:26" x14ac:dyDescent="0.25">
      <c r="R224" s="93" t="e">
        <f ca="1"/>
        <v>#N/A</v>
      </c>
      <c r="S224" s="62" t="e">
        <f t="shared" ca="1" si="29"/>
        <v>#N/A</v>
      </c>
      <c r="T224" s="62" t="e">
        <f t="shared" ca="1" si="24"/>
        <v>#N/A</v>
      </c>
      <c r="U224" s="62" t="e">
        <f t="shared" ca="1" si="25"/>
        <v>#N/A</v>
      </c>
      <c r="V224" s="62" t="e">
        <f t="shared" ca="1" si="26"/>
        <v>#N/A</v>
      </c>
      <c r="W224" s="60" t="e">
        <f t="shared" ca="1" si="27"/>
        <v>#N/A</v>
      </c>
      <c r="X224" s="60" t="e">
        <f t="shared" ca="1" si="30"/>
        <v>#N/A</v>
      </c>
      <c r="Y224" s="60" t="e">
        <f t="shared" ca="1" si="28"/>
        <v>#N/A</v>
      </c>
      <c r="Z224" s="60" t="e">
        <f ca="1">VLOOKUP(S224,ModelOutputs,13,FALSE)</f>
        <v>#N/A</v>
      </c>
    </row>
    <row r="225" spans="18:26" x14ac:dyDescent="0.25">
      <c r="R225" s="93" t="e">
        <f ca="1"/>
        <v>#N/A</v>
      </c>
      <c r="S225" s="62" t="e">
        <f t="shared" ca="1" si="29"/>
        <v>#N/A</v>
      </c>
      <c r="T225" s="62" t="e">
        <f t="shared" ca="1" si="24"/>
        <v>#N/A</v>
      </c>
      <c r="U225" s="62" t="e">
        <f t="shared" ca="1" si="25"/>
        <v>#N/A</v>
      </c>
      <c r="V225" s="62" t="e">
        <f t="shared" ca="1" si="26"/>
        <v>#N/A</v>
      </c>
      <c r="W225" s="60" t="e">
        <f t="shared" ca="1" si="27"/>
        <v>#N/A</v>
      </c>
      <c r="X225" s="60" t="e">
        <f t="shared" ca="1" si="30"/>
        <v>#N/A</v>
      </c>
      <c r="Y225" s="60" t="e">
        <f t="shared" ca="1" si="28"/>
        <v>#N/A</v>
      </c>
      <c r="Z225" s="60" t="e">
        <f ca="1">VLOOKUP(S225,ModelOutputs,13,FALSE)</f>
        <v>#N/A</v>
      </c>
    </row>
    <row r="226" spans="18:26" x14ac:dyDescent="0.25">
      <c r="R226" s="93" t="e">
        <f ca="1"/>
        <v>#N/A</v>
      </c>
      <c r="S226" s="62" t="e">
        <f t="shared" ca="1" si="29"/>
        <v>#N/A</v>
      </c>
      <c r="T226" s="62" t="e">
        <f t="shared" ca="1" si="24"/>
        <v>#N/A</v>
      </c>
      <c r="U226" s="62" t="e">
        <f t="shared" ca="1" si="25"/>
        <v>#N/A</v>
      </c>
      <c r="V226" s="62" t="e">
        <f t="shared" ca="1" si="26"/>
        <v>#N/A</v>
      </c>
      <c r="W226" s="60" t="e">
        <f t="shared" ca="1" si="27"/>
        <v>#N/A</v>
      </c>
      <c r="X226" s="60" t="e">
        <f t="shared" ca="1" si="30"/>
        <v>#N/A</v>
      </c>
      <c r="Y226" s="60" t="e">
        <f t="shared" ca="1" si="28"/>
        <v>#N/A</v>
      </c>
      <c r="Z226" s="60" t="e">
        <f ca="1">VLOOKUP(S226,ModelOutputs,13,FALSE)</f>
        <v>#N/A</v>
      </c>
    </row>
    <row r="227" spans="18:26" x14ac:dyDescent="0.25">
      <c r="R227" s="93" t="e">
        <f ca="1"/>
        <v>#N/A</v>
      </c>
      <c r="S227" s="62" t="e">
        <f t="shared" ca="1" si="29"/>
        <v>#N/A</v>
      </c>
      <c r="T227" s="62" t="e">
        <f t="shared" ca="1" si="24"/>
        <v>#N/A</v>
      </c>
      <c r="U227" s="62" t="e">
        <f t="shared" ca="1" si="25"/>
        <v>#N/A</v>
      </c>
      <c r="V227" s="62" t="e">
        <f t="shared" ca="1" si="26"/>
        <v>#N/A</v>
      </c>
      <c r="W227" s="60" t="e">
        <f t="shared" ca="1" si="27"/>
        <v>#N/A</v>
      </c>
      <c r="X227" s="60" t="e">
        <f t="shared" ca="1" si="30"/>
        <v>#N/A</v>
      </c>
      <c r="Y227" s="60" t="e">
        <f t="shared" ca="1" si="28"/>
        <v>#N/A</v>
      </c>
      <c r="Z227" s="60" t="e">
        <f ca="1">VLOOKUP(S227,ModelOutputs,13,FALSE)</f>
        <v>#N/A</v>
      </c>
    </row>
    <row r="228" spans="18:26" x14ac:dyDescent="0.25">
      <c r="R228" s="93" t="e">
        <f ca="1"/>
        <v>#N/A</v>
      </c>
      <c r="S228" s="62" t="e">
        <f t="shared" ca="1" si="29"/>
        <v>#N/A</v>
      </c>
      <c r="T228" s="62" t="e">
        <f t="shared" ca="1" si="24"/>
        <v>#N/A</v>
      </c>
      <c r="U228" s="62" t="e">
        <f t="shared" ca="1" si="25"/>
        <v>#N/A</v>
      </c>
      <c r="V228" s="62" t="e">
        <f t="shared" ca="1" si="26"/>
        <v>#N/A</v>
      </c>
      <c r="W228" s="60" t="e">
        <f t="shared" ca="1" si="27"/>
        <v>#N/A</v>
      </c>
      <c r="X228" s="60" t="e">
        <f t="shared" ca="1" si="30"/>
        <v>#N/A</v>
      </c>
      <c r="Y228" s="60" t="e">
        <f t="shared" ca="1" si="28"/>
        <v>#N/A</v>
      </c>
      <c r="Z228" s="60" t="e">
        <f ca="1">VLOOKUP(S228,ModelOutputs,13,FALSE)</f>
        <v>#N/A</v>
      </c>
    </row>
    <row r="229" spans="18:26" x14ac:dyDescent="0.25">
      <c r="R229" s="93" t="e">
        <f ca="1"/>
        <v>#N/A</v>
      </c>
      <c r="S229" s="62" t="e">
        <f t="shared" ca="1" si="29"/>
        <v>#N/A</v>
      </c>
      <c r="T229" s="62" t="e">
        <f t="shared" ca="1" si="24"/>
        <v>#N/A</v>
      </c>
      <c r="U229" s="62" t="e">
        <f t="shared" ca="1" si="25"/>
        <v>#N/A</v>
      </c>
      <c r="V229" s="62" t="e">
        <f t="shared" ca="1" si="26"/>
        <v>#N/A</v>
      </c>
      <c r="W229" s="60" t="e">
        <f t="shared" ca="1" si="27"/>
        <v>#N/A</v>
      </c>
      <c r="X229" s="60" t="e">
        <f t="shared" ca="1" si="30"/>
        <v>#N/A</v>
      </c>
      <c r="Y229" s="60" t="e">
        <f t="shared" ca="1" si="28"/>
        <v>#N/A</v>
      </c>
      <c r="Z229" s="60" t="e">
        <f ca="1">VLOOKUP(S229,ModelOutputs,13,FALSE)</f>
        <v>#N/A</v>
      </c>
    </row>
    <row r="230" spans="18:26" x14ac:dyDescent="0.25">
      <c r="R230" s="93" t="e">
        <f ca="1"/>
        <v>#N/A</v>
      </c>
      <c r="S230" s="62" t="e">
        <f t="shared" ca="1" si="29"/>
        <v>#N/A</v>
      </c>
      <c r="T230" s="62" t="e">
        <f t="shared" ca="1" si="24"/>
        <v>#N/A</v>
      </c>
      <c r="U230" s="62" t="e">
        <f t="shared" ca="1" si="25"/>
        <v>#N/A</v>
      </c>
      <c r="V230" s="62" t="e">
        <f t="shared" ca="1" si="26"/>
        <v>#N/A</v>
      </c>
      <c r="W230" s="60" t="e">
        <f t="shared" ca="1" si="27"/>
        <v>#N/A</v>
      </c>
      <c r="X230" s="60" t="e">
        <f t="shared" ca="1" si="30"/>
        <v>#N/A</v>
      </c>
      <c r="Y230" s="60" t="e">
        <f t="shared" ca="1" si="28"/>
        <v>#N/A</v>
      </c>
      <c r="Z230" s="60" t="e">
        <f ca="1">VLOOKUP(S230,ModelOutputs,13,FALSE)</f>
        <v>#N/A</v>
      </c>
    </row>
    <row r="231" spans="18:26" x14ac:dyDescent="0.25">
      <c r="R231" s="93" t="e">
        <f ca="1"/>
        <v>#N/A</v>
      </c>
      <c r="S231" s="62" t="e">
        <f t="shared" ca="1" si="29"/>
        <v>#N/A</v>
      </c>
      <c r="T231" s="62" t="e">
        <f t="shared" ca="1" si="24"/>
        <v>#N/A</v>
      </c>
      <c r="U231" s="62" t="e">
        <f t="shared" ca="1" si="25"/>
        <v>#N/A</v>
      </c>
      <c r="V231" s="62" t="e">
        <f t="shared" ca="1" si="26"/>
        <v>#N/A</v>
      </c>
      <c r="W231" s="60" t="e">
        <f t="shared" ca="1" si="27"/>
        <v>#N/A</v>
      </c>
      <c r="X231" s="60" t="e">
        <f t="shared" ca="1" si="30"/>
        <v>#N/A</v>
      </c>
      <c r="Y231" s="60" t="e">
        <f t="shared" ca="1" si="28"/>
        <v>#N/A</v>
      </c>
      <c r="Z231" s="60" t="e">
        <f ca="1">VLOOKUP(S231,ModelOutputs,13,FALSE)</f>
        <v>#N/A</v>
      </c>
    </row>
    <row r="232" spans="18:26" x14ac:dyDescent="0.25">
      <c r="R232" s="93" t="e">
        <f ca="1"/>
        <v>#N/A</v>
      </c>
      <c r="S232" s="62" t="e">
        <f t="shared" ca="1" si="29"/>
        <v>#N/A</v>
      </c>
      <c r="T232" s="62" t="e">
        <f t="shared" ca="1" si="24"/>
        <v>#N/A</v>
      </c>
      <c r="U232" s="62" t="e">
        <f t="shared" ca="1" si="25"/>
        <v>#N/A</v>
      </c>
      <c r="V232" s="62" t="e">
        <f t="shared" ca="1" si="26"/>
        <v>#N/A</v>
      </c>
      <c r="W232" s="60" t="e">
        <f t="shared" ca="1" si="27"/>
        <v>#N/A</v>
      </c>
      <c r="X232" s="60" t="e">
        <f t="shared" ca="1" si="30"/>
        <v>#N/A</v>
      </c>
      <c r="Y232" s="60" t="e">
        <f t="shared" ca="1" si="28"/>
        <v>#N/A</v>
      </c>
      <c r="Z232" s="60" t="e">
        <f ca="1">VLOOKUP(S232,ModelOutputs,13,FALSE)</f>
        <v>#N/A</v>
      </c>
    </row>
    <row r="233" spans="18:26" x14ac:dyDescent="0.25">
      <c r="R233" s="93" t="e">
        <f ca="1"/>
        <v>#N/A</v>
      </c>
      <c r="S233" s="62" t="e">
        <f t="shared" ca="1" si="29"/>
        <v>#N/A</v>
      </c>
      <c r="T233" s="62" t="e">
        <f t="shared" ca="1" si="24"/>
        <v>#N/A</v>
      </c>
      <c r="U233" s="62" t="e">
        <f t="shared" ca="1" si="25"/>
        <v>#N/A</v>
      </c>
      <c r="V233" s="62" t="e">
        <f t="shared" ca="1" si="26"/>
        <v>#N/A</v>
      </c>
      <c r="W233" s="60" t="e">
        <f t="shared" ca="1" si="27"/>
        <v>#N/A</v>
      </c>
      <c r="X233" s="60" t="e">
        <f t="shared" ca="1" si="30"/>
        <v>#N/A</v>
      </c>
      <c r="Y233" s="60" t="e">
        <f t="shared" ca="1" si="28"/>
        <v>#N/A</v>
      </c>
      <c r="Z233" s="60" t="e">
        <f ca="1">VLOOKUP(S233,ModelOutputs,13,FALSE)</f>
        <v>#N/A</v>
      </c>
    </row>
    <row r="234" spans="18:26" x14ac:dyDescent="0.25">
      <c r="R234" s="93" t="e">
        <f ca="1"/>
        <v>#N/A</v>
      </c>
      <c r="S234" s="62" t="e">
        <f t="shared" ca="1" si="29"/>
        <v>#N/A</v>
      </c>
      <c r="T234" s="62" t="e">
        <f t="shared" ca="1" si="24"/>
        <v>#N/A</v>
      </c>
      <c r="U234" s="62" t="e">
        <f t="shared" ca="1" si="25"/>
        <v>#N/A</v>
      </c>
      <c r="V234" s="62" t="e">
        <f t="shared" ca="1" si="26"/>
        <v>#N/A</v>
      </c>
      <c r="W234" s="60" t="e">
        <f t="shared" ca="1" si="27"/>
        <v>#N/A</v>
      </c>
      <c r="X234" s="60" t="e">
        <f t="shared" ca="1" si="30"/>
        <v>#N/A</v>
      </c>
      <c r="Y234" s="60" t="e">
        <f t="shared" ca="1" si="28"/>
        <v>#N/A</v>
      </c>
      <c r="Z234" s="60" t="e">
        <f ca="1">VLOOKUP(S234,ModelOutputs,13,FALSE)</f>
        <v>#N/A</v>
      </c>
    </row>
    <row r="235" spans="18:26" x14ac:dyDescent="0.25">
      <c r="R235" s="93" t="e">
        <f ca="1"/>
        <v>#N/A</v>
      </c>
      <c r="S235" s="62" t="e">
        <f t="shared" ca="1" si="29"/>
        <v>#N/A</v>
      </c>
      <c r="T235" s="62" t="e">
        <f t="shared" ca="1" si="24"/>
        <v>#N/A</v>
      </c>
      <c r="U235" s="62" t="e">
        <f t="shared" ca="1" si="25"/>
        <v>#N/A</v>
      </c>
      <c r="V235" s="62" t="e">
        <f t="shared" ca="1" si="26"/>
        <v>#N/A</v>
      </c>
      <c r="W235" s="60" t="e">
        <f t="shared" ca="1" si="27"/>
        <v>#N/A</v>
      </c>
      <c r="X235" s="60" t="e">
        <f t="shared" ca="1" si="30"/>
        <v>#N/A</v>
      </c>
      <c r="Y235" s="60" t="e">
        <f t="shared" ca="1" si="28"/>
        <v>#N/A</v>
      </c>
      <c r="Z235" s="60" t="e">
        <f ca="1">VLOOKUP(S235,ModelOutputs,13,FALSE)</f>
        <v>#N/A</v>
      </c>
    </row>
    <row r="236" spans="18:26" x14ac:dyDescent="0.25">
      <c r="R236" s="93" t="e">
        <f ca="1"/>
        <v>#N/A</v>
      </c>
      <c r="S236" s="62" t="e">
        <f t="shared" ca="1" si="29"/>
        <v>#N/A</v>
      </c>
      <c r="T236" s="62" t="e">
        <f t="shared" ca="1" si="24"/>
        <v>#N/A</v>
      </c>
      <c r="U236" s="62" t="e">
        <f t="shared" ca="1" si="25"/>
        <v>#N/A</v>
      </c>
      <c r="V236" s="62" t="e">
        <f t="shared" ca="1" si="26"/>
        <v>#N/A</v>
      </c>
      <c r="W236" s="60" t="e">
        <f t="shared" ca="1" si="27"/>
        <v>#N/A</v>
      </c>
      <c r="X236" s="60" t="e">
        <f t="shared" ca="1" si="30"/>
        <v>#N/A</v>
      </c>
      <c r="Y236" s="60" t="e">
        <f t="shared" ca="1" si="28"/>
        <v>#N/A</v>
      </c>
      <c r="Z236" s="60" t="e">
        <f ca="1">VLOOKUP(S236,ModelOutputs,13,FALSE)</f>
        <v>#N/A</v>
      </c>
    </row>
    <row r="237" spans="18:26" x14ac:dyDescent="0.25">
      <c r="R237" s="93" t="e">
        <f ca="1"/>
        <v>#N/A</v>
      </c>
      <c r="S237" s="62" t="e">
        <f t="shared" ca="1" si="29"/>
        <v>#N/A</v>
      </c>
      <c r="T237" s="62" t="e">
        <f t="shared" ca="1" si="24"/>
        <v>#N/A</v>
      </c>
      <c r="U237" s="62" t="e">
        <f t="shared" ca="1" si="25"/>
        <v>#N/A</v>
      </c>
      <c r="V237" s="62" t="e">
        <f t="shared" ca="1" si="26"/>
        <v>#N/A</v>
      </c>
      <c r="W237" s="60" t="e">
        <f t="shared" ca="1" si="27"/>
        <v>#N/A</v>
      </c>
      <c r="X237" s="60" t="e">
        <f t="shared" ca="1" si="30"/>
        <v>#N/A</v>
      </c>
      <c r="Y237" s="60" t="e">
        <f t="shared" ca="1" si="28"/>
        <v>#N/A</v>
      </c>
      <c r="Z237" s="60" t="e">
        <f ca="1">VLOOKUP(S237,ModelOutputs,13,FALSE)</f>
        <v>#N/A</v>
      </c>
    </row>
    <row r="238" spans="18:26" x14ac:dyDescent="0.25">
      <c r="R238" s="93" t="e">
        <f ca="1"/>
        <v>#N/A</v>
      </c>
      <c r="S238" s="62" t="e">
        <f t="shared" ca="1" si="29"/>
        <v>#N/A</v>
      </c>
      <c r="T238" s="62" t="e">
        <f t="shared" ca="1" si="24"/>
        <v>#N/A</v>
      </c>
      <c r="U238" s="62" t="e">
        <f t="shared" ca="1" si="25"/>
        <v>#N/A</v>
      </c>
      <c r="V238" s="62" t="e">
        <f t="shared" ca="1" si="26"/>
        <v>#N/A</v>
      </c>
      <c r="W238" s="60" t="e">
        <f t="shared" ca="1" si="27"/>
        <v>#N/A</v>
      </c>
      <c r="X238" s="60" t="e">
        <f t="shared" ca="1" si="30"/>
        <v>#N/A</v>
      </c>
      <c r="Y238" s="60" t="e">
        <f t="shared" ca="1" si="28"/>
        <v>#N/A</v>
      </c>
      <c r="Z238" s="60" t="e">
        <f ca="1">VLOOKUP(S238,ModelOutputs,13,FALSE)</f>
        <v>#N/A</v>
      </c>
    </row>
    <row r="239" spans="18:26" x14ac:dyDescent="0.25">
      <c r="R239" s="93" t="e">
        <f ca="1"/>
        <v>#N/A</v>
      </c>
      <c r="S239" s="62" t="e">
        <f t="shared" ca="1" si="29"/>
        <v>#N/A</v>
      </c>
      <c r="T239" s="62" t="e">
        <f t="shared" ca="1" si="24"/>
        <v>#N/A</v>
      </c>
      <c r="U239" s="62" t="e">
        <f t="shared" ca="1" si="25"/>
        <v>#N/A</v>
      </c>
      <c r="V239" s="62" t="e">
        <f t="shared" ca="1" si="26"/>
        <v>#N/A</v>
      </c>
      <c r="W239" s="60" t="e">
        <f t="shared" ca="1" si="27"/>
        <v>#N/A</v>
      </c>
      <c r="X239" s="60" t="e">
        <f t="shared" ca="1" si="30"/>
        <v>#N/A</v>
      </c>
      <c r="Y239" s="60" t="e">
        <f t="shared" ca="1" si="28"/>
        <v>#N/A</v>
      </c>
      <c r="Z239" s="60" t="e">
        <f ca="1">VLOOKUP(S239,ModelOutputs,13,FALSE)</f>
        <v>#N/A</v>
      </c>
    </row>
    <row r="240" spans="18:26" x14ac:dyDescent="0.25">
      <c r="R240" s="93" t="e">
        <f ca="1"/>
        <v>#N/A</v>
      </c>
      <c r="S240" s="62" t="e">
        <f t="shared" ca="1" si="29"/>
        <v>#N/A</v>
      </c>
      <c r="T240" s="62" t="e">
        <f t="shared" ca="1" si="24"/>
        <v>#N/A</v>
      </c>
      <c r="U240" s="62" t="e">
        <f t="shared" ca="1" si="25"/>
        <v>#N/A</v>
      </c>
      <c r="V240" s="62" t="e">
        <f t="shared" ca="1" si="26"/>
        <v>#N/A</v>
      </c>
      <c r="W240" s="60" t="e">
        <f t="shared" ca="1" si="27"/>
        <v>#N/A</v>
      </c>
      <c r="X240" s="60" t="e">
        <f t="shared" ca="1" si="30"/>
        <v>#N/A</v>
      </c>
      <c r="Y240" s="60" t="e">
        <f t="shared" ca="1" si="28"/>
        <v>#N/A</v>
      </c>
      <c r="Z240" s="60" t="e">
        <f ca="1">VLOOKUP(S240,ModelOutputs,13,FALSE)</f>
        <v>#N/A</v>
      </c>
    </row>
    <row r="241" spans="18:26" x14ac:dyDescent="0.25">
      <c r="R241" s="93" t="e">
        <f ca="1"/>
        <v>#N/A</v>
      </c>
      <c r="S241" s="62" t="e">
        <f t="shared" ca="1" si="29"/>
        <v>#N/A</v>
      </c>
      <c r="T241" s="62" t="e">
        <f t="shared" ca="1" si="24"/>
        <v>#N/A</v>
      </c>
      <c r="U241" s="62" t="e">
        <f t="shared" ca="1" si="25"/>
        <v>#N/A</v>
      </c>
      <c r="V241" s="62" t="e">
        <f t="shared" ca="1" si="26"/>
        <v>#N/A</v>
      </c>
      <c r="W241" s="60" t="e">
        <f t="shared" ca="1" si="27"/>
        <v>#N/A</v>
      </c>
      <c r="X241" s="60" t="e">
        <f t="shared" ca="1" si="30"/>
        <v>#N/A</v>
      </c>
      <c r="Y241" s="60" t="e">
        <f t="shared" ca="1" si="28"/>
        <v>#N/A</v>
      </c>
      <c r="Z241" s="60" t="e">
        <f ca="1">VLOOKUP(S241,ModelOutputs,13,FALSE)</f>
        <v>#N/A</v>
      </c>
    </row>
    <row r="242" spans="18:26" x14ac:dyDescent="0.25">
      <c r="R242" s="93" t="e">
        <f ca="1"/>
        <v>#N/A</v>
      </c>
      <c r="S242" s="62" t="e">
        <f t="shared" ca="1" si="29"/>
        <v>#N/A</v>
      </c>
      <c r="T242" s="62" t="e">
        <f t="shared" ca="1" si="24"/>
        <v>#N/A</v>
      </c>
      <c r="U242" s="62" t="e">
        <f t="shared" ca="1" si="25"/>
        <v>#N/A</v>
      </c>
      <c r="V242" s="62" t="e">
        <f t="shared" ca="1" si="26"/>
        <v>#N/A</v>
      </c>
      <c r="W242" s="60" t="e">
        <f t="shared" ca="1" si="27"/>
        <v>#N/A</v>
      </c>
      <c r="X242" s="60" t="e">
        <f t="shared" ca="1" si="30"/>
        <v>#N/A</v>
      </c>
      <c r="Y242" s="60" t="e">
        <f t="shared" ca="1" si="28"/>
        <v>#N/A</v>
      </c>
      <c r="Z242" s="60" t="e">
        <f ca="1">VLOOKUP(S242,ModelOutputs,13,FALSE)</f>
        <v>#N/A</v>
      </c>
    </row>
    <row r="243" spans="18:26" x14ac:dyDescent="0.25">
      <c r="R243" s="93" t="e">
        <f ca="1"/>
        <v>#N/A</v>
      </c>
      <c r="S243" s="62" t="e">
        <f t="shared" ca="1" si="29"/>
        <v>#N/A</v>
      </c>
      <c r="T243" s="62" t="e">
        <f t="shared" ca="1" si="24"/>
        <v>#N/A</v>
      </c>
      <c r="U243" s="62" t="e">
        <f t="shared" ca="1" si="25"/>
        <v>#N/A</v>
      </c>
      <c r="V243" s="62" t="e">
        <f t="shared" ca="1" si="26"/>
        <v>#N/A</v>
      </c>
      <c r="W243" s="60" t="e">
        <f t="shared" ca="1" si="27"/>
        <v>#N/A</v>
      </c>
      <c r="X243" s="60" t="e">
        <f t="shared" ca="1" si="30"/>
        <v>#N/A</v>
      </c>
      <c r="Y243" s="60" t="e">
        <f t="shared" ca="1" si="28"/>
        <v>#N/A</v>
      </c>
      <c r="Z243" s="60" t="e">
        <f ca="1">VLOOKUP(S243,ModelOutputs,13,FALSE)</f>
        <v>#N/A</v>
      </c>
    </row>
    <row r="244" spans="18:26" x14ac:dyDescent="0.25">
      <c r="R244" s="93" t="e">
        <f ca="1"/>
        <v>#N/A</v>
      </c>
      <c r="S244" s="62" t="e">
        <f t="shared" ca="1" si="29"/>
        <v>#N/A</v>
      </c>
      <c r="T244" s="62" t="e">
        <f t="shared" ca="1" si="24"/>
        <v>#N/A</v>
      </c>
      <c r="U244" s="62" t="e">
        <f t="shared" ca="1" si="25"/>
        <v>#N/A</v>
      </c>
      <c r="V244" s="62" t="e">
        <f t="shared" ca="1" si="26"/>
        <v>#N/A</v>
      </c>
      <c r="W244" s="60" t="e">
        <f t="shared" ca="1" si="27"/>
        <v>#N/A</v>
      </c>
      <c r="X244" s="60" t="e">
        <f t="shared" ca="1" si="30"/>
        <v>#N/A</v>
      </c>
      <c r="Y244" s="60" t="e">
        <f t="shared" ca="1" si="28"/>
        <v>#N/A</v>
      </c>
      <c r="Z244" s="60" t="e">
        <f ca="1">VLOOKUP(S244,ModelOutputs,13,FALSE)</f>
        <v>#N/A</v>
      </c>
    </row>
    <row r="245" spans="18:26" x14ac:dyDescent="0.25">
      <c r="R245" s="93" t="e">
        <f ca="1"/>
        <v>#N/A</v>
      </c>
      <c r="S245" s="62" t="e">
        <f t="shared" ca="1" si="29"/>
        <v>#N/A</v>
      </c>
      <c r="T245" s="62" t="e">
        <f t="shared" ca="1" si="24"/>
        <v>#N/A</v>
      </c>
      <c r="U245" s="62" t="e">
        <f t="shared" ca="1" si="25"/>
        <v>#N/A</v>
      </c>
      <c r="V245" s="62" t="e">
        <f t="shared" ca="1" si="26"/>
        <v>#N/A</v>
      </c>
      <c r="W245" s="60" t="e">
        <f t="shared" ca="1" si="27"/>
        <v>#N/A</v>
      </c>
      <c r="X245" s="60" t="e">
        <f t="shared" ca="1" si="30"/>
        <v>#N/A</v>
      </c>
      <c r="Y245" s="60" t="e">
        <f t="shared" ca="1" si="28"/>
        <v>#N/A</v>
      </c>
      <c r="Z245" s="60" t="e">
        <f ca="1">VLOOKUP(S245,ModelOutputs,13,FALSE)</f>
        <v>#N/A</v>
      </c>
    </row>
    <row r="246" spans="18:26" x14ac:dyDescent="0.25">
      <c r="R246" s="93" t="e">
        <f ca="1"/>
        <v>#N/A</v>
      </c>
      <c r="S246" s="62" t="e">
        <f t="shared" ca="1" si="29"/>
        <v>#N/A</v>
      </c>
      <c r="T246" s="62" t="e">
        <f t="shared" ca="1" si="24"/>
        <v>#N/A</v>
      </c>
      <c r="U246" s="62" t="e">
        <f t="shared" ca="1" si="25"/>
        <v>#N/A</v>
      </c>
      <c r="V246" s="62" t="e">
        <f t="shared" ca="1" si="26"/>
        <v>#N/A</v>
      </c>
      <c r="W246" s="60" t="e">
        <f t="shared" ca="1" si="27"/>
        <v>#N/A</v>
      </c>
      <c r="X246" s="60" t="e">
        <f t="shared" ca="1" si="30"/>
        <v>#N/A</v>
      </c>
      <c r="Y246" s="60" t="e">
        <f t="shared" ca="1" si="28"/>
        <v>#N/A</v>
      </c>
      <c r="Z246" s="60" t="e">
        <f ca="1">VLOOKUP(S246,ModelOutputs,13,FALSE)</f>
        <v>#N/A</v>
      </c>
    </row>
    <row r="247" spans="18:26" x14ac:dyDescent="0.25">
      <c r="R247" s="93" t="e">
        <f ca="1"/>
        <v>#N/A</v>
      </c>
      <c r="S247" s="62" t="e">
        <f t="shared" ca="1" si="29"/>
        <v>#N/A</v>
      </c>
      <c r="T247" s="62" t="e">
        <f t="shared" ca="1" si="24"/>
        <v>#N/A</v>
      </c>
      <c r="U247" s="62" t="e">
        <f t="shared" ca="1" si="25"/>
        <v>#N/A</v>
      </c>
      <c r="V247" s="62" t="e">
        <f t="shared" ca="1" si="26"/>
        <v>#N/A</v>
      </c>
      <c r="W247" s="60" t="e">
        <f t="shared" ca="1" si="27"/>
        <v>#N/A</v>
      </c>
      <c r="X247" s="60" t="e">
        <f t="shared" ca="1" si="30"/>
        <v>#N/A</v>
      </c>
      <c r="Y247" s="60" t="e">
        <f t="shared" ca="1" si="28"/>
        <v>#N/A</v>
      </c>
      <c r="Z247" s="60" t="e">
        <f ca="1">VLOOKUP(S247,ModelOutputs,13,FALSE)</f>
        <v>#N/A</v>
      </c>
    </row>
    <row r="248" spans="18:26" x14ac:dyDescent="0.25">
      <c r="R248" s="93" t="e">
        <f ca="1"/>
        <v>#N/A</v>
      </c>
      <c r="S248" s="62" t="e">
        <f t="shared" ca="1" si="29"/>
        <v>#N/A</v>
      </c>
      <c r="T248" s="62" t="e">
        <f t="shared" ca="1" si="24"/>
        <v>#N/A</v>
      </c>
      <c r="U248" s="62" t="e">
        <f t="shared" ca="1" si="25"/>
        <v>#N/A</v>
      </c>
      <c r="V248" s="62" t="e">
        <f t="shared" ca="1" si="26"/>
        <v>#N/A</v>
      </c>
      <c r="W248" s="60" t="e">
        <f t="shared" ca="1" si="27"/>
        <v>#N/A</v>
      </c>
      <c r="X248" s="60" t="e">
        <f t="shared" ca="1" si="30"/>
        <v>#N/A</v>
      </c>
      <c r="Y248" s="60" t="e">
        <f t="shared" ca="1" si="28"/>
        <v>#N/A</v>
      </c>
      <c r="Z248" s="60" t="e">
        <f ca="1">VLOOKUP(S248,ModelOutputs,13,FALSE)</f>
        <v>#N/A</v>
      </c>
    </row>
    <row r="249" spans="18:26" x14ac:dyDescent="0.25">
      <c r="R249" s="93" t="e">
        <f ca="1"/>
        <v>#N/A</v>
      </c>
      <c r="S249" s="62" t="e">
        <f t="shared" ca="1" si="29"/>
        <v>#N/A</v>
      </c>
      <c r="T249" s="62" t="e">
        <f t="shared" ca="1" si="24"/>
        <v>#N/A</v>
      </c>
      <c r="U249" s="62" t="e">
        <f t="shared" ca="1" si="25"/>
        <v>#N/A</v>
      </c>
      <c r="V249" s="62" t="e">
        <f t="shared" ca="1" si="26"/>
        <v>#N/A</v>
      </c>
      <c r="W249" s="60" t="e">
        <f t="shared" ca="1" si="27"/>
        <v>#N/A</v>
      </c>
      <c r="X249" s="60" t="e">
        <f t="shared" ca="1" si="30"/>
        <v>#N/A</v>
      </c>
      <c r="Y249" s="60" t="e">
        <f t="shared" ca="1" si="28"/>
        <v>#N/A</v>
      </c>
      <c r="Z249" s="60" t="e">
        <f ca="1">VLOOKUP(S249,ModelOutputs,13,FALSE)</f>
        <v>#N/A</v>
      </c>
    </row>
    <row r="250" spans="18:26" x14ac:dyDescent="0.25">
      <c r="R250" s="93" t="e">
        <f ca="1"/>
        <v>#N/A</v>
      </c>
      <c r="S250" s="62" t="e">
        <f t="shared" ca="1" si="29"/>
        <v>#N/A</v>
      </c>
      <c r="T250" s="62" t="e">
        <f t="shared" ca="1" si="24"/>
        <v>#N/A</v>
      </c>
      <c r="U250" s="62" t="e">
        <f t="shared" ca="1" si="25"/>
        <v>#N/A</v>
      </c>
      <c r="V250" s="62" t="e">
        <f t="shared" ca="1" si="26"/>
        <v>#N/A</v>
      </c>
      <c r="W250" s="60" t="e">
        <f t="shared" ca="1" si="27"/>
        <v>#N/A</v>
      </c>
      <c r="X250" s="60" t="e">
        <f t="shared" ca="1" si="30"/>
        <v>#N/A</v>
      </c>
      <c r="Y250" s="60" t="e">
        <f t="shared" ca="1" si="28"/>
        <v>#N/A</v>
      </c>
      <c r="Z250" s="60" t="e">
        <f ca="1">VLOOKUP(S250,ModelOutputs,13,FALSE)</f>
        <v>#N/A</v>
      </c>
    </row>
    <row r="251" spans="18:26" x14ac:dyDescent="0.25">
      <c r="R251" s="93" t="e">
        <f ca="1"/>
        <v>#N/A</v>
      </c>
      <c r="S251" s="62" t="e">
        <f t="shared" ca="1" si="29"/>
        <v>#N/A</v>
      </c>
      <c r="T251" s="62" t="e">
        <f t="shared" ca="1" si="24"/>
        <v>#N/A</v>
      </c>
      <c r="U251" s="62" t="e">
        <f t="shared" ca="1" si="25"/>
        <v>#N/A</v>
      </c>
      <c r="V251" s="62" t="e">
        <f t="shared" ca="1" si="26"/>
        <v>#N/A</v>
      </c>
      <c r="W251" s="60" t="e">
        <f t="shared" ca="1" si="27"/>
        <v>#N/A</v>
      </c>
      <c r="X251" s="60" t="e">
        <f t="shared" ca="1" si="30"/>
        <v>#N/A</v>
      </c>
      <c r="Y251" s="60" t="e">
        <f t="shared" ca="1" si="28"/>
        <v>#N/A</v>
      </c>
      <c r="Z251" s="60" t="e">
        <f ca="1">VLOOKUP(S251,ModelOutputs,13,FALSE)</f>
        <v>#N/A</v>
      </c>
    </row>
    <row r="252" spans="18:26" x14ac:dyDescent="0.25">
      <c r="R252" s="93" t="e">
        <f ca="1"/>
        <v>#N/A</v>
      </c>
      <c r="S252" s="62" t="e">
        <f t="shared" ca="1" si="29"/>
        <v>#N/A</v>
      </c>
      <c r="T252" s="62" t="e">
        <f t="shared" ca="1" si="24"/>
        <v>#N/A</v>
      </c>
      <c r="U252" s="62" t="e">
        <f t="shared" ca="1" si="25"/>
        <v>#N/A</v>
      </c>
      <c r="V252" s="62" t="e">
        <f t="shared" ca="1" si="26"/>
        <v>#N/A</v>
      </c>
      <c r="W252" s="60" t="e">
        <f t="shared" ca="1" si="27"/>
        <v>#N/A</v>
      </c>
      <c r="X252" s="60" t="e">
        <f t="shared" ca="1" si="30"/>
        <v>#N/A</v>
      </c>
      <c r="Y252" s="60" t="e">
        <f t="shared" ca="1" si="28"/>
        <v>#N/A</v>
      </c>
      <c r="Z252" s="60" t="e">
        <f ca="1">VLOOKUP(S252,ModelOutputs,13,FALSE)</f>
        <v>#N/A</v>
      </c>
    </row>
    <row r="253" spans="18:26" x14ac:dyDescent="0.25">
      <c r="R253" s="93" t="e">
        <f ca="1"/>
        <v>#N/A</v>
      </c>
      <c r="S253" s="62" t="e">
        <f t="shared" ca="1" si="29"/>
        <v>#N/A</v>
      </c>
      <c r="T253" s="62" t="e">
        <f t="shared" ca="1" si="24"/>
        <v>#N/A</v>
      </c>
      <c r="U253" s="62" t="e">
        <f t="shared" ca="1" si="25"/>
        <v>#N/A</v>
      </c>
      <c r="V253" s="62" t="e">
        <f t="shared" ca="1" si="26"/>
        <v>#N/A</v>
      </c>
      <c r="W253" s="60" t="e">
        <f t="shared" ca="1" si="27"/>
        <v>#N/A</v>
      </c>
      <c r="X253" s="60" t="e">
        <f t="shared" ca="1" si="30"/>
        <v>#N/A</v>
      </c>
      <c r="Y253" s="60" t="e">
        <f t="shared" ca="1" si="28"/>
        <v>#N/A</v>
      </c>
      <c r="Z253" s="60" t="e">
        <f ca="1">VLOOKUP(S253,ModelOutputs,13,FALSE)</f>
        <v>#N/A</v>
      </c>
    </row>
    <row r="254" spans="18:26" x14ac:dyDescent="0.25">
      <c r="R254" s="93" t="e">
        <f ca="1"/>
        <v>#N/A</v>
      </c>
      <c r="S254" s="62" t="e">
        <f t="shared" ca="1" si="29"/>
        <v>#N/A</v>
      </c>
      <c r="T254" s="62" t="e">
        <f t="shared" ca="1" si="24"/>
        <v>#N/A</v>
      </c>
      <c r="U254" s="62" t="e">
        <f t="shared" ca="1" si="25"/>
        <v>#N/A</v>
      </c>
      <c r="V254" s="62" t="e">
        <f t="shared" ca="1" si="26"/>
        <v>#N/A</v>
      </c>
      <c r="W254" s="60" t="e">
        <f t="shared" ca="1" si="27"/>
        <v>#N/A</v>
      </c>
      <c r="X254" s="60" t="e">
        <f t="shared" ca="1" si="30"/>
        <v>#N/A</v>
      </c>
      <c r="Y254" s="60" t="e">
        <f t="shared" ca="1" si="28"/>
        <v>#N/A</v>
      </c>
      <c r="Z254" s="60" t="e">
        <f ca="1">VLOOKUP(S254,ModelOutputs,13,FALSE)</f>
        <v>#N/A</v>
      </c>
    </row>
    <row r="255" spans="18:26" x14ac:dyDescent="0.25">
      <c r="R255" s="93" t="e">
        <f ca="1"/>
        <v>#N/A</v>
      </c>
      <c r="S255" s="62" t="e">
        <f t="shared" ca="1" si="29"/>
        <v>#N/A</v>
      </c>
      <c r="T255" s="62" t="e">
        <f t="shared" ca="1" si="24"/>
        <v>#N/A</v>
      </c>
      <c r="U255" s="62" t="e">
        <f t="shared" ca="1" si="25"/>
        <v>#N/A</v>
      </c>
      <c r="V255" s="62" t="e">
        <f t="shared" ca="1" si="26"/>
        <v>#N/A</v>
      </c>
      <c r="W255" s="60" t="e">
        <f t="shared" ca="1" si="27"/>
        <v>#N/A</v>
      </c>
      <c r="X255" s="60" t="e">
        <f t="shared" ca="1" si="30"/>
        <v>#N/A</v>
      </c>
      <c r="Y255" s="60" t="e">
        <f t="shared" ca="1" si="28"/>
        <v>#N/A</v>
      </c>
      <c r="Z255" s="60" t="e">
        <f ca="1">VLOOKUP(S255,ModelOutputs,13,FALSE)</f>
        <v>#N/A</v>
      </c>
    </row>
    <row r="256" spans="18:26" x14ac:dyDescent="0.25">
      <c r="R256" s="93" t="e">
        <f ca="1"/>
        <v>#N/A</v>
      </c>
      <c r="S256" s="62" t="e">
        <f t="shared" ca="1" si="29"/>
        <v>#N/A</v>
      </c>
      <c r="T256" s="62" t="e">
        <f t="shared" ca="1" si="24"/>
        <v>#N/A</v>
      </c>
      <c r="U256" s="62" t="e">
        <f t="shared" ca="1" si="25"/>
        <v>#N/A</v>
      </c>
      <c r="V256" s="62" t="e">
        <f t="shared" ca="1" si="26"/>
        <v>#N/A</v>
      </c>
      <c r="W256" s="60" t="e">
        <f t="shared" ca="1" si="27"/>
        <v>#N/A</v>
      </c>
      <c r="X256" s="60" t="e">
        <f t="shared" ca="1" si="30"/>
        <v>#N/A</v>
      </c>
      <c r="Y256" s="60" t="e">
        <f t="shared" ca="1" si="28"/>
        <v>#N/A</v>
      </c>
      <c r="Z256" s="60" t="e">
        <f ca="1">VLOOKUP(S256,ModelOutputs,13,FALSE)</f>
        <v>#N/A</v>
      </c>
    </row>
    <row r="257" spans="18:26" x14ac:dyDescent="0.25">
      <c r="R257" s="93" t="e">
        <f ca="1"/>
        <v>#N/A</v>
      </c>
      <c r="S257" s="62" t="e">
        <f t="shared" ca="1" si="29"/>
        <v>#N/A</v>
      </c>
      <c r="T257" s="62" t="e">
        <f t="shared" ca="1" si="24"/>
        <v>#N/A</v>
      </c>
      <c r="U257" s="62" t="e">
        <f t="shared" ca="1" si="25"/>
        <v>#N/A</v>
      </c>
      <c r="V257" s="62" t="e">
        <f t="shared" ca="1" si="26"/>
        <v>#N/A</v>
      </c>
      <c r="W257" s="60" t="e">
        <f t="shared" ca="1" si="27"/>
        <v>#N/A</v>
      </c>
      <c r="X257" s="60" t="e">
        <f t="shared" ca="1" si="30"/>
        <v>#N/A</v>
      </c>
      <c r="Y257" s="60" t="e">
        <f t="shared" ca="1" si="28"/>
        <v>#N/A</v>
      </c>
      <c r="Z257" s="60" t="e">
        <f ca="1">VLOOKUP(S257,ModelOutputs,13,FALSE)</f>
        <v>#N/A</v>
      </c>
    </row>
    <row r="258" spans="18:26" x14ac:dyDescent="0.25">
      <c r="R258" s="93" t="e">
        <f ca="1"/>
        <v>#N/A</v>
      </c>
      <c r="S258" s="62" t="e">
        <f t="shared" ca="1" si="29"/>
        <v>#N/A</v>
      </c>
      <c r="T258" s="62" t="e">
        <f t="shared" ca="1" si="24"/>
        <v>#N/A</v>
      </c>
      <c r="U258" s="62" t="e">
        <f t="shared" ca="1" si="25"/>
        <v>#N/A</v>
      </c>
      <c r="V258" s="62" t="e">
        <f t="shared" ca="1" si="26"/>
        <v>#N/A</v>
      </c>
      <c r="W258" s="60" t="e">
        <f t="shared" ca="1" si="27"/>
        <v>#N/A</v>
      </c>
      <c r="X258" s="60" t="e">
        <f t="shared" ca="1" si="30"/>
        <v>#N/A</v>
      </c>
      <c r="Y258" s="60" t="e">
        <f t="shared" ca="1" si="28"/>
        <v>#N/A</v>
      </c>
      <c r="Z258" s="60" t="e">
        <f ca="1">VLOOKUP(S258,ModelOutputs,13,FALSE)</f>
        <v>#N/A</v>
      </c>
    </row>
    <row r="259" spans="18:26" x14ac:dyDescent="0.25">
      <c r="R259" s="93" t="e">
        <f ca="1"/>
        <v>#N/A</v>
      </c>
      <c r="S259" s="62" t="e">
        <f t="shared" ca="1" si="29"/>
        <v>#N/A</v>
      </c>
      <c r="T259" s="62" t="e">
        <f t="shared" ca="1" si="24"/>
        <v>#N/A</v>
      </c>
      <c r="U259" s="62" t="e">
        <f t="shared" ca="1" si="25"/>
        <v>#N/A</v>
      </c>
      <c r="V259" s="62" t="e">
        <f t="shared" ca="1" si="26"/>
        <v>#N/A</v>
      </c>
      <c r="W259" s="60" t="e">
        <f t="shared" ca="1" si="27"/>
        <v>#N/A</v>
      </c>
      <c r="X259" s="60" t="e">
        <f t="shared" ca="1" si="30"/>
        <v>#N/A</v>
      </c>
      <c r="Y259" s="60" t="e">
        <f t="shared" ca="1" si="28"/>
        <v>#N/A</v>
      </c>
      <c r="Z259" s="60" t="e">
        <f ca="1">VLOOKUP(S259,ModelOutputs,13,FALSE)</f>
        <v>#N/A</v>
      </c>
    </row>
    <row r="260" spans="18:26" x14ac:dyDescent="0.25">
      <c r="R260" s="93" t="e">
        <f ca="1"/>
        <v>#N/A</v>
      </c>
      <c r="S260" s="62" t="e">
        <f t="shared" ca="1" si="29"/>
        <v>#N/A</v>
      </c>
      <c r="T260" s="62" t="e">
        <f t="shared" ca="1" si="24"/>
        <v>#N/A</v>
      </c>
      <c r="U260" s="62" t="e">
        <f t="shared" ca="1" si="25"/>
        <v>#N/A</v>
      </c>
      <c r="V260" s="62" t="e">
        <f t="shared" ca="1" si="26"/>
        <v>#N/A</v>
      </c>
      <c r="W260" s="60" t="e">
        <f t="shared" ca="1" si="27"/>
        <v>#N/A</v>
      </c>
      <c r="X260" s="60" t="e">
        <f t="shared" ca="1" si="30"/>
        <v>#N/A</v>
      </c>
      <c r="Y260" s="60" t="e">
        <f t="shared" ca="1" si="28"/>
        <v>#N/A</v>
      </c>
      <c r="Z260" s="60" t="e">
        <f ca="1">VLOOKUP(S260,ModelOutputs,13,FALSE)</f>
        <v>#N/A</v>
      </c>
    </row>
    <row r="261" spans="18:26" x14ac:dyDescent="0.25">
      <c r="R261" s="93" t="e">
        <f ca="1"/>
        <v>#N/A</v>
      </c>
      <c r="S261" s="62" t="e">
        <f t="shared" ca="1" si="29"/>
        <v>#N/A</v>
      </c>
      <c r="T261" s="62" t="e">
        <f t="shared" ca="1" si="24"/>
        <v>#N/A</v>
      </c>
      <c r="U261" s="62" t="e">
        <f t="shared" ca="1" si="25"/>
        <v>#N/A</v>
      </c>
      <c r="V261" s="62" t="e">
        <f t="shared" ca="1" si="26"/>
        <v>#N/A</v>
      </c>
      <c r="W261" s="60" t="e">
        <f t="shared" ca="1" si="27"/>
        <v>#N/A</v>
      </c>
      <c r="X261" s="60" t="e">
        <f t="shared" ca="1" si="30"/>
        <v>#N/A</v>
      </c>
      <c r="Y261" s="60" t="e">
        <f t="shared" ca="1" si="28"/>
        <v>#N/A</v>
      </c>
      <c r="Z261" s="60" t="e">
        <f ca="1">VLOOKUP(S261,ModelOutputs,13,FALSE)</f>
        <v>#N/A</v>
      </c>
    </row>
    <row r="262" spans="18:26" x14ac:dyDescent="0.25">
      <c r="R262" s="93" t="e">
        <f ca="1"/>
        <v>#N/A</v>
      </c>
      <c r="S262" s="62" t="e">
        <f t="shared" ca="1" si="29"/>
        <v>#N/A</v>
      </c>
      <c r="T262" s="62" t="e">
        <f t="shared" ca="1" si="24"/>
        <v>#N/A</v>
      </c>
      <c r="U262" s="62" t="e">
        <f t="shared" ca="1" si="25"/>
        <v>#N/A</v>
      </c>
      <c r="V262" s="62" t="e">
        <f t="shared" ca="1" si="26"/>
        <v>#N/A</v>
      </c>
      <c r="W262" s="60" t="e">
        <f t="shared" ca="1" si="27"/>
        <v>#N/A</v>
      </c>
      <c r="X262" s="60" t="e">
        <f t="shared" ca="1" si="30"/>
        <v>#N/A</v>
      </c>
      <c r="Y262" s="60" t="e">
        <f t="shared" ca="1" si="28"/>
        <v>#N/A</v>
      </c>
      <c r="Z262" s="60" t="e">
        <f ca="1">VLOOKUP(S262,ModelOutputs,13,FALSE)</f>
        <v>#N/A</v>
      </c>
    </row>
    <row r="263" spans="18:26" x14ac:dyDescent="0.25">
      <c r="R263" s="93" t="e">
        <f ca="1"/>
        <v>#N/A</v>
      </c>
      <c r="S263" s="62" t="e">
        <f t="shared" ca="1" si="29"/>
        <v>#N/A</v>
      </c>
      <c r="T263" s="62" t="e">
        <f t="shared" ca="1" si="24"/>
        <v>#N/A</v>
      </c>
      <c r="U263" s="62" t="e">
        <f t="shared" ca="1" si="25"/>
        <v>#N/A</v>
      </c>
      <c r="V263" s="62" t="e">
        <f t="shared" ca="1" si="26"/>
        <v>#N/A</v>
      </c>
      <c r="W263" s="60" t="e">
        <f t="shared" ca="1" si="27"/>
        <v>#N/A</v>
      </c>
      <c r="X263" s="60" t="e">
        <f t="shared" ca="1" si="30"/>
        <v>#N/A</v>
      </c>
      <c r="Y263" s="60" t="e">
        <f t="shared" ca="1" si="28"/>
        <v>#N/A</v>
      </c>
      <c r="Z263" s="60" t="e">
        <f ca="1">VLOOKUP(S263,ModelOutputs,13,FALSE)</f>
        <v>#N/A</v>
      </c>
    </row>
    <row r="264" spans="18:26" x14ac:dyDescent="0.25">
      <c r="R264" s="93" t="e">
        <f ca="1"/>
        <v>#N/A</v>
      </c>
      <c r="S264" s="62" t="e">
        <f t="shared" ca="1" si="29"/>
        <v>#N/A</v>
      </c>
      <c r="T264" s="62" t="e">
        <f t="shared" ca="1" si="24"/>
        <v>#N/A</v>
      </c>
      <c r="U264" s="62" t="e">
        <f t="shared" ca="1" si="25"/>
        <v>#N/A</v>
      </c>
      <c r="V264" s="62" t="e">
        <f t="shared" ca="1" si="26"/>
        <v>#N/A</v>
      </c>
      <c r="W264" s="60" t="e">
        <f t="shared" ca="1" si="27"/>
        <v>#N/A</v>
      </c>
      <c r="X264" s="60" t="e">
        <f t="shared" ca="1" si="30"/>
        <v>#N/A</v>
      </c>
      <c r="Y264" s="60" t="e">
        <f t="shared" ca="1" si="28"/>
        <v>#N/A</v>
      </c>
      <c r="Z264" s="60" t="e">
        <f ca="1">VLOOKUP(S264,ModelOutputs,13,FALSE)</f>
        <v>#N/A</v>
      </c>
    </row>
    <row r="265" spans="18:26" x14ac:dyDescent="0.25">
      <c r="R265" s="93" t="e">
        <f ca="1"/>
        <v>#N/A</v>
      </c>
      <c r="S265" s="62" t="e">
        <f t="shared" ca="1" si="29"/>
        <v>#N/A</v>
      </c>
      <c r="T265" s="62" t="e">
        <f t="shared" ca="1" si="24"/>
        <v>#N/A</v>
      </c>
      <c r="U265" s="62" t="e">
        <f t="shared" ca="1" si="25"/>
        <v>#N/A</v>
      </c>
      <c r="V265" s="62" t="e">
        <f t="shared" ca="1" si="26"/>
        <v>#N/A</v>
      </c>
      <c r="W265" s="60" t="e">
        <f t="shared" ca="1" si="27"/>
        <v>#N/A</v>
      </c>
      <c r="X265" s="60" t="e">
        <f t="shared" ca="1" si="30"/>
        <v>#N/A</v>
      </c>
      <c r="Y265" s="60" t="e">
        <f t="shared" ca="1" si="28"/>
        <v>#N/A</v>
      </c>
      <c r="Z265" s="60" t="e">
        <f ca="1">VLOOKUP(S265,ModelOutputs,13,FALSE)</f>
        <v>#N/A</v>
      </c>
    </row>
    <row r="266" spans="18:26" x14ac:dyDescent="0.25">
      <c r="R266" s="93" t="e">
        <f ca="1"/>
        <v>#N/A</v>
      </c>
      <c r="S266" s="62" t="e">
        <f t="shared" ca="1" si="29"/>
        <v>#N/A</v>
      </c>
      <c r="T266" s="62" t="e">
        <f t="shared" ca="1" si="24"/>
        <v>#N/A</v>
      </c>
      <c r="U266" s="62" t="e">
        <f t="shared" ca="1" si="25"/>
        <v>#N/A</v>
      </c>
      <c r="V266" s="62" t="e">
        <f t="shared" ca="1" si="26"/>
        <v>#N/A</v>
      </c>
      <c r="W266" s="60" t="e">
        <f t="shared" ca="1" si="27"/>
        <v>#N/A</v>
      </c>
      <c r="X266" s="60" t="e">
        <f t="shared" ca="1" si="30"/>
        <v>#N/A</v>
      </c>
      <c r="Y266" s="60" t="e">
        <f t="shared" ca="1" si="28"/>
        <v>#N/A</v>
      </c>
      <c r="Z266" s="60" t="e">
        <f ca="1">VLOOKUP(S266,ModelOutputs,13,FALSE)</f>
        <v>#N/A</v>
      </c>
    </row>
    <row r="267" spans="18:26" x14ac:dyDescent="0.25">
      <c r="R267" s="93" t="e">
        <f ca="1"/>
        <v>#N/A</v>
      </c>
      <c r="S267" s="62" t="e">
        <f t="shared" ca="1" si="29"/>
        <v>#N/A</v>
      </c>
      <c r="T267" s="62" t="e">
        <f t="shared" ca="1" si="24"/>
        <v>#N/A</v>
      </c>
      <c r="U267" s="62" t="e">
        <f t="shared" ca="1" si="25"/>
        <v>#N/A</v>
      </c>
      <c r="V267" s="62" t="e">
        <f t="shared" ca="1" si="26"/>
        <v>#N/A</v>
      </c>
      <c r="W267" s="60" t="e">
        <f t="shared" ca="1" si="27"/>
        <v>#N/A</v>
      </c>
      <c r="X267" s="60" t="e">
        <f t="shared" ca="1" si="30"/>
        <v>#N/A</v>
      </c>
      <c r="Y267" s="60" t="e">
        <f t="shared" ca="1" si="28"/>
        <v>#N/A</v>
      </c>
      <c r="Z267" s="60" t="e">
        <f ca="1">VLOOKUP(S267,ModelOutputs,13,FALSE)</f>
        <v>#N/A</v>
      </c>
    </row>
    <row r="268" spans="18:26" x14ac:dyDescent="0.25">
      <c r="R268" s="93" t="e">
        <f ca="1"/>
        <v>#N/A</v>
      </c>
      <c r="S268" s="62" t="e">
        <f t="shared" ca="1" si="29"/>
        <v>#N/A</v>
      </c>
      <c r="T268" s="62" t="e">
        <f t="shared" ca="1" si="24"/>
        <v>#N/A</v>
      </c>
      <c r="U268" s="62" t="e">
        <f t="shared" ca="1" si="25"/>
        <v>#N/A</v>
      </c>
      <c r="V268" s="62" t="e">
        <f t="shared" ca="1" si="26"/>
        <v>#N/A</v>
      </c>
      <c r="W268" s="60" t="e">
        <f t="shared" ca="1" si="27"/>
        <v>#N/A</v>
      </c>
      <c r="X268" s="60" t="e">
        <f t="shared" ca="1" si="30"/>
        <v>#N/A</v>
      </c>
      <c r="Y268" s="60" t="e">
        <f t="shared" ca="1" si="28"/>
        <v>#N/A</v>
      </c>
      <c r="Z268" s="60" t="e">
        <f ca="1">VLOOKUP(S268,ModelOutputs,13,FALSE)</f>
        <v>#N/A</v>
      </c>
    </row>
    <row r="269" spans="18:26" x14ac:dyDescent="0.25">
      <c r="R269" s="93" t="e">
        <f ca="1"/>
        <v>#N/A</v>
      </c>
      <c r="S269" s="62" t="e">
        <f t="shared" ca="1" si="29"/>
        <v>#N/A</v>
      </c>
      <c r="T269" s="62" t="e">
        <f t="shared" ca="1" si="24"/>
        <v>#N/A</v>
      </c>
      <c r="U269" s="62" t="e">
        <f t="shared" ca="1" si="25"/>
        <v>#N/A</v>
      </c>
      <c r="V269" s="62" t="e">
        <f t="shared" ca="1" si="26"/>
        <v>#N/A</v>
      </c>
      <c r="W269" s="60" t="e">
        <f t="shared" ca="1" si="27"/>
        <v>#N/A</v>
      </c>
      <c r="X269" s="60" t="e">
        <f t="shared" ca="1" si="30"/>
        <v>#N/A</v>
      </c>
      <c r="Y269" s="60" t="e">
        <f t="shared" ca="1" si="28"/>
        <v>#N/A</v>
      </c>
      <c r="Z269" s="60" t="e">
        <f ca="1">VLOOKUP(S269,ModelOutputs,13,FALSE)</f>
        <v>#N/A</v>
      </c>
    </row>
    <row r="270" spans="18:26" x14ac:dyDescent="0.25">
      <c r="R270" s="93" t="e">
        <f ca="1"/>
        <v>#N/A</v>
      </c>
      <c r="S270" s="62" t="e">
        <f t="shared" ca="1" si="29"/>
        <v>#N/A</v>
      </c>
      <c r="T270" s="62" t="e">
        <f t="shared" ca="1" si="24"/>
        <v>#N/A</v>
      </c>
      <c r="U270" s="62" t="e">
        <f t="shared" ca="1" si="25"/>
        <v>#N/A</v>
      </c>
      <c r="V270" s="62" t="e">
        <f t="shared" ca="1" si="26"/>
        <v>#N/A</v>
      </c>
      <c r="W270" s="60" t="e">
        <f t="shared" ca="1" si="27"/>
        <v>#N/A</v>
      </c>
      <c r="X270" s="60" t="e">
        <f t="shared" ca="1" si="30"/>
        <v>#N/A</v>
      </c>
      <c r="Y270" s="60" t="e">
        <f t="shared" ca="1" si="28"/>
        <v>#N/A</v>
      </c>
      <c r="Z270" s="60" t="e">
        <f ca="1">VLOOKUP(S270,ModelOutputs,13,FALSE)</f>
        <v>#N/A</v>
      </c>
    </row>
    <row r="271" spans="18:26" x14ac:dyDescent="0.25">
      <c r="R271" s="93" t="e">
        <f ca="1"/>
        <v>#N/A</v>
      </c>
      <c r="S271" s="62" t="e">
        <f t="shared" ca="1" si="29"/>
        <v>#N/A</v>
      </c>
      <c r="T271" s="62" t="e">
        <f t="shared" ca="1" si="24"/>
        <v>#N/A</v>
      </c>
      <c r="U271" s="62" t="e">
        <f t="shared" ca="1" si="25"/>
        <v>#N/A</v>
      </c>
      <c r="V271" s="62" t="e">
        <f t="shared" ca="1" si="26"/>
        <v>#N/A</v>
      </c>
      <c r="W271" s="60" t="e">
        <f t="shared" ca="1" si="27"/>
        <v>#N/A</v>
      </c>
      <c r="X271" s="60" t="e">
        <f t="shared" ca="1" si="30"/>
        <v>#N/A</v>
      </c>
      <c r="Y271" s="60" t="e">
        <f t="shared" ca="1" si="28"/>
        <v>#N/A</v>
      </c>
      <c r="Z271" s="60" t="e">
        <f ca="1">VLOOKUP(S271,ModelOutputs,13,FALSE)</f>
        <v>#N/A</v>
      </c>
    </row>
    <row r="272" spans="18:26" x14ac:dyDescent="0.25">
      <c r="R272" s="93" t="e">
        <f ca="1"/>
        <v>#N/A</v>
      </c>
      <c r="S272" s="62" t="e">
        <f t="shared" ca="1" si="29"/>
        <v>#N/A</v>
      </c>
      <c r="T272" s="62" t="e">
        <f t="shared" ca="1" si="24"/>
        <v>#N/A</v>
      </c>
      <c r="U272" s="62" t="e">
        <f t="shared" ca="1" si="25"/>
        <v>#N/A</v>
      </c>
      <c r="V272" s="62" t="e">
        <f t="shared" ca="1" si="26"/>
        <v>#N/A</v>
      </c>
      <c r="W272" s="60" t="e">
        <f t="shared" ca="1" si="27"/>
        <v>#N/A</v>
      </c>
      <c r="X272" s="60" t="e">
        <f t="shared" ca="1" si="30"/>
        <v>#N/A</v>
      </c>
      <c r="Y272" s="60" t="e">
        <f t="shared" ca="1" si="28"/>
        <v>#N/A</v>
      </c>
      <c r="Z272" s="60" t="e">
        <f ca="1">VLOOKUP(S272,ModelOutputs,13,FALSE)</f>
        <v>#N/A</v>
      </c>
    </row>
    <row r="273" spans="18:26" x14ac:dyDescent="0.25">
      <c r="R273" s="93" t="e">
        <f ca="1"/>
        <v>#N/A</v>
      </c>
      <c r="S273" s="62" t="e">
        <f t="shared" ca="1" si="29"/>
        <v>#N/A</v>
      </c>
      <c r="T273" s="62" t="e">
        <f t="shared" ca="1" si="24"/>
        <v>#N/A</v>
      </c>
      <c r="U273" s="62" t="e">
        <f t="shared" ca="1" si="25"/>
        <v>#N/A</v>
      </c>
      <c r="V273" s="62" t="e">
        <f t="shared" ca="1" si="26"/>
        <v>#N/A</v>
      </c>
      <c r="W273" s="60" t="e">
        <f t="shared" ca="1" si="27"/>
        <v>#N/A</v>
      </c>
      <c r="X273" s="60" t="e">
        <f t="shared" ca="1" si="30"/>
        <v>#N/A</v>
      </c>
      <c r="Y273" s="60" t="e">
        <f t="shared" ca="1" si="28"/>
        <v>#N/A</v>
      </c>
      <c r="Z273" s="60" t="e">
        <f ca="1">VLOOKUP(S273,ModelOutputs,13,FALSE)</f>
        <v>#N/A</v>
      </c>
    </row>
    <row r="274" spans="18:26" x14ac:dyDescent="0.25">
      <c r="R274" s="93" t="e">
        <f ca="1"/>
        <v>#N/A</v>
      </c>
      <c r="S274" s="62" t="e">
        <f t="shared" ca="1" si="29"/>
        <v>#N/A</v>
      </c>
      <c r="T274" s="62" t="e">
        <f t="shared" ref="T274:T337" ca="1" si="31">VLOOKUP(S274,ModelOutputs,2,FALSE)</f>
        <v>#N/A</v>
      </c>
      <c r="U274" s="62" t="e">
        <f t="shared" ref="U274:U337" ca="1" si="32">VLOOKUP(S274,ModelOutputs,7,FALSE)</f>
        <v>#N/A</v>
      </c>
      <c r="V274" s="62" t="e">
        <f t="shared" ref="V274:V337" ca="1" si="33">VLOOKUP(S274,ModelOutputs,6,FALSE)</f>
        <v>#N/A</v>
      </c>
      <c r="W274" s="60" t="e">
        <f t="shared" ref="W274:W337" ca="1" si="34">VLOOKUP(S274,ModelOutputs,10,FALSE)*AWC</f>
        <v>#N/A</v>
      </c>
      <c r="X274" s="60" t="e">
        <f t="shared" ca="1" si="30"/>
        <v>#N/A</v>
      </c>
      <c r="Y274" s="60" t="e">
        <f t="shared" ref="Y274:Y337" ca="1" si="35">VLOOKUP(S274,ModelOutputs,12,FALSE)</f>
        <v>#N/A</v>
      </c>
      <c r="Z274" s="60" t="e">
        <f ca="1">VLOOKUP(S274,ModelOutputs,13,FALSE)</f>
        <v>#N/A</v>
      </c>
    </row>
    <row r="275" spans="18:26" x14ac:dyDescent="0.25">
      <c r="R275" s="93" t="e">
        <f ca="1"/>
        <v>#N/A</v>
      </c>
      <c r="S275" s="62" t="e">
        <f t="shared" ref="S275:S338" ca="1" si="36">IF(R275&gt;1,R275,"")</f>
        <v>#N/A</v>
      </c>
      <c r="T275" s="62" t="e">
        <f t="shared" ca="1" si="31"/>
        <v>#N/A</v>
      </c>
      <c r="U275" s="62" t="e">
        <f t="shared" ca="1" si="32"/>
        <v>#N/A</v>
      </c>
      <c r="V275" s="62" t="e">
        <f t="shared" ca="1" si="33"/>
        <v>#N/A</v>
      </c>
      <c r="W275" s="60" t="e">
        <f t="shared" ca="1" si="34"/>
        <v>#N/A</v>
      </c>
      <c r="X275" s="60" t="e">
        <f t="shared" ref="X275:X338" ca="1" si="37">VLOOKUP(S275,ModelOutputs,11,FALSE)+X274</f>
        <v>#N/A</v>
      </c>
      <c r="Y275" s="60" t="e">
        <f t="shared" ca="1" si="35"/>
        <v>#N/A</v>
      </c>
      <c r="Z275" s="60" t="e">
        <f ca="1">VLOOKUP(S275,ModelOutputs,13,FALSE)</f>
        <v>#N/A</v>
      </c>
    </row>
    <row r="276" spans="18:26" x14ac:dyDescent="0.25">
      <c r="R276" s="93" t="e">
        <f ca="1"/>
        <v>#N/A</v>
      </c>
      <c r="S276" s="62" t="e">
        <f t="shared" ca="1" si="36"/>
        <v>#N/A</v>
      </c>
      <c r="T276" s="62" t="e">
        <f t="shared" ca="1" si="31"/>
        <v>#N/A</v>
      </c>
      <c r="U276" s="62" t="e">
        <f t="shared" ca="1" si="32"/>
        <v>#N/A</v>
      </c>
      <c r="V276" s="62" t="e">
        <f t="shared" ca="1" si="33"/>
        <v>#N/A</v>
      </c>
      <c r="W276" s="60" t="e">
        <f t="shared" ca="1" si="34"/>
        <v>#N/A</v>
      </c>
      <c r="X276" s="60" t="e">
        <f t="shared" ca="1" si="37"/>
        <v>#N/A</v>
      </c>
      <c r="Y276" s="60" t="e">
        <f t="shared" ca="1" si="35"/>
        <v>#N/A</v>
      </c>
      <c r="Z276" s="60" t="e">
        <f ca="1">VLOOKUP(S276,ModelOutputs,13,FALSE)</f>
        <v>#N/A</v>
      </c>
    </row>
    <row r="277" spans="18:26" x14ac:dyDescent="0.25">
      <c r="R277" s="93" t="e">
        <f ca="1"/>
        <v>#N/A</v>
      </c>
      <c r="S277" s="62" t="e">
        <f t="shared" ca="1" si="36"/>
        <v>#N/A</v>
      </c>
      <c r="T277" s="62" t="e">
        <f t="shared" ca="1" si="31"/>
        <v>#N/A</v>
      </c>
      <c r="U277" s="62" t="e">
        <f t="shared" ca="1" si="32"/>
        <v>#N/A</v>
      </c>
      <c r="V277" s="62" t="e">
        <f t="shared" ca="1" si="33"/>
        <v>#N/A</v>
      </c>
      <c r="W277" s="60" t="e">
        <f t="shared" ca="1" si="34"/>
        <v>#N/A</v>
      </c>
      <c r="X277" s="60" t="e">
        <f t="shared" ca="1" si="37"/>
        <v>#N/A</v>
      </c>
      <c r="Y277" s="60" t="e">
        <f t="shared" ca="1" si="35"/>
        <v>#N/A</v>
      </c>
      <c r="Z277" s="60" t="e">
        <f ca="1">VLOOKUP(S277,ModelOutputs,13,FALSE)</f>
        <v>#N/A</v>
      </c>
    </row>
    <row r="278" spans="18:26" x14ac:dyDescent="0.25">
      <c r="R278" s="93" t="e">
        <f ca="1"/>
        <v>#N/A</v>
      </c>
      <c r="S278" s="62" t="e">
        <f t="shared" ca="1" si="36"/>
        <v>#N/A</v>
      </c>
      <c r="T278" s="62" t="e">
        <f t="shared" ca="1" si="31"/>
        <v>#N/A</v>
      </c>
      <c r="U278" s="62" t="e">
        <f t="shared" ca="1" si="32"/>
        <v>#N/A</v>
      </c>
      <c r="V278" s="62" t="e">
        <f t="shared" ca="1" si="33"/>
        <v>#N/A</v>
      </c>
      <c r="W278" s="60" t="e">
        <f t="shared" ca="1" si="34"/>
        <v>#N/A</v>
      </c>
      <c r="X278" s="60" t="e">
        <f t="shared" ca="1" si="37"/>
        <v>#N/A</v>
      </c>
      <c r="Y278" s="60" t="e">
        <f t="shared" ca="1" si="35"/>
        <v>#N/A</v>
      </c>
      <c r="Z278" s="60" t="e">
        <f ca="1">VLOOKUP(S278,ModelOutputs,13,FALSE)</f>
        <v>#N/A</v>
      </c>
    </row>
    <row r="279" spans="18:26" x14ac:dyDescent="0.25">
      <c r="R279" s="93" t="e">
        <f ca="1"/>
        <v>#N/A</v>
      </c>
      <c r="S279" s="62" t="e">
        <f t="shared" ca="1" si="36"/>
        <v>#N/A</v>
      </c>
      <c r="T279" s="62" t="e">
        <f t="shared" ca="1" si="31"/>
        <v>#N/A</v>
      </c>
      <c r="U279" s="62" t="e">
        <f t="shared" ca="1" si="32"/>
        <v>#N/A</v>
      </c>
      <c r="V279" s="62" t="e">
        <f t="shared" ca="1" si="33"/>
        <v>#N/A</v>
      </c>
      <c r="W279" s="60" t="e">
        <f t="shared" ca="1" si="34"/>
        <v>#N/A</v>
      </c>
      <c r="X279" s="60" t="e">
        <f t="shared" ca="1" si="37"/>
        <v>#N/A</v>
      </c>
      <c r="Y279" s="60" t="e">
        <f t="shared" ca="1" si="35"/>
        <v>#N/A</v>
      </c>
      <c r="Z279" s="60" t="e">
        <f ca="1">VLOOKUP(S279,ModelOutputs,13,FALSE)</f>
        <v>#N/A</v>
      </c>
    </row>
    <row r="280" spans="18:26" x14ac:dyDescent="0.25">
      <c r="R280" s="93" t="e">
        <f ca="1"/>
        <v>#N/A</v>
      </c>
      <c r="S280" s="62" t="e">
        <f t="shared" ca="1" si="36"/>
        <v>#N/A</v>
      </c>
      <c r="T280" s="62" t="e">
        <f t="shared" ca="1" si="31"/>
        <v>#N/A</v>
      </c>
      <c r="U280" s="62" t="e">
        <f t="shared" ca="1" si="32"/>
        <v>#N/A</v>
      </c>
      <c r="V280" s="62" t="e">
        <f t="shared" ca="1" si="33"/>
        <v>#N/A</v>
      </c>
      <c r="W280" s="60" t="e">
        <f t="shared" ca="1" si="34"/>
        <v>#N/A</v>
      </c>
      <c r="X280" s="60" t="e">
        <f t="shared" ca="1" si="37"/>
        <v>#N/A</v>
      </c>
      <c r="Y280" s="60" t="e">
        <f t="shared" ca="1" si="35"/>
        <v>#N/A</v>
      </c>
      <c r="Z280" s="60" t="e">
        <f ca="1">VLOOKUP(S280,ModelOutputs,13,FALSE)</f>
        <v>#N/A</v>
      </c>
    </row>
    <row r="281" spans="18:26" x14ac:dyDescent="0.25">
      <c r="R281" s="93" t="e">
        <f ca="1"/>
        <v>#N/A</v>
      </c>
      <c r="S281" s="62" t="e">
        <f t="shared" ca="1" si="36"/>
        <v>#N/A</v>
      </c>
      <c r="T281" s="62" t="e">
        <f t="shared" ca="1" si="31"/>
        <v>#N/A</v>
      </c>
      <c r="U281" s="62" t="e">
        <f t="shared" ca="1" si="32"/>
        <v>#N/A</v>
      </c>
      <c r="V281" s="62" t="e">
        <f t="shared" ca="1" si="33"/>
        <v>#N/A</v>
      </c>
      <c r="W281" s="60" t="e">
        <f t="shared" ca="1" si="34"/>
        <v>#N/A</v>
      </c>
      <c r="X281" s="60" t="e">
        <f t="shared" ca="1" si="37"/>
        <v>#N/A</v>
      </c>
      <c r="Y281" s="60" t="e">
        <f t="shared" ca="1" si="35"/>
        <v>#N/A</v>
      </c>
      <c r="Z281" s="60" t="e">
        <f ca="1">VLOOKUP(S281,ModelOutputs,13,FALSE)</f>
        <v>#N/A</v>
      </c>
    </row>
    <row r="282" spans="18:26" x14ac:dyDescent="0.25">
      <c r="R282" s="93" t="e">
        <f ca="1"/>
        <v>#N/A</v>
      </c>
      <c r="S282" s="62" t="e">
        <f t="shared" ca="1" si="36"/>
        <v>#N/A</v>
      </c>
      <c r="T282" s="62" t="e">
        <f t="shared" ca="1" si="31"/>
        <v>#N/A</v>
      </c>
      <c r="U282" s="62" t="e">
        <f t="shared" ca="1" si="32"/>
        <v>#N/A</v>
      </c>
      <c r="V282" s="62" t="e">
        <f t="shared" ca="1" si="33"/>
        <v>#N/A</v>
      </c>
      <c r="W282" s="60" t="e">
        <f t="shared" ca="1" si="34"/>
        <v>#N/A</v>
      </c>
      <c r="X282" s="60" t="e">
        <f t="shared" ca="1" si="37"/>
        <v>#N/A</v>
      </c>
      <c r="Y282" s="60" t="e">
        <f t="shared" ca="1" si="35"/>
        <v>#N/A</v>
      </c>
      <c r="Z282" s="60" t="e">
        <f ca="1">VLOOKUP(S282,ModelOutputs,13,FALSE)</f>
        <v>#N/A</v>
      </c>
    </row>
    <row r="283" spans="18:26" x14ac:dyDescent="0.25">
      <c r="R283" s="93" t="e">
        <f ca="1"/>
        <v>#N/A</v>
      </c>
      <c r="S283" s="62" t="e">
        <f t="shared" ca="1" si="36"/>
        <v>#N/A</v>
      </c>
      <c r="T283" s="62" t="e">
        <f t="shared" ca="1" si="31"/>
        <v>#N/A</v>
      </c>
      <c r="U283" s="62" t="e">
        <f t="shared" ca="1" si="32"/>
        <v>#N/A</v>
      </c>
      <c r="V283" s="62" t="e">
        <f t="shared" ca="1" si="33"/>
        <v>#N/A</v>
      </c>
      <c r="W283" s="60" t="e">
        <f t="shared" ca="1" si="34"/>
        <v>#N/A</v>
      </c>
      <c r="X283" s="60" t="e">
        <f t="shared" ca="1" si="37"/>
        <v>#N/A</v>
      </c>
      <c r="Y283" s="60" t="e">
        <f t="shared" ca="1" si="35"/>
        <v>#N/A</v>
      </c>
      <c r="Z283" s="60" t="e">
        <f ca="1">VLOOKUP(S283,ModelOutputs,13,FALSE)</f>
        <v>#N/A</v>
      </c>
    </row>
    <row r="284" spans="18:26" x14ac:dyDescent="0.25">
      <c r="R284" s="93" t="e">
        <f ca="1"/>
        <v>#N/A</v>
      </c>
      <c r="S284" s="62" t="e">
        <f t="shared" ca="1" si="36"/>
        <v>#N/A</v>
      </c>
      <c r="T284" s="62" t="e">
        <f t="shared" ca="1" si="31"/>
        <v>#N/A</v>
      </c>
      <c r="U284" s="62" t="e">
        <f t="shared" ca="1" si="32"/>
        <v>#N/A</v>
      </c>
      <c r="V284" s="62" t="e">
        <f t="shared" ca="1" si="33"/>
        <v>#N/A</v>
      </c>
      <c r="W284" s="60" t="e">
        <f t="shared" ca="1" si="34"/>
        <v>#N/A</v>
      </c>
      <c r="X284" s="60" t="e">
        <f t="shared" ca="1" si="37"/>
        <v>#N/A</v>
      </c>
      <c r="Y284" s="60" t="e">
        <f t="shared" ca="1" si="35"/>
        <v>#N/A</v>
      </c>
      <c r="Z284" s="60" t="e">
        <f ca="1">VLOOKUP(S284,ModelOutputs,13,FALSE)</f>
        <v>#N/A</v>
      </c>
    </row>
    <row r="285" spans="18:26" x14ac:dyDescent="0.25">
      <c r="R285" s="93" t="e">
        <f ca="1"/>
        <v>#N/A</v>
      </c>
      <c r="S285" s="62" t="e">
        <f t="shared" ca="1" si="36"/>
        <v>#N/A</v>
      </c>
      <c r="T285" s="62" t="e">
        <f t="shared" ca="1" si="31"/>
        <v>#N/A</v>
      </c>
      <c r="U285" s="62" t="e">
        <f t="shared" ca="1" si="32"/>
        <v>#N/A</v>
      </c>
      <c r="V285" s="62" t="e">
        <f t="shared" ca="1" si="33"/>
        <v>#N/A</v>
      </c>
      <c r="W285" s="60" t="e">
        <f t="shared" ca="1" si="34"/>
        <v>#N/A</v>
      </c>
      <c r="X285" s="60" t="e">
        <f t="shared" ca="1" si="37"/>
        <v>#N/A</v>
      </c>
      <c r="Y285" s="60" t="e">
        <f t="shared" ca="1" si="35"/>
        <v>#N/A</v>
      </c>
      <c r="Z285" s="60" t="e">
        <f ca="1">VLOOKUP(S285,ModelOutputs,13,FALSE)</f>
        <v>#N/A</v>
      </c>
    </row>
    <row r="286" spans="18:26" x14ac:dyDescent="0.25">
      <c r="R286" s="93" t="e">
        <f ca="1"/>
        <v>#N/A</v>
      </c>
      <c r="S286" s="62" t="e">
        <f t="shared" ca="1" si="36"/>
        <v>#N/A</v>
      </c>
      <c r="T286" s="62" t="e">
        <f t="shared" ca="1" si="31"/>
        <v>#N/A</v>
      </c>
      <c r="U286" s="62" t="e">
        <f t="shared" ca="1" si="32"/>
        <v>#N/A</v>
      </c>
      <c r="V286" s="62" t="e">
        <f t="shared" ca="1" si="33"/>
        <v>#N/A</v>
      </c>
      <c r="W286" s="60" t="e">
        <f t="shared" ca="1" si="34"/>
        <v>#N/A</v>
      </c>
      <c r="X286" s="60" t="e">
        <f t="shared" ca="1" si="37"/>
        <v>#N/A</v>
      </c>
      <c r="Y286" s="60" t="e">
        <f t="shared" ca="1" si="35"/>
        <v>#N/A</v>
      </c>
      <c r="Z286" s="60" t="e">
        <f ca="1">VLOOKUP(S286,ModelOutputs,13,FALSE)</f>
        <v>#N/A</v>
      </c>
    </row>
    <row r="287" spans="18:26" x14ac:dyDescent="0.25">
      <c r="R287" s="93" t="e">
        <f ca="1"/>
        <v>#N/A</v>
      </c>
      <c r="S287" s="62" t="e">
        <f t="shared" ca="1" si="36"/>
        <v>#N/A</v>
      </c>
      <c r="T287" s="62" t="e">
        <f t="shared" ca="1" si="31"/>
        <v>#N/A</v>
      </c>
      <c r="U287" s="62" t="e">
        <f t="shared" ca="1" si="32"/>
        <v>#N/A</v>
      </c>
      <c r="V287" s="62" t="e">
        <f t="shared" ca="1" si="33"/>
        <v>#N/A</v>
      </c>
      <c r="W287" s="60" t="e">
        <f t="shared" ca="1" si="34"/>
        <v>#N/A</v>
      </c>
      <c r="X287" s="60" t="e">
        <f t="shared" ca="1" si="37"/>
        <v>#N/A</v>
      </c>
      <c r="Y287" s="60" t="e">
        <f t="shared" ca="1" si="35"/>
        <v>#N/A</v>
      </c>
      <c r="Z287" s="60" t="e">
        <f ca="1">VLOOKUP(S287,ModelOutputs,13,FALSE)</f>
        <v>#N/A</v>
      </c>
    </row>
    <row r="288" spans="18:26" x14ac:dyDescent="0.25">
      <c r="R288" s="93" t="e">
        <f ca="1"/>
        <v>#N/A</v>
      </c>
      <c r="S288" s="62" t="e">
        <f t="shared" ca="1" si="36"/>
        <v>#N/A</v>
      </c>
      <c r="T288" s="62" t="e">
        <f t="shared" ca="1" si="31"/>
        <v>#N/A</v>
      </c>
      <c r="U288" s="62" t="e">
        <f t="shared" ca="1" si="32"/>
        <v>#N/A</v>
      </c>
      <c r="V288" s="62" t="e">
        <f t="shared" ca="1" si="33"/>
        <v>#N/A</v>
      </c>
      <c r="W288" s="60" t="e">
        <f t="shared" ca="1" si="34"/>
        <v>#N/A</v>
      </c>
      <c r="X288" s="60" t="e">
        <f t="shared" ca="1" si="37"/>
        <v>#N/A</v>
      </c>
      <c r="Y288" s="60" t="e">
        <f t="shared" ca="1" si="35"/>
        <v>#N/A</v>
      </c>
      <c r="Z288" s="60" t="e">
        <f ca="1">VLOOKUP(S288,ModelOutputs,13,FALSE)</f>
        <v>#N/A</v>
      </c>
    </row>
    <row r="289" spans="18:26" x14ac:dyDescent="0.25">
      <c r="R289" s="93" t="e">
        <f ca="1"/>
        <v>#N/A</v>
      </c>
      <c r="S289" s="62" t="e">
        <f t="shared" ca="1" si="36"/>
        <v>#N/A</v>
      </c>
      <c r="T289" s="62" t="e">
        <f t="shared" ca="1" si="31"/>
        <v>#N/A</v>
      </c>
      <c r="U289" s="62" t="e">
        <f t="shared" ca="1" si="32"/>
        <v>#N/A</v>
      </c>
      <c r="V289" s="62" t="e">
        <f t="shared" ca="1" si="33"/>
        <v>#N/A</v>
      </c>
      <c r="W289" s="60" t="e">
        <f t="shared" ca="1" si="34"/>
        <v>#N/A</v>
      </c>
      <c r="X289" s="60" t="e">
        <f t="shared" ca="1" si="37"/>
        <v>#N/A</v>
      </c>
      <c r="Y289" s="60" t="e">
        <f t="shared" ca="1" si="35"/>
        <v>#N/A</v>
      </c>
      <c r="Z289" s="60" t="e">
        <f ca="1">VLOOKUP(S289,ModelOutputs,13,FALSE)</f>
        <v>#N/A</v>
      </c>
    </row>
    <row r="290" spans="18:26" x14ac:dyDescent="0.25">
      <c r="R290" s="93" t="e">
        <f ca="1"/>
        <v>#N/A</v>
      </c>
      <c r="S290" s="62" t="e">
        <f t="shared" ca="1" si="36"/>
        <v>#N/A</v>
      </c>
      <c r="T290" s="62" t="e">
        <f t="shared" ca="1" si="31"/>
        <v>#N/A</v>
      </c>
      <c r="U290" s="62" t="e">
        <f t="shared" ca="1" si="32"/>
        <v>#N/A</v>
      </c>
      <c r="V290" s="62" t="e">
        <f t="shared" ca="1" si="33"/>
        <v>#N/A</v>
      </c>
      <c r="W290" s="60" t="e">
        <f t="shared" ca="1" si="34"/>
        <v>#N/A</v>
      </c>
      <c r="X290" s="60" t="e">
        <f t="shared" ca="1" si="37"/>
        <v>#N/A</v>
      </c>
      <c r="Y290" s="60" t="e">
        <f t="shared" ca="1" si="35"/>
        <v>#N/A</v>
      </c>
      <c r="Z290" s="60" t="e">
        <f ca="1">VLOOKUP(S290,ModelOutputs,13,FALSE)</f>
        <v>#N/A</v>
      </c>
    </row>
    <row r="291" spans="18:26" x14ac:dyDescent="0.25">
      <c r="R291" s="93" t="e">
        <f ca="1"/>
        <v>#N/A</v>
      </c>
      <c r="S291" s="62" t="e">
        <f t="shared" ca="1" si="36"/>
        <v>#N/A</v>
      </c>
      <c r="T291" s="62" t="e">
        <f t="shared" ca="1" si="31"/>
        <v>#N/A</v>
      </c>
      <c r="U291" s="62" t="e">
        <f t="shared" ca="1" si="32"/>
        <v>#N/A</v>
      </c>
      <c r="V291" s="62" t="e">
        <f t="shared" ca="1" si="33"/>
        <v>#N/A</v>
      </c>
      <c r="W291" s="60" t="e">
        <f t="shared" ca="1" si="34"/>
        <v>#N/A</v>
      </c>
      <c r="X291" s="60" t="e">
        <f t="shared" ca="1" si="37"/>
        <v>#N/A</v>
      </c>
      <c r="Y291" s="60" t="e">
        <f t="shared" ca="1" si="35"/>
        <v>#N/A</v>
      </c>
      <c r="Z291" s="60" t="e">
        <f ca="1">VLOOKUP(S291,ModelOutputs,13,FALSE)</f>
        <v>#N/A</v>
      </c>
    </row>
    <row r="292" spans="18:26" x14ac:dyDescent="0.25">
      <c r="R292" s="93" t="e">
        <f ca="1"/>
        <v>#N/A</v>
      </c>
      <c r="S292" s="62" t="e">
        <f t="shared" ca="1" si="36"/>
        <v>#N/A</v>
      </c>
      <c r="T292" s="62" t="e">
        <f t="shared" ca="1" si="31"/>
        <v>#N/A</v>
      </c>
      <c r="U292" s="62" t="e">
        <f t="shared" ca="1" si="32"/>
        <v>#N/A</v>
      </c>
      <c r="V292" s="62" t="e">
        <f t="shared" ca="1" si="33"/>
        <v>#N/A</v>
      </c>
      <c r="W292" s="60" t="e">
        <f t="shared" ca="1" si="34"/>
        <v>#N/A</v>
      </c>
      <c r="X292" s="60" t="e">
        <f t="shared" ca="1" si="37"/>
        <v>#N/A</v>
      </c>
      <c r="Y292" s="60" t="e">
        <f t="shared" ca="1" si="35"/>
        <v>#N/A</v>
      </c>
      <c r="Z292" s="60" t="e">
        <f ca="1">VLOOKUP(S292,ModelOutputs,13,FALSE)</f>
        <v>#N/A</v>
      </c>
    </row>
    <row r="293" spans="18:26" x14ac:dyDescent="0.25">
      <c r="R293" s="93" t="e">
        <f ca="1"/>
        <v>#N/A</v>
      </c>
      <c r="S293" s="62" t="e">
        <f t="shared" ca="1" si="36"/>
        <v>#N/A</v>
      </c>
      <c r="T293" s="62" t="e">
        <f t="shared" ca="1" si="31"/>
        <v>#N/A</v>
      </c>
      <c r="U293" s="62" t="e">
        <f t="shared" ca="1" si="32"/>
        <v>#N/A</v>
      </c>
      <c r="V293" s="62" t="e">
        <f t="shared" ca="1" si="33"/>
        <v>#N/A</v>
      </c>
      <c r="W293" s="60" t="e">
        <f t="shared" ca="1" si="34"/>
        <v>#N/A</v>
      </c>
      <c r="X293" s="60" t="e">
        <f t="shared" ca="1" si="37"/>
        <v>#N/A</v>
      </c>
      <c r="Y293" s="60" t="e">
        <f t="shared" ca="1" si="35"/>
        <v>#N/A</v>
      </c>
      <c r="Z293" s="60" t="e">
        <f ca="1">VLOOKUP(S293,ModelOutputs,13,FALSE)</f>
        <v>#N/A</v>
      </c>
    </row>
    <row r="294" spans="18:26" x14ac:dyDescent="0.25">
      <c r="R294" s="93" t="e">
        <f ca="1"/>
        <v>#N/A</v>
      </c>
      <c r="S294" s="62" t="e">
        <f t="shared" ca="1" si="36"/>
        <v>#N/A</v>
      </c>
      <c r="T294" s="62" t="e">
        <f t="shared" ca="1" si="31"/>
        <v>#N/A</v>
      </c>
      <c r="U294" s="62" t="e">
        <f t="shared" ca="1" si="32"/>
        <v>#N/A</v>
      </c>
      <c r="V294" s="62" t="e">
        <f t="shared" ca="1" si="33"/>
        <v>#N/A</v>
      </c>
      <c r="W294" s="60" t="e">
        <f t="shared" ca="1" si="34"/>
        <v>#N/A</v>
      </c>
      <c r="X294" s="60" t="e">
        <f t="shared" ca="1" si="37"/>
        <v>#N/A</v>
      </c>
      <c r="Y294" s="60" t="e">
        <f t="shared" ca="1" si="35"/>
        <v>#N/A</v>
      </c>
      <c r="Z294" s="60" t="e">
        <f ca="1">VLOOKUP(S294,ModelOutputs,13,FALSE)</f>
        <v>#N/A</v>
      </c>
    </row>
    <row r="295" spans="18:26" x14ac:dyDescent="0.25">
      <c r="R295" s="93" t="e">
        <f ca="1"/>
        <v>#N/A</v>
      </c>
      <c r="S295" s="62" t="e">
        <f t="shared" ca="1" si="36"/>
        <v>#N/A</v>
      </c>
      <c r="T295" s="62" t="e">
        <f t="shared" ca="1" si="31"/>
        <v>#N/A</v>
      </c>
      <c r="U295" s="62" t="e">
        <f t="shared" ca="1" si="32"/>
        <v>#N/A</v>
      </c>
      <c r="V295" s="62" t="e">
        <f t="shared" ca="1" si="33"/>
        <v>#N/A</v>
      </c>
      <c r="W295" s="60" t="e">
        <f t="shared" ca="1" si="34"/>
        <v>#N/A</v>
      </c>
      <c r="X295" s="60" t="e">
        <f t="shared" ca="1" si="37"/>
        <v>#N/A</v>
      </c>
      <c r="Y295" s="60" t="e">
        <f t="shared" ca="1" si="35"/>
        <v>#N/A</v>
      </c>
      <c r="Z295" s="60" t="e">
        <f ca="1">VLOOKUP(S295,ModelOutputs,13,FALSE)</f>
        <v>#N/A</v>
      </c>
    </row>
    <row r="296" spans="18:26" x14ac:dyDescent="0.25">
      <c r="R296" s="93" t="e">
        <f ca="1"/>
        <v>#N/A</v>
      </c>
      <c r="S296" s="62" t="e">
        <f t="shared" ca="1" si="36"/>
        <v>#N/A</v>
      </c>
      <c r="T296" s="62" t="e">
        <f t="shared" ca="1" si="31"/>
        <v>#N/A</v>
      </c>
      <c r="U296" s="62" t="e">
        <f t="shared" ca="1" si="32"/>
        <v>#N/A</v>
      </c>
      <c r="V296" s="62" t="e">
        <f t="shared" ca="1" si="33"/>
        <v>#N/A</v>
      </c>
      <c r="W296" s="60" t="e">
        <f t="shared" ca="1" si="34"/>
        <v>#N/A</v>
      </c>
      <c r="X296" s="60" t="e">
        <f t="shared" ca="1" si="37"/>
        <v>#N/A</v>
      </c>
      <c r="Y296" s="60" t="e">
        <f t="shared" ca="1" si="35"/>
        <v>#N/A</v>
      </c>
      <c r="Z296" s="60" t="e">
        <f ca="1">VLOOKUP(S296,ModelOutputs,13,FALSE)</f>
        <v>#N/A</v>
      </c>
    </row>
    <row r="297" spans="18:26" x14ac:dyDescent="0.25">
      <c r="R297" s="93" t="e">
        <f ca="1"/>
        <v>#N/A</v>
      </c>
      <c r="S297" s="62" t="e">
        <f t="shared" ca="1" si="36"/>
        <v>#N/A</v>
      </c>
      <c r="T297" s="62" t="e">
        <f t="shared" ca="1" si="31"/>
        <v>#N/A</v>
      </c>
      <c r="U297" s="62" t="e">
        <f t="shared" ca="1" si="32"/>
        <v>#N/A</v>
      </c>
      <c r="V297" s="62" t="e">
        <f t="shared" ca="1" si="33"/>
        <v>#N/A</v>
      </c>
      <c r="W297" s="60" t="e">
        <f t="shared" ca="1" si="34"/>
        <v>#N/A</v>
      </c>
      <c r="X297" s="60" t="e">
        <f t="shared" ca="1" si="37"/>
        <v>#N/A</v>
      </c>
      <c r="Y297" s="60" t="e">
        <f t="shared" ca="1" si="35"/>
        <v>#N/A</v>
      </c>
      <c r="Z297" s="60" t="e">
        <f ca="1">VLOOKUP(S297,ModelOutputs,13,FALSE)</f>
        <v>#N/A</v>
      </c>
    </row>
    <row r="298" spans="18:26" x14ac:dyDescent="0.25">
      <c r="R298" s="93" t="e">
        <f ca="1"/>
        <v>#N/A</v>
      </c>
      <c r="S298" s="62" t="e">
        <f t="shared" ca="1" si="36"/>
        <v>#N/A</v>
      </c>
      <c r="T298" s="62" t="e">
        <f t="shared" ca="1" si="31"/>
        <v>#N/A</v>
      </c>
      <c r="U298" s="62" t="e">
        <f t="shared" ca="1" si="32"/>
        <v>#N/A</v>
      </c>
      <c r="V298" s="62" t="e">
        <f t="shared" ca="1" si="33"/>
        <v>#N/A</v>
      </c>
      <c r="W298" s="60" t="e">
        <f t="shared" ca="1" si="34"/>
        <v>#N/A</v>
      </c>
      <c r="X298" s="60" t="e">
        <f t="shared" ca="1" si="37"/>
        <v>#N/A</v>
      </c>
      <c r="Y298" s="60" t="e">
        <f t="shared" ca="1" si="35"/>
        <v>#N/A</v>
      </c>
      <c r="Z298" s="60" t="e">
        <f ca="1">VLOOKUP(S298,ModelOutputs,13,FALSE)</f>
        <v>#N/A</v>
      </c>
    </row>
    <row r="299" spans="18:26" x14ac:dyDescent="0.25">
      <c r="R299" s="93" t="e">
        <f ca="1"/>
        <v>#N/A</v>
      </c>
      <c r="S299" s="62" t="e">
        <f t="shared" ca="1" si="36"/>
        <v>#N/A</v>
      </c>
      <c r="T299" s="62" t="e">
        <f t="shared" ca="1" si="31"/>
        <v>#N/A</v>
      </c>
      <c r="U299" s="62" t="e">
        <f t="shared" ca="1" si="32"/>
        <v>#N/A</v>
      </c>
      <c r="V299" s="62" t="e">
        <f t="shared" ca="1" si="33"/>
        <v>#N/A</v>
      </c>
      <c r="W299" s="60" t="e">
        <f t="shared" ca="1" si="34"/>
        <v>#N/A</v>
      </c>
      <c r="X299" s="60" t="e">
        <f t="shared" ca="1" si="37"/>
        <v>#N/A</v>
      </c>
      <c r="Y299" s="60" t="e">
        <f t="shared" ca="1" si="35"/>
        <v>#N/A</v>
      </c>
      <c r="Z299" s="60" t="e">
        <f ca="1">VLOOKUP(S299,ModelOutputs,13,FALSE)</f>
        <v>#N/A</v>
      </c>
    </row>
    <row r="300" spans="18:26" x14ac:dyDescent="0.25">
      <c r="R300" s="93" t="e">
        <f ca="1"/>
        <v>#N/A</v>
      </c>
      <c r="S300" s="62" t="e">
        <f t="shared" ca="1" si="36"/>
        <v>#N/A</v>
      </c>
      <c r="T300" s="62" t="e">
        <f t="shared" ca="1" si="31"/>
        <v>#N/A</v>
      </c>
      <c r="U300" s="62" t="e">
        <f t="shared" ca="1" si="32"/>
        <v>#N/A</v>
      </c>
      <c r="V300" s="62" t="e">
        <f t="shared" ca="1" si="33"/>
        <v>#N/A</v>
      </c>
      <c r="W300" s="60" t="e">
        <f t="shared" ca="1" si="34"/>
        <v>#N/A</v>
      </c>
      <c r="X300" s="60" t="e">
        <f t="shared" ca="1" si="37"/>
        <v>#N/A</v>
      </c>
      <c r="Y300" s="60" t="e">
        <f t="shared" ca="1" si="35"/>
        <v>#N/A</v>
      </c>
      <c r="Z300" s="60" t="e">
        <f ca="1">VLOOKUP(S300,ModelOutputs,13,FALSE)</f>
        <v>#N/A</v>
      </c>
    </row>
    <row r="301" spans="18:26" x14ac:dyDescent="0.25">
      <c r="R301" s="93" t="e">
        <f ca="1"/>
        <v>#N/A</v>
      </c>
      <c r="S301" s="62" t="e">
        <f t="shared" ca="1" si="36"/>
        <v>#N/A</v>
      </c>
      <c r="T301" s="62" t="e">
        <f t="shared" ca="1" si="31"/>
        <v>#N/A</v>
      </c>
      <c r="U301" s="62" t="e">
        <f t="shared" ca="1" si="32"/>
        <v>#N/A</v>
      </c>
      <c r="V301" s="62" t="e">
        <f t="shared" ca="1" si="33"/>
        <v>#N/A</v>
      </c>
      <c r="W301" s="60" t="e">
        <f t="shared" ca="1" si="34"/>
        <v>#N/A</v>
      </c>
      <c r="X301" s="60" t="e">
        <f t="shared" ca="1" si="37"/>
        <v>#N/A</v>
      </c>
      <c r="Y301" s="60" t="e">
        <f t="shared" ca="1" si="35"/>
        <v>#N/A</v>
      </c>
      <c r="Z301" s="60" t="e">
        <f ca="1">VLOOKUP(S301,ModelOutputs,13,FALSE)</f>
        <v>#N/A</v>
      </c>
    </row>
    <row r="302" spans="18:26" x14ac:dyDescent="0.25">
      <c r="R302" s="93" t="e">
        <f ca="1"/>
        <v>#N/A</v>
      </c>
      <c r="S302" s="62" t="e">
        <f t="shared" ca="1" si="36"/>
        <v>#N/A</v>
      </c>
      <c r="T302" s="62" t="e">
        <f t="shared" ca="1" si="31"/>
        <v>#N/A</v>
      </c>
      <c r="U302" s="62" t="e">
        <f t="shared" ca="1" si="32"/>
        <v>#N/A</v>
      </c>
      <c r="V302" s="62" t="e">
        <f t="shared" ca="1" si="33"/>
        <v>#N/A</v>
      </c>
      <c r="W302" s="60" t="e">
        <f t="shared" ca="1" si="34"/>
        <v>#N/A</v>
      </c>
      <c r="X302" s="60" t="e">
        <f t="shared" ca="1" si="37"/>
        <v>#N/A</v>
      </c>
      <c r="Y302" s="60" t="e">
        <f t="shared" ca="1" si="35"/>
        <v>#N/A</v>
      </c>
      <c r="Z302" s="60" t="e">
        <f ca="1">VLOOKUP(S302,ModelOutputs,13,FALSE)</f>
        <v>#N/A</v>
      </c>
    </row>
    <row r="303" spans="18:26" x14ac:dyDescent="0.25">
      <c r="R303" s="93" t="e">
        <f ca="1"/>
        <v>#N/A</v>
      </c>
      <c r="S303" s="62" t="e">
        <f t="shared" ca="1" si="36"/>
        <v>#N/A</v>
      </c>
      <c r="T303" s="62" t="e">
        <f t="shared" ca="1" si="31"/>
        <v>#N/A</v>
      </c>
      <c r="U303" s="62" t="e">
        <f t="shared" ca="1" si="32"/>
        <v>#N/A</v>
      </c>
      <c r="V303" s="62" t="e">
        <f t="shared" ca="1" si="33"/>
        <v>#N/A</v>
      </c>
      <c r="W303" s="60" t="e">
        <f t="shared" ca="1" si="34"/>
        <v>#N/A</v>
      </c>
      <c r="X303" s="60" t="e">
        <f t="shared" ca="1" si="37"/>
        <v>#N/A</v>
      </c>
      <c r="Y303" s="60" t="e">
        <f t="shared" ca="1" si="35"/>
        <v>#N/A</v>
      </c>
      <c r="Z303" s="60" t="e">
        <f ca="1">VLOOKUP(S303,ModelOutputs,13,FALSE)</f>
        <v>#N/A</v>
      </c>
    </row>
    <row r="304" spans="18:26" x14ac:dyDescent="0.25">
      <c r="R304" s="93" t="e">
        <f ca="1"/>
        <v>#N/A</v>
      </c>
      <c r="S304" s="62" t="e">
        <f t="shared" ca="1" si="36"/>
        <v>#N/A</v>
      </c>
      <c r="T304" s="62" t="e">
        <f t="shared" ca="1" si="31"/>
        <v>#N/A</v>
      </c>
      <c r="U304" s="62" t="e">
        <f t="shared" ca="1" si="32"/>
        <v>#N/A</v>
      </c>
      <c r="V304" s="62" t="e">
        <f t="shared" ca="1" si="33"/>
        <v>#N/A</v>
      </c>
      <c r="W304" s="60" t="e">
        <f t="shared" ca="1" si="34"/>
        <v>#N/A</v>
      </c>
      <c r="X304" s="60" t="e">
        <f t="shared" ca="1" si="37"/>
        <v>#N/A</v>
      </c>
      <c r="Y304" s="60" t="e">
        <f t="shared" ca="1" si="35"/>
        <v>#N/A</v>
      </c>
      <c r="Z304" s="60" t="e">
        <f ca="1">VLOOKUP(S304,ModelOutputs,13,FALSE)</f>
        <v>#N/A</v>
      </c>
    </row>
    <row r="305" spans="18:26" x14ac:dyDescent="0.25">
      <c r="R305" s="93" t="e">
        <f ca="1"/>
        <v>#N/A</v>
      </c>
      <c r="S305" s="62" t="e">
        <f t="shared" ca="1" si="36"/>
        <v>#N/A</v>
      </c>
      <c r="T305" s="62" t="e">
        <f t="shared" ca="1" si="31"/>
        <v>#N/A</v>
      </c>
      <c r="U305" s="62" t="e">
        <f t="shared" ca="1" si="32"/>
        <v>#N/A</v>
      </c>
      <c r="V305" s="62" t="e">
        <f t="shared" ca="1" si="33"/>
        <v>#N/A</v>
      </c>
      <c r="W305" s="60" t="e">
        <f t="shared" ca="1" si="34"/>
        <v>#N/A</v>
      </c>
      <c r="X305" s="60" t="e">
        <f t="shared" ca="1" si="37"/>
        <v>#N/A</v>
      </c>
      <c r="Y305" s="60" t="e">
        <f t="shared" ca="1" si="35"/>
        <v>#N/A</v>
      </c>
      <c r="Z305" s="60" t="e">
        <f ca="1">VLOOKUP(S305,ModelOutputs,13,FALSE)</f>
        <v>#N/A</v>
      </c>
    </row>
    <row r="306" spans="18:26" x14ac:dyDescent="0.25">
      <c r="R306" s="93" t="e">
        <f ca="1"/>
        <v>#N/A</v>
      </c>
      <c r="S306" s="62" t="e">
        <f t="shared" ca="1" si="36"/>
        <v>#N/A</v>
      </c>
      <c r="T306" s="62" t="e">
        <f t="shared" ca="1" si="31"/>
        <v>#N/A</v>
      </c>
      <c r="U306" s="62" t="e">
        <f t="shared" ca="1" si="32"/>
        <v>#N/A</v>
      </c>
      <c r="V306" s="62" t="e">
        <f t="shared" ca="1" si="33"/>
        <v>#N/A</v>
      </c>
      <c r="W306" s="60" t="e">
        <f t="shared" ca="1" si="34"/>
        <v>#N/A</v>
      </c>
      <c r="X306" s="60" t="e">
        <f t="shared" ca="1" si="37"/>
        <v>#N/A</v>
      </c>
      <c r="Y306" s="60" t="e">
        <f t="shared" ca="1" si="35"/>
        <v>#N/A</v>
      </c>
      <c r="Z306" s="60" t="e">
        <f ca="1">VLOOKUP(S306,ModelOutputs,13,FALSE)</f>
        <v>#N/A</v>
      </c>
    </row>
    <row r="307" spans="18:26" x14ac:dyDescent="0.25">
      <c r="R307" s="93" t="e">
        <f ca="1"/>
        <v>#N/A</v>
      </c>
      <c r="S307" s="62" t="e">
        <f t="shared" ca="1" si="36"/>
        <v>#N/A</v>
      </c>
      <c r="T307" s="62" t="e">
        <f t="shared" ca="1" si="31"/>
        <v>#N/A</v>
      </c>
      <c r="U307" s="62" t="e">
        <f t="shared" ca="1" si="32"/>
        <v>#N/A</v>
      </c>
      <c r="V307" s="62" t="e">
        <f t="shared" ca="1" si="33"/>
        <v>#N/A</v>
      </c>
      <c r="W307" s="60" t="e">
        <f t="shared" ca="1" si="34"/>
        <v>#N/A</v>
      </c>
      <c r="X307" s="60" t="e">
        <f t="shared" ca="1" si="37"/>
        <v>#N/A</v>
      </c>
      <c r="Y307" s="60" t="e">
        <f t="shared" ca="1" si="35"/>
        <v>#N/A</v>
      </c>
      <c r="Z307" s="60" t="e">
        <f ca="1">VLOOKUP(S307,ModelOutputs,13,FALSE)</f>
        <v>#N/A</v>
      </c>
    </row>
    <row r="308" spans="18:26" x14ac:dyDescent="0.25">
      <c r="R308" s="93" t="e">
        <f ca="1"/>
        <v>#N/A</v>
      </c>
      <c r="S308" s="62" t="e">
        <f t="shared" ca="1" si="36"/>
        <v>#N/A</v>
      </c>
      <c r="T308" s="62" t="e">
        <f t="shared" ca="1" si="31"/>
        <v>#N/A</v>
      </c>
      <c r="U308" s="62" t="e">
        <f t="shared" ca="1" si="32"/>
        <v>#N/A</v>
      </c>
      <c r="V308" s="62" t="e">
        <f t="shared" ca="1" si="33"/>
        <v>#N/A</v>
      </c>
      <c r="W308" s="60" t="e">
        <f t="shared" ca="1" si="34"/>
        <v>#N/A</v>
      </c>
      <c r="X308" s="60" t="e">
        <f t="shared" ca="1" si="37"/>
        <v>#N/A</v>
      </c>
      <c r="Y308" s="60" t="e">
        <f t="shared" ca="1" si="35"/>
        <v>#N/A</v>
      </c>
      <c r="Z308" s="60" t="e">
        <f ca="1">VLOOKUP(S308,ModelOutputs,13,FALSE)</f>
        <v>#N/A</v>
      </c>
    </row>
    <row r="309" spans="18:26" x14ac:dyDescent="0.25">
      <c r="R309" s="93" t="e">
        <f ca="1"/>
        <v>#N/A</v>
      </c>
      <c r="S309" s="62" t="e">
        <f t="shared" ca="1" si="36"/>
        <v>#N/A</v>
      </c>
      <c r="T309" s="62" t="e">
        <f t="shared" ca="1" si="31"/>
        <v>#N/A</v>
      </c>
      <c r="U309" s="62" t="e">
        <f t="shared" ca="1" si="32"/>
        <v>#N/A</v>
      </c>
      <c r="V309" s="62" t="e">
        <f t="shared" ca="1" si="33"/>
        <v>#N/A</v>
      </c>
      <c r="W309" s="60" t="e">
        <f t="shared" ca="1" si="34"/>
        <v>#N/A</v>
      </c>
      <c r="X309" s="60" t="e">
        <f t="shared" ca="1" si="37"/>
        <v>#N/A</v>
      </c>
      <c r="Y309" s="60" t="e">
        <f t="shared" ca="1" si="35"/>
        <v>#N/A</v>
      </c>
      <c r="Z309" s="60" t="e">
        <f ca="1">VLOOKUP(S309,ModelOutputs,13,FALSE)</f>
        <v>#N/A</v>
      </c>
    </row>
    <row r="310" spans="18:26" x14ac:dyDescent="0.25">
      <c r="R310" s="93" t="e">
        <f ca="1"/>
        <v>#N/A</v>
      </c>
      <c r="S310" s="62" t="e">
        <f t="shared" ca="1" si="36"/>
        <v>#N/A</v>
      </c>
      <c r="T310" s="62" t="e">
        <f t="shared" ca="1" si="31"/>
        <v>#N/A</v>
      </c>
      <c r="U310" s="62" t="e">
        <f t="shared" ca="1" si="32"/>
        <v>#N/A</v>
      </c>
      <c r="V310" s="62" t="e">
        <f t="shared" ca="1" si="33"/>
        <v>#N/A</v>
      </c>
      <c r="W310" s="60" t="e">
        <f t="shared" ca="1" si="34"/>
        <v>#N/A</v>
      </c>
      <c r="X310" s="60" t="e">
        <f t="shared" ca="1" si="37"/>
        <v>#N/A</v>
      </c>
      <c r="Y310" s="60" t="e">
        <f t="shared" ca="1" si="35"/>
        <v>#N/A</v>
      </c>
      <c r="Z310" s="60" t="e">
        <f ca="1">VLOOKUP(S310,ModelOutputs,13,FALSE)</f>
        <v>#N/A</v>
      </c>
    </row>
    <row r="311" spans="18:26" x14ac:dyDescent="0.25">
      <c r="R311" s="93" t="e">
        <f ca="1"/>
        <v>#N/A</v>
      </c>
      <c r="S311" s="62" t="e">
        <f t="shared" ca="1" si="36"/>
        <v>#N/A</v>
      </c>
      <c r="T311" s="62" t="e">
        <f t="shared" ca="1" si="31"/>
        <v>#N/A</v>
      </c>
      <c r="U311" s="62" t="e">
        <f t="shared" ca="1" si="32"/>
        <v>#N/A</v>
      </c>
      <c r="V311" s="62" t="e">
        <f t="shared" ca="1" si="33"/>
        <v>#N/A</v>
      </c>
      <c r="W311" s="60" t="e">
        <f t="shared" ca="1" si="34"/>
        <v>#N/A</v>
      </c>
      <c r="X311" s="60" t="e">
        <f t="shared" ca="1" si="37"/>
        <v>#N/A</v>
      </c>
      <c r="Y311" s="60" t="e">
        <f t="shared" ca="1" si="35"/>
        <v>#N/A</v>
      </c>
      <c r="Z311" s="60" t="e">
        <f ca="1">VLOOKUP(S311,ModelOutputs,13,FALSE)</f>
        <v>#N/A</v>
      </c>
    </row>
    <row r="312" spans="18:26" x14ac:dyDescent="0.25">
      <c r="R312" s="93" t="e">
        <f ca="1"/>
        <v>#N/A</v>
      </c>
      <c r="S312" s="62" t="e">
        <f t="shared" ca="1" si="36"/>
        <v>#N/A</v>
      </c>
      <c r="T312" s="62" t="e">
        <f t="shared" ca="1" si="31"/>
        <v>#N/A</v>
      </c>
      <c r="U312" s="62" t="e">
        <f t="shared" ca="1" si="32"/>
        <v>#N/A</v>
      </c>
      <c r="V312" s="62" t="e">
        <f t="shared" ca="1" si="33"/>
        <v>#N/A</v>
      </c>
      <c r="W312" s="60" t="e">
        <f t="shared" ca="1" si="34"/>
        <v>#N/A</v>
      </c>
      <c r="X312" s="60" t="e">
        <f t="shared" ca="1" si="37"/>
        <v>#N/A</v>
      </c>
      <c r="Y312" s="60" t="e">
        <f t="shared" ca="1" si="35"/>
        <v>#N/A</v>
      </c>
      <c r="Z312" s="60" t="e">
        <f ca="1">VLOOKUP(S312,ModelOutputs,13,FALSE)</f>
        <v>#N/A</v>
      </c>
    </row>
    <row r="313" spans="18:26" x14ac:dyDescent="0.25">
      <c r="R313" s="93" t="e">
        <f ca="1"/>
        <v>#N/A</v>
      </c>
      <c r="S313" s="62" t="e">
        <f t="shared" ca="1" si="36"/>
        <v>#N/A</v>
      </c>
      <c r="T313" s="62" t="e">
        <f t="shared" ca="1" si="31"/>
        <v>#N/A</v>
      </c>
      <c r="U313" s="62" t="e">
        <f t="shared" ca="1" si="32"/>
        <v>#N/A</v>
      </c>
      <c r="V313" s="62" t="e">
        <f t="shared" ca="1" si="33"/>
        <v>#N/A</v>
      </c>
      <c r="W313" s="60" t="e">
        <f t="shared" ca="1" si="34"/>
        <v>#N/A</v>
      </c>
      <c r="X313" s="60" t="e">
        <f t="shared" ca="1" si="37"/>
        <v>#N/A</v>
      </c>
      <c r="Y313" s="60" t="e">
        <f t="shared" ca="1" si="35"/>
        <v>#N/A</v>
      </c>
      <c r="Z313" s="60" t="e">
        <f ca="1">VLOOKUP(S313,ModelOutputs,13,FALSE)</f>
        <v>#N/A</v>
      </c>
    </row>
    <row r="314" spans="18:26" x14ac:dyDescent="0.25">
      <c r="R314" s="93" t="e">
        <f ca="1"/>
        <v>#N/A</v>
      </c>
      <c r="S314" s="62" t="e">
        <f t="shared" ca="1" si="36"/>
        <v>#N/A</v>
      </c>
      <c r="T314" s="62" t="e">
        <f t="shared" ca="1" si="31"/>
        <v>#N/A</v>
      </c>
      <c r="U314" s="62" t="e">
        <f t="shared" ca="1" si="32"/>
        <v>#N/A</v>
      </c>
      <c r="V314" s="62" t="e">
        <f t="shared" ca="1" si="33"/>
        <v>#N/A</v>
      </c>
      <c r="W314" s="60" t="e">
        <f t="shared" ca="1" si="34"/>
        <v>#N/A</v>
      </c>
      <c r="X314" s="60" t="e">
        <f t="shared" ca="1" si="37"/>
        <v>#N/A</v>
      </c>
      <c r="Y314" s="60" t="e">
        <f t="shared" ca="1" si="35"/>
        <v>#N/A</v>
      </c>
      <c r="Z314" s="60" t="e">
        <f ca="1">VLOOKUP(S314,ModelOutputs,13,FALSE)</f>
        <v>#N/A</v>
      </c>
    </row>
    <row r="315" spans="18:26" x14ac:dyDescent="0.25">
      <c r="R315" s="93" t="e">
        <f ca="1"/>
        <v>#N/A</v>
      </c>
      <c r="S315" s="62" t="e">
        <f t="shared" ca="1" si="36"/>
        <v>#N/A</v>
      </c>
      <c r="T315" s="62" t="e">
        <f t="shared" ca="1" si="31"/>
        <v>#N/A</v>
      </c>
      <c r="U315" s="62" t="e">
        <f t="shared" ca="1" si="32"/>
        <v>#N/A</v>
      </c>
      <c r="V315" s="62" t="e">
        <f t="shared" ca="1" si="33"/>
        <v>#N/A</v>
      </c>
      <c r="W315" s="60" t="e">
        <f t="shared" ca="1" si="34"/>
        <v>#N/A</v>
      </c>
      <c r="X315" s="60" t="e">
        <f t="shared" ca="1" si="37"/>
        <v>#N/A</v>
      </c>
      <c r="Y315" s="60" t="e">
        <f t="shared" ca="1" si="35"/>
        <v>#N/A</v>
      </c>
      <c r="Z315" s="60" t="e">
        <f ca="1">VLOOKUP(S315,ModelOutputs,13,FALSE)</f>
        <v>#N/A</v>
      </c>
    </row>
    <row r="316" spans="18:26" x14ac:dyDescent="0.25">
      <c r="R316" s="93" t="e">
        <f ca="1"/>
        <v>#N/A</v>
      </c>
      <c r="S316" s="62" t="e">
        <f t="shared" ca="1" si="36"/>
        <v>#N/A</v>
      </c>
      <c r="T316" s="62" t="e">
        <f t="shared" ca="1" si="31"/>
        <v>#N/A</v>
      </c>
      <c r="U316" s="62" t="e">
        <f t="shared" ca="1" si="32"/>
        <v>#N/A</v>
      </c>
      <c r="V316" s="62" t="e">
        <f t="shared" ca="1" si="33"/>
        <v>#N/A</v>
      </c>
      <c r="W316" s="60" t="e">
        <f t="shared" ca="1" si="34"/>
        <v>#N/A</v>
      </c>
      <c r="X316" s="60" t="e">
        <f t="shared" ca="1" si="37"/>
        <v>#N/A</v>
      </c>
      <c r="Y316" s="60" t="e">
        <f t="shared" ca="1" si="35"/>
        <v>#N/A</v>
      </c>
      <c r="Z316" s="60" t="e">
        <f ca="1">VLOOKUP(S316,ModelOutputs,13,FALSE)</f>
        <v>#N/A</v>
      </c>
    </row>
    <row r="317" spans="18:26" x14ac:dyDescent="0.25">
      <c r="R317" s="93" t="e">
        <f ca="1"/>
        <v>#N/A</v>
      </c>
      <c r="S317" s="62" t="e">
        <f t="shared" ca="1" si="36"/>
        <v>#N/A</v>
      </c>
      <c r="T317" s="62" t="e">
        <f t="shared" ca="1" si="31"/>
        <v>#N/A</v>
      </c>
      <c r="U317" s="62" t="e">
        <f t="shared" ca="1" si="32"/>
        <v>#N/A</v>
      </c>
      <c r="V317" s="62" t="e">
        <f t="shared" ca="1" si="33"/>
        <v>#N/A</v>
      </c>
      <c r="W317" s="60" t="e">
        <f t="shared" ca="1" si="34"/>
        <v>#N/A</v>
      </c>
      <c r="X317" s="60" t="e">
        <f t="shared" ca="1" si="37"/>
        <v>#N/A</v>
      </c>
      <c r="Y317" s="60" t="e">
        <f t="shared" ca="1" si="35"/>
        <v>#N/A</v>
      </c>
      <c r="Z317" s="60" t="e">
        <f ca="1">VLOOKUP(S317,ModelOutputs,13,FALSE)</f>
        <v>#N/A</v>
      </c>
    </row>
    <row r="318" spans="18:26" x14ac:dyDescent="0.25">
      <c r="R318" s="93" t="e">
        <f ca="1"/>
        <v>#N/A</v>
      </c>
      <c r="S318" s="62" t="e">
        <f t="shared" ca="1" si="36"/>
        <v>#N/A</v>
      </c>
      <c r="T318" s="62" t="e">
        <f t="shared" ca="1" si="31"/>
        <v>#N/A</v>
      </c>
      <c r="U318" s="62" t="e">
        <f t="shared" ca="1" si="32"/>
        <v>#N/A</v>
      </c>
      <c r="V318" s="62" t="e">
        <f t="shared" ca="1" si="33"/>
        <v>#N/A</v>
      </c>
      <c r="W318" s="60" t="e">
        <f t="shared" ca="1" si="34"/>
        <v>#N/A</v>
      </c>
      <c r="X318" s="60" t="e">
        <f t="shared" ca="1" si="37"/>
        <v>#N/A</v>
      </c>
      <c r="Y318" s="60" t="e">
        <f t="shared" ca="1" si="35"/>
        <v>#N/A</v>
      </c>
      <c r="Z318" s="60" t="e">
        <f ca="1">VLOOKUP(S318,ModelOutputs,13,FALSE)</f>
        <v>#N/A</v>
      </c>
    </row>
    <row r="319" spans="18:26" x14ac:dyDescent="0.25">
      <c r="R319" s="93" t="e">
        <f ca="1"/>
        <v>#N/A</v>
      </c>
      <c r="S319" s="62" t="e">
        <f t="shared" ca="1" si="36"/>
        <v>#N/A</v>
      </c>
      <c r="T319" s="62" t="e">
        <f t="shared" ca="1" si="31"/>
        <v>#N/A</v>
      </c>
      <c r="U319" s="62" t="e">
        <f t="shared" ca="1" si="32"/>
        <v>#N/A</v>
      </c>
      <c r="V319" s="62" t="e">
        <f t="shared" ca="1" si="33"/>
        <v>#N/A</v>
      </c>
      <c r="W319" s="60" t="e">
        <f t="shared" ca="1" si="34"/>
        <v>#N/A</v>
      </c>
      <c r="X319" s="60" t="e">
        <f t="shared" ca="1" si="37"/>
        <v>#N/A</v>
      </c>
      <c r="Y319" s="60" t="e">
        <f t="shared" ca="1" si="35"/>
        <v>#N/A</v>
      </c>
      <c r="Z319" s="60" t="e">
        <f ca="1">VLOOKUP(S319,ModelOutputs,13,FALSE)</f>
        <v>#N/A</v>
      </c>
    </row>
    <row r="320" spans="18:26" x14ac:dyDescent="0.25">
      <c r="R320" s="93" t="e">
        <f ca="1"/>
        <v>#N/A</v>
      </c>
      <c r="S320" s="62" t="e">
        <f t="shared" ca="1" si="36"/>
        <v>#N/A</v>
      </c>
      <c r="T320" s="62" t="e">
        <f t="shared" ca="1" si="31"/>
        <v>#N/A</v>
      </c>
      <c r="U320" s="62" t="e">
        <f t="shared" ca="1" si="32"/>
        <v>#N/A</v>
      </c>
      <c r="V320" s="62" t="e">
        <f t="shared" ca="1" si="33"/>
        <v>#N/A</v>
      </c>
      <c r="W320" s="60" t="e">
        <f t="shared" ca="1" si="34"/>
        <v>#N/A</v>
      </c>
      <c r="X320" s="60" t="e">
        <f t="shared" ca="1" si="37"/>
        <v>#N/A</v>
      </c>
      <c r="Y320" s="60" t="e">
        <f t="shared" ca="1" si="35"/>
        <v>#N/A</v>
      </c>
      <c r="Z320" s="60" t="e">
        <f ca="1">VLOOKUP(S320,ModelOutputs,13,FALSE)</f>
        <v>#N/A</v>
      </c>
    </row>
    <row r="321" spans="18:26" x14ac:dyDescent="0.25">
      <c r="R321" s="93" t="e">
        <f ca="1"/>
        <v>#N/A</v>
      </c>
      <c r="S321" s="62" t="e">
        <f t="shared" ca="1" si="36"/>
        <v>#N/A</v>
      </c>
      <c r="T321" s="62" t="e">
        <f t="shared" ca="1" si="31"/>
        <v>#N/A</v>
      </c>
      <c r="U321" s="62" t="e">
        <f t="shared" ca="1" si="32"/>
        <v>#N/A</v>
      </c>
      <c r="V321" s="62" t="e">
        <f t="shared" ca="1" si="33"/>
        <v>#N/A</v>
      </c>
      <c r="W321" s="60" t="e">
        <f t="shared" ca="1" si="34"/>
        <v>#N/A</v>
      </c>
      <c r="X321" s="60" t="e">
        <f t="shared" ca="1" si="37"/>
        <v>#N/A</v>
      </c>
      <c r="Y321" s="60" t="e">
        <f t="shared" ca="1" si="35"/>
        <v>#N/A</v>
      </c>
      <c r="Z321" s="60" t="e">
        <f ca="1">VLOOKUP(S321,ModelOutputs,13,FALSE)</f>
        <v>#N/A</v>
      </c>
    </row>
    <row r="322" spans="18:26" x14ac:dyDescent="0.25">
      <c r="R322" s="93" t="e">
        <f ca="1"/>
        <v>#N/A</v>
      </c>
      <c r="S322" s="62" t="e">
        <f t="shared" ca="1" si="36"/>
        <v>#N/A</v>
      </c>
      <c r="T322" s="62" t="e">
        <f t="shared" ca="1" si="31"/>
        <v>#N/A</v>
      </c>
      <c r="U322" s="62" t="e">
        <f t="shared" ca="1" si="32"/>
        <v>#N/A</v>
      </c>
      <c r="V322" s="62" t="e">
        <f t="shared" ca="1" si="33"/>
        <v>#N/A</v>
      </c>
      <c r="W322" s="60" t="e">
        <f t="shared" ca="1" si="34"/>
        <v>#N/A</v>
      </c>
      <c r="X322" s="60" t="e">
        <f t="shared" ca="1" si="37"/>
        <v>#N/A</v>
      </c>
      <c r="Y322" s="60" t="e">
        <f t="shared" ca="1" si="35"/>
        <v>#N/A</v>
      </c>
      <c r="Z322" s="60" t="e">
        <f ca="1">VLOOKUP(S322,ModelOutputs,13,FALSE)</f>
        <v>#N/A</v>
      </c>
    </row>
    <row r="323" spans="18:26" x14ac:dyDescent="0.25">
      <c r="R323" s="93" t="e">
        <f ca="1"/>
        <v>#N/A</v>
      </c>
      <c r="S323" s="62" t="e">
        <f t="shared" ca="1" si="36"/>
        <v>#N/A</v>
      </c>
      <c r="T323" s="62" t="e">
        <f t="shared" ca="1" si="31"/>
        <v>#N/A</v>
      </c>
      <c r="U323" s="62" t="e">
        <f t="shared" ca="1" si="32"/>
        <v>#N/A</v>
      </c>
      <c r="V323" s="62" t="e">
        <f t="shared" ca="1" si="33"/>
        <v>#N/A</v>
      </c>
      <c r="W323" s="60" t="e">
        <f t="shared" ca="1" si="34"/>
        <v>#N/A</v>
      </c>
      <c r="X323" s="60" t="e">
        <f t="shared" ca="1" si="37"/>
        <v>#N/A</v>
      </c>
      <c r="Y323" s="60" t="e">
        <f t="shared" ca="1" si="35"/>
        <v>#N/A</v>
      </c>
      <c r="Z323" s="60" t="e">
        <f ca="1">VLOOKUP(S323,ModelOutputs,13,FALSE)</f>
        <v>#N/A</v>
      </c>
    </row>
    <row r="324" spans="18:26" x14ac:dyDescent="0.25">
      <c r="R324" s="93" t="e">
        <f ca="1"/>
        <v>#N/A</v>
      </c>
      <c r="S324" s="62" t="e">
        <f t="shared" ca="1" si="36"/>
        <v>#N/A</v>
      </c>
      <c r="T324" s="62" t="e">
        <f t="shared" ca="1" si="31"/>
        <v>#N/A</v>
      </c>
      <c r="U324" s="62" t="e">
        <f t="shared" ca="1" si="32"/>
        <v>#N/A</v>
      </c>
      <c r="V324" s="62" t="e">
        <f t="shared" ca="1" si="33"/>
        <v>#N/A</v>
      </c>
      <c r="W324" s="60" t="e">
        <f t="shared" ca="1" si="34"/>
        <v>#N/A</v>
      </c>
      <c r="X324" s="60" t="e">
        <f t="shared" ca="1" si="37"/>
        <v>#N/A</v>
      </c>
      <c r="Y324" s="60" t="e">
        <f t="shared" ca="1" si="35"/>
        <v>#N/A</v>
      </c>
      <c r="Z324" s="60" t="e">
        <f ca="1">VLOOKUP(S324,ModelOutputs,13,FALSE)</f>
        <v>#N/A</v>
      </c>
    </row>
    <row r="325" spans="18:26" x14ac:dyDescent="0.25">
      <c r="R325" s="93" t="e">
        <f ca="1"/>
        <v>#N/A</v>
      </c>
      <c r="S325" s="62" t="e">
        <f t="shared" ca="1" si="36"/>
        <v>#N/A</v>
      </c>
      <c r="T325" s="62" t="e">
        <f t="shared" ca="1" si="31"/>
        <v>#N/A</v>
      </c>
      <c r="U325" s="62" t="e">
        <f t="shared" ca="1" si="32"/>
        <v>#N/A</v>
      </c>
      <c r="V325" s="62" t="e">
        <f t="shared" ca="1" si="33"/>
        <v>#N/A</v>
      </c>
      <c r="W325" s="60" t="e">
        <f t="shared" ca="1" si="34"/>
        <v>#N/A</v>
      </c>
      <c r="X325" s="60" t="e">
        <f t="shared" ca="1" si="37"/>
        <v>#N/A</v>
      </c>
      <c r="Y325" s="60" t="e">
        <f t="shared" ca="1" si="35"/>
        <v>#N/A</v>
      </c>
      <c r="Z325" s="60" t="e">
        <f ca="1">VLOOKUP(S325,ModelOutputs,13,FALSE)</f>
        <v>#N/A</v>
      </c>
    </row>
    <row r="326" spans="18:26" x14ac:dyDescent="0.25">
      <c r="R326" s="93" t="e">
        <f ca="1"/>
        <v>#N/A</v>
      </c>
      <c r="S326" s="62" t="e">
        <f t="shared" ca="1" si="36"/>
        <v>#N/A</v>
      </c>
      <c r="T326" s="62" t="e">
        <f t="shared" ca="1" si="31"/>
        <v>#N/A</v>
      </c>
      <c r="U326" s="62" t="e">
        <f t="shared" ca="1" si="32"/>
        <v>#N/A</v>
      </c>
      <c r="V326" s="62" t="e">
        <f t="shared" ca="1" si="33"/>
        <v>#N/A</v>
      </c>
      <c r="W326" s="60" t="e">
        <f t="shared" ca="1" si="34"/>
        <v>#N/A</v>
      </c>
      <c r="X326" s="60" t="e">
        <f t="shared" ca="1" si="37"/>
        <v>#N/A</v>
      </c>
      <c r="Y326" s="60" t="e">
        <f t="shared" ca="1" si="35"/>
        <v>#N/A</v>
      </c>
      <c r="Z326" s="60" t="e">
        <f ca="1">VLOOKUP(S326,ModelOutputs,13,FALSE)</f>
        <v>#N/A</v>
      </c>
    </row>
    <row r="327" spans="18:26" x14ac:dyDescent="0.25">
      <c r="R327" s="93" t="e">
        <f ca="1"/>
        <v>#N/A</v>
      </c>
      <c r="S327" s="62" t="e">
        <f t="shared" ca="1" si="36"/>
        <v>#N/A</v>
      </c>
      <c r="T327" s="62" t="e">
        <f t="shared" ca="1" si="31"/>
        <v>#N/A</v>
      </c>
      <c r="U327" s="62" t="e">
        <f t="shared" ca="1" si="32"/>
        <v>#N/A</v>
      </c>
      <c r="V327" s="62" t="e">
        <f t="shared" ca="1" si="33"/>
        <v>#N/A</v>
      </c>
      <c r="W327" s="60" t="e">
        <f t="shared" ca="1" si="34"/>
        <v>#N/A</v>
      </c>
      <c r="X327" s="60" t="e">
        <f t="shared" ca="1" si="37"/>
        <v>#N/A</v>
      </c>
      <c r="Y327" s="60" t="e">
        <f t="shared" ca="1" si="35"/>
        <v>#N/A</v>
      </c>
      <c r="Z327" s="60" t="e">
        <f ca="1">VLOOKUP(S327,ModelOutputs,13,FALSE)</f>
        <v>#N/A</v>
      </c>
    </row>
    <row r="328" spans="18:26" x14ac:dyDescent="0.25">
      <c r="R328" s="93" t="e">
        <f ca="1"/>
        <v>#N/A</v>
      </c>
      <c r="S328" s="62" t="e">
        <f t="shared" ca="1" si="36"/>
        <v>#N/A</v>
      </c>
      <c r="T328" s="62" t="e">
        <f t="shared" ca="1" si="31"/>
        <v>#N/A</v>
      </c>
      <c r="U328" s="62" t="e">
        <f t="shared" ca="1" si="32"/>
        <v>#N/A</v>
      </c>
      <c r="V328" s="62" t="e">
        <f t="shared" ca="1" si="33"/>
        <v>#N/A</v>
      </c>
      <c r="W328" s="60" t="e">
        <f t="shared" ca="1" si="34"/>
        <v>#N/A</v>
      </c>
      <c r="X328" s="60" t="e">
        <f t="shared" ca="1" si="37"/>
        <v>#N/A</v>
      </c>
      <c r="Y328" s="60" t="e">
        <f t="shared" ca="1" si="35"/>
        <v>#N/A</v>
      </c>
      <c r="Z328" s="60" t="e">
        <f ca="1">VLOOKUP(S328,ModelOutputs,13,FALSE)</f>
        <v>#N/A</v>
      </c>
    </row>
    <row r="329" spans="18:26" x14ac:dyDescent="0.25">
      <c r="R329" s="93" t="e">
        <f ca="1"/>
        <v>#N/A</v>
      </c>
      <c r="S329" s="62" t="e">
        <f t="shared" ca="1" si="36"/>
        <v>#N/A</v>
      </c>
      <c r="T329" s="62" t="e">
        <f t="shared" ca="1" si="31"/>
        <v>#N/A</v>
      </c>
      <c r="U329" s="62" t="e">
        <f t="shared" ca="1" si="32"/>
        <v>#N/A</v>
      </c>
      <c r="V329" s="62" t="e">
        <f t="shared" ca="1" si="33"/>
        <v>#N/A</v>
      </c>
      <c r="W329" s="60" t="e">
        <f t="shared" ca="1" si="34"/>
        <v>#N/A</v>
      </c>
      <c r="X329" s="60" t="e">
        <f t="shared" ca="1" si="37"/>
        <v>#N/A</v>
      </c>
      <c r="Y329" s="60" t="e">
        <f t="shared" ca="1" si="35"/>
        <v>#N/A</v>
      </c>
      <c r="Z329" s="60" t="e">
        <f ca="1">VLOOKUP(S329,ModelOutputs,13,FALSE)</f>
        <v>#N/A</v>
      </c>
    </row>
    <row r="330" spans="18:26" x14ac:dyDescent="0.25">
      <c r="R330" s="93" t="e">
        <f ca="1"/>
        <v>#N/A</v>
      </c>
      <c r="S330" s="62" t="e">
        <f t="shared" ca="1" si="36"/>
        <v>#N/A</v>
      </c>
      <c r="T330" s="62" t="e">
        <f t="shared" ca="1" si="31"/>
        <v>#N/A</v>
      </c>
      <c r="U330" s="62" t="e">
        <f t="shared" ca="1" si="32"/>
        <v>#N/A</v>
      </c>
      <c r="V330" s="62" t="e">
        <f t="shared" ca="1" si="33"/>
        <v>#N/A</v>
      </c>
      <c r="W330" s="60" t="e">
        <f t="shared" ca="1" si="34"/>
        <v>#N/A</v>
      </c>
      <c r="X330" s="60" t="e">
        <f t="shared" ca="1" si="37"/>
        <v>#N/A</v>
      </c>
      <c r="Y330" s="60" t="e">
        <f t="shared" ca="1" si="35"/>
        <v>#N/A</v>
      </c>
      <c r="Z330" s="60" t="e">
        <f ca="1">VLOOKUP(S330,ModelOutputs,13,FALSE)</f>
        <v>#N/A</v>
      </c>
    </row>
    <row r="331" spans="18:26" x14ac:dyDescent="0.25">
      <c r="R331" s="93" t="e">
        <f ca="1"/>
        <v>#N/A</v>
      </c>
      <c r="S331" s="62" t="e">
        <f t="shared" ca="1" si="36"/>
        <v>#N/A</v>
      </c>
      <c r="T331" s="62" t="e">
        <f t="shared" ca="1" si="31"/>
        <v>#N/A</v>
      </c>
      <c r="U331" s="62" t="e">
        <f t="shared" ca="1" si="32"/>
        <v>#N/A</v>
      </c>
      <c r="V331" s="62" t="e">
        <f t="shared" ca="1" si="33"/>
        <v>#N/A</v>
      </c>
      <c r="W331" s="60" t="e">
        <f t="shared" ca="1" si="34"/>
        <v>#N/A</v>
      </c>
      <c r="X331" s="60" t="e">
        <f t="shared" ca="1" si="37"/>
        <v>#N/A</v>
      </c>
      <c r="Y331" s="60" t="e">
        <f t="shared" ca="1" si="35"/>
        <v>#N/A</v>
      </c>
      <c r="Z331" s="60" t="e">
        <f ca="1">VLOOKUP(S331,ModelOutputs,13,FALSE)</f>
        <v>#N/A</v>
      </c>
    </row>
    <row r="332" spans="18:26" x14ac:dyDescent="0.25">
      <c r="R332" s="93" t="e">
        <f ca="1"/>
        <v>#N/A</v>
      </c>
      <c r="S332" s="62" t="e">
        <f t="shared" ca="1" si="36"/>
        <v>#N/A</v>
      </c>
      <c r="T332" s="62" t="e">
        <f t="shared" ca="1" si="31"/>
        <v>#N/A</v>
      </c>
      <c r="U332" s="62" t="e">
        <f t="shared" ca="1" si="32"/>
        <v>#N/A</v>
      </c>
      <c r="V332" s="62" t="e">
        <f t="shared" ca="1" si="33"/>
        <v>#N/A</v>
      </c>
      <c r="W332" s="60" t="e">
        <f t="shared" ca="1" si="34"/>
        <v>#N/A</v>
      </c>
      <c r="X332" s="60" t="e">
        <f t="shared" ca="1" si="37"/>
        <v>#N/A</v>
      </c>
      <c r="Y332" s="60" t="e">
        <f t="shared" ca="1" si="35"/>
        <v>#N/A</v>
      </c>
      <c r="Z332" s="60" t="e">
        <f ca="1">VLOOKUP(S332,ModelOutputs,13,FALSE)</f>
        <v>#N/A</v>
      </c>
    </row>
    <row r="333" spans="18:26" x14ac:dyDescent="0.25">
      <c r="R333" s="93" t="e">
        <f ca="1"/>
        <v>#N/A</v>
      </c>
      <c r="S333" s="62" t="e">
        <f t="shared" ca="1" si="36"/>
        <v>#N/A</v>
      </c>
      <c r="T333" s="62" t="e">
        <f t="shared" ca="1" si="31"/>
        <v>#N/A</v>
      </c>
      <c r="U333" s="62" t="e">
        <f t="shared" ca="1" si="32"/>
        <v>#N/A</v>
      </c>
      <c r="V333" s="62" t="e">
        <f t="shared" ca="1" si="33"/>
        <v>#N/A</v>
      </c>
      <c r="W333" s="60" t="e">
        <f t="shared" ca="1" si="34"/>
        <v>#N/A</v>
      </c>
      <c r="X333" s="60" t="e">
        <f t="shared" ca="1" si="37"/>
        <v>#N/A</v>
      </c>
      <c r="Y333" s="60" t="e">
        <f t="shared" ca="1" si="35"/>
        <v>#N/A</v>
      </c>
      <c r="Z333" s="60" t="e">
        <f ca="1">VLOOKUP(S333,ModelOutputs,13,FALSE)</f>
        <v>#N/A</v>
      </c>
    </row>
    <row r="334" spans="18:26" x14ac:dyDescent="0.25">
      <c r="R334" s="93" t="e">
        <f ca="1"/>
        <v>#N/A</v>
      </c>
      <c r="S334" s="62" t="e">
        <f t="shared" ca="1" si="36"/>
        <v>#N/A</v>
      </c>
      <c r="T334" s="62" t="e">
        <f t="shared" ca="1" si="31"/>
        <v>#N/A</v>
      </c>
      <c r="U334" s="62" t="e">
        <f t="shared" ca="1" si="32"/>
        <v>#N/A</v>
      </c>
      <c r="V334" s="62" t="e">
        <f t="shared" ca="1" si="33"/>
        <v>#N/A</v>
      </c>
      <c r="W334" s="60" t="e">
        <f t="shared" ca="1" si="34"/>
        <v>#N/A</v>
      </c>
      <c r="X334" s="60" t="e">
        <f t="shared" ca="1" si="37"/>
        <v>#N/A</v>
      </c>
      <c r="Y334" s="60" t="e">
        <f t="shared" ca="1" si="35"/>
        <v>#N/A</v>
      </c>
      <c r="Z334" s="60" t="e">
        <f ca="1">VLOOKUP(S334,ModelOutputs,13,FALSE)</f>
        <v>#N/A</v>
      </c>
    </row>
    <row r="335" spans="18:26" x14ac:dyDescent="0.25">
      <c r="R335" s="93" t="e">
        <f ca="1"/>
        <v>#N/A</v>
      </c>
      <c r="S335" s="62" t="e">
        <f t="shared" ca="1" si="36"/>
        <v>#N/A</v>
      </c>
      <c r="T335" s="62" t="e">
        <f t="shared" ca="1" si="31"/>
        <v>#N/A</v>
      </c>
      <c r="U335" s="62" t="e">
        <f t="shared" ca="1" si="32"/>
        <v>#N/A</v>
      </c>
      <c r="V335" s="62" t="e">
        <f t="shared" ca="1" si="33"/>
        <v>#N/A</v>
      </c>
      <c r="W335" s="60" t="e">
        <f t="shared" ca="1" si="34"/>
        <v>#N/A</v>
      </c>
      <c r="X335" s="60" t="e">
        <f t="shared" ca="1" si="37"/>
        <v>#N/A</v>
      </c>
      <c r="Y335" s="60" t="e">
        <f t="shared" ca="1" si="35"/>
        <v>#N/A</v>
      </c>
      <c r="Z335" s="60" t="e">
        <f ca="1">VLOOKUP(S335,ModelOutputs,13,FALSE)</f>
        <v>#N/A</v>
      </c>
    </row>
    <row r="336" spans="18:26" x14ac:dyDescent="0.25">
      <c r="R336" s="93" t="e">
        <f ca="1"/>
        <v>#N/A</v>
      </c>
      <c r="S336" s="62" t="e">
        <f t="shared" ca="1" si="36"/>
        <v>#N/A</v>
      </c>
      <c r="T336" s="62" t="e">
        <f t="shared" ca="1" si="31"/>
        <v>#N/A</v>
      </c>
      <c r="U336" s="62" t="e">
        <f t="shared" ca="1" si="32"/>
        <v>#N/A</v>
      </c>
      <c r="V336" s="62" t="e">
        <f t="shared" ca="1" si="33"/>
        <v>#N/A</v>
      </c>
      <c r="W336" s="60" t="e">
        <f t="shared" ca="1" si="34"/>
        <v>#N/A</v>
      </c>
      <c r="X336" s="60" t="e">
        <f t="shared" ca="1" si="37"/>
        <v>#N/A</v>
      </c>
      <c r="Y336" s="60" t="e">
        <f t="shared" ca="1" si="35"/>
        <v>#N/A</v>
      </c>
      <c r="Z336" s="60" t="e">
        <f ca="1">VLOOKUP(S336,ModelOutputs,13,FALSE)</f>
        <v>#N/A</v>
      </c>
    </row>
    <row r="337" spans="18:26" x14ac:dyDescent="0.25">
      <c r="R337" s="93" t="e">
        <f ca="1"/>
        <v>#N/A</v>
      </c>
      <c r="S337" s="62" t="e">
        <f t="shared" ca="1" si="36"/>
        <v>#N/A</v>
      </c>
      <c r="T337" s="62" t="e">
        <f t="shared" ca="1" si="31"/>
        <v>#N/A</v>
      </c>
      <c r="U337" s="62" t="e">
        <f t="shared" ca="1" si="32"/>
        <v>#N/A</v>
      </c>
      <c r="V337" s="62" t="e">
        <f t="shared" ca="1" si="33"/>
        <v>#N/A</v>
      </c>
      <c r="W337" s="60" t="e">
        <f t="shared" ca="1" si="34"/>
        <v>#N/A</v>
      </c>
      <c r="X337" s="60" t="e">
        <f t="shared" ca="1" si="37"/>
        <v>#N/A</v>
      </c>
      <c r="Y337" s="60" t="e">
        <f t="shared" ca="1" si="35"/>
        <v>#N/A</v>
      </c>
      <c r="Z337" s="60" t="e">
        <f ca="1">VLOOKUP(S337,ModelOutputs,13,FALSE)</f>
        <v>#N/A</v>
      </c>
    </row>
    <row r="338" spans="18:26" x14ac:dyDescent="0.25">
      <c r="R338" s="93" t="e">
        <f ca="1"/>
        <v>#N/A</v>
      </c>
      <c r="S338" s="62" t="e">
        <f t="shared" ca="1" si="36"/>
        <v>#N/A</v>
      </c>
      <c r="T338" s="62" t="e">
        <f t="shared" ref="T338:T395" ca="1" si="38">VLOOKUP(S338,ModelOutputs,2,FALSE)</f>
        <v>#N/A</v>
      </c>
      <c r="U338" s="62" t="e">
        <f t="shared" ref="U338:U395" ca="1" si="39">VLOOKUP(S338,ModelOutputs,7,FALSE)</f>
        <v>#N/A</v>
      </c>
      <c r="V338" s="62" t="e">
        <f t="shared" ref="V338:V395" ca="1" si="40">VLOOKUP(S338,ModelOutputs,6,FALSE)</f>
        <v>#N/A</v>
      </c>
      <c r="W338" s="60" t="e">
        <f t="shared" ref="W338:W395" ca="1" si="41">VLOOKUP(S338,ModelOutputs,10,FALSE)*AWC</f>
        <v>#N/A</v>
      </c>
      <c r="X338" s="60" t="e">
        <f t="shared" ca="1" si="37"/>
        <v>#N/A</v>
      </c>
      <c r="Y338" s="60" t="e">
        <f t="shared" ref="Y338:Y395" ca="1" si="42">VLOOKUP(S338,ModelOutputs,12,FALSE)</f>
        <v>#N/A</v>
      </c>
      <c r="Z338" s="60" t="e">
        <f ca="1">VLOOKUP(S338,ModelOutputs,13,FALSE)</f>
        <v>#N/A</v>
      </c>
    </row>
    <row r="339" spans="18:26" x14ac:dyDescent="0.25">
      <c r="R339" s="93" t="e">
        <f ca="1"/>
        <v>#N/A</v>
      </c>
      <c r="S339" s="62" t="e">
        <f t="shared" ref="S339:S395" ca="1" si="43">IF(R339&gt;1,R339,"")</f>
        <v>#N/A</v>
      </c>
      <c r="T339" s="62" t="e">
        <f t="shared" ca="1" si="38"/>
        <v>#N/A</v>
      </c>
      <c r="U339" s="62" t="e">
        <f t="shared" ca="1" si="39"/>
        <v>#N/A</v>
      </c>
      <c r="V339" s="62" t="e">
        <f t="shared" ca="1" si="40"/>
        <v>#N/A</v>
      </c>
      <c r="W339" s="60" t="e">
        <f t="shared" ca="1" si="41"/>
        <v>#N/A</v>
      </c>
      <c r="X339" s="60" t="e">
        <f t="shared" ref="X339:X395" ca="1" si="44">VLOOKUP(S339,ModelOutputs,11,FALSE)+X338</f>
        <v>#N/A</v>
      </c>
      <c r="Y339" s="60" t="e">
        <f t="shared" ca="1" si="42"/>
        <v>#N/A</v>
      </c>
      <c r="Z339" s="60" t="e">
        <f ca="1">VLOOKUP(S339,ModelOutputs,13,FALSE)</f>
        <v>#N/A</v>
      </c>
    </row>
    <row r="340" spans="18:26" x14ac:dyDescent="0.25">
      <c r="R340" s="93" t="e">
        <f ca="1"/>
        <v>#N/A</v>
      </c>
      <c r="S340" s="62" t="e">
        <f t="shared" ca="1" si="43"/>
        <v>#N/A</v>
      </c>
      <c r="T340" s="62" t="e">
        <f t="shared" ca="1" si="38"/>
        <v>#N/A</v>
      </c>
      <c r="U340" s="62" t="e">
        <f t="shared" ca="1" si="39"/>
        <v>#N/A</v>
      </c>
      <c r="V340" s="62" t="e">
        <f t="shared" ca="1" si="40"/>
        <v>#N/A</v>
      </c>
      <c r="W340" s="60" t="e">
        <f t="shared" ca="1" si="41"/>
        <v>#N/A</v>
      </c>
      <c r="X340" s="60" t="e">
        <f t="shared" ca="1" si="44"/>
        <v>#N/A</v>
      </c>
      <c r="Y340" s="60" t="e">
        <f t="shared" ca="1" si="42"/>
        <v>#N/A</v>
      </c>
      <c r="Z340" s="60" t="e">
        <f ca="1">VLOOKUP(S340,ModelOutputs,13,FALSE)</f>
        <v>#N/A</v>
      </c>
    </row>
    <row r="341" spans="18:26" x14ac:dyDescent="0.25">
      <c r="R341" s="93" t="e">
        <f ca="1"/>
        <v>#N/A</v>
      </c>
      <c r="S341" s="62" t="e">
        <f t="shared" ca="1" si="43"/>
        <v>#N/A</v>
      </c>
      <c r="T341" s="62" t="e">
        <f t="shared" ca="1" si="38"/>
        <v>#N/A</v>
      </c>
      <c r="U341" s="62" t="e">
        <f t="shared" ca="1" si="39"/>
        <v>#N/A</v>
      </c>
      <c r="V341" s="62" t="e">
        <f t="shared" ca="1" si="40"/>
        <v>#N/A</v>
      </c>
      <c r="W341" s="60" t="e">
        <f t="shared" ca="1" si="41"/>
        <v>#N/A</v>
      </c>
      <c r="X341" s="60" t="e">
        <f t="shared" ca="1" si="44"/>
        <v>#N/A</v>
      </c>
      <c r="Y341" s="60" t="e">
        <f t="shared" ca="1" si="42"/>
        <v>#N/A</v>
      </c>
      <c r="Z341" s="60" t="e">
        <f ca="1">VLOOKUP(S341,ModelOutputs,13,FALSE)</f>
        <v>#N/A</v>
      </c>
    </row>
    <row r="342" spans="18:26" x14ac:dyDescent="0.25">
      <c r="R342" s="93" t="e">
        <f ca="1"/>
        <v>#N/A</v>
      </c>
      <c r="S342" s="62" t="e">
        <f t="shared" ca="1" si="43"/>
        <v>#N/A</v>
      </c>
      <c r="T342" s="62" t="e">
        <f t="shared" ca="1" si="38"/>
        <v>#N/A</v>
      </c>
      <c r="U342" s="62" t="e">
        <f t="shared" ca="1" si="39"/>
        <v>#N/A</v>
      </c>
      <c r="V342" s="62" t="e">
        <f t="shared" ca="1" si="40"/>
        <v>#N/A</v>
      </c>
      <c r="W342" s="60" t="e">
        <f t="shared" ca="1" si="41"/>
        <v>#N/A</v>
      </c>
      <c r="X342" s="60" t="e">
        <f t="shared" ca="1" si="44"/>
        <v>#N/A</v>
      </c>
      <c r="Y342" s="60" t="e">
        <f t="shared" ca="1" si="42"/>
        <v>#N/A</v>
      </c>
      <c r="Z342" s="60" t="e">
        <f ca="1">VLOOKUP(S342,ModelOutputs,13,FALSE)</f>
        <v>#N/A</v>
      </c>
    </row>
    <row r="343" spans="18:26" x14ac:dyDescent="0.25">
      <c r="R343" s="93" t="e">
        <f ca="1"/>
        <v>#N/A</v>
      </c>
      <c r="S343" s="62" t="e">
        <f t="shared" ca="1" si="43"/>
        <v>#N/A</v>
      </c>
      <c r="T343" s="62" t="e">
        <f t="shared" ca="1" si="38"/>
        <v>#N/A</v>
      </c>
      <c r="U343" s="62" t="e">
        <f t="shared" ca="1" si="39"/>
        <v>#N/A</v>
      </c>
      <c r="V343" s="62" t="e">
        <f t="shared" ca="1" si="40"/>
        <v>#N/A</v>
      </c>
      <c r="W343" s="60" t="e">
        <f t="shared" ca="1" si="41"/>
        <v>#N/A</v>
      </c>
      <c r="X343" s="60" t="e">
        <f t="shared" ca="1" si="44"/>
        <v>#N/A</v>
      </c>
      <c r="Y343" s="60" t="e">
        <f t="shared" ca="1" si="42"/>
        <v>#N/A</v>
      </c>
      <c r="Z343" s="60" t="e">
        <f ca="1">VLOOKUP(S343,ModelOutputs,13,FALSE)</f>
        <v>#N/A</v>
      </c>
    </row>
    <row r="344" spans="18:26" x14ac:dyDescent="0.25">
      <c r="R344" s="93" t="e">
        <f ca="1"/>
        <v>#N/A</v>
      </c>
      <c r="S344" s="62" t="e">
        <f t="shared" ca="1" si="43"/>
        <v>#N/A</v>
      </c>
      <c r="T344" s="62" t="e">
        <f t="shared" ca="1" si="38"/>
        <v>#N/A</v>
      </c>
      <c r="U344" s="62" t="e">
        <f t="shared" ca="1" si="39"/>
        <v>#N/A</v>
      </c>
      <c r="V344" s="62" t="e">
        <f t="shared" ca="1" si="40"/>
        <v>#N/A</v>
      </c>
      <c r="W344" s="60" t="e">
        <f t="shared" ca="1" si="41"/>
        <v>#N/A</v>
      </c>
      <c r="X344" s="60" t="e">
        <f t="shared" ca="1" si="44"/>
        <v>#N/A</v>
      </c>
      <c r="Y344" s="60" t="e">
        <f t="shared" ca="1" si="42"/>
        <v>#N/A</v>
      </c>
      <c r="Z344" s="60" t="e">
        <f ca="1">VLOOKUP(S344,ModelOutputs,13,FALSE)</f>
        <v>#N/A</v>
      </c>
    </row>
    <row r="345" spans="18:26" x14ac:dyDescent="0.25">
      <c r="R345" s="93" t="e">
        <f ca="1"/>
        <v>#N/A</v>
      </c>
      <c r="S345" s="62" t="e">
        <f t="shared" ca="1" si="43"/>
        <v>#N/A</v>
      </c>
      <c r="T345" s="62" t="e">
        <f t="shared" ca="1" si="38"/>
        <v>#N/A</v>
      </c>
      <c r="U345" s="62" t="e">
        <f t="shared" ca="1" si="39"/>
        <v>#N/A</v>
      </c>
      <c r="V345" s="62" t="e">
        <f t="shared" ca="1" si="40"/>
        <v>#N/A</v>
      </c>
      <c r="W345" s="60" t="e">
        <f t="shared" ca="1" si="41"/>
        <v>#N/A</v>
      </c>
      <c r="X345" s="60" t="e">
        <f t="shared" ca="1" si="44"/>
        <v>#N/A</v>
      </c>
      <c r="Y345" s="60" t="e">
        <f t="shared" ca="1" si="42"/>
        <v>#N/A</v>
      </c>
      <c r="Z345" s="60" t="e">
        <f ca="1">VLOOKUP(S345,ModelOutputs,13,FALSE)</f>
        <v>#N/A</v>
      </c>
    </row>
    <row r="346" spans="18:26" x14ac:dyDescent="0.25">
      <c r="R346" s="93" t="e">
        <f ca="1"/>
        <v>#N/A</v>
      </c>
      <c r="S346" s="62" t="e">
        <f t="shared" ca="1" si="43"/>
        <v>#N/A</v>
      </c>
      <c r="T346" s="62" t="e">
        <f t="shared" ca="1" si="38"/>
        <v>#N/A</v>
      </c>
      <c r="U346" s="62" t="e">
        <f t="shared" ca="1" si="39"/>
        <v>#N/A</v>
      </c>
      <c r="V346" s="62" t="e">
        <f t="shared" ca="1" si="40"/>
        <v>#N/A</v>
      </c>
      <c r="W346" s="60" t="e">
        <f t="shared" ca="1" si="41"/>
        <v>#N/A</v>
      </c>
      <c r="X346" s="60" t="e">
        <f t="shared" ca="1" si="44"/>
        <v>#N/A</v>
      </c>
      <c r="Y346" s="60" t="e">
        <f t="shared" ca="1" si="42"/>
        <v>#N/A</v>
      </c>
      <c r="Z346" s="60" t="e">
        <f ca="1">VLOOKUP(S346,ModelOutputs,13,FALSE)</f>
        <v>#N/A</v>
      </c>
    </row>
    <row r="347" spans="18:26" x14ac:dyDescent="0.25">
      <c r="R347" s="93" t="e">
        <f ca="1"/>
        <v>#N/A</v>
      </c>
      <c r="S347" s="62" t="e">
        <f t="shared" ca="1" si="43"/>
        <v>#N/A</v>
      </c>
      <c r="T347" s="62" t="e">
        <f t="shared" ca="1" si="38"/>
        <v>#N/A</v>
      </c>
      <c r="U347" s="62" t="e">
        <f t="shared" ca="1" si="39"/>
        <v>#N/A</v>
      </c>
      <c r="V347" s="62" t="e">
        <f t="shared" ca="1" si="40"/>
        <v>#N/A</v>
      </c>
      <c r="W347" s="60" t="e">
        <f t="shared" ca="1" si="41"/>
        <v>#N/A</v>
      </c>
      <c r="X347" s="60" t="e">
        <f t="shared" ca="1" si="44"/>
        <v>#N/A</v>
      </c>
      <c r="Y347" s="60" t="e">
        <f t="shared" ca="1" si="42"/>
        <v>#N/A</v>
      </c>
      <c r="Z347" s="60" t="e">
        <f ca="1">VLOOKUP(S347,ModelOutputs,13,FALSE)</f>
        <v>#N/A</v>
      </c>
    </row>
    <row r="348" spans="18:26" x14ac:dyDescent="0.25">
      <c r="R348" s="93" t="e">
        <f ca="1"/>
        <v>#N/A</v>
      </c>
      <c r="S348" s="62" t="e">
        <f t="shared" ca="1" si="43"/>
        <v>#N/A</v>
      </c>
      <c r="T348" s="62" t="e">
        <f t="shared" ca="1" si="38"/>
        <v>#N/A</v>
      </c>
      <c r="U348" s="62" t="e">
        <f t="shared" ca="1" si="39"/>
        <v>#N/A</v>
      </c>
      <c r="V348" s="62" t="e">
        <f t="shared" ca="1" si="40"/>
        <v>#N/A</v>
      </c>
      <c r="W348" s="60" t="e">
        <f t="shared" ca="1" si="41"/>
        <v>#N/A</v>
      </c>
      <c r="X348" s="60" t="e">
        <f t="shared" ca="1" si="44"/>
        <v>#N/A</v>
      </c>
      <c r="Y348" s="60" t="e">
        <f t="shared" ca="1" si="42"/>
        <v>#N/A</v>
      </c>
      <c r="Z348" s="60" t="e">
        <f ca="1">VLOOKUP(S348,ModelOutputs,13,FALSE)</f>
        <v>#N/A</v>
      </c>
    </row>
    <row r="349" spans="18:26" x14ac:dyDescent="0.25">
      <c r="R349" s="93" t="e">
        <f ca="1"/>
        <v>#N/A</v>
      </c>
      <c r="S349" s="62" t="e">
        <f t="shared" ca="1" si="43"/>
        <v>#N/A</v>
      </c>
      <c r="T349" s="62" t="e">
        <f t="shared" ca="1" si="38"/>
        <v>#N/A</v>
      </c>
      <c r="U349" s="62" t="e">
        <f t="shared" ca="1" si="39"/>
        <v>#N/A</v>
      </c>
      <c r="V349" s="62" t="e">
        <f t="shared" ca="1" si="40"/>
        <v>#N/A</v>
      </c>
      <c r="W349" s="60" t="e">
        <f t="shared" ca="1" si="41"/>
        <v>#N/A</v>
      </c>
      <c r="X349" s="60" t="e">
        <f t="shared" ca="1" si="44"/>
        <v>#N/A</v>
      </c>
      <c r="Y349" s="60" t="e">
        <f t="shared" ca="1" si="42"/>
        <v>#N/A</v>
      </c>
      <c r="Z349" s="60" t="e">
        <f ca="1">VLOOKUP(S349,ModelOutputs,13,FALSE)</f>
        <v>#N/A</v>
      </c>
    </row>
    <row r="350" spans="18:26" x14ac:dyDescent="0.25">
      <c r="R350" s="93" t="e">
        <f ca="1"/>
        <v>#N/A</v>
      </c>
      <c r="S350" s="62" t="e">
        <f t="shared" ca="1" si="43"/>
        <v>#N/A</v>
      </c>
      <c r="T350" s="62" t="e">
        <f t="shared" ca="1" si="38"/>
        <v>#N/A</v>
      </c>
      <c r="U350" s="62" t="e">
        <f t="shared" ca="1" si="39"/>
        <v>#N/A</v>
      </c>
      <c r="V350" s="62" t="e">
        <f t="shared" ca="1" si="40"/>
        <v>#N/A</v>
      </c>
      <c r="W350" s="60" t="e">
        <f t="shared" ca="1" si="41"/>
        <v>#N/A</v>
      </c>
      <c r="X350" s="60" t="e">
        <f t="shared" ca="1" si="44"/>
        <v>#N/A</v>
      </c>
      <c r="Y350" s="60" t="e">
        <f t="shared" ca="1" si="42"/>
        <v>#N/A</v>
      </c>
      <c r="Z350" s="60" t="e">
        <f ca="1">VLOOKUP(S350,ModelOutputs,13,FALSE)</f>
        <v>#N/A</v>
      </c>
    </row>
    <row r="351" spans="18:26" x14ac:dyDescent="0.25">
      <c r="R351" s="93" t="e">
        <f ca="1"/>
        <v>#N/A</v>
      </c>
      <c r="S351" s="62" t="e">
        <f t="shared" ca="1" si="43"/>
        <v>#N/A</v>
      </c>
      <c r="T351" s="62" t="e">
        <f t="shared" ca="1" si="38"/>
        <v>#N/A</v>
      </c>
      <c r="U351" s="62" t="e">
        <f t="shared" ca="1" si="39"/>
        <v>#N/A</v>
      </c>
      <c r="V351" s="62" t="e">
        <f t="shared" ca="1" si="40"/>
        <v>#N/A</v>
      </c>
      <c r="W351" s="60" t="e">
        <f t="shared" ca="1" si="41"/>
        <v>#N/A</v>
      </c>
      <c r="X351" s="60" t="e">
        <f t="shared" ca="1" si="44"/>
        <v>#N/A</v>
      </c>
      <c r="Y351" s="60" t="e">
        <f t="shared" ca="1" si="42"/>
        <v>#N/A</v>
      </c>
      <c r="Z351" s="60" t="e">
        <f ca="1">VLOOKUP(S351,ModelOutputs,13,FALSE)</f>
        <v>#N/A</v>
      </c>
    </row>
    <row r="352" spans="18:26" x14ac:dyDescent="0.25">
      <c r="R352" s="93" t="e">
        <f ca="1"/>
        <v>#N/A</v>
      </c>
      <c r="S352" s="62" t="e">
        <f t="shared" ca="1" si="43"/>
        <v>#N/A</v>
      </c>
      <c r="T352" s="62" t="e">
        <f t="shared" ca="1" si="38"/>
        <v>#N/A</v>
      </c>
      <c r="U352" s="62" t="e">
        <f t="shared" ca="1" si="39"/>
        <v>#N/A</v>
      </c>
      <c r="V352" s="62" t="e">
        <f t="shared" ca="1" si="40"/>
        <v>#N/A</v>
      </c>
      <c r="W352" s="60" t="e">
        <f t="shared" ca="1" si="41"/>
        <v>#N/A</v>
      </c>
      <c r="X352" s="60" t="e">
        <f t="shared" ca="1" si="44"/>
        <v>#N/A</v>
      </c>
      <c r="Y352" s="60" t="e">
        <f t="shared" ca="1" si="42"/>
        <v>#N/A</v>
      </c>
      <c r="Z352" s="60" t="e">
        <f ca="1">VLOOKUP(S352,ModelOutputs,13,FALSE)</f>
        <v>#N/A</v>
      </c>
    </row>
    <row r="353" spans="18:26" x14ac:dyDescent="0.25">
      <c r="R353" s="93" t="e">
        <f ca="1"/>
        <v>#N/A</v>
      </c>
      <c r="S353" s="62" t="e">
        <f t="shared" ca="1" si="43"/>
        <v>#N/A</v>
      </c>
      <c r="T353" s="62" t="e">
        <f t="shared" ca="1" si="38"/>
        <v>#N/A</v>
      </c>
      <c r="U353" s="62" t="e">
        <f t="shared" ca="1" si="39"/>
        <v>#N/A</v>
      </c>
      <c r="V353" s="62" t="e">
        <f t="shared" ca="1" si="40"/>
        <v>#N/A</v>
      </c>
      <c r="W353" s="60" t="e">
        <f t="shared" ca="1" si="41"/>
        <v>#N/A</v>
      </c>
      <c r="X353" s="60" t="e">
        <f t="shared" ca="1" si="44"/>
        <v>#N/A</v>
      </c>
      <c r="Y353" s="60" t="e">
        <f t="shared" ca="1" si="42"/>
        <v>#N/A</v>
      </c>
      <c r="Z353" s="60" t="e">
        <f ca="1">VLOOKUP(S353,ModelOutputs,13,FALSE)</f>
        <v>#N/A</v>
      </c>
    </row>
    <row r="354" spans="18:26" x14ac:dyDescent="0.25">
      <c r="R354" s="93" t="e">
        <f ca="1"/>
        <v>#N/A</v>
      </c>
      <c r="S354" s="62" t="e">
        <f t="shared" ca="1" si="43"/>
        <v>#N/A</v>
      </c>
      <c r="T354" s="62" t="e">
        <f t="shared" ca="1" si="38"/>
        <v>#N/A</v>
      </c>
      <c r="U354" s="62" t="e">
        <f t="shared" ca="1" si="39"/>
        <v>#N/A</v>
      </c>
      <c r="V354" s="62" t="e">
        <f t="shared" ca="1" si="40"/>
        <v>#N/A</v>
      </c>
      <c r="W354" s="60" t="e">
        <f t="shared" ca="1" si="41"/>
        <v>#N/A</v>
      </c>
      <c r="X354" s="60" t="e">
        <f t="shared" ca="1" si="44"/>
        <v>#N/A</v>
      </c>
      <c r="Y354" s="60" t="e">
        <f t="shared" ca="1" si="42"/>
        <v>#N/A</v>
      </c>
      <c r="Z354" s="60" t="e">
        <f ca="1">VLOOKUP(S354,ModelOutputs,13,FALSE)</f>
        <v>#N/A</v>
      </c>
    </row>
    <row r="355" spans="18:26" x14ac:dyDescent="0.25">
      <c r="R355" s="93" t="e">
        <f ca="1"/>
        <v>#N/A</v>
      </c>
      <c r="S355" s="62" t="e">
        <f t="shared" ca="1" si="43"/>
        <v>#N/A</v>
      </c>
      <c r="T355" s="62" t="e">
        <f t="shared" ca="1" si="38"/>
        <v>#N/A</v>
      </c>
      <c r="U355" s="62" t="e">
        <f t="shared" ca="1" si="39"/>
        <v>#N/A</v>
      </c>
      <c r="V355" s="62" t="e">
        <f t="shared" ca="1" si="40"/>
        <v>#N/A</v>
      </c>
      <c r="W355" s="60" t="e">
        <f t="shared" ca="1" si="41"/>
        <v>#N/A</v>
      </c>
      <c r="X355" s="60" t="e">
        <f t="shared" ca="1" si="44"/>
        <v>#N/A</v>
      </c>
      <c r="Y355" s="60" t="e">
        <f t="shared" ca="1" si="42"/>
        <v>#N/A</v>
      </c>
      <c r="Z355" s="60" t="e">
        <f ca="1">VLOOKUP(S355,ModelOutputs,13,FALSE)</f>
        <v>#N/A</v>
      </c>
    </row>
    <row r="356" spans="18:26" x14ac:dyDescent="0.25">
      <c r="R356" s="93" t="e">
        <f ca="1"/>
        <v>#N/A</v>
      </c>
      <c r="S356" s="62" t="e">
        <f t="shared" ca="1" si="43"/>
        <v>#N/A</v>
      </c>
      <c r="T356" s="62" t="e">
        <f t="shared" ca="1" si="38"/>
        <v>#N/A</v>
      </c>
      <c r="U356" s="62" t="e">
        <f t="shared" ca="1" si="39"/>
        <v>#N/A</v>
      </c>
      <c r="V356" s="62" t="e">
        <f t="shared" ca="1" si="40"/>
        <v>#N/A</v>
      </c>
      <c r="W356" s="60" t="e">
        <f t="shared" ca="1" si="41"/>
        <v>#N/A</v>
      </c>
      <c r="X356" s="60" t="e">
        <f t="shared" ca="1" si="44"/>
        <v>#N/A</v>
      </c>
      <c r="Y356" s="60" t="e">
        <f t="shared" ca="1" si="42"/>
        <v>#N/A</v>
      </c>
      <c r="Z356" s="60" t="e">
        <f ca="1">VLOOKUP(S356,ModelOutputs,13,FALSE)</f>
        <v>#N/A</v>
      </c>
    </row>
    <row r="357" spans="18:26" x14ac:dyDescent="0.25">
      <c r="R357" s="93" t="e">
        <f ca="1"/>
        <v>#N/A</v>
      </c>
      <c r="S357" s="62" t="e">
        <f t="shared" ca="1" si="43"/>
        <v>#N/A</v>
      </c>
      <c r="T357" s="62" t="e">
        <f t="shared" ca="1" si="38"/>
        <v>#N/A</v>
      </c>
      <c r="U357" s="62" t="e">
        <f t="shared" ca="1" si="39"/>
        <v>#N/A</v>
      </c>
      <c r="V357" s="62" t="e">
        <f t="shared" ca="1" si="40"/>
        <v>#N/A</v>
      </c>
      <c r="W357" s="60" t="e">
        <f t="shared" ca="1" si="41"/>
        <v>#N/A</v>
      </c>
      <c r="X357" s="60" t="e">
        <f t="shared" ca="1" si="44"/>
        <v>#N/A</v>
      </c>
      <c r="Y357" s="60" t="e">
        <f t="shared" ca="1" si="42"/>
        <v>#N/A</v>
      </c>
      <c r="Z357" s="60" t="e">
        <f ca="1">VLOOKUP(S357,ModelOutputs,13,FALSE)</f>
        <v>#N/A</v>
      </c>
    </row>
    <row r="358" spans="18:26" x14ac:dyDescent="0.25">
      <c r="R358" s="93" t="e">
        <f ca="1"/>
        <v>#N/A</v>
      </c>
      <c r="S358" s="62" t="e">
        <f t="shared" ca="1" si="43"/>
        <v>#N/A</v>
      </c>
      <c r="T358" s="62" t="e">
        <f t="shared" ca="1" si="38"/>
        <v>#N/A</v>
      </c>
      <c r="U358" s="62" t="e">
        <f t="shared" ca="1" si="39"/>
        <v>#N/A</v>
      </c>
      <c r="V358" s="62" t="e">
        <f t="shared" ca="1" si="40"/>
        <v>#N/A</v>
      </c>
      <c r="W358" s="60" t="e">
        <f t="shared" ca="1" si="41"/>
        <v>#N/A</v>
      </c>
      <c r="X358" s="60" t="e">
        <f t="shared" ca="1" si="44"/>
        <v>#N/A</v>
      </c>
      <c r="Y358" s="60" t="e">
        <f t="shared" ca="1" si="42"/>
        <v>#N/A</v>
      </c>
      <c r="Z358" s="60" t="e">
        <f ca="1">VLOOKUP(S358,ModelOutputs,13,FALSE)</f>
        <v>#N/A</v>
      </c>
    </row>
    <row r="359" spans="18:26" x14ac:dyDescent="0.25">
      <c r="R359" s="93" t="e">
        <f ca="1"/>
        <v>#N/A</v>
      </c>
      <c r="S359" s="62" t="e">
        <f t="shared" ca="1" si="43"/>
        <v>#N/A</v>
      </c>
      <c r="T359" s="62" t="e">
        <f t="shared" ca="1" si="38"/>
        <v>#N/A</v>
      </c>
      <c r="U359" s="62" t="e">
        <f t="shared" ca="1" si="39"/>
        <v>#N/A</v>
      </c>
      <c r="V359" s="62" t="e">
        <f t="shared" ca="1" si="40"/>
        <v>#N/A</v>
      </c>
      <c r="W359" s="60" t="e">
        <f t="shared" ca="1" si="41"/>
        <v>#N/A</v>
      </c>
      <c r="X359" s="60" t="e">
        <f t="shared" ca="1" si="44"/>
        <v>#N/A</v>
      </c>
      <c r="Y359" s="60" t="e">
        <f t="shared" ca="1" si="42"/>
        <v>#N/A</v>
      </c>
      <c r="Z359" s="60" t="e">
        <f ca="1">VLOOKUP(S359,ModelOutputs,13,FALSE)</f>
        <v>#N/A</v>
      </c>
    </row>
    <row r="360" spans="18:26" x14ac:dyDescent="0.25">
      <c r="R360" s="93" t="e">
        <f ca="1"/>
        <v>#N/A</v>
      </c>
      <c r="S360" s="62" t="e">
        <f t="shared" ca="1" si="43"/>
        <v>#N/A</v>
      </c>
      <c r="T360" s="62" t="e">
        <f t="shared" ca="1" si="38"/>
        <v>#N/A</v>
      </c>
      <c r="U360" s="62" t="e">
        <f t="shared" ca="1" si="39"/>
        <v>#N/A</v>
      </c>
      <c r="V360" s="62" t="e">
        <f t="shared" ca="1" si="40"/>
        <v>#N/A</v>
      </c>
      <c r="W360" s="60" t="e">
        <f t="shared" ca="1" si="41"/>
        <v>#N/A</v>
      </c>
      <c r="X360" s="60" t="e">
        <f t="shared" ca="1" si="44"/>
        <v>#N/A</v>
      </c>
      <c r="Y360" s="60" t="e">
        <f t="shared" ca="1" si="42"/>
        <v>#N/A</v>
      </c>
      <c r="Z360" s="60" t="e">
        <f ca="1">VLOOKUP(S360,ModelOutputs,13,FALSE)</f>
        <v>#N/A</v>
      </c>
    </row>
    <row r="361" spans="18:26" x14ac:dyDescent="0.25">
      <c r="R361" s="93" t="e">
        <f ca="1"/>
        <v>#N/A</v>
      </c>
      <c r="S361" s="62" t="e">
        <f t="shared" ca="1" si="43"/>
        <v>#N/A</v>
      </c>
      <c r="T361" s="62" t="e">
        <f t="shared" ca="1" si="38"/>
        <v>#N/A</v>
      </c>
      <c r="U361" s="62" t="e">
        <f t="shared" ca="1" si="39"/>
        <v>#N/A</v>
      </c>
      <c r="V361" s="62" t="e">
        <f t="shared" ca="1" si="40"/>
        <v>#N/A</v>
      </c>
      <c r="W361" s="60" t="e">
        <f t="shared" ca="1" si="41"/>
        <v>#N/A</v>
      </c>
      <c r="X361" s="60" t="e">
        <f t="shared" ca="1" si="44"/>
        <v>#N/A</v>
      </c>
      <c r="Y361" s="60" t="e">
        <f t="shared" ca="1" si="42"/>
        <v>#N/A</v>
      </c>
      <c r="Z361" s="60" t="e">
        <f ca="1">VLOOKUP(S361,ModelOutputs,13,FALSE)</f>
        <v>#N/A</v>
      </c>
    </row>
    <row r="362" spans="18:26" x14ac:dyDescent="0.25">
      <c r="R362" s="93" t="e">
        <f ca="1"/>
        <v>#N/A</v>
      </c>
      <c r="S362" s="62" t="e">
        <f t="shared" ca="1" si="43"/>
        <v>#N/A</v>
      </c>
      <c r="T362" s="62" t="e">
        <f t="shared" ca="1" si="38"/>
        <v>#N/A</v>
      </c>
      <c r="U362" s="62" t="e">
        <f t="shared" ca="1" si="39"/>
        <v>#N/A</v>
      </c>
      <c r="V362" s="62" t="e">
        <f t="shared" ca="1" si="40"/>
        <v>#N/A</v>
      </c>
      <c r="W362" s="60" t="e">
        <f t="shared" ca="1" si="41"/>
        <v>#N/A</v>
      </c>
      <c r="X362" s="60" t="e">
        <f t="shared" ca="1" si="44"/>
        <v>#N/A</v>
      </c>
      <c r="Y362" s="60" t="e">
        <f t="shared" ca="1" si="42"/>
        <v>#N/A</v>
      </c>
      <c r="Z362" s="60" t="e">
        <f ca="1">VLOOKUP(S362,ModelOutputs,13,FALSE)</f>
        <v>#N/A</v>
      </c>
    </row>
    <row r="363" spans="18:26" x14ac:dyDescent="0.25">
      <c r="R363" s="93" t="e">
        <f ca="1"/>
        <v>#N/A</v>
      </c>
      <c r="S363" s="62" t="e">
        <f t="shared" ca="1" si="43"/>
        <v>#N/A</v>
      </c>
      <c r="T363" s="62" t="e">
        <f t="shared" ca="1" si="38"/>
        <v>#N/A</v>
      </c>
      <c r="U363" s="62" t="e">
        <f t="shared" ca="1" si="39"/>
        <v>#N/A</v>
      </c>
      <c r="V363" s="62" t="e">
        <f t="shared" ca="1" si="40"/>
        <v>#N/A</v>
      </c>
      <c r="W363" s="60" t="e">
        <f t="shared" ca="1" si="41"/>
        <v>#N/A</v>
      </c>
      <c r="X363" s="60" t="e">
        <f t="shared" ca="1" si="44"/>
        <v>#N/A</v>
      </c>
      <c r="Y363" s="60" t="e">
        <f t="shared" ca="1" si="42"/>
        <v>#N/A</v>
      </c>
      <c r="Z363" s="60" t="e">
        <f ca="1">VLOOKUP(S363,ModelOutputs,13,FALSE)</f>
        <v>#N/A</v>
      </c>
    </row>
    <row r="364" spans="18:26" x14ac:dyDescent="0.25">
      <c r="R364" s="93" t="e">
        <f ca="1"/>
        <v>#N/A</v>
      </c>
      <c r="S364" s="62" t="e">
        <f t="shared" ca="1" si="43"/>
        <v>#N/A</v>
      </c>
      <c r="T364" s="62" t="e">
        <f t="shared" ca="1" si="38"/>
        <v>#N/A</v>
      </c>
      <c r="U364" s="62" t="e">
        <f t="shared" ca="1" si="39"/>
        <v>#N/A</v>
      </c>
      <c r="V364" s="62" t="e">
        <f t="shared" ca="1" si="40"/>
        <v>#N/A</v>
      </c>
      <c r="W364" s="60" t="e">
        <f t="shared" ca="1" si="41"/>
        <v>#N/A</v>
      </c>
      <c r="X364" s="60" t="e">
        <f t="shared" ca="1" si="44"/>
        <v>#N/A</v>
      </c>
      <c r="Y364" s="60" t="e">
        <f t="shared" ca="1" si="42"/>
        <v>#N/A</v>
      </c>
      <c r="Z364" s="60" t="e">
        <f ca="1">VLOOKUP(S364,ModelOutputs,13,FALSE)</f>
        <v>#N/A</v>
      </c>
    </row>
    <row r="365" spans="18:26" x14ac:dyDescent="0.25">
      <c r="R365" s="93" t="e">
        <f ca="1"/>
        <v>#N/A</v>
      </c>
      <c r="S365" s="62" t="e">
        <f t="shared" ca="1" si="43"/>
        <v>#N/A</v>
      </c>
      <c r="T365" s="62" t="e">
        <f t="shared" ca="1" si="38"/>
        <v>#N/A</v>
      </c>
      <c r="U365" s="62" t="e">
        <f t="shared" ca="1" si="39"/>
        <v>#N/A</v>
      </c>
      <c r="V365" s="62" t="e">
        <f t="shared" ca="1" si="40"/>
        <v>#N/A</v>
      </c>
      <c r="W365" s="60" t="e">
        <f t="shared" ca="1" si="41"/>
        <v>#N/A</v>
      </c>
      <c r="X365" s="60" t="e">
        <f t="shared" ca="1" si="44"/>
        <v>#N/A</v>
      </c>
      <c r="Y365" s="60" t="e">
        <f t="shared" ca="1" si="42"/>
        <v>#N/A</v>
      </c>
      <c r="Z365" s="60" t="e">
        <f ca="1">VLOOKUP(S365,ModelOutputs,13,FALSE)</f>
        <v>#N/A</v>
      </c>
    </row>
    <row r="366" spans="18:26" x14ac:dyDescent="0.25">
      <c r="R366" s="93" t="e">
        <f ca="1"/>
        <v>#N/A</v>
      </c>
      <c r="S366" s="62" t="e">
        <f t="shared" ca="1" si="43"/>
        <v>#N/A</v>
      </c>
      <c r="T366" s="62" t="e">
        <f t="shared" ca="1" si="38"/>
        <v>#N/A</v>
      </c>
      <c r="U366" s="62" t="e">
        <f t="shared" ca="1" si="39"/>
        <v>#N/A</v>
      </c>
      <c r="V366" s="62" t="e">
        <f t="shared" ca="1" si="40"/>
        <v>#N/A</v>
      </c>
      <c r="W366" s="60" t="e">
        <f t="shared" ca="1" si="41"/>
        <v>#N/A</v>
      </c>
      <c r="X366" s="60" t="e">
        <f t="shared" ca="1" si="44"/>
        <v>#N/A</v>
      </c>
      <c r="Y366" s="60" t="e">
        <f t="shared" ca="1" si="42"/>
        <v>#N/A</v>
      </c>
      <c r="Z366" s="60" t="e">
        <f ca="1">VLOOKUP(S366,ModelOutputs,13,FALSE)</f>
        <v>#N/A</v>
      </c>
    </row>
    <row r="367" spans="18:26" x14ac:dyDescent="0.25">
      <c r="R367" s="93" t="e">
        <f ca="1"/>
        <v>#N/A</v>
      </c>
      <c r="S367" s="62" t="e">
        <f t="shared" ca="1" si="43"/>
        <v>#N/A</v>
      </c>
      <c r="T367" s="62" t="e">
        <f t="shared" ca="1" si="38"/>
        <v>#N/A</v>
      </c>
      <c r="U367" s="62" t="e">
        <f t="shared" ca="1" si="39"/>
        <v>#N/A</v>
      </c>
      <c r="V367" s="62" t="e">
        <f t="shared" ca="1" si="40"/>
        <v>#N/A</v>
      </c>
      <c r="W367" s="60" t="e">
        <f t="shared" ca="1" si="41"/>
        <v>#N/A</v>
      </c>
      <c r="X367" s="60" t="e">
        <f t="shared" ca="1" si="44"/>
        <v>#N/A</v>
      </c>
      <c r="Y367" s="60" t="e">
        <f t="shared" ca="1" si="42"/>
        <v>#N/A</v>
      </c>
      <c r="Z367" s="60" t="e">
        <f ca="1">VLOOKUP(S367,ModelOutputs,13,FALSE)</f>
        <v>#N/A</v>
      </c>
    </row>
    <row r="368" spans="18:26" x14ac:dyDescent="0.25">
      <c r="R368" s="93" t="e">
        <f ca="1"/>
        <v>#N/A</v>
      </c>
      <c r="S368" s="62" t="e">
        <f t="shared" ca="1" si="43"/>
        <v>#N/A</v>
      </c>
      <c r="T368" s="62" t="e">
        <f t="shared" ca="1" si="38"/>
        <v>#N/A</v>
      </c>
      <c r="U368" s="62" t="e">
        <f t="shared" ca="1" si="39"/>
        <v>#N/A</v>
      </c>
      <c r="V368" s="62" t="e">
        <f t="shared" ca="1" si="40"/>
        <v>#N/A</v>
      </c>
      <c r="W368" s="60" t="e">
        <f t="shared" ca="1" si="41"/>
        <v>#N/A</v>
      </c>
      <c r="X368" s="60" t="e">
        <f t="shared" ca="1" si="44"/>
        <v>#N/A</v>
      </c>
      <c r="Y368" s="60" t="e">
        <f t="shared" ca="1" si="42"/>
        <v>#N/A</v>
      </c>
      <c r="Z368" s="60" t="e">
        <f ca="1">VLOOKUP(S368,ModelOutputs,13,FALSE)</f>
        <v>#N/A</v>
      </c>
    </row>
    <row r="369" spans="18:26" x14ac:dyDescent="0.25">
      <c r="R369" s="93" t="e">
        <f ca="1"/>
        <v>#N/A</v>
      </c>
      <c r="S369" s="62" t="e">
        <f t="shared" ca="1" si="43"/>
        <v>#N/A</v>
      </c>
      <c r="T369" s="62" t="e">
        <f t="shared" ca="1" si="38"/>
        <v>#N/A</v>
      </c>
      <c r="U369" s="62" t="e">
        <f t="shared" ca="1" si="39"/>
        <v>#N/A</v>
      </c>
      <c r="V369" s="62" t="e">
        <f t="shared" ca="1" si="40"/>
        <v>#N/A</v>
      </c>
      <c r="W369" s="60" t="e">
        <f t="shared" ca="1" si="41"/>
        <v>#N/A</v>
      </c>
      <c r="X369" s="60" t="e">
        <f t="shared" ca="1" si="44"/>
        <v>#N/A</v>
      </c>
      <c r="Y369" s="60" t="e">
        <f t="shared" ca="1" si="42"/>
        <v>#N/A</v>
      </c>
      <c r="Z369" s="60" t="e">
        <f ca="1">VLOOKUP(S369,ModelOutputs,13,FALSE)</f>
        <v>#N/A</v>
      </c>
    </row>
    <row r="370" spans="18:26" x14ac:dyDescent="0.25">
      <c r="R370" s="93" t="e">
        <f ca="1"/>
        <v>#N/A</v>
      </c>
      <c r="S370" s="62" t="e">
        <f t="shared" ca="1" si="43"/>
        <v>#N/A</v>
      </c>
      <c r="T370" s="62" t="e">
        <f t="shared" ca="1" si="38"/>
        <v>#N/A</v>
      </c>
      <c r="U370" s="62" t="e">
        <f t="shared" ca="1" si="39"/>
        <v>#N/A</v>
      </c>
      <c r="V370" s="62" t="e">
        <f t="shared" ca="1" si="40"/>
        <v>#N/A</v>
      </c>
      <c r="W370" s="60" t="e">
        <f t="shared" ca="1" si="41"/>
        <v>#N/A</v>
      </c>
      <c r="X370" s="60" t="e">
        <f t="shared" ca="1" si="44"/>
        <v>#N/A</v>
      </c>
      <c r="Y370" s="60" t="e">
        <f t="shared" ca="1" si="42"/>
        <v>#N/A</v>
      </c>
      <c r="Z370" s="60" t="e">
        <f ca="1">VLOOKUP(S370,ModelOutputs,13,FALSE)</f>
        <v>#N/A</v>
      </c>
    </row>
    <row r="371" spans="18:26" x14ac:dyDescent="0.25">
      <c r="R371" s="93" t="e">
        <f ca="1"/>
        <v>#N/A</v>
      </c>
      <c r="S371" s="62" t="e">
        <f t="shared" ca="1" si="43"/>
        <v>#N/A</v>
      </c>
      <c r="T371" s="62" t="e">
        <f t="shared" ca="1" si="38"/>
        <v>#N/A</v>
      </c>
      <c r="U371" s="62" t="e">
        <f t="shared" ca="1" si="39"/>
        <v>#N/A</v>
      </c>
      <c r="V371" s="62" t="e">
        <f t="shared" ca="1" si="40"/>
        <v>#N/A</v>
      </c>
      <c r="W371" s="60" t="e">
        <f t="shared" ca="1" si="41"/>
        <v>#N/A</v>
      </c>
      <c r="X371" s="60" t="e">
        <f t="shared" ca="1" si="44"/>
        <v>#N/A</v>
      </c>
      <c r="Y371" s="60" t="e">
        <f t="shared" ca="1" si="42"/>
        <v>#N/A</v>
      </c>
      <c r="Z371" s="60" t="e">
        <f ca="1">VLOOKUP(S371,ModelOutputs,13,FALSE)</f>
        <v>#N/A</v>
      </c>
    </row>
    <row r="372" spans="18:26" x14ac:dyDescent="0.25">
      <c r="R372" s="93" t="e">
        <f ca="1"/>
        <v>#N/A</v>
      </c>
      <c r="S372" s="62" t="e">
        <f t="shared" ca="1" si="43"/>
        <v>#N/A</v>
      </c>
      <c r="T372" s="62" t="e">
        <f t="shared" ca="1" si="38"/>
        <v>#N/A</v>
      </c>
      <c r="U372" s="62" t="e">
        <f t="shared" ca="1" si="39"/>
        <v>#N/A</v>
      </c>
      <c r="V372" s="62" t="e">
        <f t="shared" ca="1" si="40"/>
        <v>#N/A</v>
      </c>
      <c r="W372" s="60" t="e">
        <f t="shared" ca="1" si="41"/>
        <v>#N/A</v>
      </c>
      <c r="X372" s="60" t="e">
        <f t="shared" ca="1" si="44"/>
        <v>#N/A</v>
      </c>
      <c r="Y372" s="60" t="e">
        <f t="shared" ca="1" si="42"/>
        <v>#N/A</v>
      </c>
      <c r="Z372" s="60" t="e">
        <f ca="1">VLOOKUP(S372,ModelOutputs,13,FALSE)</f>
        <v>#N/A</v>
      </c>
    </row>
    <row r="373" spans="18:26" x14ac:dyDescent="0.25">
      <c r="R373" s="93" t="e">
        <f ca="1"/>
        <v>#N/A</v>
      </c>
      <c r="S373" s="62" t="e">
        <f t="shared" ca="1" si="43"/>
        <v>#N/A</v>
      </c>
      <c r="T373" s="62" t="e">
        <f t="shared" ca="1" si="38"/>
        <v>#N/A</v>
      </c>
      <c r="U373" s="62" t="e">
        <f t="shared" ca="1" si="39"/>
        <v>#N/A</v>
      </c>
      <c r="V373" s="62" t="e">
        <f t="shared" ca="1" si="40"/>
        <v>#N/A</v>
      </c>
      <c r="W373" s="60" t="e">
        <f t="shared" ca="1" si="41"/>
        <v>#N/A</v>
      </c>
      <c r="X373" s="60" t="e">
        <f t="shared" ca="1" si="44"/>
        <v>#N/A</v>
      </c>
      <c r="Y373" s="60" t="e">
        <f t="shared" ca="1" si="42"/>
        <v>#N/A</v>
      </c>
      <c r="Z373" s="60" t="e">
        <f ca="1">VLOOKUP(S373,ModelOutputs,13,FALSE)</f>
        <v>#N/A</v>
      </c>
    </row>
    <row r="374" spans="18:26" x14ac:dyDescent="0.25">
      <c r="R374" s="93" t="e">
        <f ca="1"/>
        <v>#N/A</v>
      </c>
      <c r="S374" s="62" t="e">
        <f t="shared" ca="1" si="43"/>
        <v>#N/A</v>
      </c>
      <c r="T374" s="62" t="e">
        <f t="shared" ca="1" si="38"/>
        <v>#N/A</v>
      </c>
      <c r="U374" s="62" t="e">
        <f t="shared" ca="1" si="39"/>
        <v>#N/A</v>
      </c>
      <c r="V374" s="62" t="e">
        <f t="shared" ca="1" si="40"/>
        <v>#N/A</v>
      </c>
      <c r="W374" s="60" t="e">
        <f t="shared" ca="1" si="41"/>
        <v>#N/A</v>
      </c>
      <c r="X374" s="60" t="e">
        <f t="shared" ca="1" si="44"/>
        <v>#N/A</v>
      </c>
      <c r="Y374" s="60" t="e">
        <f t="shared" ca="1" si="42"/>
        <v>#N/A</v>
      </c>
      <c r="Z374" s="60" t="e">
        <f ca="1">VLOOKUP(S374,ModelOutputs,13,FALSE)</f>
        <v>#N/A</v>
      </c>
    </row>
    <row r="375" spans="18:26" x14ac:dyDescent="0.25">
      <c r="R375" s="93" t="e">
        <f ca="1"/>
        <v>#N/A</v>
      </c>
      <c r="S375" s="62" t="e">
        <f t="shared" ca="1" si="43"/>
        <v>#N/A</v>
      </c>
      <c r="T375" s="62" t="e">
        <f t="shared" ca="1" si="38"/>
        <v>#N/A</v>
      </c>
      <c r="U375" s="62" t="e">
        <f t="shared" ca="1" si="39"/>
        <v>#N/A</v>
      </c>
      <c r="V375" s="62" t="e">
        <f t="shared" ca="1" si="40"/>
        <v>#N/A</v>
      </c>
      <c r="W375" s="60" t="e">
        <f t="shared" ca="1" si="41"/>
        <v>#N/A</v>
      </c>
      <c r="X375" s="60" t="e">
        <f t="shared" ca="1" si="44"/>
        <v>#N/A</v>
      </c>
      <c r="Y375" s="60" t="e">
        <f t="shared" ca="1" si="42"/>
        <v>#N/A</v>
      </c>
      <c r="Z375" s="60" t="e">
        <f ca="1">VLOOKUP(S375,ModelOutputs,13,FALSE)</f>
        <v>#N/A</v>
      </c>
    </row>
    <row r="376" spans="18:26" x14ac:dyDescent="0.25">
      <c r="R376" s="93" t="e">
        <f ca="1"/>
        <v>#N/A</v>
      </c>
      <c r="S376" s="62" t="e">
        <f t="shared" ca="1" si="43"/>
        <v>#N/A</v>
      </c>
      <c r="T376" s="62" t="e">
        <f t="shared" ca="1" si="38"/>
        <v>#N/A</v>
      </c>
      <c r="U376" s="62" t="e">
        <f t="shared" ca="1" si="39"/>
        <v>#N/A</v>
      </c>
      <c r="V376" s="62" t="e">
        <f t="shared" ca="1" si="40"/>
        <v>#N/A</v>
      </c>
      <c r="W376" s="60" t="e">
        <f t="shared" ca="1" si="41"/>
        <v>#N/A</v>
      </c>
      <c r="X376" s="60" t="e">
        <f t="shared" ca="1" si="44"/>
        <v>#N/A</v>
      </c>
      <c r="Y376" s="60" t="e">
        <f t="shared" ca="1" si="42"/>
        <v>#N/A</v>
      </c>
      <c r="Z376" s="60" t="e">
        <f ca="1">VLOOKUP(S376,ModelOutputs,13,FALSE)</f>
        <v>#N/A</v>
      </c>
    </row>
    <row r="377" spans="18:26" x14ac:dyDescent="0.25">
      <c r="R377" s="93" t="e">
        <f ca="1"/>
        <v>#N/A</v>
      </c>
      <c r="S377" s="62" t="e">
        <f t="shared" ca="1" si="43"/>
        <v>#N/A</v>
      </c>
      <c r="T377" s="62" t="e">
        <f t="shared" ca="1" si="38"/>
        <v>#N/A</v>
      </c>
      <c r="U377" s="62" t="e">
        <f t="shared" ca="1" si="39"/>
        <v>#N/A</v>
      </c>
      <c r="V377" s="62" t="e">
        <f t="shared" ca="1" si="40"/>
        <v>#N/A</v>
      </c>
      <c r="W377" s="60" t="e">
        <f t="shared" ca="1" si="41"/>
        <v>#N/A</v>
      </c>
      <c r="X377" s="60" t="e">
        <f t="shared" ca="1" si="44"/>
        <v>#N/A</v>
      </c>
      <c r="Y377" s="60" t="e">
        <f t="shared" ca="1" si="42"/>
        <v>#N/A</v>
      </c>
      <c r="Z377" s="60" t="e">
        <f ca="1">VLOOKUP(S377,ModelOutputs,13,FALSE)</f>
        <v>#N/A</v>
      </c>
    </row>
    <row r="378" spans="18:26" x14ac:dyDescent="0.25">
      <c r="R378" s="93" t="e">
        <f ca="1"/>
        <v>#N/A</v>
      </c>
      <c r="S378" s="62" t="e">
        <f t="shared" ca="1" si="43"/>
        <v>#N/A</v>
      </c>
      <c r="T378" s="62" t="e">
        <f t="shared" ca="1" si="38"/>
        <v>#N/A</v>
      </c>
      <c r="U378" s="62" t="e">
        <f t="shared" ca="1" si="39"/>
        <v>#N/A</v>
      </c>
      <c r="V378" s="62" t="e">
        <f t="shared" ca="1" si="40"/>
        <v>#N/A</v>
      </c>
      <c r="W378" s="60" t="e">
        <f t="shared" ca="1" si="41"/>
        <v>#N/A</v>
      </c>
      <c r="X378" s="60" t="e">
        <f t="shared" ca="1" si="44"/>
        <v>#N/A</v>
      </c>
      <c r="Y378" s="60" t="e">
        <f t="shared" ca="1" si="42"/>
        <v>#N/A</v>
      </c>
      <c r="Z378" s="60" t="e">
        <f ca="1">VLOOKUP(S378,ModelOutputs,13,FALSE)</f>
        <v>#N/A</v>
      </c>
    </row>
    <row r="379" spans="18:26" x14ac:dyDescent="0.25">
      <c r="R379" s="93" t="e">
        <f ca="1"/>
        <v>#N/A</v>
      </c>
      <c r="S379" s="62" t="e">
        <f t="shared" ca="1" si="43"/>
        <v>#N/A</v>
      </c>
      <c r="T379" s="62" t="e">
        <f t="shared" ca="1" si="38"/>
        <v>#N/A</v>
      </c>
      <c r="U379" s="62" t="e">
        <f t="shared" ca="1" si="39"/>
        <v>#N/A</v>
      </c>
      <c r="V379" s="62" t="e">
        <f t="shared" ca="1" si="40"/>
        <v>#N/A</v>
      </c>
      <c r="W379" s="60" t="e">
        <f t="shared" ca="1" si="41"/>
        <v>#N/A</v>
      </c>
      <c r="X379" s="60" t="e">
        <f t="shared" ca="1" si="44"/>
        <v>#N/A</v>
      </c>
      <c r="Y379" s="60" t="e">
        <f t="shared" ca="1" si="42"/>
        <v>#N/A</v>
      </c>
      <c r="Z379" s="60" t="e">
        <f ca="1">VLOOKUP(S379,ModelOutputs,13,FALSE)</f>
        <v>#N/A</v>
      </c>
    </row>
    <row r="380" spans="18:26" x14ac:dyDescent="0.25">
      <c r="R380" s="93" t="e">
        <f ca="1"/>
        <v>#N/A</v>
      </c>
      <c r="S380" s="62" t="e">
        <f t="shared" ca="1" si="43"/>
        <v>#N/A</v>
      </c>
      <c r="T380" s="62" t="e">
        <f t="shared" ca="1" si="38"/>
        <v>#N/A</v>
      </c>
      <c r="U380" s="62" t="e">
        <f t="shared" ca="1" si="39"/>
        <v>#N/A</v>
      </c>
      <c r="V380" s="62" t="e">
        <f t="shared" ca="1" si="40"/>
        <v>#N/A</v>
      </c>
      <c r="W380" s="60" t="e">
        <f t="shared" ca="1" si="41"/>
        <v>#N/A</v>
      </c>
      <c r="X380" s="60" t="e">
        <f t="shared" ca="1" si="44"/>
        <v>#N/A</v>
      </c>
      <c r="Y380" s="60" t="e">
        <f t="shared" ca="1" si="42"/>
        <v>#N/A</v>
      </c>
      <c r="Z380" s="60" t="e">
        <f ca="1">VLOOKUP(S380,ModelOutputs,13,FALSE)</f>
        <v>#N/A</v>
      </c>
    </row>
    <row r="381" spans="18:26" x14ac:dyDescent="0.25">
      <c r="R381" s="93" t="e">
        <f ca="1"/>
        <v>#N/A</v>
      </c>
      <c r="S381" s="62" t="e">
        <f t="shared" ca="1" si="43"/>
        <v>#N/A</v>
      </c>
      <c r="T381" s="62" t="e">
        <f t="shared" ca="1" si="38"/>
        <v>#N/A</v>
      </c>
      <c r="U381" s="62" t="e">
        <f t="shared" ca="1" si="39"/>
        <v>#N/A</v>
      </c>
      <c r="V381" s="62" t="e">
        <f t="shared" ca="1" si="40"/>
        <v>#N/A</v>
      </c>
      <c r="W381" s="60" t="e">
        <f t="shared" ca="1" si="41"/>
        <v>#N/A</v>
      </c>
      <c r="X381" s="60" t="e">
        <f t="shared" ca="1" si="44"/>
        <v>#N/A</v>
      </c>
      <c r="Y381" s="60" t="e">
        <f t="shared" ca="1" si="42"/>
        <v>#N/A</v>
      </c>
      <c r="Z381" s="60" t="e">
        <f ca="1">VLOOKUP(S381,ModelOutputs,13,FALSE)</f>
        <v>#N/A</v>
      </c>
    </row>
    <row r="382" spans="18:26" x14ac:dyDescent="0.25">
      <c r="R382" s="93" t="e">
        <f ca="1"/>
        <v>#N/A</v>
      </c>
      <c r="S382" s="62" t="e">
        <f t="shared" ca="1" si="43"/>
        <v>#N/A</v>
      </c>
      <c r="T382" s="62" t="e">
        <f t="shared" ca="1" si="38"/>
        <v>#N/A</v>
      </c>
      <c r="U382" s="62" t="e">
        <f t="shared" ca="1" si="39"/>
        <v>#N/A</v>
      </c>
      <c r="V382" s="62" t="e">
        <f t="shared" ca="1" si="40"/>
        <v>#N/A</v>
      </c>
      <c r="W382" s="60" t="e">
        <f t="shared" ca="1" si="41"/>
        <v>#N/A</v>
      </c>
      <c r="X382" s="60" t="e">
        <f t="shared" ca="1" si="44"/>
        <v>#N/A</v>
      </c>
      <c r="Y382" s="60" t="e">
        <f t="shared" ca="1" si="42"/>
        <v>#N/A</v>
      </c>
      <c r="Z382" s="60" t="e">
        <f ca="1">VLOOKUP(S382,ModelOutputs,13,FALSE)</f>
        <v>#N/A</v>
      </c>
    </row>
    <row r="383" spans="18:26" x14ac:dyDescent="0.25">
      <c r="R383" s="93" t="e">
        <f ca="1"/>
        <v>#N/A</v>
      </c>
      <c r="S383" s="62" t="e">
        <f t="shared" ca="1" si="43"/>
        <v>#N/A</v>
      </c>
      <c r="T383" s="62" t="e">
        <f t="shared" ca="1" si="38"/>
        <v>#N/A</v>
      </c>
      <c r="U383" s="62" t="e">
        <f t="shared" ca="1" si="39"/>
        <v>#N/A</v>
      </c>
      <c r="V383" s="62" t="e">
        <f t="shared" ca="1" si="40"/>
        <v>#N/A</v>
      </c>
      <c r="W383" s="60" t="e">
        <f t="shared" ca="1" si="41"/>
        <v>#N/A</v>
      </c>
      <c r="X383" s="60" t="e">
        <f t="shared" ca="1" si="44"/>
        <v>#N/A</v>
      </c>
      <c r="Y383" s="60" t="e">
        <f t="shared" ca="1" si="42"/>
        <v>#N/A</v>
      </c>
      <c r="Z383" s="60" t="e">
        <f ca="1">VLOOKUP(S383,ModelOutputs,13,FALSE)</f>
        <v>#N/A</v>
      </c>
    </row>
    <row r="384" spans="18:26" x14ac:dyDescent="0.25">
      <c r="R384" s="93" t="e">
        <f ca="1"/>
        <v>#N/A</v>
      </c>
      <c r="S384" s="62" t="e">
        <f t="shared" ca="1" si="43"/>
        <v>#N/A</v>
      </c>
      <c r="T384" s="62" t="e">
        <f t="shared" ca="1" si="38"/>
        <v>#N/A</v>
      </c>
      <c r="U384" s="62" t="e">
        <f t="shared" ca="1" si="39"/>
        <v>#N/A</v>
      </c>
      <c r="V384" s="62" t="e">
        <f t="shared" ca="1" si="40"/>
        <v>#N/A</v>
      </c>
      <c r="W384" s="60" t="e">
        <f t="shared" ca="1" si="41"/>
        <v>#N/A</v>
      </c>
      <c r="X384" s="60" t="e">
        <f t="shared" ca="1" si="44"/>
        <v>#N/A</v>
      </c>
      <c r="Y384" s="60" t="e">
        <f t="shared" ca="1" si="42"/>
        <v>#N/A</v>
      </c>
      <c r="Z384" s="60" t="e">
        <f ca="1">VLOOKUP(S384,ModelOutputs,13,FALSE)</f>
        <v>#N/A</v>
      </c>
    </row>
    <row r="385" spans="18:26" x14ac:dyDescent="0.25">
      <c r="R385" s="93" t="e">
        <f ca="1"/>
        <v>#N/A</v>
      </c>
      <c r="S385" s="62" t="e">
        <f t="shared" ca="1" si="43"/>
        <v>#N/A</v>
      </c>
      <c r="T385" s="62" t="e">
        <f t="shared" ca="1" si="38"/>
        <v>#N/A</v>
      </c>
      <c r="U385" s="62" t="e">
        <f t="shared" ca="1" si="39"/>
        <v>#N/A</v>
      </c>
      <c r="V385" s="62" t="e">
        <f t="shared" ca="1" si="40"/>
        <v>#N/A</v>
      </c>
      <c r="W385" s="60" t="e">
        <f t="shared" ca="1" si="41"/>
        <v>#N/A</v>
      </c>
      <c r="X385" s="60" t="e">
        <f t="shared" ca="1" si="44"/>
        <v>#N/A</v>
      </c>
      <c r="Y385" s="60" t="e">
        <f t="shared" ca="1" si="42"/>
        <v>#N/A</v>
      </c>
      <c r="Z385" s="60" t="e">
        <f ca="1">VLOOKUP(S385,ModelOutputs,13,FALSE)</f>
        <v>#N/A</v>
      </c>
    </row>
    <row r="386" spans="18:26" x14ac:dyDescent="0.25">
      <c r="R386" s="93" t="e">
        <f ca="1"/>
        <v>#N/A</v>
      </c>
      <c r="S386" s="62" t="e">
        <f t="shared" ca="1" si="43"/>
        <v>#N/A</v>
      </c>
      <c r="T386" s="62" t="e">
        <f t="shared" ca="1" si="38"/>
        <v>#N/A</v>
      </c>
      <c r="U386" s="62" t="e">
        <f t="shared" ca="1" si="39"/>
        <v>#N/A</v>
      </c>
      <c r="V386" s="62" t="e">
        <f t="shared" ca="1" si="40"/>
        <v>#N/A</v>
      </c>
      <c r="W386" s="60" t="e">
        <f t="shared" ca="1" si="41"/>
        <v>#N/A</v>
      </c>
      <c r="X386" s="60" t="e">
        <f t="shared" ca="1" si="44"/>
        <v>#N/A</v>
      </c>
      <c r="Y386" s="60" t="e">
        <f t="shared" ca="1" si="42"/>
        <v>#N/A</v>
      </c>
      <c r="Z386" s="60" t="e">
        <f ca="1">VLOOKUP(S386,ModelOutputs,13,FALSE)</f>
        <v>#N/A</v>
      </c>
    </row>
    <row r="387" spans="18:26" x14ac:dyDescent="0.25">
      <c r="R387" s="93" t="e">
        <f ca="1"/>
        <v>#N/A</v>
      </c>
      <c r="S387" s="62" t="e">
        <f t="shared" ca="1" si="43"/>
        <v>#N/A</v>
      </c>
      <c r="T387" s="62" t="e">
        <f t="shared" ca="1" si="38"/>
        <v>#N/A</v>
      </c>
      <c r="U387" s="62" t="e">
        <f t="shared" ca="1" si="39"/>
        <v>#N/A</v>
      </c>
      <c r="V387" s="62" t="e">
        <f t="shared" ca="1" si="40"/>
        <v>#N/A</v>
      </c>
      <c r="W387" s="60" t="e">
        <f t="shared" ca="1" si="41"/>
        <v>#N/A</v>
      </c>
      <c r="X387" s="60" t="e">
        <f t="shared" ca="1" si="44"/>
        <v>#N/A</v>
      </c>
      <c r="Y387" s="60" t="e">
        <f t="shared" ca="1" si="42"/>
        <v>#N/A</v>
      </c>
      <c r="Z387" s="60" t="e">
        <f ca="1">VLOOKUP(S387,ModelOutputs,13,FALSE)</f>
        <v>#N/A</v>
      </c>
    </row>
    <row r="388" spans="18:26" x14ac:dyDescent="0.25">
      <c r="R388" s="93" t="e">
        <f ca="1"/>
        <v>#N/A</v>
      </c>
      <c r="S388" s="62" t="e">
        <f t="shared" ca="1" si="43"/>
        <v>#N/A</v>
      </c>
      <c r="T388" s="62" t="e">
        <f t="shared" ca="1" si="38"/>
        <v>#N/A</v>
      </c>
      <c r="U388" s="62" t="e">
        <f t="shared" ca="1" si="39"/>
        <v>#N/A</v>
      </c>
      <c r="V388" s="62" t="e">
        <f t="shared" ca="1" si="40"/>
        <v>#N/A</v>
      </c>
      <c r="W388" s="60" t="e">
        <f t="shared" ca="1" si="41"/>
        <v>#N/A</v>
      </c>
      <c r="X388" s="60" t="e">
        <f t="shared" ca="1" si="44"/>
        <v>#N/A</v>
      </c>
      <c r="Y388" s="60" t="e">
        <f t="shared" ca="1" si="42"/>
        <v>#N/A</v>
      </c>
      <c r="Z388" s="60" t="e">
        <f ca="1">VLOOKUP(S388,ModelOutputs,13,FALSE)</f>
        <v>#N/A</v>
      </c>
    </row>
    <row r="389" spans="18:26" x14ac:dyDescent="0.25">
      <c r="R389" s="93" t="e">
        <f ca="1"/>
        <v>#N/A</v>
      </c>
      <c r="S389" s="62" t="e">
        <f t="shared" ca="1" si="43"/>
        <v>#N/A</v>
      </c>
      <c r="T389" s="62" t="e">
        <f t="shared" ca="1" si="38"/>
        <v>#N/A</v>
      </c>
      <c r="U389" s="62" t="e">
        <f t="shared" ca="1" si="39"/>
        <v>#N/A</v>
      </c>
      <c r="V389" s="62" t="e">
        <f t="shared" ca="1" si="40"/>
        <v>#N/A</v>
      </c>
      <c r="W389" s="60" t="e">
        <f t="shared" ca="1" si="41"/>
        <v>#N/A</v>
      </c>
      <c r="X389" s="60" t="e">
        <f t="shared" ca="1" si="44"/>
        <v>#N/A</v>
      </c>
      <c r="Y389" s="60" t="e">
        <f t="shared" ca="1" si="42"/>
        <v>#N/A</v>
      </c>
      <c r="Z389" s="60" t="e">
        <f ca="1">VLOOKUP(S389,ModelOutputs,13,FALSE)</f>
        <v>#N/A</v>
      </c>
    </row>
    <row r="390" spans="18:26" x14ac:dyDescent="0.25">
      <c r="R390" s="93" t="e">
        <f ca="1"/>
        <v>#N/A</v>
      </c>
      <c r="S390" s="62" t="e">
        <f t="shared" ca="1" si="43"/>
        <v>#N/A</v>
      </c>
      <c r="T390" s="62" t="e">
        <f t="shared" ca="1" si="38"/>
        <v>#N/A</v>
      </c>
      <c r="U390" s="62" t="e">
        <f t="shared" ca="1" si="39"/>
        <v>#N/A</v>
      </c>
      <c r="V390" s="62" t="e">
        <f t="shared" ca="1" si="40"/>
        <v>#N/A</v>
      </c>
      <c r="W390" s="60" t="e">
        <f t="shared" ca="1" si="41"/>
        <v>#N/A</v>
      </c>
      <c r="X390" s="60" t="e">
        <f t="shared" ca="1" si="44"/>
        <v>#N/A</v>
      </c>
      <c r="Y390" s="60" t="e">
        <f t="shared" ca="1" si="42"/>
        <v>#N/A</v>
      </c>
      <c r="Z390" s="60" t="e">
        <f ca="1">VLOOKUP(S390,ModelOutputs,13,FALSE)</f>
        <v>#N/A</v>
      </c>
    </row>
    <row r="391" spans="18:26" x14ac:dyDescent="0.25">
      <c r="R391" s="93" t="e">
        <f ca="1"/>
        <v>#N/A</v>
      </c>
      <c r="S391" s="62" t="e">
        <f t="shared" ca="1" si="43"/>
        <v>#N/A</v>
      </c>
      <c r="T391" s="62" t="e">
        <f t="shared" ca="1" si="38"/>
        <v>#N/A</v>
      </c>
      <c r="U391" s="62" t="e">
        <f t="shared" ca="1" si="39"/>
        <v>#N/A</v>
      </c>
      <c r="V391" s="62" t="e">
        <f t="shared" ca="1" si="40"/>
        <v>#N/A</v>
      </c>
      <c r="W391" s="60" t="e">
        <f t="shared" ca="1" si="41"/>
        <v>#N/A</v>
      </c>
      <c r="X391" s="60" t="e">
        <f t="shared" ca="1" si="44"/>
        <v>#N/A</v>
      </c>
      <c r="Y391" s="60" t="e">
        <f t="shared" ca="1" si="42"/>
        <v>#N/A</v>
      </c>
      <c r="Z391" s="60" t="e">
        <f ca="1">VLOOKUP(S391,ModelOutputs,13,FALSE)</f>
        <v>#N/A</v>
      </c>
    </row>
    <row r="392" spans="18:26" x14ac:dyDescent="0.25">
      <c r="R392" s="93" t="e">
        <f ca="1"/>
        <v>#N/A</v>
      </c>
      <c r="S392" s="62" t="e">
        <f t="shared" ca="1" si="43"/>
        <v>#N/A</v>
      </c>
      <c r="T392" s="62" t="e">
        <f t="shared" ca="1" si="38"/>
        <v>#N/A</v>
      </c>
      <c r="U392" s="62" t="e">
        <f t="shared" ca="1" si="39"/>
        <v>#N/A</v>
      </c>
      <c r="V392" s="62" t="e">
        <f t="shared" ca="1" si="40"/>
        <v>#N/A</v>
      </c>
      <c r="W392" s="60" t="e">
        <f t="shared" ca="1" si="41"/>
        <v>#N/A</v>
      </c>
      <c r="X392" s="60" t="e">
        <f t="shared" ca="1" si="44"/>
        <v>#N/A</v>
      </c>
      <c r="Y392" s="60" t="e">
        <f t="shared" ca="1" si="42"/>
        <v>#N/A</v>
      </c>
      <c r="Z392" s="60" t="e">
        <f ca="1">VLOOKUP(S392,ModelOutputs,13,FALSE)</f>
        <v>#N/A</v>
      </c>
    </row>
    <row r="393" spans="18:26" x14ac:dyDescent="0.25">
      <c r="R393" s="93" t="e">
        <f ca="1"/>
        <v>#N/A</v>
      </c>
      <c r="S393" s="62" t="e">
        <f t="shared" ca="1" si="43"/>
        <v>#N/A</v>
      </c>
      <c r="T393" s="62" t="e">
        <f t="shared" ca="1" si="38"/>
        <v>#N/A</v>
      </c>
      <c r="U393" s="62" t="e">
        <f t="shared" ca="1" si="39"/>
        <v>#N/A</v>
      </c>
      <c r="V393" s="62" t="e">
        <f t="shared" ca="1" si="40"/>
        <v>#N/A</v>
      </c>
      <c r="W393" s="60" t="e">
        <f t="shared" ca="1" si="41"/>
        <v>#N/A</v>
      </c>
      <c r="X393" s="60" t="e">
        <f t="shared" ca="1" si="44"/>
        <v>#N/A</v>
      </c>
      <c r="Y393" s="60" t="e">
        <f t="shared" ca="1" si="42"/>
        <v>#N/A</v>
      </c>
      <c r="Z393" s="60" t="e">
        <f ca="1">VLOOKUP(S393,ModelOutputs,13,FALSE)</f>
        <v>#N/A</v>
      </c>
    </row>
    <row r="394" spans="18:26" x14ac:dyDescent="0.25">
      <c r="R394" s="93" t="e">
        <f ca="1"/>
        <v>#N/A</v>
      </c>
      <c r="S394" s="62" t="e">
        <f t="shared" ca="1" si="43"/>
        <v>#N/A</v>
      </c>
      <c r="T394" s="62" t="e">
        <f t="shared" ca="1" si="38"/>
        <v>#N/A</v>
      </c>
      <c r="U394" s="62" t="e">
        <f t="shared" ca="1" si="39"/>
        <v>#N/A</v>
      </c>
      <c r="V394" s="62" t="e">
        <f t="shared" ca="1" si="40"/>
        <v>#N/A</v>
      </c>
      <c r="W394" s="60" t="e">
        <f t="shared" ca="1" si="41"/>
        <v>#N/A</v>
      </c>
      <c r="X394" s="60" t="e">
        <f t="shared" ca="1" si="44"/>
        <v>#N/A</v>
      </c>
      <c r="Y394" s="60" t="e">
        <f t="shared" ca="1" si="42"/>
        <v>#N/A</v>
      </c>
      <c r="Z394" s="60" t="e">
        <f ca="1">VLOOKUP(S394,ModelOutputs,13,FALSE)</f>
        <v>#N/A</v>
      </c>
    </row>
    <row r="395" spans="18:26" x14ac:dyDescent="0.25">
      <c r="R395" s="93" t="e">
        <f ca="1"/>
        <v>#N/A</v>
      </c>
      <c r="S395" s="62" t="e">
        <f t="shared" ca="1" si="43"/>
        <v>#N/A</v>
      </c>
      <c r="T395" s="62" t="e">
        <f t="shared" ca="1" si="38"/>
        <v>#N/A</v>
      </c>
      <c r="U395" s="62" t="e">
        <f t="shared" ca="1" si="39"/>
        <v>#N/A</v>
      </c>
      <c r="V395" s="62" t="e">
        <f t="shared" ca="1" si="40"/>
        <v>#N/A</v>
      </c>
      <c r="W395" s="60" t="e">
        <f t="shared" ca="1" si="41"/>
        <v>#N/A</v>
      </c>
      <c r="X395" s="60" t="e">
        <f t="shared" ca="1" si="44"/>
        <v>#N/A</v>
      </c>
      <c r="Y395" s="60" t="e">
        <f t="shared" ca="1" si="42"/>
        <v>#N/A</v>
      </c>
      <c r="Z395" s="60" t="e">
        <f ca="1">VLOOKUP(S395,ModelOutputs,13,FALSE)</f>
        <v>#N/A</v>
      </c>
    </row>
  </sheetData>
  <sheetProtection selectLockedCells="1"/>
  <mergeCells count="11">
    <mergeCell ref="C63:H63"/>
    <mergeCell ref="C52:H52"/>
    <mergeCell ref="C22:D22"/>
    <mergeCell ref="C31:D31"/>
    <mergeCell ref="F22:G22"/>
    <mergeCell ref="R15:V15"/>
    <mergeCell ref="D1:H1"/>
    <mergeCell ref="D2:H2"/>
    <mergeCell ref="C41:H41"/>
    <mergeCell ref="C17:H17"/>
    <mergeCell ref="C3:H3"/>
  </mergeCells>
  <conditionalFormatting sqref="H24:H38">
    <cfRule type="containsText" dxfId="20" priority="45" operator="containsText" text="Suggested">
      <formula>NOT(ISERROR(SEARCH("Suggested",H24)))</formula>
    </cfRule>
  </conditionalFormatting>
  <conditionalFormatting sqref="F28:G28">
    <cfRule type="expression" dxfId="19" priority="46">
      <formula>$B$28=1</formula>
    </cfRule>
  </conditionalFormatting>
  <conditionalFormatting sqref="F24:G24">
    <cfRule type="expression" dxfId="18" priority="47">
      <formula>$B$24=1</formula>
    </cfRule>
  </conditionalFormatting>
  <conditionalFormatting sqref="F25:G25">
    <cfRule type="expression" dxfId="17" priority="48">
      <formula>$B$25=1</formula>
    </cfRule>
  </conditionalFormatting>
  <conditionalFormatting sqref="F26:G26">
    <cfRule type="expression" dxfId="16" priority="49">
      <formula>$B$26=1</formula>
    </cfRule>
  </conditionalFormatting>
  <conditionalFormatting sqref="F27:G27">
    <cfRule type="expression" dxfId="15" priority="50">
      <formula>$B$27=1</formula>
    </cfRule>
  </conditionalFormatting>
  <conditionalFormatting sqref="F29:G29">
    <cfRule type="expression" dxfId="14" priority="51">
      <formula>$B$29=1</formula>
    </cfRule>
  </conditionalFormatting>
  <conditionalFormatting sqref="F30:G30">
    <cfRule type="expression" dxfId="13" priority="58">
      <formula>$B$30=1</formula>
    </cfRule>
  </conditionalFormatting>
  <conditionalFormatting sqref="F31">
    <cfRule type="expression" dxfId="12" priority="60">
      <formula>$B$31=1</formula>
    </cfRule>
  </conditionalFormatting>
  <conditionalFormatting sqref="G31">
    <cfRule type="expression" dxfId="11" priority="61">
      <formula>$B$31</formula>
    </cfRule>
  </conditionalFormatting>
  <conditionalFormatting sqref="F32:G32">
    <cfRule type="expression" dxfId="10" priority="62">
      <formula>$B$32=1</formula>
    </cfRule>
  </conditionalFormatting>
  <conditionalFormatting sqref="F33:G33">
    <cfRule type="expression" dxfId="9" priority="64">
      <formula>$B$33=1</formula>
    </cfRule>
  </conditionalFormatting>
  <conditionalFormatting sqref="F34:G34">
    <cfRule type="expression" dxfId="8" priority="66">
      <formula>$B$34=1</formula>
    </cfRule>
  </conditionalFormatting>
  <conditionalFormatting sqref="F35:G35">
    <cfRule type="expression" dxfId="7" priority="68">
      <formula>$B$35=1</formula>
    </cfRule>
  </conditionalFormatting>
  <conditionalFormatting sqref="F36:G36">
    <cfRule type="expression" dxfId="6" priority="70">
      <formula>$B$36=1</formula>
    </cfRule>
  </conditionalFormatting>
  <conditionalFormatting sqref="F37:G37">
    <cfRule type="expression" dxfId="5" priority="72">
      <formula>$B$37=1</formula>
    </cfRule>
  </conditionalFormatting>
  <conditionalFormatting sqref="F38:G38">
    <cfRule type="expression" dxfId="4" priority="74">
      <formula>$B$38=1</formula>
    </cfRule>
  </conditionalFormatting>
  <conditionalFormatting sqref="C17:H40">
    <cfRule type="expression" dxfId="3" priority="5">
      <formula>$B$1=1</formula>
    </cfRule>
  </conditionalFormatting>
  <conditionalFormatting sqref="C49:E51 F49:H50 C41:H48 C52:H58 C63:H66 C59:E62 F60:H61 F8:H15">
    <cfRule type="expression" dxfId="2" priority="4">
      <formula>NOT($B$1=3)</formula>
    </cfRule>
  </conditionalFormatting>
  <conditionalFormatting sqref="E15">
    <cfRule type="expression" dxfId="1" priority="2">
      <formula>NOT($B$1=1)</formula>
    </cfRule>
  </conditionalFormatting>
  <conditionalFormatting sqref="D67:E67">
    <cfRule type="expression" dxfId="0" priority="1">
      <formula>NOT($B$1=3)</formula>
    </cfRule>
  </conditionalFormatting>
  <dataValidations count="3">
    <dataValidation type="list" allowBlank="1" showInputMessage="1" showErrorMessage="1" sqref="E54:E55 E43:E44 D6" xr:uid="{F7066995-07A6-4604-9C29-9BAAA59B1CB1}">
      <formula1>INDIRECT(D5)</formula1>
    </dataValidation>
    <dataValidation type="date" allowBlank="1" showInputMessage="1" showErrorMessage="1" sqref="E9" xr:uid="{B60EB941-A597-4A55-8C4F-621E11D4DA3E}">
      <formula1>44197</formula1>
      <formula2>45658</formula2>
    </dataValidation>
    <dataValidation type="list" allowBlank="1" showInputMessage="1" showErrorMessage="1" sqref="E7" xr:uid="{07B5D134-A977-4BCE-B784-D201F29122FC}">
      <formula1>INDIRECT(D6)</formula1>
    </dataValidation>
  </dataValidations>
  <pageMargins left="0.36" right="0.48" top="0.48" bottom="0.75" header="0.3" footer="0.3"/>
  <pageSetup paperSize="9" scale="50" orientation="landscape" r:id="rId1"/>
  <ignoredErrors>
    <ignoredError sqref="G9:G10 D51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E53 E42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H46 H57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H58 H10 H47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H60 H49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E61 E13 E50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H61 H50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495"/>
  <sheetViews>
    <sheetView zoomScale="105" workbookViewId="0">
      <selection activeCell="B19" sqref="B19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2" t="s">
        <v>117</v>
      </c>
      <c r="B1" s="153"/>
      <c r="O1" s="35" t="s">
        <v>116</v>
      </c>
      <c r="P1" s="24"/>
      <c r="Q1" s="23" t="s">
        <v>193</v>
      </c>
      <c r="R1" s="24"/>
      <c r="S1" s="23" t="s">
        <v>190</v>
      </c>
      <c r="T1" s="25" t="s">
        <v>191</v>
      </c>
      <c r="U1" s="25" t="s">
        <v>13</v>
      </c>
      <c r="V1" s="23" t="s">
        <v>190</v>
      </c>
      <c r="W1" s="23" t="s">
        <v>192</v>
      </c>
      <c r="X1" s="26" t="s">
        <v>187</v>
      </c>
      <c r="Y1" s="132"/>
      <c r="Z1" s="132"/>
      <c r="AA1" s="132"/>
      <c r="AB1" s="132"/>
      <c r="AC1" s="113" t="s">
        <v>189</v>
      </c>
      <c r="AD1" s="113" t="s">
        <v>188</v>
      </c>
      <c r="AG1" s="113"/>
    </row>
    <row r="2" spans="1:37" ht="15.75" thickBot="1" x14ac:dyDescent="0.3">
      <c r="A2" s="5" t="s">
        <v>18</v>
      </c>
      <c r="B2" s="6">
        <f>ConceptDemo!D64</f>
        <v>50</v>
      </c>
      <c r="D2" s="44" t="str">
        <f>ConceptDemo!C22</f>
        <v>Fertiliser already applied or planned</v>
      </c>
      <c r="E2" s="45"/>
      <c r="O2" s="14" t="s">
        <v>0</v>
      </c>
      <c r="P2" s="33">
        <f ca="1">InitialDate</f>
        <v>44970</v>
      </c>
      <c r="Q2" s="27">
        <f ca="1">VLOOKUP(P2-1,ModelOutputs,2,FALSE)</f>
        <v>58.820025279406217</v>
      </c>
      <c r="R2" s="27"/>
      <c r="S2" s="27">
        <f ca="1">SUMIF($O$6:$O$495,TRUE,S6:S495)</f>
        <v>7.9186284064841031E-2</v>
      </c>
      <c r="T2" s="27">
        <f ca="1">SUMIF($O$6:$O$495,TRUE,T6:T495)</f>
        <v>44.748664772727174</v>
      </c>
      <c r="U2" s="27">
        <f ca="1">SUMIF($O$6:$O$495,TRUE,U6:U495)</f>
        <v>124</v>
      </c>
      <c r="V2" s="27"/>
      <c r="W2" s="28"/>
      <c r="X2" s="15"/>
      <c r="Y2" s="28"/>
      <c r="Z2" s="28"/>
      <c r="AA2" s="28"/>
      <c r="AB2" s="28"/>
      <c r="AC2" s="3">
        <f ca="1">MAX(0,AD3-AD2)</f>
        <v>0</v>
      </c>
      <c r="AD2" s="3">
        <f ca="1">SUM(Q2:X2)</f>
        <v>227.64787633619824</v>
      </c>
      <c r="AG2" s="3"/>
    </row>
    <row r="3" spans="1:37" ht="15.75" thickBot="1" x14ac:dyDescent="0.3">
      <c r="A3" s="14" t="s">
        <v>27</v>
      </c>
      <c r="B3" s="15">
        <f>HWEON</f>
        <v>5</v>
      </c>
      <c r="D3" s="21" t="str">
        <f>ConceptDemo!C23</f>
        <v>Date</v>
      </c>
      <c r="E3" s="22" t="str">
        <f>ConceptDemo!D23</f>
        <v>Amount</v>
      </c>
      <c r="I3" t="s">
        <v>215</v>
      </c>
      <c r="J3">
        <f>VLOOKUP(PrePlantRain,ListMembers!$Z$7:$AA$11,2,FALSE)</f>
        <v>1</v>
      </c>
      <c r="O3" s="16" t="s">
        <v>12</v>
      </c>
      <c r="P3" s="34">
        <f ca="1">B29</f>
        <v>45095</v>
      </c>
      <c r="Q3" s="29">
        <f ca="1">VLOOKUP(P3,ModelOutputs,2,FALSE)</f>
        <v>30.168451112857724</v>
      </c>
      <c r="R3" s="32"/>
      <c r="S3" s="30"/>
      <c r="T3" s="30"/>
      <c r="U3" s="30"/>
      <c r="V3" s="29">
        <f ca="1">(VLOOKUP($P$3,ModelOutputs,V4,FALSE)-VLOOKUP($P$2+1,ModelOutputs,V4,FALSE))-W3</f>
        <v>128.56273716235631</v>
      </c>
      <c r="W3" s="31">
        <f ca="1">VLOOKUP($P$3,ModelOutputs,W4,FALSE)-VLOOKUP($P$2+1,ModelOutputs,W4,FALSE)</f>
        <v>43.853761655964021</v>
      </c>
      <c r="X3" s="32">
        <f ca="1">SUMIF($O$6:$O$495,TRUE,X6:X495)</f>
        <v>24.799999999999994</v>
      </c>
      <c r="Y3" s="27"/>
      <c r="Z3" s="27"/>
      <c r="AA3" s="27"/>
      <c r="AB3" s="27"/>
      <c r="AC3" s="3">
        <f ca="1">MAX(0,AD2-AD3)</f>
        <v>0.26292640502018116</v>
      </c>
      <c r="AD3" s="3">
        <f ca="1">SUM(Q3:X3)</f>
        <v>227.38494993117806</v>
      </c>
    </row>
    <row r="4" spans="1:37" ht="15.75" thickBot="1" x14ac:dyDescent="0.3">
      <c r="A4" s="14" t="s">
        <v>28</v>
      </c>
      <c r="B4" s="15">
        <f>ConceptDemo!D65</f>
        <v>30</v>
      </c>
      <c r="D4" s="42" t="str">
        <f>IF(ConceptDemo!C24="","",ConceptDemo!C24)</f>
        <v/>
      </c>
      <c r="E4" s="43" t="str">
        <f>IF(ConceptDemo!D24="","",ConceptDemo!D24)</f>
        <v/>
      </c>
      <c r="H4" t="str">
        <f>ConceptDemo!D4</f>
        <v>Levin</v>
      </c>
      <c r="I4" t="s">
        <v>216</v>
      </c>
      <c r="J4">
        <f>VLOOKUP(InCropRain,ListMembers!$Z$7:$AA$11,2,FALSE)</f>
        <v>1</v>
      </c>
      <c r="R4">
        <f ca="1">SUMIF(N6:N495,FALSE,R6:R495)</f>
        <v>31.713312093464396</v>
      </c>
      <c r="S4">
        <f ca="1">SUMIF(N6:N495,TRUE,S6:S495)</f>
        <v>2.9187952535512651</v>
      </c>
      <c r="V4">
        <v>7</v>
      </c>
      <c r="W4">
        <v>8</v>
      </c>
      <c r="AC4" s="3"/>
      <c r="AG4" s="3"/>
    </row>
    <row r="5" spans="1:37" x14ac:dyDescent="0.25">
      <c r="A5" s="14" t="s">
        <v>29</v>
      </c>
      <c r="B5" s="15">
        <f>ConceptDemo!D66</f>
        <v>80</v>
      </c>
      <c r="D5" s="20" t="str">
        <f>IF(ConceptDemo!C25="","",ConceptDemo!C25)</f>
        <v/>
      </c>
      <c r="E5" s="19" t="str">
        <f>IF(ConceptDemo!D25="","",ConceptDemo!D25)</f>
        <v/>
      </c>
      <c r="G5" t="s">
        <v>103</v>
      </c>
      <c r="H5" s="103" t="s">
        <v>14</v>
      </c>
      <c r="I5" s="134" t="s">
        <v>17</v>
      </c>
      <c r="J5" s="134" t="s">
        <v>212</v>
      </c>
      <c r="K5" s="104" t="s">
        <v>214</v>
      </c>
      <c r="N5" t="s">
        <v>186</v>
      </c>
      <c r="O5" t="s">
        <v>115</v>
      </c>
      <c r="P5" t="str">
        <f t="array" aca="1" ref="P5:AB495" ca="1">_xll.GetDailyNBalance(H5:K495,A2:B43,D12:E18,D3:E9)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152</v>
      </c>
      <c r="AE5" t="s">
        <v>153</v>
      </c>
    </row>
    <row r="6" spans="1:37" x14ac:dyDescent="0.25">
      <c r="A6" s="14" t="s">
        <v>30</v>
      </c>
      <c r="B6" s="15">
        <f>Splits</f>
        <v>1</v>
      </c>
      <c r="D6" s="20" t="str">
        <f>IF(ConceptDemo!C26="","",ConceptDemo!C26)</f>
        <v/>
      </c>
      <c r="E6" s="19" t="str">
        <f>IF(ConceptDemo!D26="","",ConceptDemo!D26)</f>
        <v/>
      </c>
      <c r="G6" s="3">
        <f ca="1">H6-DATE(YEAR(H6),1,0)+1</f>
        <v>349</v>
      </c>
      <c r="H6" s="105">
        <f ca="1">B16-1</f>
        <v>44909</v>
      </c>
      <c r="I6" s="133">
        <f ca="1">HLOOKUP($H$4,'Met Data'!$A$2:$F$368,G6,FALSE)</f>
        <v>16.191666666666599</v>
      </c>
      <c r="J6" s="133">
        <f ca="1">HLOOKUP($H$4,'Met Data'!$H$2:$M$368,G6,FALSE)*L6</f>
        <v>1.5333333333333301</v>
      </c>
      <c r="K6" s="106">
        <f ca="1">HLOOKUP($H$4,'Met Data'!$O$2:$T$368,G6,FALSE)</f>
        <v>3.8138486605430502</v>
      </c>
      <c r="L6">
        <f t="shared" ref="L6:L69" ca="1" si="0">IF(H6&lt;$B$27,$J$3,$J$4)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44954</v>
      </c>
      <c r="Q6">
        <f ca="1"/>
        <v>50.066097462872698</v>
      </c>
      <c r="R6">
        <f ca="1"/>
        <v>0.654265870460634</v>
      </c>
      <c r="S6">
        <f ca="1"/>
        <v>0.26327999999999957</v>
      </c>
      <c r="T6" s="4">
        <f ca="1"/>
        <v>0.45708333333333251</v>
      </c>
      <c r="U6">
        <f ca="1"/>
        <v>0</v>
      </c>
      <c r="V6">
        <f ca="1"/>
        <v>23.793768644734399</v>
      </c>
      <c r="W6">
        <f ca="1"/>
        <v>21.7668920564793</v>
      </c>
      <c r="X6">
        <f ca="1"/>
        <v>0</v>
      </c>
      <c r="Y6">
        <f ca="1"/>
        <v>1</v>
      </c>
      <c r="Z6">
        <f ca="1"/>
        <v>0</v>
      </c>
      <c r="AA6">
        <f ca="1"/>
        <v>0</v>
      </c>
      <c r="AB6">
        <f ca="1"/>
        <v>0.99999031088998602</v>
      </c>
      <c r="AD6" s="2">
        <f t="shared" ref="AD6:AD69" ca="1" si="2">IFERROR(P6,$AD$4)</f>
        <v>44954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218</v>
      </c>
      <c r="B7" s="15">
        <f>AWC</f>
        <v>120</v>
      </c>
      <c r="D7" s="20" t="str">
        <f>IF(ConceptDemo!C27="","",ConceptDemo!C27)</f>
        <v/>
      </c>
      <c r="E7" s="19" t="str">
        <f>IF(ConceptDemo!D27="","",ConceptDemo!D27)</f>
        <v/>
      </c>
      <c r="G7" s="3">
        <f t="shared" ref="G7:G70" ca="1" si="4">H7-DATE(YEAR(H7),1,0)+1</f>
        <v>350</v>
      </c>
      <c r="H7" s="105">
        <f ca="1">H6+1</f>
        <v>44910</v>
      </c>
      <c r="I7" s="133">
        <f ca="1">HLOOKUP($H$4,'Met Data'!$A$2:$F$368,G7,FALSE)</f>
        <v>15.754166666666601</v>
      </c>
      <c r="J7" s="133">
        <f ca="1">HLOOKUP($H$4,'Met Data'!$H$2:$M$368,G7,FALSE)*L7</f>
        <v>4.9166666666666599</v>
      </c>
      <c r="K7" s="106">
        <f ca="1">HLOOKUP($H$4,'Met Data'!$O$2:$T$368,G7,FALSE)</f>
        <v>4.2245531095694204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44955</v>
      </c>
      <c r="Q7">
        <f ca="1"/>
        <v>50.12160227125252</v>
      </c>
      <c r="R7">
        <f ca="1"/>
        <v>0.631255319620177</v>
      </c>
      <c r="S7">
        <f ca="1"/>
        <v>0.21301012800000016</v>
      </c>
      <c r="T7" s="4">
        <f ca="1"/>
        <v>0.47375</v>
      </c>
      <c r="U7">
        <f ca="1"/>
        <v>0</v>
      </c>
      <c r="V7">
        <f ca="1"/>
        <v>24.425023964354601</v>
      </c>
      <c r="W7">
        <f ca="1"/>
        <v>22.344373774798399</v>
      </c>
      <c r="X7">
        <f ca="1"/>
        <v>0</v>
      </c>
      <c r="Y7">
        <f ca="1"/>
        <v>0.96458968411206447</v>
      </c>
      <c r="Z7">
        <f ca="1"/>
        <v>0</v>
      </c>
      <c r="AA7">
        <f ca="1"/>
        <v>0</v>
      </c>
      <c r="AB7">
        <f ca="1"/>
        <v>0.99999350482483895</v>
      </c>
      <c r="AD7" s="2">
        <f t="shared" ca="1" si="2"/>
        <v>44955</v>
      </c>
      <c r="AE7" s="46">
        <f t="shared" ca="1" si="3"/>
        <v>0</v>
      </c>
      <c r="AF7" s="3"/>
      <c r="AG7" s="72">
        <f ca="1">Q6+S7+T7+U7</f>
        <v>50.752857590872701</v>
      </c>
      <c r="AH7" s="72">
        <f ca="1">Q7+R7+X7</f>
        <v>50.752857590872701</v>
      </c>
      <c r="AI7" s="3">
        <f ca="1">AH7-AG7</f>
        <v>0</v>
      </c>
      <c r="AK7" s="3"/>
    </row>
    <row r="8" spans="1:37" x14ac:dyDescent="0.25">
      <c r="A8" s="14" t="s">
        <v>215</v>
      </c>
      <c r="B8" s="15" t="str">
        <f>PrePlantRain</f>
        <v>Typical</v>
      </c>
      <c r="D8" s="20" t="str">
        <f>IF(ConceptDemo!C28="","",ConceptDemo!C28)</f>
        <v/>
      </c>
      <c r="E8" s="19" t="str">
        <f>IF(ConceptDemo!D28="","",ConceptDemo!D28)</f>
        <v/>
      </c>
      <c r="G8" s="3">
        <f t="shared" ca="1" si="4"/>
        <v>351</v>
      </c>
      <c r="H8" s="105">
        <f t="shared" ref="H8:H71" ca="1" si="6">H7+1</f>
        <v>44911</v>
      </c>
      <c r="I8" s="133">
        <f ca="1">HLOOKUP($H$4,'Met Data'!$A$2:$F$368,G8,FALSE)</f>
        <v>16.766666666666602</v>
      </c>
      <c r="J8" s="133">
        <f ca="1">HLOOKUP($H$4,'Met Data'!$H$2:$M$368,G8,FALSE)*L8</f>
        <v>1.5999999999999901</v>
      </c>
      <c r="K8" s="106">
        <f ca="1">HLOOKUP($H$4,'Met Data'!$O$2:$T$368,G8,FALSE)</f>
        <v>4.0567025040665996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44956</v>
      </c>
      <c r="Q8">
        <f ca="1"/>
        <v>51.157340402569375</v>
      </c>
      <c r="R8">
        <f ca="1"/>
        <v>0</v>
      </c>
      <c r="S8">
        <f ca="1"/>
        <v>0.55896729798351952</v>
      </c>
      <c r="T8" s="4">
        <f ca="1"/>
        <v>0.47677083333333253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0.94332603047062458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44956</v>
      </c>
      <c r="AE8" s="46">
        <f t="shared" ca="1" si="3"/>
        <v>0</v>
      </c>
      <c r="AG8" s="72">
        <f t="shared" ref="AG8:AG71" ca="1" si="7">Q7+S8+T8+U8</f>
        <v>51.157340402569375</v>
      </c>
      <c r="AH8" s="72">
        <f t="shared" ref="AH8:AH71" ca="1" si="8">Q8+R8+X8</f>
        <v>51.157340402569375</v>
      </c>
      <c r="AI8" s="3">
        <f t="shared" ref="AI8:AI71" ca="1" si="9">AH8-AG8</f>
        <v>0</v>
      </c>
    </row>
    <row r="9" spans="1:37" ht="15.75" thickBot="1" x14ac:dyDescent="0.3">
      <c r="A9" s="14" t="s">
        <v>216</v>
      </c>
      <c r="B9" s="15" t="str">
        <f>InCropRain</f>
        <v>Typical</v>
      </c>
      <c r="D9" s="40" t="str">
        <f>IF(ConceptDemo!C29="","",ConceptDemo!C29)</f>
        <v/>
      </c>
      <c r="E9" s="22" t="str">
        <f>IF(ConceptDemo!D29="","",ConceptDemo!D29)</f>
        <v/>
      </c>
      <c r="G9" s="3">
        <f t="shared" ca="1" si="4"/>
        <v>352</v>
      </c>
      <c r="H9" s="105">
        <f t="shared" ca="1" si="6"/>
        <v>44912</v>
      </c>
      <c r="I9" s="133">
        <f ca="1">HLOOKUP($H$4,'Met Data'!$A$2:$F$368,G9,FALSE)</f>
        <v>16.766666666666602</v>
      </c>
      <c r="J9" s="133">
        <f ca="1">HLOOKUP($H$4,'Met Data'!$H$2:$M$368,G9,FALSE)*L9</f>
        <v>4.3166666666666602</v>
      </c>
      <c r="K9" s="106">
        <f ca="1">HLOOKUP($H$4,'Met Data'!$O$2:$T$368,G9,FALSE)</f>
        <v>3.8858032497445998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44957</v>
      </c>
      <c r="Q9">
        <f ca="1"/>
        <v>52.048299665308846</v>
      </c>
      <c r="R9">
        <f ca="1"/>
        <v>0</v>
      </c>
      <c r="S9">
        <f ca="1"/>
        <v>0.42304259607280681</v>
      </c>
      <c r="T9" s="4">
        <f ca="1"/>
        <v>0.46791666666666504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0.91280475765938174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44957</v>
      </c>
      <c r="AE9" s="46">
        <f t="shared" ca="1" si="3"/>
        <v>0</v>
      </c>
      <c r="AG9" s="72">
        <f t="shared" ca="1" si="7"/>
        <v>52.048299665308846</v>
      </c>
      <c r="AH9" s="72">
        <f t="shared" ca="1" si="8"/>
        <v>52.048299665308846</v>
      </c>
      <c r="AI9" s="3">
        <f t="shared" ca="1" si="9"/>
        <v>0</v>
      </c>
    </row>
    <row r="10" spans="1:37" ht="15.75" thickBot="1" x14ac:dyDescent="0.3">
      <c r="A10" s="14" t="s">
        <v>202</v>
      </c>
      <c r="B10" s="15" t="str">
        <f>Irrigation</f>
        <v>None</v>
      </c>
      <c r="G10" s="3">
        <f t="shared" ca="1" si="4"/>
        <v>353</v>
      </c>
      <c r="H10" s="105">
        <f t="shared" ca="1" si="6"/>
        <v>44913</v>
      </c>
      <c r="I10" s="133">
        <f ca="1">HLOOKUP($H$4,'Met Data'!$A$2:$F$368,G10,FALSE)</f>
        <v>17.191666666666599</v>
      </c>
      <c r="J10" s="133">
        <f ca="1">HLOOKUP($H$4,'Met Data'!$H$2:$M$368,G10,FALSE)*L10</f>
        <v>1.25</v>
      </c>
      <c r="K10" s="106">
        <f ca="1">HLOOKUP($H$4,'Met Data'!$O$2:$T$368,G10,FALSE)</f>
        <v>3.5439221574521702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44958</v>
      </c>
      <c r="Q10">
        <f ca="1"/>
        <v>52.844420752398612</v>
      </c>
      <c r="R10">
        <f ca="1"/>
        <v>0</v>
      </c>
      <c r="S10">
        <f ca="1"/>
        <v>0.32810025375643037</v>
      </c>
      <c r="T10" s="4">
        <f ca="1"/>
        <v>0.4680208333333325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0.93015671379220854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44958</v>
      </c>
      <c r="AE10" s="46">
        <f t="shared" ca="1" si="3"/>
        <v>0</v>
      </c>
      <c r="AG10" s="72">
        <f t="shared" ca="1" si="7"/>
        <v>52.844420752398612</v>
      </c>
      <c r="AH10" s="72">
        <f t="shared" ca="1" si="8"/>
        <v>52.844420752398612</v>
      </c>
      <c r="AI10" s="3">
        <f t="shared" ca="1" si="9"/>
        <v>0</v>
      </c>
    </row>
    <row r="11" spans="1:37" x14ac:dyDescent="0.25">
      <c r="A11" s="7" t="s">
        <v>149</v>
      </c>
      <c r="B11" s="36" t="str">
        <f>PriorCropNameFull</f>
        <v>Barley Fodder General</v>
      </c>
      <c r="D11" s="150" t="str">
        <f>ConceptDemo!C31</f>
        <v>Soil Mineral N Test Results</v>
      </c>
      <c r="E11" s="151"/>
      <c r="G11" s="3">
        <f t="shared" ca="1" si="4"/>
        <v>354</v>
      </c>
      <c r="H11" s="105">
        <f t="shared" ca="1" si="6"/>
        <v>44914</v>
      </c>
      <c r="I11" s="133">
        <f ca="1">HLOOKUP($H$4,'Met Data'!$A$2:$F$368,G11,FALSE)</f>
        <v>16.725000000000001</v>
      </c>
      <c r="J11" s="133">
        <f ca="1">HLOOKUP($H$4,'Met Data'!$H$2:$M$368,G11,FALSE)*L11</f>
        <v>6.43333333333333</v>
      </c>
      <c r="K11" s="106">
        <f ca="1">HLOOKUP($H$4,'Met Data'!$O$2:$T$368,G11,FALSE)</f>
        <v>2.7226403112081199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44959</v>
      </c>
      <c r="Q11">
        <f ca="1"/>
        <v>53.560563447275392</v>
      </c>
      <c r="R11">
        <f ca="1"/>
        <v>0</v>
      </c>
      <c r="S11">
        <f ca="1"/>
        <v>0.25218436154344881</v>
      </c>
      <c r="T11" s="4">
        <f ca="1"/>
        <v>0.46395833333333258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0.94708794323754897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44959</v>
      </c>
      <c r="AE11" s="46">
        <f t="shared" ca="1" si="3"/>
        <v>0</v>
      </c>
      <c r="AG11" s="72">
        <f t="shared" ca="1" si="7"/>
        <v>53.560563447275392</v>
      </c>
      <c r="AH11" s="72">
        <f t="shared" ca="1" si="8"/>
        <v>53.560563447275392</v>
      </c>
      <c r="AI11" s="3">
        <f t="shared" ca="1" si="9"/>
        <v>0</v>
      </c>
    </row>
    <row r="12" spans="1:37" ht="15.75" thickBot="1" x14ac:dyDescent="0.3">
      <c r="A12" s="8" t="s">
        <v>119</v>
      </c>
      <c r="B12" s="37">
        <f>PriorYield_tperHa</f>
        <v>8</v>
      </c>
      <c r="D12" s="21" t="str">
        <f>ConceptDemo!C32</f>
        <v>Date</v>
      </c>
      <c r="E12" s="22" t="str">
        <f>ConceptDemo!D32</f>
        <v>Value</v>
      </c>
      <c r="G12" s="3">
        <f t="shared" ca="1" si="4"/>
        <v>355</v>
      </c>
      <c r="H12" s="105">
        <f t="shared" ca="1" si="6"/>
        <v>44915</v>
      </c>
      <c r="I12" s="133">
        <f ca="1">HLOOKUP($H$4,'Met Data'!$A$2:$F$368,G12,FALSE)</f>
        <v>15.9625</v>
      </c>
      <c r="J12" s="133">
        <f ca="1">HLOOKUP($H$4,'Met Data'!$H$2:$M$368,G12,FALSE)*L12</f>
        <v>4.3333333333333304</v>
      </c>
      <c r="K12" s="106">
        <f ca="1">HLOOKUP($H$4,'Met Data'!$O$2:$T$368,G12,FALSE)</f>
        <v>3.7253118866284498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44960</v>
      </c>
      <c r="Q12">
        <f ca="1"/>
        <v>54.230620734264861</v>
      </c>
      <c r="R12">
        <f ca="1"/>
        <v>0</v>
      </c>
      <c r="S12">
        <f ca="1"/>
        <v>0.19901562032280226</v>
      </c>
      <c r="T12" s="4">
        <f ca="1"/>
        <v>0.47104166666666503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0.91530494789467542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44960</v>
      </c>
      <c r="AE12" s="46">
        <f t="shared" ca="1" si="3"/>
        <v>0</v>
      </c>
      <c r="AG12" s="72">
        <f t="shared" ca="1" si="7"/>
        <v>54.230620734264861</v>
      </c>
      <c r="AH12" s="72">
        <f t="shared" ca="1" si="8"/>
        <v>54.230620734264861</v>
      </c>
      <c r="AI12" s="3">
        <f t="shared" ca="1" si="9"/>
        <v>0</v>
      </c>
    </row>
    <row r="13" spans="1:37" x14ac:dyDescent="0.25">
      <c r="A13" s="8" t="s">
        <v>120</v>
      </c>
      <c r="B13" s="37">
        <f>PriorFieldLoss</f>
        <v>0</v>
      </c>
      <c r="D13" s="20" t="str">
        <f>IF(ConceptDemo!C33="","",ConceptDemo!C33)</f>
        <v/>
      </c>
      <c r="E13" s="19" t="str">
        <f>IF(ConceptDemo!D33="","",ConceptDemo!D33)</f>
        <v/>
      </c>
      <c r="G13" s="3">
        <f t="shared" ca="1" si="4"/>
        <v>356</v>
      </c>
      <c r="H13" s="105">
        <f t="shared" ca="1" si="6"/>
        <v>44916</v>
      </c>
      <c r="I13" s="133">
        <f ca="1">HLOOKUP($H$4,'Met Data'!$A$2:$F$368,G13,FALSE)</f>
        <v>16.074999999999999</v>
      </c>
      <c r="J13" s="133">
        <f ca="1">HLOOKUP($H$4,'Met Data'!$H$2:$M$368,G13,FALSE)*L13</f>
        <v>0.89999999999999902</v>
      </c>
      <c r="K13" s="106">
        <f ca="1">HLOOKUP($H$4,'Met Data'!$O$2:$T$368,G13,FALSE)</f>
        <v>3.69045556475041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44961</v>
      </c>
      <c r="Q13">
        <f ca="1"/>
        <v>54.842410853519134</v>
      </c>
      <c r="R13">
        <f ca="1"/>
        <v>0</v>
      </c>
      <c r="S13">
        <f ca="1"/>
        <v>0.15074845258760661</v>
      </c>
      <c r="T13" s="4">
        <f ca="1"/>
        <v>0.46104166666666502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0.92851304462321049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44961</v>
      </c>
      <c r="AE13" s="46">
        <f t="shared" ca="1" si="3"/>
        <v>0</v>
      </c>
      <c r="AG13" s="72">
        <f t="shared" ca="1" si="7"/>
        <v>54.842410853519134</v>
      </c>
      <c r="AH13" s="72">
        <f t="shared" ca="1" si="8"/>
        <v>54.842410853519134</v>
      </c>
      <c r="AI13" s="3">
        <f t="shared" ca="1" si="9"/>
        <v>0</v>
      </c>
    </row>
    <row r="14" spans="1:37" x14ac:dyDescent="0.25">
      <c r="A14" s="8" t="s">
        <v>121</v>
      </c>
      <c r="B14" s="37">
        <f>PriorDressingLoss</f>
        <v>0</v>
      </c>
      <c r="D14" s="20" t="str">
        <f>IF(ConceptDemo!C34="","",ConceptDemo!C34)</f>
        <v/>
      </c>
      <c r="E14" s="19" t="str">
        <f>IF(ConceptDemo!D34="","",ConceptDemo!D34)</f>
        <v/>
      </c>
      <c r="G14" s="3">
        <f t="shared" ca="1" si="4"/>
        <v>357</v>
      </c>
      <c r="H14" s="105">
        <f t="shared" ca="1" si="6"/>
        <v>44917</v>
      </c>
      <c r="I14" s="133">
        <f ca="1">HLOOKUP($H$4,'Met Data'!$A$2:$F$368,G14,FALSE)</f>
        <v>16.1458333333333</v>
      </c>
      <c r="J14" s="133">
        <f ca="1">HLOOKUP($H$4,'Met Data'!$H$2:$M$368,G14,FALSE)*L14</f>
        <v>0.78333333333333299</v>
      </c>
      <c r="K14" s="106">
        <f ca="1">HLOOKUP($H$4,'Met Data'!$O$2:$T$368,G14,FALSE)</f>
        <v>3.66376320931905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44962</v>
      </c>
      <c r="Q14">
        <f ca="1"/>
        <v>55.406203172906686</v>
      </c>
      <c r="R14">
        <f ca="1"/>
        <v>0</v>
      </c>
      <c r="S14">
        <f ca="1"/>
        <v>0.11441731938754854</v>
      </c>
      <c r="T14" s="4">
        <f ca="1"/>
        <v>0.44937500000000002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0.91597535224116222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44962</v>
      </c>
      <c r="AE14" s="46">
        <f t="shared" ca="1" si="3"/>
        <v>0</v>
      </c>
      <c r="AG14" s="72">
        <f t="shared" ca="1" si="7"/>
        <v>55.406203172906686</v>
      </c>
      <c r="AH14" s="72">
        <f t="shared" ca="1" si="8"/>
        <v>55.406203172906686</v>
      </c>
      <c r="AI14" s="3">
        <f t="shared" ca="1" si="9"/>
        <v>0</v>
      </c>
    </row>
    <row r="15" spans="1:37" x14ac:dyDescent="0.25">
      <c r="A15" s="8" t="s">
        <v>122</v>
      </c>
      <c r="B15" s="37">
        <f>PriorMoistureContent</f>
        <v>80</v>
      </c>
      <c r="D15" s="20" t="str">
        <f>IF(ConceptDemo!C35="","",ConceptDemo!C35)</f>
        <v/>
      </c>
      <c r="E15" s="19" t="str">
        <f>IF(ConceptDemo!D35="","",ConceptDemo!D35)</f>
        <v/>
      </c>
      <c r="G15" s="3">
        <f t="shared" ca="1" si="4"/>
        <v>358</v>
      </c>
      <c r="H15" s="105">
        <f t="shared" ca="1" si="6"/>
        <v>44918</v>
      </c>
      <c r="I15" s="133">
        <f ca="1">HLOOKUP($H$4,'Met Data'!$A$2:$F$368,G15,FALSE)</f>
        <v>16.820833333333301</v>
      </c>
      <c r="J15" s="133">
        <f ca="1">HLOOKUP($H$4,'Met Data'!$H$2:$M$368,G15,FALSE)*L15</f>
        <v>1.1666666666666601</v>
      </c>
      <c r="K15" s="106">
        <f ca="1">HLOOKUP($H$4,'Met Data'!$O$2:$T$368,G15,FALSE)</f>
        <v>4.2904592235930501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44963</v>
      </c>
      <c r="Q15">
        <f ca="1"/>
        <v>55.927570202345969</v>
      </c>
      <c r="R15">
        <f ca="1"/>
        <v>0</v>
      </c>
      <c r="S15">
        <f ca="1"/>
        <v>8.6783696105950173E-2</v>
      </c>
      <c r="T15" s="4">
        <f ca="1"/>
        <v>0.43458333333333249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0.88921007150296139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44963</v>
      </c>
      <c r="AE15" s="46">
        <f t="shared" ca="1" si="3"/>
        <v>0</v>
      </c>
      <c r="AG15" s="72">
        <f t="shared" ca="1" si="7"/>
        <v>55.927570202345969</v>
      </c>
      <c r="AH15" s="72">
        <f t="shared" ca="1" si="8"/>
        <v>55.927570202345969</v>
      </c>
      <c r="AI15" s="3">
        <f t="shared" ca="1" si="9"/>
        <v>0</v>
      </c>
    </row>
    <row r="16" spans="1:37" x14ac:dyDescent="0.25">
      <c r="A16" s="8" t="s">
        <v>123</v>
      </c>
      <c r="B16" s="39">
        <f ca="1">PriorEstablishDate</f>
        <v>44910</v>
      </c>
      <c r="D16" s="20" t="str">
        <f>IF(ConceptDemo!C36="","",ConceptDemo!C36)</f>
        <v/>
      </c>
      <c r="E16" s="19" t="str">
        <f>IF(ConceptDemo!D36="","",ConceptDemo!D36)</f>
        <v/>
      </c>
      <c r="G16" s="3">
        <f t="shared" ca="1" si="4"/>
        <v>359</v>
      </c>
      <c r="H16" s="105">
        <f t="shared" ca="1" si="6"/>
        <v>44919</v>
      </c>
      <c r="I16" s="133">
        <f ca="1">HLOOKUP($H$4,'Met Data'!$A$2:$F$368,G16,FALSE)</f>
        <v>16.883333333333301</v>
      </c>
      <c r="J16" s="133">
        <f ca="1">HLOOKUP($H$4,'Met Data'!$H$2:$M$368,G16,FALSE)*L16</f>
        <v>4.1499999999999897</v>
      </c>
      <c r="K16" s="106">
        <f ca="1">HLOOKUP($H$4,'Met Data'!$O$2:$T$368,G16,FALSE)</f>
        <v>3.61274265774352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44964</v>
      </c>
      <c r="Q16">
        <f ca="1"/>
        <v>56.420942579446915</v>
      </c>
      <c r="R16">
        <f ca="1"/>
        <v>0</v>
      </c>
      <c r="S16">
        <f ca="1"/>
        <v>6.7330710434285207E-2</v>
      </c>
      <c r="T16" s="4">
        <f ca="1"/>
        <v>0.42604166666666504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0.88563165627491436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44964</v>
      </c>
      <c r="AE16" s="46">
        <f t="shared" ca="1" si="3"/>
        <v>0</v>
      </c>
      <c r="AG16" s="72">
        <f t="shared" ca="1" si="7"/>
        <v>56.420942579446915</v>
      </c>
      <c r="AH16" s="72">
        <f t="shared" ca="1" si="8"/>
        <v>56.420942579446915</v>
      </c>
      <c r="AI16" s="3">
        <f t="shared" ca="1" si="9"/>
        <v>0</v>
      </c>
    </row>
    <row r="17" spans="1:35" x14ac:dyDescent="0.25">
      <c r="A17" s="8" t="s">
        <v>124</v>
      </c>
      <c r="B17" s="37" t="str">
        <f>PriorEstablishStage</f>
        <v>Seed</v>
      </c>
      <c r="D17" s="20" t="str">
        <f>IF(ConceptDemo!C37="","",ConceptDemo!C37)</f>
        <v/>
      </c>
      <c r="E17" s="19" t="str">
        <f>IF(ConceptDemo!D37="","",ConceptDemo!D37)</f>
        <v/>
      </c>
      <c r="G17" s="3">
        <f t="shared" ca="1" si="4"/>
        <v>360</v>
      </c>
      <c r="H17" s="105">
        <f t="shared" ca="1" si="6"/>
        <v>44920</v>
      </c>
      <c r="I17" s="133">
        <f ca="1">HLOOKUP($H$4,'Met Data'!$A$2:$F$368,G17,FALSE)</f>
        <v>17.399999999999999</v>
      </c>
      <c r="J17" s="133">
        <f ca="1">HLOOKUP($H$4,'Met Data'!$H$2:$M$368,G17,FALSE)*L17</f>
        <v>5.0166666666666604</v>
      </c>
      <c r="K17" s="106">
        <f ca="1">HLOOKUP($H$4,'Met Data'!$O$2:$T$368,G17,FALSE)</f>
        <v>4.09028075025509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44965</v>
      </c>
      <c r="Q17">
        <f ca="1"/>
        <v>56.912975641462744</v>
      </c>
      <c r="R17">
        <f ca="1"/>
        <v>0</v>
      </c>
      <c r="S17">
        <f ca="1"/>
        <v>5.4949728682491213E-2</v>
      </c>
      <c r="T17" s="4">
        <f ca="1"/>
        <v>0.43708333333333244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0.88006830194830721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44965</v>
      </c>
      <c r="AE17" s="46">
        <f t="shared" ca="1" si="3"/>
        <v>0</v>
      </c>
      <c r="AG17" s="72">
        <f t="shared" ca="1" si="7"/>
        <v>56.912975641462744</v>
      </c>
      <c r="AH17" s="72">
        <f t="shared" ca="1" si="8"/>
        <v>56.912975641462744</v>
      </c>
      <c r="AI17" s="3">
        <f t="shared" ca="1" si="9"/>
        <v>0</v>
      </c>
    </row>
    <row r="18" spans="1:35" ht="15.75" thickBot="1" x14ac:dyDescent="0.3">
      <c r="A18" s="8" t="s">
        <v>125</v>
      </c>
      <c r="B18" s="39">
        <f ca="1">PriorHarvestDate</f>
        <v>44955</v>
      </c>
      <c r="D18" s="40" t="str">
        <f>IF(ConceptDemo!C38="","",ConceptDemo!C38)</f>
        <v/>
      </c>
      <c r="E18" s="22" t="str">
        <f>IF(ConceptDemo!D38="","",ConceptDemo!D38)</f>
        <v/>
      </c>
      <c r="G18" s="3">
        <f t="shared" ca="1" si="4"/>
        <v>361</v>
      </c>
      <c r="H18" s="105">
        <f t="shared" ca="1" si="6"/>
        <v>44921</v>
      </c>
      <c r="I18" s="133">
        <f ca="1">HLOOKUP($H$4,'Met Data'!$A$2:$F$368,G18,FALSE)</f>
        <v>17.920833333333299</v>
      </c>
      <c r="J18" s="133">
        <f ca="1">HLOOKUP($H$4,'Met Data'!$H$2:$M$368,G18,FALSE)*L18</f>
        <v>0.56666666666666599</v>
      </c>
      <c r="K18" s="106">
        <f ca="1">HLOOKUP($H$4,'Met Data'!$O$2:$T$368,G18,FALSE)</f>
        <v>4.1244552423616296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44966</v>
      </c>
      <c r="Q18">
        <f ca="1"/>
        <v>57.395656033901894</v>
      </c>
      <c r="R18">
        <f ca="1"/>
        <v>0</v>
      </c>
      <c r="S18">
        <f ca="1"/>
        <v>4.3617892439149944E-2</v>
      </c>
      <c r="T18" s="4">
        <f ca="1"/>
        <v>0.43906250000000002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0.85560570599168684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44966</v>
      </c>
      <c r="AE18" s="46">
        <f t="shared" ca="1" si="3"/>
        <v>0</v>
      </c>
      <c r="AG18" s="72">
        <f t="shared" ca="1" si="7"/>
        <v>57.395656033901894</v>
      </c>
      <c r="AH18" s="72">
        <f t="shared" ca="1" si="8"/>
        <v>57.395656033901894</v>
      </c>
      <c r="AI18" s="3">
        <f t="shared" ca="1" si="9"/>
        <v>0</v>
      </c>
    </row>
    <row r="19" spans="1:35" x14ac:dyDescent="0.25">
      <c r="A19" s="8" t="s">
        <v>126</v>
      </c>
      <c r="B19" s="37" t="str">
        <f>PriorHarvestStage</f>
        <v>EarlyReproductive</v>
      </c>
      <c r="G19" s="3">
        <f t="shared" ca="1" si="4"/>
        <v>362</v>
      </c>
      <c r="H19" s="105">
        <f t="shared" ca="1" si="6"/>
        <v>44922</v>
      </c>
      <c r="I19" s="133">
        <f ca="1">HLOOKUP($H$4,'Met Data'!$A$2:$F$368,G19,FALSE)</f>
        <v>17.537500000000001</v>
      </c>
      <c r="J19" s="133">
        <f ca="1">HLOOKUP($H$4,'Met Data'!$H$2:$M$368,G19,FALSE)*L19</f>
        <v>1.2833333333333301</v>
      </c>
      <c r="K19" s="106">
        <f ca="1">HLOOKUP($H$4,'Met Data'!$O$2:$T$368,G19,FALSE)</f>
        <v>4.3692883234689903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44967</v>
      </c>
      <c r="Q19">
        <f ca="1"/>
        <v>57.873075646436249</v>
      </c>
      <c r="R19">
        <f ca="1"/>
        <v>0</v>
      </c>
      <c r="S19">
        <f ca="1"/>
        <v>3.4711279201019178E-2</v>
      </c>
      <c r="T19" s="4">
        <f ca="1"/>
        <v>0.44270833333333254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0.85249219498213369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44967</v>
      </c>
      <c r="AE19" s="46">
        <f t="shared" ca="1" si="3"/>
        <v>0</v>
      </c>
      <c r="AG19" s="72">
        <f t="shared" ca="1" si="7"/>
        <v>57.873075646436249</v>
      </c>
      <c r="AH19" s="72">
        <f t="shared" ca="1" si="8"/>
        <v>57.873075646436249</v>
      </c>
      <c r="AI19" s="3">
        <f t="shared" ca="1" si="9"/>
        <v>0</v>
      </c>
    </row>
    <row r="20" spans="1:35" x14ac:dyDescent="0.25">
      <c r="A20" s="8" t="s">
        <v>176</v>
      </c>
      <c r="B20" s="37" t="str">
        <f>PriorResidueRemoval</f>
        <v>None removed</v>
      </c>
      <c r="G20" s="3">
        <f t="shared" ca="1" si="4"/>
        <v>363</v>
      </c>
      <c r="H20" s="105">
        <f t="shared" ca="1" si="6"/>
        <v>44923</v>
      </c>
      <c r="I20" s="133">
        <f ca="1">HLOOKUP($H$4,'Met Data'!$A$2:$F$368,G20,FALSE)</f>
        <v>17.012499999999999</v>
      </c>
      <c r="J20" s="133">
        <f ca="1">HLOOKUP($H$4,'Met Data'!$H$2:$M$368,G20,FALSE)*L20</f>
        <v>1.5833333333333299</v>
      </c>
      <c r="K20" s="106">
        <f ca="1">HLOOKUP($H$4,'Met Data'!$O$2:$T$368,G20,FALSE)</f>
        <v>3.8686759650684999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44968</v>
      </c>
      <c r="Q20">
        <f ca="1"/>
        <v>58.341681332127642</v>
      </c>
      <c r="R20">
        <f ca="1"/>
        <v>0</v>
      </c>
      <c r="S20">
        <f ca="1"/>
        <v>2.7251519024727174E-2</v>
      </c>
      <c r="T20" s="4">
        <f ca="1"/>
        <v>0.44135416666666499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0.86992641774943846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44968</v>
      </c>
      <c r="AE20" s="46">
        <f t="shared" ca="1" si="3"/>
        <v>0</v>
      </c>
      <c r="AG20" s="72">
        <f t="shared" ca="1" si="7"/>
        <v>58.341681332127642</v>
      </c>
      <c r="AH20" s="72">
        <f t="shared" ca="1" si="8"/>
        <v>58.341681332127642</v>
      </c>
      <c r="AI20" s="3">
        <f t="shared" ca="1" si="9"/>
        <v>0</v>
      </c>
    </row>
    <row r="21" spans="1:35" ht="15.75" thickBot="1" x14ac:dyDescent="0.3">
      <c r="A21" s="8" t="s">
        <v>179</v>
      </c>
      <c r="B21" s="111" t="str">
        <f>PriorResidueIncorporation</f>
        <v>Full (Plough)</v>
      </c>
      <c r="G21" s="3">
        <f t="shared" ca="1" si="4"/>
        <v>364</v>
      </c>
      <c r="H21" s="105">
        <f t="shared" ca="1" si="6"/>
        <v>44924</v>
      </c>
      <c r="I21" s="133">
        <f ca="1">HLOOKUP($H$4,'Met Data'!$A$2:$F$368,G21,FALSE)</f>
        <v>17.1041666666666</v>
      </c>
      <c r="J21" s="133">
        <f ca="1">HLOOKUP($H$4,'Met Data'!$H$2:$M$368,G21,FALSE)*L21</f>
        <v>4.2833333333333297</v>
      </c>
      <c r="K21" s="106">
        <f ca="1">HLOOKUP($H$4,'Met Data'!$O$2:$T$368,G21,FALSE)</f>
        <v>3.65125453231978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44969</v>
      </c>
      <c r="Q21">
        <f ca="1"/>
        <v>58.820025279406217</v>
      </c>
      <c r="R21">
        <f ca="1"/>
        <v>0</v>
      </c>
      <c r="S21">
        <f ca="1"/>
        <v>2.2198113945240631E-2</v>
      </c>
      <c r="T21" s="4">
        <f ca="1"/>
        <v>0.45614583333333258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0.85930339524547428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44969</v>
      </c>
      <c r="AE21" s="46">
        <f t="shared" ca="1" si="3"/>
        <v>0</v>
      </c>
      <c r="AG21" s="72">
        <f t="shared" ca="1" si="7"/>
        <v>58.820025279406217</v>
      </c>
      <c r="AH21" s="72">
        <f t="shared" ca="1" si="8"/>
        <v>58.820025279406217</v>
      </c>
      <c r="AI21" s="3">
        <f t="shared" ca="1" si="9"/>
        <v>0</v>
      </c>
    </row>
    <row r="22" spans="1:35" ht="15.75" thickBot="1" x14ac:dyDescent="0.3">
      <c r="A22" s="10" t="s">
        <v>150</v>
      </c>
      <c r="B22" s="13" t="str">
        <f>CurrentCropNameFull</f>
        <v>Broccoli Vegetable General</v>
      </c>
      <c r="G22" s="3">
        <f t="shared" ca="1" si="4"/>
        <v>365</v>
      </c>
      <c r="H22" s="105">
        <f t="shared" ca="1" si="6"/>
        <v>44925</v>
      </c>
      <c r="I22" s="133">
        <f ca="1">HLOOKUP($H$4,'Met Data'!$A$2:$F$368,G22,FALSE)</f>
        <v>17.0541666666666</v>
      </c>
      <c r="J22" s="133">
        <f ca="1">HLOOKUP($H$4,'Met Data'!$H$2:$M$368,G22,FALSE)*L22</f>
        <v>3.68333333333333</v>
      </c>
      <c r="K22" s="106">
        <f ca="1">HLOOKUP($H$4,'Met Data'!$O$2:$T$368,G22,FALSE)</f>
        <v>3.3111049356888498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44970</v>
      </c>
      <c r="Q22">
        <f ca="1"/>
        <v>59.304645925666094</v>
      </c>
      <c r="R22">
        <f ca="1"/>
        <v>0</v>
      </c>
      <c r="S22">
        <f ca="1"/>
        <v>1.7745646259886023E-2</v>
      </c>
      <c r="T22" s="4">
        <f ca="1"/>
        <v>0.46687499999999754</v>
      </c>
      <c r="U22">
        <f ca="1"/>
        <v>0</v>
      </c>
      <c r="V22">
        <f ca="1"/>
        <v>5.8525136439330003</v>
      </c>
      <c r="W22">
        <f ca="1"/>
        <v>1.48857412247861</v>
      </c>
      <c r="X22">
        <f ca="1"/>
        <v>0</v>
      </c>
      <c r="Y22">
        <f ca="1"/>
        <v>0.83948806312616142</v>
      </c>
      <c r="Z22">
        <f ca="1"/>
        <v>0</v>
      </c>
      <c r="AA22">
        <f ca="1"/>
        <v>0</v>
      </c>
      <c r="AB22">
        <f ca="1"/>
        <v>8.8372981919199404E-3</v>
      </c>
      <c r="AD22" s="2">
        <f t="shared" ca="1" si="2"/>
        <v>44970</v>
      </c>
      <c r="AE22" s="46">
        <f t="shared" ca="1" si="3"/>
        <v>0</v>
      </c>
      <c r="AG22" s="72">
        <f t="shared" ca="1" si="7"/>
        <v>59.304645925666094</v>
      </c>
      <c r="AH22" s="72">
        <f t="shared" ca="1" si="8"/>
        <v>59.304645925666094</v>
      </c>
      <c r="AI22" s="3">
        <f t="shared" ca="1" si="9"/>
        <v>0</v>
      </c>
    </row>
    <row r="23" spans="1:35" x14ac:dyDescent="0.25">
      <c r="A23" s="11" t="s">
        <v>127</v>
      </c>
      <c r="B23" s="13">
        <f>CurrentYield_tperHa</f>
        <v>15</v>
      </c>
      <c r="G23" s="3">
        <f t="shared" ca="1" si="4"/>
        <v>366</v>
      </c>
      <c r="H23" s="105">
        <f t="shared" ca="1" si="6"/>
        <v>44926</v>
      </c>
      <c r="I23" s="133">
        <f ca="1">HLOOKUP($H$4,'Met Data'!$A$2:$F$368,G23,FALSE)</f>
        <v>16.6875</v>
      </c>
      <c r="J23" s="133">
        <f ca="1">HLOOKUP($H$4,'Met Data'!$H$2:$M$368,G23,FALSE)*L23</f>
        <v>4.68333333333333</v>
      </c>
      <c r="K23" s="106">
        <f ca="1">HLOOKUP($H$4,'Met Data'!$O$2:$T$368,G23,FALSE)</f>
        <v>3.7095349810249001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44971</v>
      </c>
      <c r="Q23">
        <f ca="1"/>
        <v>59.522256128879917</v>
      </c>
      <c r="R23">
        <f ca="1"/>
        <v>0.262926405020661</v>
      </c>
      <c r="S23">
        <f ca="1"/>
        <v>1.3765774901155171E-2</v>
      </c>
      <c r="T23" s="4">
        <f ca="1"/>
        <v>0.46677083333333247</v>
      </c>
      <c r="U23">
        <f ca="1"/>
        <v>0</v>
      </c>
      <c r="V23">
        <f ca="1"/>
        <v>6.1154400489536602</v>
      </c>
      <c r="W23">
        <f ca="1"/>
        <v>1.55544888201648</v>
      </c>
      <c r="X23">
        <f ca="1"/>
        <v>0</v>
      </c>
      <c r="Y23">
        <f ca="1"/>
        <v>0.82163535926295916</v>
      </c>
      <c r="Z23">
        <f ca="1"/>
        <v>0</v>
      </c>
      <c r="AA23">
        <f ca="1"/>
        <v>0</v>
      </c>
      <c r="AB23">
        <f ca="1"/>
        <v>1.1660058573634001E-2</v>
      </c>
      <c r="AD23" s="2">
        <f t="shared" ca="1" si="2"/>
        <v>44971</v>
      </c>
      <c r="AE23" s="46">
        <f t="shared" ca="1" si="3"/>
        <v>0</v>
      </c>
      <c r="AG23" s="72">
        <f t="shared" ca="1" si="7"/>
        <v>59.785182533900581</v>
      </c>
      <c r="AH23" s="72">
        <f t="shared" ca="1" si="8"/>
        <v>59.785182533900581</v>
      </c>
      <c r="AI23" s="3">
        <f t="shared" ca="1" si="9"/>
        <v>0</v>
      </c>
    </row>
    <row r="24" spans="1:35" x14ac:dyDescent="0.25">
      <c r="A24" s="11" t="s">
        <v>128</v>
      </c>
      <c r="B24" s="12">
        <f>CurrentFieldLoss</f>
        <v>0</v>
      </c>
      <c r="G24" s="3">
        <f t="shared" ca="1" si="4"/>
        <v>2</v>
      </c>
      <c r="H24" s="105">
        <f t="shared" ca="1" si="6"/>
        <v>44927</v>
      </c>
      <c r="I24" s="133">
        <f ca="1">HLOOKUP($H$4,'Met Data'!$A$2:$F$368,G24,FALSE)</f>
        <v>17.908333333333299</v>
      </c>
      <c r="J24" s="133">
        <f ca="1">HLOOKUP($H$4,'Met Data'!$H$2:$M$368,G24,FALSE)*L24</f>
        <v>2.5499999999999998</v>
      </c>
      <c r="K24" s="106">
        <f ca="1">HLOOKUP($H$4,'Met Data'!$O$2:$T$368,G24,FALSE)</f>
        <v>3.6545263506553698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44972</v>
      </c>
      <c r="Q24">
        <f ca="1"/>
        <v>59.719892633107214</v>
      </c>
      <c r="R24">
        <f ca="1"/>
        <v>0.26692328255332998</v>
      </c>
      <c r="S24">
        <f ca="1"/>
        <v>1.0393120113957564E-2</v>
      </c>
      <c r="T24" s="4">
        <f ca="1"/>
        <v>0.454166666666665</v>
      </c>
      <c r="U24">
        <f ca="1"/>
        <v>0</v>
      </c>
      <c r="V24">
        <f ca="1"/>
        <v>6.3823633315069896</v>
      </c>
      <c r="W24">
        <f ca="1"/>
        <v>1.6233402386659099</v>
      </c>
      <c r="X24">
        <f ca="1"/>
        <v>0</v>
      </c>
      <c r="Y24">
        <f ca="1"/>
        <v>0.81003147451936597</v>
      </c>
      <c r="Z24">
        <f ca="1"/>
        <v>0</v>
      </c>
      <c r="AA24">
        <f ca="1"/>
        <v>0</v>
      </c>
      <c r="AB24">
        <f ca="1"/>
        <v>1.52564423509212E-2</v>
      </c>
      <c r="AD24" s="2">
        <f t="shared" ca="1" si="2"/>
        <v>44972</v>
      </c>
      <c r="AE24" s="46">
        <f t="shared" ca="1" si="3"/>
        <v>0</v>
      </c>
      <c r="AG24" s="72">
        <f t="shared" ca="1" si="7"/>
        <v>59.986815915660543</v>
      </c>
      <c r="AH24" s="72">
        <f t="shared" ca="1" si="8"/>
        <v>59.986815915660543</v>
      </c>
      <c r="AI24" s="3">
        <f t="shared" ca="1" si="9"/>
        <v>0</v>
      </c>
    </row>
    <row r="25" spans="1:35" x14ac:dyDescent="0.25">
      <c r="A25" s="11" t="s">
        <v>129</v>
      </c>
      <c r="B25" s="12">
        <f>CurrentDressingLoss</f>
        <v>0</v>
      </c>
      <c r="G25" s="3">
        <f t="shared" ca="1" si="4"/>
        <v>3</v>
      </c>
      <c r="H25" s="105">
        <f t="shared" ca="1" si="6"/>
        <v>44928</v>
      </c>
      <c r="I25" s="133">
        <f ca="1">HLOOKUP($H$4,'Met Data'!$A$2:$F$368,G25,FALSE)</f>
        <v>18.454166666666602</v>
      </c>
      <c r="J25" s="133">
        <f ca="1">HLOOKUP($H$4,'Met Data'!$H$2:$M$368,G25,FALSE)*L25</f>
        <v>2.3166666666666602</v>
      </c>
      <c r="K25" s="106">
        <f ca="1">HLOOKUP($H$4,'Met Data'!$O$2:$T$368,G25,FALSE)</f>
        <v>3.0374578661788201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44973</v>
      </c>
      <c r="Q25">
        <f ca="1"/>
        <v>59.901046718280902</v>
      </c>
      <c r="R25">
        <f ca="1"/>
        <v>0.27382387940945602</v>
      </c>
      <c r="S25">
        <f ca="1"/>
        <v>7.9987979164751616E-3</v>
      </c>
      <c r="T25" s="4">
        <f ca="1"/>
        <v>0.44697916666666504</v>
      </c>
      <c r="U25">
        <f ca="1"/>
        <v>0</v>
      </c>
      <c r="V25">
        <f ca="1"/>
        <v>6.6561872109164497</v>
      </c>
      <c r="W25">
        <f ca="1"/>
        <v>1.6929867471244</v>
      </c>
      <c r="X25">
        <f ca="1"/>
        <v>0</v>
      </c>
      <c r="Y25">
        <f ca="1"/>
        <v>0.78982059284693185</v>
      </c>
      <c r="Z25">
        <f ca="1"/>
        <v>0</v>
      </c>
      <c r="AA25">
        <f ca="1"/>
        <v>0</v>
      </c>
      <c r="AB25">
        <f ca="1"/>
        <v>1.9855607438252199E-2</v>
      </c>
      <c r="AD25" s="2">
        <f t="shared" ca="1" si="2"/>
        <v>44973</v>
      </c>
      <c r="AE25" s="46">
        <f t="shared" ca="1" si="3"/>
        <v>0</v>
      </c>
      <c r="AG25" s="72">
        <f t="shared" ca="1" si="7"/>
        <v>60.174870597690358</v>
      </c>
      <c r="AH25" s="72">
        <f t="shared" ca="1" si="8"/>
        <v>60.174870597690358</v>
      </c>
      <c r="AI25" s="3">
        <f t="shared" ca="1" si="9"/>
        <v>0</v>
      </c>
    </row>
    <row r="26" spans="1:35" x14ac:dyDescent="0.25">
      <c r="A26" s="11" t="s">
        <v>130</v>
      </c>
      <c r="B26" s="12">
        <f>CurrentMoistureContent</f>
        <v>89</v>
      </c>
      <c r="G26" s="3">
        <f t="shared" ca="1" si="4"/>
        <v>4</v>
      </c>
      <c r="H26" s="105">
        <f t="shared" ca="1" si="6"/>
        <v>44929</v>
      </c>
      <c r="I26" s="133">
        <f ca="1">HLOOKUP($H$4,'Met Data'!$A$2:$F$368,G26,FALSE)</f>
        <v>18.4916666666666</v>
      </c>
      <c r="J26" s="133">
        <f ca="1">HLOOKUP($H$4,'Met Data'!$H$2:$M$368,G26,FALSE)*L26</f>
        <v>6.6333333333333302</v>
      </c>
      <c r="K26" s="106">
        <f ca="1">HLOOKUP($H$4,'Met Data'!$O$2:$T$368,G26,FALSE)</f>
        <v>3.5424660833564698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44974</v>
      </c>
      <c r="Q26">
        <f ca="1"/>
        <v>60.071985815975054</v>
      </c>
      <c r="R26">
        <f ca="1"/>
        <v>0.29066755909494102</v>
      </c>
      <c r="S26">
        <f ca="1"/>
        <v>6.3983234557620722E-3</v>
      </c>
      <c r="T26" s="4">
        <f ca="1"/>
        <v>0.45520833333333249</v>
      </c>
      <c r="U26">
        <f ca="1"/>
        <v>0</v>
      </c>
      <c r="V26">
        <f ca="1"/>
        <v>6.9468547700113898</v>
      </c>
      <c r="W26">
        <f ca="1"/>
        <v>1.7669174088941999</v>
      </c>
      <c r="X26">
        <f ca="1"/>
        <v>0</v>
      </c>
      <c r="Y26">
        <f ca="1"/>
        <v>0.79061181456156859</v>
      </c>
      <c r="Z26">
        <f ca="1"/>
        <v>0</v>
      </c>
      <c r="AA26">
        <f ca="1"/>
        <v>0</v>
      </c>
      <c r="AB26">
        <f ca="1"/>
        <v>2.59292974780252E-2</v>
      </c>
      <c r="AD26" s="2">
        <f t="shared" ca="1" si="2"/>
        <v>44974</v>
      </c>
      <c r="AE26" s="46">
        <f t="shared" ca="1" si="3"/>
        <v>0</v>
      </c>
      <c r="AG26" s="72">
        <f t="shared" ca="1" si="7"/>
        <v>60.362653375069996</v>
      </c>
      <c r="AH26" s="72">
        <f t="shared" ca="1" si="8"/>
        <v>60.362653375069996</v>
      </c>
      <c r="AI26" s="3">
        <f t="shared" ca="1" si="9"/>
        <v>0</v>
      </c>
    </row>
    <row r="27" spans="1:35" x14ac:dyDescent="0.25">
      <c r="A27" s="11" t="s">
        <v>131</v>
      </c>
      <c r="B27" s="41">
        <f ca="1">CurrentEstablishDate</f>
        <v>44970</v>
      </c>
      <c r="G27" s="3">
        <f t="shared" ca="1" si="4"/>
        <v>5</v>
      </c>
      <c r="H27" s="105">
        <f t="shared" ca="1" si="6"/>
        <v>44930</v>
      </c>
      <c r="I27" s="133">
        <f ca="1">HLOOKUP($H$4,'Met Data'!$A$2:$F$368,G27,FALSE)</f>
        <v>17</v>
      </c>
      <c r="J27" s="133">
        <f ca="1">HLOOKUP($H$4,'Met Data'!$H$2:$M$368,G27,FALSE)*L27</f>
        <v>1.93333333333333</v>
      </c>
      <c r="K27" s="106">
        <f ca="1">HLOOKUP($H$4,'Met Data'!$O$2:$T$368,G27,FALSE)</f>
        <v>4.6893309655458602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44975</v>
      </c>
      <c r="Q27">
        <f ca="1"/>
        <v>60.231790686485496</v>
      </c>
      <c r="R27">
        <f ca="1"/>
        <v>0.30851269172937301</v>
      </c>
      <c r="S27">
        <f ca="1"/>
        <v>5.0883955731522426E-3</v>
      </c>
      <c r="T27" s="4">
        <f ca="1"/>
        <v>0.46322916666666503</v>
      </c>
      <c r="U27">
        <f ca="1"/>
        <v>0</v>
      </c>
      <c r="V27">
        <f ca="1"/>
        <v>7.25536746174076</v>
      </c>
      <c r="W27">
        <f ca="1"/>
        <v>1.8453869413557999</v>
      </c>
      <c r="X27">
        <f ca="1"/>
        <v>0</v>
      </c>
      <c r="Y27">
        <f ca="1"/>
        <v>0.79086743218780708</v>
      </c>
      <c r="Z27">
        <f ca="1"/>
        <v>0</v>
      </c>
      <c r="AA27">
        <f ca="1"/>
        <v>0</v>
      </c>
      <c r="AB27">
        <f ca="1"/>
        <v>3.3954313942126203E-2</v>
      </c>
      <c r="AD27" s="2">
        <f t="shared" ca="1" si="2"/>
        <v>44975</v>
      </c>
      <c r="AE27" s="46">
        <f t="shared" ca="1" si="3"/>
        <v>0</v>
      </c>
      <c r="AG27" s="72">
        <f t="shared" ca="1" si="7"/>
        <v>60.540303378214873</v>
      </c>
      <c r="AH27" s="72">
        <f t="shared" ca="1" si="8"/>
        <v>60.540303378214873</v>
      </c>
      <c r="AI27" s="3">
        <f t="shared" ca="1" si="9"/>
        <v>0</v>
      </c>
    </row>
    <row r="28" spans="1:35" x14ac:dyDescent="0.25">
      <c r="A28" s="11" t="s">
        <v>132</v>
      </c>
      <c r="B28" s="12" t="str">
        <f>CurrentEstablishStage</f>
        <v>Seedling</v>
      </c>
      <c r="G28" s="3">
        <f t="shared" ca="1" si="4"/>
        <v>6</v>
      </c>
      <c r="H28" s="105">
        <f t="shared" ca="1" si="6"/>
        <v>44931</v>
      </c>
      <c r="I28" s="133">
        <f ca="1">HLOOKUP($H$4,'Met Data'!$A$2:$F$368,G28,FALSE)</f>
        <v>16.4166666666666</v>
      </c>
      <c r="J28" s="133">
        <f ca="1">HLOOKUP($H$4,'Met Data'!$H$2:$M$368,G28,FALSE)*L28</f>
        <v>2.9833333333333298</v>
      </c>
      <c r="K28" s="106">
        <f ca="1">HLOOKUP($H$4,'Met Data'!$O$2:$T$368,G28,FALSE)</f>
        <v>4.0957861961112103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44976</v>
      </c>
      <c r="Q28">
        <f ca="1"/>
        <v>60.380058531429334</v>
      </c>
      <c r="R28">
        <f ca="1"/>
        <v>0.32889867794640198</v>
      </c>
      <c r="S28">
        <f ca="1"/>
        <v>4.0415228902432581E-3</v>
      </c>
      <c r="T28" s="4">
        <f ca="1"/>
        <v>0.47312500000000002</v>
      </c>
      <c r="U28">
        <f ca="1"/>
        <v>0</v>
      </c>
      <c r="V28">
        <f ca="1"/>
        <v>7.58426613968716</v>
      </c>
      <c r="W28">
        <f ca="1"/>
        <v>1.92904160509434</v>
      </c>
      <c r="X28">
        <f ca="1"/>
        <v>0</v>
      </c>
      <c r="Y28">
        <f ca="1"/>
        <v>0.79885833179163201</v>
      </c>
      <c r="Z28">
        <f ca="1"/>
        <v>0</v>
      </c>
      <c r="AA28">
        <f ca="1"/>
        <v>0</v>
      </c>
      <c r="AB28">
        <f ca="1"/>
        <v>4.4602267898357799E-2</v>
      </c>
      <c r="AD28" s="2">
        <f t="shared" ca="1" si="2"/>
        <v>44976</v>
      </c>
      <c r="AE28" s="46">
        <f t="shared" ca="1" si="3"/>
        <v>0</v>
      </c>
      <c r="AG28" s="72">
        <f t="shared" ca="1" si="7"/>
        <v>60.70895720937574</v>
      </c>
      <c r="AH28" s="72">
        <f t="shared" ca="1" si="8"/>
        <v>60.70895720937574</v>
      </c>
      <c r="AI28" s="3">
        <f t="shared" ca="1" si="9"/>
        <v>0</v>
      </c>
    </row>
    <row r="29" spans="1:35" x14ac:dyDescent="0.25">
      <c r="A29" s="11" t="s">
        <v>133</v>
      </c>
      <c r="B29" s="41">
        <f ca="1">CurrentHarvestDate</f>
        <v>45095</v>
      </c>
      <c r="G29" s="3">
        <f t="shared" ca="1" si="4"/>
        <v>7</v>
      </c>
      <c r="H29" s="105">
        <f t="shared" ca="1" si="6"/>
        <v>44932</v>
      </c>
      <c r="I29" s="133">
        <f ca="1">HLOOKUP($H$4,'Met Data'!$A$2:$F$368,G29,FALSE)</f>
        <v>17.629166666666599</v>
      </c>
      <c r="J29" s="133">
        <f ca="1">HLOOKUP($H$4,'Met Data'!$H$2:$M$368,G29,FALSE)*L29</f>
        <v>0.43333333333333302</v>
      </c>
      <c r="K29" s="106">
        <f ca="1">HLOOKUP($H$4,'Met Data'!$O$2:$T$368,G29,FALSE)</f>
        <v>4.0765351917680999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44977</v>
      </c>
      <c r="Q29">
        <f ca="1"/>
        <v>60.514680218303077</v>
      </c>
      <c r="R29">
        <f ca="1"/>
        <v>0.34844254228607202</v>
      </c>
      <c r="S29">
        <f ca="1"/>
        <v>3.1683958264840432E-3</v>
      </c>
      <c r="T29" s="4">
        <f ca="1"/>
        <v>0.47989583333333252</v>
      </c>
      <c r="U29">
        <f ca="1"/>
        <v>0</v>
      </c>
      <c r="V29">
        <f ca="1"/>
        <v>7.9327086819732404</v>
      </c>
      <c r="W29">
        <f ca="1"/>
        <v>2.0176672082410199</v>
      </c>
      <c r="X29">
        <f ca="1"/>
        <v>0</v>
      </c>
      <c r="Y29">
        <f ca="1"/>
        <v>0.78340220932666438</v>
      </c>
      <c r="Z29">
        <f ca="1"/>
        <v>0</v>
      </c>
      <c r="AA29">
        <f ca="1"/>
        <v>0</v>
      </c>
      <c r="AB29">
        <f ca="1"/>
        <v>5.8611297938746303E-2</v>
      </c>
      <c r="AD29" s="2">
        <f t="shared" ca="1" si="2"/>
        <v>44977</v>
      </c>
      <c r="AE29" s="46">
        <f t="shared" ca="1" si="3"/>
        <v>0</v>
      </c>
      <c r="AG29" s="72">
        <f t="shared" ca="1" si="7"/>
        <v>60.86312276058915</v>
      </c>
      <c r="AH29" s="72">
        <f t="shared" ca="1" si="8"/>
        <v>60.86312276058915</v>
      </c>
      <c r="AI29" s="3">
        <f t="shared" ca="1" si="9"/>
        <v>0</v>
      </c>
    </row>
    <row r="30" spans="1:35" x14ac:dyDescent="0.25">
      <c r="A30" s="11" t="s">
        <v>134</v>
      </c>
      <c r="B30" s="12" t="str">
        <f>CurrentHarvestStage</f>
        <v>EarlyReproductive</v>
      </c>
      <c r="G30" s="3">
        <f t="shared" ca="1" si="4"/>
        <v>8</v>
      </c>
      <c r="H30" s="105">
        <f t="shared" ca="1" si="6"/>
        <v>44933</v>
      </c>
      <c r="I30" s="133">
        <f ca="1">HLOOKUP($H$4,'Met Data'!$A$2:$F$368,G30,FALSE)</f>
        <v>17.004166666666599</v>
      </c>
      <c r="J30" s="133">
        <f ca="1">HLOOKUP($H$4,'Met Data'!$H$2:$M$368,G30,FALSE)*L30</f>
        <v>2.7833333333333301</v>
      </c>
      <c r="K30" s="106">
        <f ca="1">HLOOKUP($H$4,'Met Data'!$O$2:$T$368,G30,FALSE)</f>
        <v>3.5869881049730998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44978</v>
      </c>
      <c r="Q30">
        <f ca="1"/>
        <v>60.631562692320855</v>
      </c>
      <c r="R30">
        <f ca="1"/>
        <v>0.35917015624201898</v>
      </c>
      <c r="S30">
        <f ca="1"/>
        <v>2.4067969264574799E-3</v>
      </c>
      <c r="T30" s="4">
        <f ca="1"/>
        <v>0.47364583333333249</v>
      </c>
      <c r="U30">
        <f ca="1"/>
        <v>0</v>
      </c>
      <c r="V30">
        <f ca="1"/>
        <v>8.2918788382152506</v>
      </c>
      <c r="W30">
        <f ca="1"/>
        <v>2.1090213566764899</v>
      </c>
      <c r="X30">
        <f ca="1"/>
        <v>0</v>
      </c>
      <c r="Y30">
        <f ca="1"/>
        <v>0.76958440002170014</v>
      </c>
      <c r="Z30">
        <f ca="1"/>
        <v>0</v>
      </c>
      <c r="AA30">
        <f ca="1"/>
        <v>0</v>
      </c>
      <c r="AB30">
        <f ca="1"/>
        <v>7.6402286139564499E-2</v>
      </c>
      <c r="AD30" s="2">
        <f t="shared" ca="1" si="2"/>
        <v>44978</v>
      </c>
      <c r="AE30" s="46">
        <f t="shared" ca="1" si="3"/>
        <v>0</v>
      </c>
      <c r="AG30" s="72">
        <f t="shared" ca="1" si="7"/>
        <v>60.990732848562871</v>
      </c>
      <c r="AH30" s="72">
        <f t="shared" ca="1" si="8"/>
        <v>60.990732848562871</v>
      </c>
      <c r="AI30" s="3">
        <f t="shared" ca="1" si="9"/>
        <v>0</v>
      </c>
    </row>
    <row r="31" spans="1:35" x14ac:dyDescent="0.25">
      <c r="A31" s="11" t="s">
        <v>177</v>
      </c>
      <c r="B31" s="12" t="str">
        <f>CurrentResidueRemoval</f>
        <v>None removed</v>
      </c>
      <c r="G31" s="3">
        <f t="shared" ca="1" si="4"/>
        <v>9</v>
      </c>
      <c r="H31" s="105">
        <f t="shared" ca="1" si="6"/>
        <v>44934</v>
      </c>
      <c r="I31" s="133">
        <f ca="1">HLOOKUP($H$4,'Met Data'!$A$2:$F$368,G31,FALSE)</f>
        <v>17.433333333333302</v>
      </c>
      <c r="J31" s="133">
        <f ca="1">HLOOKUP($H$4,'Met Data'!$H$2:$M$368,G31,FALSE)*L31</f>
        <v>2.3833333333333302</v>
      </c>
      <c r="K31" s="106">
        <f ca="1">HLOOKUP($H$4,'Met Data'!$O$2:$T$368,G31,FALSE)</f>
        <v>4.2605807421289903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44979</v>
      </c>
      <c r="Q31">
        <f ca="1"/>
        <v>60.731937619816591</v>
      </c>
      <c r="R31">
        <f ca="1"/>
        <v>0.37429391234540599</v>
      </c>
      <c r="S31">
        <f ca="1"/>
        <v>1.8563398411451546E-3</v>
      </c>
      <c r="T31" s="4">
        <f ca="1"/>
        <v>0.47281249999999747</v>
      </c>
      <c r="U31">
        <f ca="1"/>
        <v>0</v>
      </c>
      <c r="V31">
        <f ca="1"/>
        <v>8.6661727505606603</v>
      </c>
      <c r="W31">
        <f ca="1"/>
        <v>2.20422219959912</v>
      </c>
      <c r="X31">
        <f ca="1"/>
        <v>0</v>
      </c>
      <c r="Y31">
        <f ca="1"/>
        <v>0.80088676083445298</v>
      </c>
      <c r="Z31">
        <f ca="1"/>
        <v>0</v>
      </c>
      <c r="AA31">
        <f ca="1"/>
        <v>0</v>
      </c>
      <c r="AB31">
        <f ca="1"/>
        <v>9.8980924941649298E-2</v>
      </c>
      <c r="AD31" s="2">
        <f t="shared" ca="1" si="2"/>
        <v>44979</v>
      </c>
      <c r="AE31" s="46">
        <f t="shared" ca="1" si="3"/>
        <v>0</v>
      </c>
      <c r="AG31" s="72">
        <f t="shared" ca="1" si="7"/>
        <v>61.106231532161999</v>
      </c>
      <c r="AH31" s="72">
        <f t="shared" ca="1" si="8"/>
        <v>61.106231532161999</v>
      </c>
      <c r="AI31" s="3">
        <f t="shared" ca="1" si="9"/>
        <v>0</v>
      </c>
    </row>
    <row r="32" spans="1:35" ht="15.75" thickBot="1" x14ac:dyDescent="0.3">
      <c r="A32" s="11" t="s">
        <v>180</v>
      </c>
      <c r="B32" s="12" t="str">
        <f>CurrentResidueIncorporation</f>
        <v>Full (Plough)</v>
      </c>
      <c r="G32" s="3">
        <f t="shared" ca="1" si="4"/>
        <v>10</v>
      </c>
      <c r="H32" s="105">
        <f t="shared" ca="1" si="6"/>
        <v>44935</v>
      </c>
      <c r="I32" s="133">
        <f ca="1">HLOOKUP($H$4,'Met Data'!$A$2:$F$368,G32,FALSE)</f>
        <v>17.0208333333333</v>
      </c>
      <c r="J32" s="133">
        <f ca="1">HLOOKUP($H$4,'Met Data'!$H$2:$M$368,G32,FALSE)*L32</f>
        <v>0.3</v>
      </c>
      <c r="K32" s="106">
        <f ca="1">HLOOKUP($H$4,'Met Data'!$O$2:$T$368,G32,FALSE)</f>
        <v>4.14669035003873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44980</v>
      </c>
      <c r="Q32">
        <f ca="1"/>
        <v>60.810832562414959</v>
      </c>
      <c r="R32">
        <f ca="1"/>
        <v>0.36609740986405898</v>
      </c>
      <c r="S32">
        <f ca="1"/>
        <v>1.3465191290958733E-3</v>
      </c>
      <c r="T32" s="4">
        <f ca="1"/>
        <v>0.44364583333333257</v>
      </c>
      <c r="U32">
        <f ca="1"/>
        <v>0</v>
      </c>
      <c r="V32">
        <f ca="1"/>
        <v>9.0322701604247193</v>
      </c>
      <c r="W32">
        <f ca="1"/>
        <v>2.29733827993411</v>
      </c>
      <c r="X32">
        <f ca="1"/>
        <v>0</v>
      </c>
      <c r="Y32">
        <f ca="1"/>
        <v>0.7809829560591709</v>
      </c>
      <c r="Z32">
        <f ca="1"/>
        <v>0</v>
      </c>
      <c r="AA32">
        <f ca="1"/>
        <v>0</v>
      </c>
      <c r="AB32">
        <f ca="1"/>
        <v>0.12538079188703199</v>
      </c>
      <c r="AD32" s="2">
        <f t="shared" ca="1" si="2"/>
        <v>44980</v>
      </c>
      <c r="AE32" s="46">
        <f t="shared" ca="1" si="3"/>
        <v>0</v>
      </c>
      <c r="AG32" s="72">
        <f t="shared" ca="1" si="7"/>
        <v>61.176929972279019</v>
      </c>
      <c r="AH32" s="72">
        <f t="shared" ca="1" si="8"/>
        <v>61.176929972279019</v>
      </c>
      <c r="AI32" s="3">
        <f t="shared" ca="1" si="9"/>
        <v>0</v>
      </c>
    </row>
    <row r="33" spans="1:35" x14ac:dyDescent="0.25">
      <c r="A33" s="7" t="s">
        <v>151</v>
      </c>
      <c r="B33" s="36" t="str">
        <f>FollowingCropFullName</f>
        <v>Oat Fodder General</v>
      </c>
      <c r="G33" s="3">
        <f t="shared" ca="1" si="4"/>
        <v>11</v>
      </c>
      <c r="H33" s="105">
        <f t="shared" ca="1" si="6"/>
        <v>44936</v>
      </c>
      <c r="I33" s="133">
        <f ca="1">HLOOKUP($H$4,'Met Data'!$A$2:$F$368,G33,FALSE)</f>
        <v>17.6041666666666</v>
      </c>
      <c r="J33" s="133">
        <f ca="1">HLOOKUP($H$4,'Met Data'!$H$2:$M$368,G33,FALSE)*L33</f>
        <v>0.88333333333333297</v>
      </c>
      <c r="K33" s="106">
        <f ca="1">HLOOKUP($H$4,'Met Data'!$O$2:$T$368,G33,FALSE)</f>
        <v>3.4815515936566799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44981</v>
      </c>
      <c r="Q33">
        <f ca="1"/>
        <v>60.871918388282971</v>
      </c>
      <c r="R33">
        <f ca="1"/>
        <v>0.36357200949401403</v>
      </c>
      <c r="S33">
        <f ca="1"/>
        <v>1.0120020286961278E-3</v>
      </c>
      <c r="T33" s="4">
        <f ca="1"/>
        <v>0.4236458333333325</v>
      </c>
      <c r="U33">
        <f ca="1"/>
        <v>0</v>
      </c>
      <c r="V33">
        <f ca="1"/>
        <v>9.3958421699187298</v>
      </c>
      <c r="W33">
        <f ca="1"/>
        <v>2.3898120301749799</v>
      </c>
      <c r="X33">
        <f ca="1"/>
        <v>0</v>
      </c>
      <c r="Y33">
        <f ca="1"/>
        <v>0.77007670646580828</v>
      </c>
      <c r="Z33">
        <f ca="1"/>
        <v>0</v>
      </c>
      <c r="AA33">
        <f ca="1"/>
        <v>0</v>
      </c>
      <c r="AB33">
        <f ca="1"/>
        <v>0.15600400357449601</v>
      </c>
      <c r="AD33" s="2">
        <f t="shared" ca="1" si="2"/>
        <v>44981</v>
      </c>
      <c r="AE33" s="46">
        <f t="shared" ca="1" si="3"/>
        <v>0</v>
      </c>
      <c r="AG33" s="72">
        <f t="shared" ca="1" si="7"/>
        <v>61.235490397776985</v>
      </c>
      <c r="AH33" s="72">
        <f t="shared" ca="1" si="8"/>
        <v>61.235490397776985</v>
      </c>
      <c r="AI33" s="3">
        <f t="shared" ca="1" si="9"/>
        <v>0</v>
      </c>
    </row>
    <row r="34" spans="1:35" x14ac:dyDescent="0.25">
      <c r="A34" s="8" t="s">
        <v>135</v>
      </c>
      <c r="B34" s="37">
        <f>FollowingYield_tperHa</f>
        <v>10</v>
      </c>
      <c r="G34" s="3">
        <f t="shared" ca="1" si="4"/>
        <v>12</v>
      </c>
      <c r="H34" s="105">
        <f t="shared" ca="1" si="6"/>
        <v>44937</v>
      </c>
      <c r="I34" s="133">
        <f ca="1">HLOOKUP($H$4,'Met Data'!$A$2:$F$368,G34,FALSE)</f>
        <v>17.654166666666601</v>
      </c>
      <c r="J34" s="133">
        <f ca="1">HLOOKUP($H$4,'Met Data'!$H$2:$M$368,G34,FALSE)*L34</f>
        <v>0.33333333333333298</v>
      </c>
      <c r="K34" s="106">
        <f ca="1">HLOOKUP($H$4,'Met Data'!$O$2:$T$368,G34,FALSE)</f>
        <v>4.1035718910061201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44982</v>
      </c>
      <c r="Q34">
        <f ca="1"/>
        <v>60.919910040072892</v>
      </c>
      <c r="R34">
        <f ca="1"/>
        <v>0.39023655964433601</v>
      </c>
      <c r="S34">
        <f ca="1"/>
        <v>8.3237810092428731E-4</v>
      </c>
      <c r="T34" s="4">
        <f ca="1"/>
        <v>0.4373958333333326</v>
      </c>
      <c r="U34">
        <f ca="1"/>
        <v>0</v>
      </c>
      <c r="V34">
        <f ca="1"/>
        <v>9.7860787295630693</v>
      </c>
      <c r="W34">
        <f ca="1"/>
        <v>2.4890678507801698</v>
      </c>
      <c r="X34">
        <f ca="1"/>
        <v>0</v>
      </c>
      <c r="Y34">
        <f ca="1"/>
        <v>0.75316108527258563</v>
      </c>
      <c r="Z34">
        <f ca="1"/>
        <v>0</v>
      </c>
      <c r="AA34">
        <f ca="1"/>
        <v>0</v>
      </c>
      <c r="AB34">
        <f ca="1"/>
        <v>0.193746178478576</v>
      </c>
      <c r="AD34" s="2">
        <f t="shared" ca="1" si="2"/>
        <v>44982</v>
      </c>
      <c r="AE34" s="46">
        <f t="shared" ca="1" si="3"/>
        <v>0</v>
      </c>
      <c r="AG34" s="72">
        <f t="shared" ca="1" si="7"/>
        <v>61.310146599717228</v>
      </c>
      <c r="AH34" s="72">
        <f t="shared" ca="1" si="8"/>
        <v>61.310146599717228</v>
      </c>
      <c r="AI34" s="3">
        <f t="shared" ca="1" si="9"/>
        <v>0</v>
      </c>
    </row>
    <row r="35" spans="1:35" x14ac:dyDescent="0.25">
      <c r="A35" s="8" t="s">
        <v>136</v>
      </c>
      <c r="B35" s="37">
        <f>FollowingFieldLoss</f>
        <v>0</v>
      </c>
      <c r="G35" s="3">
        <f t="shared" ca="1" si="4"/>
        <v>13</v>
      </c>
      <c r="H35" s="105">
        <f t="shared" ca="1" si="6"/>
        <v>44938</v>
      </c>
      <c r="I35" s="133">
        <f ca="1">HLOOKUP($H$4,'Met Data'!$A$2:$F$368,G35,FALSE)</f>
        <v>18.175000000000001</v>
      </c>
      <c r="J35" s="133">
        <f ca="1">HLOOKUP($H$4,'Met Data'!$H$2:$M$368,G35,FALSE)*L35</f>
        <v>0.96666666666666601</v>
      </c>
      <c r="K35" s="106">
        <f ca="1">HLOOKUP($H$4,'Met Data'!$O$2:$T$368,G35,FALSE)</f>
        <v>3.7942004669494902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44983</v>
      </c>
      <c r="Q35">
        <f ca="1"/>
        <v>60.951311337480035</v>
      </c>
      <c r="R35">
        <f ca="1"/>
        <v>0.39309012981596703</v>
      </c>
      <c r="S35">
        <f ca="1"/>
        <v>6.3726055644838288E-4</v>
      </c>
      <c r="T35" s="4">
        <f ca="1"/>
        <v>0.42385416666666503</v>
      </c>
      <c r="U35">
        <f ca="1"/>
        <v>0</v>
      </c>
      <c r="V35">
        <f ca="1"/>
        <v>10.179168859379001</v>
      </c>
      <c r="W35">
        <f ca="1"/>
        <v>2.5890494707550999</v>
      </c>
      <c r="X35">
        <f ca="1"/>
        <v>0</v>
      </c>
      <c r="Y35">
        <f ca="1"/>
        <v>0.73652274991309097</v>
      </c>
      <c r="Z35">
        <f ca="1"/>
        <v>0</v>
      </c>
      <c r="AA35">
        <f ca="1"/>
        <v>0</v>
      </c>
      <c r="AB35">
        <f ca="1"/>
        <v>0.236573557075235</v>
      </c>
      <c r="AD35" s="2">
        <f t="shared" ca="1" si="2"/>
        <v>44983</v>
      </c>
      <c r="AE35" s="46">
        <f t="shared" ca="1" si="3"/>
        <v>0</v>
      </c>
      <c r="AG35" s="72">
        <f t="shared" ca="1" si="7"/>
        <v>61.344401467296002</v>
      </c>
      <c r="AH35" s="72">
        <f t="shared" ca="1" si="8"/>
        <v>61.344401467296002</v>
      </c>
      <c r="AI35" s="3">
        <f t="shared" ca="1" si="9"/>
        <v>0</v>
      </c>
    </row>
    <row r="36" spans="1:35" x14ac:dyDescent="0.25">
      <c r="A36" s="8" t="s">
        <v>137</v>
      </c>
      <c r="B36" s="37">
        <f>FollowingDressingLoss</f>
        <v>0</v>
      </c>
      <c r="G36" s="3">
        <f t="shared" ca="1" si="4"/>
        <v>14</v>
      </c>
      <c r="H36" s="105">
        <f t="shared" ca="1" si="6"/>
        <v>44939</v>
      </c>
      <c r="I36" s="133">
        <f ca="1">HLOOKUP($H$4,'Met Data'!$A$2:$F$368,G36,FALSE)</f>
        <v>17.883333333333301</v>
      </c>
      <c r="J36" s="133">
        <f ca="1">HLOOKUP($H$4,'Met Data'!$H$2:$M$368,G36,FALSE)*L36</f>
        <v>3.0333333333333301</v>
      </c>
      <c r="K36" s="106">
        <f ca="1">HLOOKUP($H$4,'Met Data'!$O$2:$T$368,G36,FALSE)</f>
        <v>3.9941259720520699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44984</v>
      </c>
      <c r="Q36">
        <f ca="1"/>
        <v>60.967286349596492</v>
      </c>
      <c r="R36">
        <f ca="1"/>
        <v>0.40525802193063098</v>
      </c>
      <c r="S36">
        <f ca="1"/>
        <v>5.0386738041512872E-4</v>
      </c>
      <c r="T36">
        <f ca="1"/>
        <v>0.42072916666666504</v>
      </c>
      <c r="U36">
        <f ca="1"/>
        <v>0</v>
      </c>
      <c r="V36">
        <f ca="1"/>
        <v>10.5844268813097</v>
      </c>
      <c r="W36">
        <f ca="1"/>
        <v>2.6921259676374598</v>
      </c>
      <c r="X36">
        <f ca="1"/>
        <v>0</v>
      </c>
      <c r="Y36">
        <f ca="1"/>
        <v>0.71513637277582731</v>
      </c>
      <c r="Z36">
        <f ca="1"/>
        <v>0</v>
      </c>
      <c r="AA36">
        <f ca="1"/>
        <v>0</v>
      </c>
      <c r="AB36">
        <f ca="1"/>
        <v>0.28513308113006502</v>
      </c>
      <c r="AD36" s="2">
        <f t="shared" ca="1" si="2"/>
        <v>44984</v>
      </c>
      <c r="AE36" s="46">
        <f t="shared" ca="1" si="3"/>
        <v>0</v>
      </c>
      <c r="AG36" s="72">
        <f t="shared" ca="1" si="7"/>
        <v>61.37254437152712</v>
      </c>
      <c r="AH36" s="72">
        <f t="shared" ca="1" si="8"/>
        <v>61.37254437152712</v>
      </c>
      <c r="AI36" s="3">
        <f t="shared" ca="1" si="9"/>
        <v>0</v>
      </c>
    </row>
    <row r="37" spans="1:35" x14ac:dyDescent="0.25">
      <c r="A37" s="8" t="s">
        <v>138</v>
      </c>
      <c r="B37" s="37">
        <f>FollowingMoistureLoss</f>
        <v>80</v>
      </c>
      <c r="G37" s="3">
        <f t="shared" ca="1" si="4"/>
        <v>15</v>
      </c>
      <c r="H37" s="105">
        <f t="shared" ca="1" si="6"/>
        <v>44940</v>
      </c>
      <c r="I37" s="133">
        <f ca="1">HLOOKUP($H$4,'Met Data'!$A$2:$F$368,G37,FALSE)</f>
        <v>17.279166666666601</v>
      </c>
      <c r="J37" s="133">
        <f ca="1">HLOOKUP($H$4,'Met Data'!$H$2:$M$368,G37,FALSE)*L37</f>
        <v>2.8833333333333302</v>
      </c>
      <c r="K37" s="106">
        <f ca="1">HLOOKUP($H$4,'Met Data'!$O$2:$T$368,G37,FALSE)</f>
        <v>4.3919546564694203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44985</v>
      </c>
      <c r="Q37">
        <f ca="1"/>
        <v>60.967291880562641</v>
      </c>
      <c r="R37">
        <f ca="1"/>
        <v>0.43822540777077601</v>
      </c>
      <c r="S37">
        <f ca="1"/>
        <v>4.1843873692450154E-4</v>
      </c>
      <c r="T37">
        <f ca="1"/>
        <v>0.43781249999999999</v>
      </c>
      <c r="U37">
        <f ca="1"/>
        <v>0</v>
      </c>
      <c r="V37">
        <f ca="1"/>
        <v>11.0226522890804</v>
      </c>
      <c r="W37">
        <f ca="1"/>
        <v>2.8035876474400299</v>
      </c>
      <c r="X37">
        <f ca="1"/>
        <v>0</v>
      </c>
      <c r="Y37">
        <f ca="1"/>
        <v>0.69329905877074982</v>
      </c>
      <c r="Z37">
        <f ca="1"/>
        <v>0</v>
      </c>
      <c r="AA37">
        <f ca="1"/>
        <v>0</v>
      </c>
      <c r="AB37">
        <f ca="1"/>
        <v>0.34153212744364497</v>
      </c>
      <c r="AD37" s="2">
        <f t="shared" ca="1" si="2"/>
        <v>44985</v>
      </c>
      <c r="AE37" s="46">
        <f t="shared" ca="1" si="3"/>
        <v>0</v>
      </c>
      <c r="AG37" s="72">
        <f t="shared" ca="1" si="7"/>
        <v>61.405517288333414</v>
      </c>
      <c r="AH37" s="72">
        <f t="shared" ca="1" si="8"/>
        <v>61.405517288333414</v>
      </c>
      <c r="AI37" s="3">
        <f t="shared" ca="1" si="9"/>
        <v>0</v>
      </c>
    </row>
    <row r="38" spans="1:35" x14ac:dyDescent="0.25">
      <c r="A38" s="8" t="s">
        <v>139</v>
      </c>
      <c r="B38" s="39">
        <f ca="1">FollowingEstablishDate</f>
        <v>45110</v>
      </c>
      <c r="G38" s="3">
        <f t="shared" ca="1" si="4"/>
        <v>16</v>
      </c>
      <c r="H38" s="105">
        <f t="shared" ca="1" si="6"/>
        <v>44941</v>
      </c>
      <c r="I38" s="133">
        <f ca="1">HLOOKUP($H$4,'Met Data'!$A$2:$F$368,G38,FALSE)</f>
        <v>17.5208333333333</v>
      </c>
      <c r="J38" s="133">
        <f ca="1">HLOOKUP($H$4,'Met Data'!$H$2:$M$368,G38,FALSE)*L38</f>
        <v>2.5833333333333299</v>
      </c>
      <c r="K38" s="106">
        <f ca="1">HLOOKUP($H$4,'Met Data'!$O$2:$T$368,G38,FALSE)</f>
        <v>4.2128718222508397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44986</v>
      </c>
      <c r="Q38">
        <f ca="1"/>
        <v>60.950351736728877</v>
      </c>
      <c r="R38">
        <f ca="1"/>
        <v>0.445179843990747</v>
      </c>
      <c r="S38">
        <f ca="1"/>
        <v>3.2303349030838089E-4</v>
      </c>
      <c r="T38">
        <f ca="1"/>
        <v>0.427916666666665</v>
      </c>
      <c r="U38">
        <f ca="1"/>
        <v>0</v>
      </c>
      <c r="V38">
        <f ca="1"/>
        <v>11.4678321330712</v>
      </c>
      <c r="W38">
        <f ca="1"/>
        <v>2.9168181729768001</v>
      </c>
      <c r="X38">
        <f ca="1"/>
        <v>0</v>
      </c>
      <c r="Y38">
        <f ca="1"/>
        <v>0.68854456804191877</v>
      </c>
      <c r="Z38">
        <f ca="1"/>
        <v>0</v>
      </c>
      <c r="AA38">
        <f ca="1"/>
        <v>0</v>
      </c>
      <c r="AB38">
        <f ca="1"/>
        <v>0.40137370259141097</v>
      </c>
      <c r="AD38" s="2">
        <f t="shared" ca="1" si="2"/>
        <v>44986</v>
      </c>
      <c r="AE38" s="46">
        <f t="shared" ca="1" si="3"/>
        <v>0</v>
      </c>
      <c r="AG38" s="72">
        <f t="shared" ca="1" si="7"/>
        <v>61.39553158071962</v>
      </c>
      <c r="AH38" s="72">
        <f t="shared" ca="1" si="8"/>
        <v>61.39553158071962</v>
      </c>
      <c r="AI38" s="3">
        <f t="shared" ca="1" si="9"/>
        <v>0</v>
      </c>
    </row>
    <row r="39" spans="1:35" x14ac:dyDescent="0.25">
      <c r="A39" s="8" t="s">
        <v>140</v>
      </c>
      <c r="B39" s="37" t="str">
        <f>FollowingEstablishStage</f>
        <v>Seed</v>
      </c>
      <c r="G39" s="3">
        <f t="shared" ca="1" si="4"/>
        <v>17</v>
      </c>
      <c r="H39" s="105">
        <f t="shared" ca="1" si="6"/>
        <v>44942</v>
      </c>
      <c r="I39" s="133">
        <f ca="1">HLOOKUP($H$4,'Met Data'!$A$2:$F$368,G39,FALSE)</f>
        <v>17.970833333333299</v>
      </c>
      <c r="J39" s="133">
        <f ca="1">HLOOKUP($H$4,'Met Data'!$H$2:$M$368,G39,FALSE)*L39</f>
        <v>0.266666666666666</v>
      </c>
      <c r="K39" s="106">
        <f ca="1">HLOOKUP($H$4,'Met Data'!$O$2:$T$368,G39,FALSE)</f>
        <v>4.0252286180437302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44987</v>
      </c>
      <c r="Q39">
        <f ca="1"/>
        <v>60.916278777691822</v>
      </c>
      <c r="R39">
        <f ca="1"/>
        <v>0.46026595426106098</v>
      </c>
      <c r="S39">
        <f ca="1"/>
        <v>2.5549522400454663E-4</v>
      </c>
      <c r="T39">
        <f ca="1"/>
        <v>0.42593750000000002</v>
      </c>
      <c r="U39">
        <f ca="1"/>
        <v>0</v>
      </c>
      <c r="V39">
        <f ca="1"/>
        <v>11.9280980873323</v>
      </c>
      <c r="W39">
        <f ca="1"/>
        <v>3.0338858178649399</v>
      </c>
      <c r="X39">
        <f ca="1"/>
        <v>0</v>
      </c>
      <c r="Y39">
        <f ca="1"/>
        <v>0.68544031072341949</v>
      </c>
      <c r="Z39">
        <f ca="1"/>
        <v>0</v>
      </c>
      <c r="AA39">
        <f ca="1"/>
        <v>0</v>
      </c>
      <c r="AB39">
        <f ca="1"/>
        <v>0.46401168200231302</v>
      </c>
      <c r="AD39" s="2">
        <f t="shared" ca="1" si="2"/>
        <v>44987</v>
      </c>
      <c r="AE39" s="46">
        <f t="shared" ca="1" si="3"/>
        <v>0</v>
      </c>
      <c r="AG39" s="72">
        <f t="shared" ca="1" si="7"/>
        <v>61.376544731952883</v>
      </c>
      <c r="AH39" s="72">
        <f t="shared" ca="1" si="8"/>
        <v>61.376544731952883</v>
      </c>
      <c r="AI39" s="3">
        <f t="shared" ca="1" si="9"/>
        <v>0</v>
      </c>
    </row>
    <row r="40" spans="1:35" x14ac:dyDescent="0.25">
      <c r="A40" s="8" t="s">
        <v>141</v>
      </c>
      <c r="B40" s="39">
        <f ca="1">FollowingHarvestDate</f>
        <v>45230</v>
      </c>
      <c r="G40" s="3">
        <f t="shared" ca="1" si="4"/>
        <v>18</v>
      </c>
      <c r="H40" s="105">
        <f t="shared" ca="1" si="6"/>
        <v>44943</v>
      </c>
      <c r="I40" s="133">
        <f ca="1">HLOOKUP($H$4,'Met Data'!$A$2:$F$368,G40,FALSE)</f>
        <v>18.2708333333333</v>
      </c>
      <c r="J40" s="133">
        <f ca="1">HLOOKUP($H$4,'Met Data'!$H$2:$M$368,G40,FALSE)*L40</f>
        <v>1.81666666666666</v>
      </c>
      <c r="K40" s="106">
        <f ca="1">HLOOKUP($H$4,'Met Data'!$O$2:$T$368,G40,FALSE)</f>
        <v>4.3125410240098896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44988</v>
      </c>
      <c r="Q40">
        <f ca="1"/>
        <v>60.86384820522504</v>
      </c>
      <c r="R40">
        <f ca="1"/>
        <v>0.48273998671034402</v>
      </c>
      <c r="S40">
        <f ca="1"/>
        <v>2.0524757689195273E-4</v>
      </c>
      <c r="T40">
        <f ca="1"/>
        <v>0.43010416666666501</v>
      </c>
      <c r="U40">
        <f ca="1"/>
        <v>0</v>
      </c>
      <c r="V40">
        <f ca="1"/>
        <v>12.4108380740426</v>
      </c>
      <c r="W40">
        <f ca="1"/>
        <v>3.1566696840499699</v>
      </c>
      <c r="X40">
        <f ca="1"/>
        <v>0</v>
      </c>
      <c r="Y40">
        <f ca="1"/>
        <v>0.667753398484209</v>
      </c>
      <c r="Z40">
        <f ca="1"/>
        <v>0</v>
      </c>
      <c r="AA40">
        <f ca="1"/>
        <v>0</v>
      </c>
      <c r="AB40">
        <f ca="1"/>
        <v>0.52842908733704697</v>
      </c>
      <c r="AD40" s="2">
        <f t="shared" ca="1" si="2"/>
        <v>44988</v>
      </c>
      <c r="AE40" s="46">
        <f t="shared" ca="1" si="3"/>
        <v>0</v>
      </c>
      <c r="AG40" s="72">
        <f t="shared" ca="1" si="7"/>
        <v>61.346588191935382</v>
      </c>
      <c r="AH40" s="72">
        <f t="shared" ca="1" si="8"/>
        <v>61.346588191935382</v>
      </c>
      <c r="AI40" s="3">
        <f t="shared" ca="1" si="9"/>
        <v>0</v>
      </c>
    </row>
    <row r="41" spans="1:35" x14ac:dyDescent="0.25">
      <c r="A41" s="8" t="s">
        <v>142</v>
      </c>
      <c r="B41" s="37" t="str">
        <f>FollowingHarvestStage</f>
        <v>EarlyReproductive</v>
      </c>
      <c r="G41" s="3">
        <f t="shared" ca="1" si="4"/>
        <v>19</v>
      </c>
      <c r="H41" s="105">
        <f t="shared" ca="1" si="6"/>
        <v>44944</v>
      </c>
      <c r="I41" s="133">
        <f ca="1">HLOOKUP($H$4,'Met Data'!$A$2:$F$368,G41,FALSE)</f>
        <v>17.954166666666602</v>
      </c>
      <c r="J41" s="133">
        <f ca="1">HLOOKUP($H$4,'Met Data'!$H$2:$M$368,G41,FALSE)*L41</f>
        <v>4.1499999999999897</v>
      </c>
      <c r="K41" s="106">
        <f ca="1">HLOOKUP($H$4,'Met Data'!$O$2:$T$368,G41,FALSE)</f>
        <v>3.9046074195490301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44989</v>
      </c>
      <c r="Q41">
        <f ca="1"/>
        <v>60.794941218718783</v>
      </c>
      <c r="R41">
        <f ca="1"/>
        <v>0.487086118271016</v>
      </c>
      <c r="S41">
        <f ca="1"/>
        <v>1.5829843142668728E-4</v>
      </c>
      <c r="T41">
        <f ca="1"/>
        <v>0.41802083333333251</v>
      </c>
      <c r="U41">
        <f ca="1"/>
        <v>0</v>
      </c>
      <c r="V41">
        <f ca="1"/>
        <v>12.897924192313599</v>
      </c>
      <c r="W41">
        <f ca="1"/>
        <v>3.2805589793493302</v>
      </c>
      <c r="X41">
        <f ca="1"/>
        <v>0</v>
      </c>
      <c r="Y41">
        <f ca="1"/>
        <v>0.6716986818356776</v>
      </c>
      <c r="Z41">
        <f ca="1"/>
        <v>0</v>
      </c>
      <c r="AA41">
        <f ca="1"/>
        <v>0</v>
      </c>
      <c r="AB41">
        <f ca="1"/>
        <v>0.59016112071772997</v>
      </c>
      <c r="AD41" s="2">
        <f t="shared" ca="1" si="2"/>
        <v>44989</v>
      </c>
      <c r="AE41" s="46">
        <f t="shared" ca="1" si="3"/>
        <v>0</v>
      </c>
      <c r="AG41" s="72">
        <f t="shared" ca="1" si="7"/>
        <v>61.282027336989799</v>
      </c>
      <c r="AH41" s="72">
        <f t="shared" ca="1" si="8"/>
        <v>61.282027336989799</v>
      </c>
      <c r="AI41" s="3">
        <f t="shared" ca="1" si="9"/>
        <v>0</v>
      </c>
    </row>
    <row r="42" spans="1:35" ht="15.75" thickBot="1" x14ac:dyDescent="0.3">
      <c r="A42" s="9" t="s">
        <v>178</v>
      </c>
      <c r="B42" s="38" t="str">
        <f>FollowingResidueRemoval</f>
        <v>None removed</v>
      </c>
      <c r="G42" s="3">
        <f t="shared" ca="1" si="4"/>
        <v>20</v>
      </c>
      <c r="H42" s="105">
        <f t="shared" ca="1" si="6"/>
        <v>44945</v>
      </c>
      <c r="I42" s="133">
        <f ca="1">HLOOKUP($H$4,'Met Data'!$A$2:$F$368,G42,FALSE)</f>
        <v>18.454166666666602</v>
      </c>
      <c r="J42" s="133">
        <f ca="1">HLOOKUP($H$4,'Met Data'!$H$2:$M$368,G42,FALSE)*L42</f>
        <v>2.5166666666666599</v>
      </c>
      <c r="K42" s="106">
        <f ca="1">HLOOKUP($H$4,'Met Data'!$O$2:$T$368,G42,FALSE)</f>
        <v>4.0894627552594898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44990</v>
      </c>
      <c r="Q42">
        <f ca="1"/>
        <v>60.705838901646153</v>
      </c>
      <c r="R42">
        <f ca="1"/>
        <v>0.51548134391114797</v>
      </c>
      <c r="S42">
        <f ca="1"/>
        <v>1.2902683851245857E-4</v>
      </c>
      <c r="T42">
        <f ca="1"/>
        <v>0.42625000000000002</v>
      </c>
      <c r="U42">
        <f ca="1"/>
        <v>0</v>
      </c>
      <c r="V42">
        <f ca="1"/>
        <v>13.413405536224801</v>
      </c>
      <c r="W42">
        <f ca="1"/>
        <v>3.4116705385615198</v>
      </c>
      <c r="X42">
        <f ca="1"/>
        <v>0</v>
      </c>
      <c r="Y42">
        <f ca="1"/>
        <v>0.67810378422282214</v>
      </c>
      <c r="Z42">
        <f ca="1"/>
        <v>0</v>
      </c>
      <c r="AA42">
        <f ca="1"/>
        <v>0</v>
      </c>
      <c r="AB42">
        <f ca="1"/>
        <v>0.65030063292142204</v>
      </c>
      <c r="AD42" s="2">
        <f t="shared" ca="1" si="2"/>
        <v>44990</v>
      </c>
      <c r="AE42" s="46">
        <f t="shared" ca="1" si="3"/>
        <v>0</v>
      </c>
      <c r="AG42" s="72">
        <f t="shared" ca="1" si="7"/>
        <v>61.221320245557301</v>
      </c>
      <c r="AH42" s="72">
        <f t="shared" ca="1" si="8"/>
        <v>61.221320245557301</v>
      </c>
      <c r="AI42" s="3">
        <f t="shared" ca="1" si="9"/>
        <v>0</v>
      </c>
    </row>
    <row r="43" spans="1:35" x14ac:dyDescent="0.25">
      <c r="A43" s="8" t="s">
        <v>181</v>
      </c>
      <c r="B43" t="str">
        <f>FollowingResidueIncorporation</f>
        <v>Full (Plough)</v>
      </c>
      <c r="G43" s="3">
        <f t="shared" ca="1" si="4"/>
        <v>21</v>
      </c>
      <c r="H43" s="105">
        <f t="shared" ca="1" si="6"/>
        <v>44946</v>
      </c>
      <c r="I43" s="133">
        <f ca="1">HLOOKUP($H$4,'Met Data'!$A$2:$F$368,G43,FALSE)</f>
        <v>18.125</v>
      </c>
      <c r="J43" s="133">
        <f ca="1">HLOOKUP($H$4,'Met Data'!$H$2:$M$368,G43,FALSE)*L43</f>
        <v>3.3333333333333299</v>
      </c>
      <c r="K43" s="106">
        <f ca="1">HLOOKUP($H$4,'Met Data'!$O$2:$T$368,G43,FALSE)</f>
        <v>4.4627747616983804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44991</v>
      </c>
      <c r="Q43">
        <f ca="1"/>
        <v>60.600459826238982</v>
      </c>
      <c r="R43">
        <f ca="1"/>
        <v>0.51954126897773301</v>
      </c>
      <c r="S43">
        <f ca="1"/>
        <v>9.9693570558997518E-5</v>
      </c>
      <c r="T43">
        <f ca="1"/>
        <v>0.4140625</v>
      </c>
      <c r="U43">
        <f ca="1"/>
        <v>0</v>
      </c>
      <c r="V43">
        <f ca="1"/>
        <v>13.9329468052025</v>
      </c>
      <c r="W43">
        <f ca="1"/>
        <v>3.5438147308884602</v>
      </c>
      <c r="X43">
        <f ca="1"/>
        <v>0</v>
      </c>
      <c r="Y43">
        <f ca="1"/>
        <v>0.67561877376174351</v>
      </c>
      <c r="Z43">
        <f ca="1"/>
        <v>0</v>
      </c>
      <c r="AA43">
        <f ca="1"/>
        <v>0</v>
      </c>
      <c r="AB43">
        <f ca="1"/>
        <v>0.70449146049171496</v>
      </c>
      <c r="AD43" s="2">
        <f t="shared" ca="1" si="2"/>
        <v>44991</v>
      </c>
      <c r="AE43" s="46">
        <f t="shared" ca="1" si="3"/>
        <v>0</v>
      </c>
      <c r="AG43" s="72">
        <f t="shared" ca="1" si="7"/>
        <v>61.120001095216715</v>
      </c>
      <c r="AH43" s="72">
        <f t="shared" ca="1" si="8"/>
        <v>61.120001095216715</v>
      </c>
      <c r="AI43" s="3">
        <f t="shared" ca="1" si="9"/>
        <v>0</v>
      </c>
    </row>
    <row r="44" spans="1:35" x14ac:dyDescent="0.25">
      <c r="A44" s="14"/>
      <c r="B44" s="15"/>
      <c r="G44" s="3">
        <f t="shared" ca="1" si="4"/>
        <v>22</v>
      </c>
      <c r="H44" s="105">
        <f t="shared" ca="1" si="6"/>
        <v>44947</v>
      </c>
      <c r="I44" s="133">
        <f ca="1">HLOOKUP($H$4,'Met Data'!$A$2:$F$368,G44,FALSE)</f>
        <v>17.6791666666666</v>
      </c>
      <c r="J44" s="133">
        <f ca="1">HLOOKUP($H$4,'Met Data'!$H$2:$M$368,G44,FALSE)*L44</f>
        <v>2.4</v>
      </c>
      <c r="K44" s="106">
        <f ca="1">HLOOKUP($H$4,'Met Data'!$O$2:$T$368,G44,FALSE)</f>
        <v>3.8954755691343999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44992</v>
      </c>
      <c r="Q44">
        <f ca="1"/>
        <v>60.477636692978209</v>
      </c>
      <c r="R44">
        <f ca="1"/>
        <v>0.53165198786546397</v>
      </c>
      <c r="S44">
        <f ca="1"/>
        <v>7.885460469494215E-5</v>
      </c>
      <c r="T44">
        <f ca="1"/>
        <v>0.40874999999999745</v>
      </c>
      <c r="U44">
        <f ca="1"/>
        <v>0</v>
      </c>
      <c r="V44">
        <f ca="1"/>
        <v>14.464598793067999</v>
      </c>
      <c r="W44">
        <f ca="1"/>
        <v>3.6790392582368501</v>
      </c>
      <c r="X44">
        <f ca="1"/>
        <v>0</v>
      </c>
      <c r="Y44">
        <f ca="1"/>
        <v>0.69605024109525226</v>
      </c>
      <c r="Z44">
        <f ca="1"/>
        <v>0</v>
      </c>
      <c r="AA44">
        <f ca="1"/>
        <v>0</v>
      </c>
      <c r="AB44">
        <f ca="1"/>
        <v>0.75287571484530802</v>
      </c>
      <c r="AD44" s="2">
        <f t="shared" ca="1" si="2"/>
        <v>44992</v>
      </c>
      <c r="AE44" s="46">
        <f t="shared" ca="1" si="3"/>
        <v>0</v>
      </c>
      <c r="AG44" s="72">
        <f t="shared" ca="1" si="7"/>
        <v>61.009288680843675</v>
      </c>
      <c r="AH44" s="72">
        <f t="shared" ca="1" si="8"/>
        <v>61.009288680843675</v>
      </c>
      <c r="AI44" s="3">
        <f t="shared" ca="1" si="9"/>
        <v>0</v>
      </c>
    </row>
    <row r="45" spans="1:35" ht="15.75" thickBot="1" x14ac:dyDescent="0.3">
      <c r="A45" s="16"/>
      <c r="B45" s="17"/>
      <c r="G45" s="3">
        <f t="shared" ca="1" si="4"/>
        <v>23</v>
      </c>
      <c r="H45" s="105">
        <f t="shared" ca="1" si="6"/>
        <v>44948</v>
      </c>
      <c r="I45" s="133">
        <f ca="1">HLOOKUP($H$4,'Met Data'!$A$2:$F$368,G45,FALSE)</f>
        <v>17.350000000000001</v>
      </c>
      <c r="J45" s="133">
        <f ca="1">HLOOKUP($H$4,'Met Data'!$H$2:$M$368,G45,FALSE)*L45</f>
        <v>2.6333333333333302</v>
      </c>
      <c r="K45" s="106">
        <f ca="1">HLOOKUP($H$4,'Met Data'!$O$2:$T$368,G45,FALSE)</f>
        <v>3.2997711779398098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44993</v>
      </c>
      <c r="Q45">
        <f ca="1"/>
        <v>60.335031979153499</v>
      </c>
      <c r="R45">
        <f ca="1"/>
        <v>0.55277247380817895</v>
      </c>
      <c r="S45">
        <f ca="1"/>
        <v>6.3593316805858767E-5</v>
      </c>
      <c r="T45">
        <f ca="1"/>
        <v>0.41010416666666499</v>
      </c>
      <c r="U45">
        <f ca="1"/>
        <v>0</v>
      </c>
      <c r="V45">
        <f ca="1"/>
        <v>15.017371266876101</v>
      </c>
      <c r="W45">
        <f ca="1"/>
        <v>3.81963573527067</v>
      </c>
      <c r="X45">
        <f ca="1"/>
        <v>0</v>
      </c>
      <c r="Y45">
        <f ca="1"/>
        <v>0.68460932330858371</v>
      </c>
      <c r="Z45">
        <f ca="1"/>
        <v>0</v>
      </c>
      <c r="AA45">
        <f ca="1"/>
        <v>0</v>
      </c>
      <c r="AB45">
        <f ca="1"/>
        <v>0.79576806830372304</v>
      </c>
      <c r="AD45" s="2">
        <f t="shared" ca="1" si="2"/>
        <v>44993</v>
      </c>
      <c r="AE45" s="46">
        <f t="shared" ca="1" si="3"/>
        <v>0</v>
      </c>
      <c r="AG45" s="72">
        <f t="shared" ca="1" si="7"/>
        <v>60.887804452961674</v>
      </c>
      <c r="AH45" s="72">
        <f t="shared" ca="1" si="8"/>
        <v>60.887804452961674</v>
      </c>
      <c r="AI45" s="3">
        <f t="shared" ca="1" si="9"/>
        <v>0</v>
      </c>
    </row>
    <row r="46" spans="1:35" x14ac:dyDescent="0.25">
      <c r="G46" s="3">
        <f t="shared" ca="1" si="4"/>
        <v>24</v>
      </c>
      <c r="H46" s="105">
        <f t="shared" ca="1" si="6"/>
        <v>44949</v>
      </c>
      <c r="I46" s="133">
        <f ca="1">HLOOKUP($H$4,'Met Data'!$A$2:$F$368,G46,FALSE)</f>
        <v>17.504166666666599</v>
      </c>
      <c r="J46" s="133">
        <f ca="1">HLOOKUP($H$4,'Met Data'!$H$2:$M$368,G46,FALSE)*L46</f>
        <v>5.5166666666666604</v>
      </c>
      <c r="K46" s="106">
        <f ca="1">HLOOKUP($H$4,'Met Data'!$O$2:$T$368,G46,FALSE)</f>
        <v>3.46570930270954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44994</v>
      </c>
      <c r="Q46">
        <f ca="1"/>
        <v>60.174812148264081</v>
      </c>
      <c r="R46">
        <f ca="1"/>
        <v>0.56464519234301302</v>
      </c>
      <c r="S46">
        <f ca="1"/>
        <v>5.0361453601262848E-5</v>
      </c>
      <c r="T46">
        <f ca="1"/>
        <v>0.40437499999999754</v>
      </c>
      <c r="U46">
        <f ca="1"/>
        <v>0</v>
      </c>
      <c r="V46">
        <f ca="1"/>
        <v>15.5820164592191</v>
      </c>
      <c r="W46">
        <f ca="1"/>
        <v>3.96325201245357</v>
      </c>
      <c r="X46">
        <f ca="1"/>
        <v>0</v>
      </c>
      <c r="Y46">
        <f ca="1"/>
        <v>0.66270997438760693</v>
      </c>
      <c r="Z46">
        <f ca="1"/>
        <v>0</v>
      </c>
      <c r="AA46">
        <f ca="1"/>
        <v>0</v>
      </c>
      <c r="AB46">
        <f ca="1"/>
        <v>0.83238941163950397</v>
      </c>
      <c r="AD46" s="2">
        <f t="shared" ca="1" si="2"/>
        <v>44994</v>
      </c>
      <c r="AE46" s="46">
        <f t="shared" ca="1" si="3"/>
        <v>0</v>
      </c>
      <c r="AG46" s="72">
        <f t="shared" ca="1" si="7"/>
        <v>60.739457340607096</v>
      </c>
      <c r="AH46" s="72">
        <f t="shared" ca="1" si="8"/>
        <v>60.739457340607096</v>
      </c>
      <c r="AI46" s="3">
        <f t="shared" ca="1" si="9"/>
        <v>0</v>
      </c>
    </row>
    <row r="47" spans="1:35" x14ac:dyDescent="0.25">
      <c r="G47" s="3">
        <f t="shared" ca="1" si="4"/>
        <v>25</v>
      </c>
      <c r="H47" s="105">
        <f t="shared" ca="1" si="6"/>
        <v>44950</v>
      </c>
      <c r="I47" s="133">
        <f ca="1">HLOOKUP($H$4,'Met Data'!$A$2:$F$368,G47,FALSE)</f>
        <v>17.713636363636301</v>
      </c>
      <c r="J47" s="133">
        <f ca="1">HLOOKUP($H$4,'Met Data'!$H$2:$M$368,G47,FALSE)*L47</f>
        <v>1.3818181818181801</v>
      </c>
      <c r="K47" s="106">
        <f ca="1">HLOOKUP($H$4,'Met Data'!$O$2:$T$368,G47,FALSE)</f>
        <v>4.0186876239346203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44995</v>
      </c>
      <c r="Q47">
        <f ca="1"/>
        <v>59.989201173306284</v>
      </c>
      <c r="R47">
        <f ca="1"/>
        <v>0.60127769039284695</v>
      </c>
      <c r="S47">
        <f ca="1"/>
        <v>4.1715435052668623E-5</v>
      </c>
      <c r="T47">
        <f ca="1"/>
        <v>0.41562500000000002</v>
      </c>
      <c r="U47">
        <f ca="1"/>
        <v>0</v>
      </c>
      <c r="V47">
        <f ca="1"/>
        <v>16.183294149611999</v>
      </c>
      <c r="W47">
        <f ca="1"/>
        <v>4.1161856858795698</v>
      </c>
      <c r="X47">
        <f ca="1"/>
        <v>0</v>
      </c>
      <c r="Y47">
        <f ca="1"/>
        <v>0.65375321237276718</v>
      </c>
      <c r="Z47">
        <f ca="1"/>
        <v>0</v>
      </c>
      <c r="AA47">
        <f ca="1"/>
        <v>0</v>
      </c>
      <c r="AB47">
        <f ca="1"/>
        <v>0.86436315916139395</v>
      </c>
      <c r="AD47" s="2">
        <f t="shared" ca="1" si="2"/>
        <v>44995</v>
      </c>
      <c r="AE47" s="46">
        <f t="shared" ca="1" si="3"/>
        <v>0</v>
      </c>
      <c r="AG47" s="72">
        <f t="shared" ca="1" si="7"/>
        <v>60.590478863699133</v>
      </c>
      <c r="AH47" s="72">
        <f t="shared" ca="1" si="8"/>
        <v>60.590478863699133</v>
      </c>
      <c r="AI47" s="3">
        <f t="shared" ca="1" si="9"/>
        <v>0</v>
      </c>
    </row>
    <row r="48" spans="1:35" x14ac:dyDescent="0.25">
      <c r="G48" s="3">
        <f t="shared" ca="1" si="4"/>
        <v>26</v>
      </c>
      <c r="H48" s="105">
        <f t="shared" ca="1" si="6"/>
        <v>44951</v>
      </c>
      <c r="I48" s="133">
        <f ca="1">HLOOKUP($H$4,'Met Data'!$A$2:$F$368,G48,FALSE)</f>
        <v>17.8541666666666</v>
      </c>
      <c r="J48" s="133">
        <f ca="1">HLOOKUP($H$4,'Met Data'!$H$2:$M$368,G48,FALSE)*L48</f>
        <v>0.46666666666666601</v>
      </c>
      <c r="K48" s="106">
        <f ca="1">HLOOKUP($H$4,'Met Data'!$O$2:$T$368,G48,FALSE)</f>
        <v>4.1496250953293998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44996</v>
      </c>
      <c r="Q48">
        <f ca="1"/>
        <v>59.786406127630869</v>
      </c>
      <c r="R48">
        <f ca="1"/>
        <v>0.60949438579453397</v>
      </c>
      <c r="S48">
        <f ca="1"/>
        <v>3.267345245256063E-5</v>
      </c>
      <c r="T48">
        <f ca="1"/>
        <v>0.40666666666666501</v>
      </c>
      <c r="U48">
        <f ca="1"/>
        <v>0</v>
      </c>
      <c r="V48">
        <f ca="1"/>
        <v>16.792788535406501</v>
      </c>
      <c r="W48">
        <f ca="1"/>
        <v>4.2712092579186196</v>
      </c>
      <c r="X48">
        <f ca="1"/>
        <v>0</v>
      </c>
      <c r="Y48">
        <f ca="1"/>
        <v>0.66198488666782807</v>
      </c>
      <c r="Z48">
        <f ca="1"/>
        <v>0</v>
      </c>
      <c r="AA48">
        <f ca="1"/>
        <v>0</v>
      </c>
      <c r="AB48">
        <f ca="1"/>
        <v>0.89051304820876198</v>
      </c>
      <c r="AD48" s="2">
        <f t="shared" ca="1" si="2"/>
        <v>44996</v>
      </c>
      <c r="AE48" s="46">
        <f t="shared" ca="1" si="3"/>
        <v>0</v>
      </c>
      <c r="AG48" s="72">
        <f t="shared" ca="1" si="7"/>
        <v>60.395900513425403</v>
      </c>
      <c r="AH48" s="72">
        <f t="shared" ca="1" si="8"/>
        <v>60.395900513425403</v>
      </c>
      <c r="AI48" s="3">
        <f t="shared" ca="1" si="9"/>
        <v>0</v>
      </c>
    </row>
    <row r="49" spans="1:35" x14ac:dyDescent="0.25">
      <c r="G49" s="3">
        <f t="shared" ca="1" si="4"/>
        <v>27</v>
      </c>
      <c r="H49" s="105">
        <f t="shared" ca="1" si="6"/>
        <v>44952</v>
      </c>
      <c r="I49" s="133">
        <f ca="1">HLOOKUP($H$4,'Met Data'!$A$2:$F$368,G49,FALSE)</f>
        <v>18.933333333333302</v>
      </c>
      <c r="J49" s="133">
        <f ca="1">HLOOKUP($H$4,'Met Data'!$H$2:$M$368,G49,FALSE)*L49</f>
        <v>1.8</v>
      </c>
      <c r="K49" s="106">
        <f ca="1">HLOOKUP($H$4,'Met Data'!$O$2:$T$368,G49,FALSE)</f>
        <v>4.1034832888531598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44997</v>
      </c>
      <c r="Q49">
        <f ca="1"/>
        <v>59.560014055709111</v>
      </c>
      <c r="R49">
        <f ca="1"/>
        <v>0.63652275645616596</v>
      </c>
      <c r="S49">
        <f ca="1"/>
        <v>2.6517867745812651E-5</v>
      </c>
      <c r="T49">
        <f ca="1"/>
        <v>0.41010416666666499</v>
      </c>
      <c r="U49">
        <f ca="1"/>
        <v>0</v>
      </c>
      <c r="V49">
        <f ca="1"/>
        <v>17.4293112918627</v>
      </c>
      <c r="W49">
        <f ca="1"/>
        <v>4.4331074372781201</v>
      </c>
      <c r="X49">
        <f ca="1"/>
        <v>0</v>
      </c>
      <c r="Y49">
        <f ca="1"/>
        <v>0.65212408012187628</v>
      </c>
      <c r="Z49">
        <f ca="1"/>
        <v>0</v>
      </c>
      <c r="AA49">
        <f ca="1"/>
        <v>0</v>
      </c>
      <c r="AB49">
        <f ca="1"/>
        <v>0.91229904970570397</v>
      </c>
      <c r="AD49" s="2">
        <f t="shared" ca="1" si="2"/>
        <v>44997</v>
      </c>
      <c r="AE49" s="46">
        <f t="shared" ca="1" si="3"/>
        <v>0</v>
      </c>
      <c r="AG49" s="72">
        <f t="shared" ca="1" si="7"/>
        <v>60.196536812165277</v>
      </c>
      <c r="AH49" s="72">
        <f t="shared" ca="1" si="8"/>
        <v>60.196536812165277</v>
      </c>
      <c r="AI49" s="3">
        <f t="shared" ca="1" si="9"/>
        <v>0</v>
      </c>
    </row>
    <row r="50" spans="1:35" x14ac:dyDescent="0.25">
      <c r="G50" s="3">
        <f t="shared" ca="1" si="4"/>
        <v>28</v>
      </c>
      <c r="H50" s="105">
        <f t="shared" ca="1" si="6"/>
        <v>44953</v>
      </c>
      <c r="I50" s="133">
        <f ca="1">HLOOKUP($H$4,'Met Data'!$A$2:$F$368,G50,FALSE)</f>
        <v>18.524999999999999</v>
      </c>
      <c r="J50" s="133">
        <f ca="1">HLOOKUP($H$4,'Met Data'!$H$2:$M$368,G50,FALSE)*L50</f>
        <v>4.2166666666666597</v>
      </c>
      <c r="K50" s="106">
        <f ca="1">HLOOKUP($H$4,'Met Data'!$O$2:$T$368,G50,FALSE)</f>
        <v>3.2920480795367801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44998</v>
      </c>
      <c r="Q50">
        <f ca="1"/>
        <v>59.328064210467197</v>
      </c>
      <c r="R50">
        <f ca="1"/>
        <v>0.61509474196585101</v>
      </c>
      <c r="S50">
        <f ca="1"/>
        <v>1.9896723930815888E-5</v>
      </c>
      <c r="T50">
        <f ca="1"/>
        <v>0.38312499999999999</v>
      </c>
      <c r="U50">
        <f ca="1"/>
        <v>0</v>
      </c>
      <c r="V50">
        <f ca="1"/>
        <v>18.044406033828501</v>
      </c>
      <c r="W50">
        <f ca="1"/>
        <v>4.5895554477346501</v>
      </c>
      <c r="X50">
        <f ca="1"/>
        <v>0</v>
      </c>
      <c r="Y50">
        <f ca="1"/>
        <v>0.64126392948851219</v>
      </c>
      <c r="Z50">
        <f ca="1"/>
        <v>0</v>
      </c>
      <c r="AA50">
        <f ca="1"/>
        <v>0</v>
      </c>
      <c r="AB50">
        <f ca="1"/>
        <v>0.92903051825715699</v>
      </c>
      <c r="AD50" s="2">
        <f t="shared" ca="1" si="2"/>
        <v>44998</v>
      </c>
      <c r="AE50" s="46">
        <f t="shared" ca="1" si="3"/>
        <v>0</v>
      </c>
      <c r="AG50" s="72">
        <f t="shared" ca="1" si="7"/>
        <v>59.943158952433045</v>
      </c>
      <c r="AH50" s="72">
        <f t="shared" ca="1" si="8"/>
        <v>59.943158952433045</v>
      </c>
      <c r="AI50" s="3">
        <f t="shared" ca="1" si="9"/>
        <v>0</v>
      </c>
    </row>
    <row r="51" spans="1:35" x14ac:dyDescent="0.25">
      <c r="G51" s="3">
        <f t="shared" ca="1" si="4"/>
        <v>29</v>
      </c>
      <c r="H51" s="105">
        <f t="shared" ca="1" si="6"/>
        <v>44954</v>
      </c>
      <c r="I51" s="133">
        <f ca="1">HLOOKUP($H$4,'Met Data'!$A$2:$F$368,G51,FALSE)</f>
        <v>18.283333333333299</v>
      </c>
      <c r="J51" s="133">
        <f ca="1">HLOOKUP($H$4,'Met Data'!$H$2:$M$368,G51,FALSE)*L51</f>
        <v>0.96666666666666601</v>
      </c>
      <c r="K51" s="106">
        <f ca="1">HLOOKUP($H$4,'Met Data'!$O$2:$T$368,G51,FALSE)</f>
        <v>3.7580315328576899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44999</v>
      </c>
      <c r="Q51">
        <f ca="1"/>
        <v>59.06705974930783</v>
      </c>
      <c r="R51">
        <f ca="1"/>
        <v>0.65685457081742604</v>
      </c>
      <c r="S51">
        <f ca="1"/>
        <v>1.6776324719893285E-5</v>
      </c>
      <c r="T51">
        <f ca="1"/>
        <v>0.39583333333333254</v>
      </c>
      <c r="U51">
        <f ca="1"/>
        <v>0</v>
      </c>
      <c r="V51">
        <f ca="1"/>
        <v>18.701260604645999</v>
      </c>
      <c r="W51">
        <f ca="1"/>
        <v>4.7566249798773503</v>
      </c>
      <c r="X51">
        <f ca="1"/>
        <v>0</v>
      </c>
      <c r="Y51">
        <f ca="1"/>
        <v>0.62086182932253675</v>
      </c>
      <c r="Z51">
        <f ca="1"/>
        <v>0</v>
      </c>
      <c r="AA51">
        <f ca="1"/>
        <v>0</v>
      </c>
      <c r="AB51">
        <f ca="1"/>
        <v>0.94318020313352502</v>
      </c>
      <c r="AD51" s="2">
        <f t="shared" ca="1" si="2"/>
        <v>44999</v>
      </c>
      <c r="AE51" s="46">
        <f t="shared" ca="1" si="3"/>
        <v>0</v>
      </c>
      <c r="AG51" s="72">
        <f t="shared" ca="1" si="7"/>
        <v>59.723914320125253</v>
      </c>
      <c r="AH51" s="72">
        <f t="shared" ca="1" si="8"/>
        <v>59.723914320125253</v>
      </c>
      <c r="AI51" s="3">
        <f t="shared" ca="1" si="9"/>
        <v>0</v>
      </c>
    </row>
    <row r="52" spans="1:35" x14ac:dyDescent="0.25">
      <c r="G52" s="3">
        <f t="shared" ca="1" si="4"/>
        <v>30</v>
      </c>
      <c r="H52" s="105">
        <f t="shared" ca="1" si="6"/>
        <v>44955</v>
      </c>
      <c r="I52" s="133">
        <f ca="1">HLOOKUP($H$4,'Met Data'!$A$2:$F$368,G52,FALSE)</f>
        <v>18.95</v>
      </c>
      <c r="J52" s="133">
        <f ca="1">HLOOKUP($H$4,'Met Data'!$H$2:$M$368,G52,FALSE)*L52</f>
        <v>0.233333333333333</v>
      </c>
      <c r="K52" s="106">
        <f ca="1">HLOOKUP($H$4,'Met Data'!$O$2:$T$368,G52,FALSE)</f>
        <v>4.4825712398856101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45000</v>
      </c>
      <c r="Q52">
        <f ca="1"/>
        <v>58.762566472463838</v>
      </c>
      <c r="R52">
        <f ca="1"/>
        <v>0.728674505007323</v>
      </c>
      <c r="S52">
        <f ca="1"/>
        <v>1.4561496671083779E-5</v>
      </c>
      <c r="T52">
        <f ca="1"/>
        <v>0.42416666666666503</v>
      </c>
      <c r="U52">
        <f ca="1"/>
        <v>0</v>
      </c>
      <c r="V52">
        <f ca="1"/>
        <v>19.4299351096533</v>
      </c>
      <c r="W52">
        <f ca="1"/>
        <v>4.9419617561509499</v>
      </c>
      <c r="X52">
        <f ca="1"/>
        <v>0</v>
      </c>
      <c r="Y52">
        <f ca="1"/>
        <v>0.59963984032106787</v>
      </c>
      <c r="Z52">
        <f ca="1"/>
        <v>0</v>
      </c>
      <c r="AA52">
        <f ca="1"/>
        <v>0</v>
      </c>
      <c r="AB52">
        <f ca="1"/>
        <v>0.95537680844171302</v>
      </c>
      <c r="AD52" s="2">
        <f t="shared" ca="1" si="2"/>
        <v>45000</v>
      </c>
      <c r="AE52" s="46">
        <f t="shared" ca="1" si="3"/>
        <v>0</v>
      </c>
      <c r="AG52" s="72">
        <f t="shared" ca="1" si="7"/>
        <v>59.491240977471165</v>
      </c>
      <c r="AH52" s="72">
        <f t="shared" ca="1" si="8"/>
        <v>59.491240977471165</v>
      </c>
      <c r="AI52" s="3">
        <f t="shared" ca="1" si="9"/>
        <v>0</v>
      </c>
    </row>
    <row r="53" spans="1:35" x14ac:dyDescent="0.25">
      <c r="A53" s="1"/>
      <c r="B53" s="1"/>
      <c r="G53" s="3">
        <f t="shared" ca="1" si="4"/>
        <v>31</v>
      </c>
      <c r="H53" s="105">
        <f t="shared" ca="1" si="6"/>
        <v>44956</v>
      </c>
      <c r="I53" s="133">
        <f ca="1">HLOOKUP($H$4,'Met Data'!$A$2:$F$368,G53,FALSE)</f>
        <v>19.070833333333301</v>
      </c>
      <c r="J53" s="133">
        <f ca="1">HLOOKUP($H$4,'Met Data'!$H$2:$M$368,G53,FALSE)*L53</f>
        <v>1.45</v>
      </c>
      <c r="K53" s="106">
        <f ca="1">HLOOKUP($H$4,'Met Data'!$O$2:$T$368,G53,FALSE)</f>
        <v>4.1485395322845697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45001</v>
      </c>
      <c r="Q53">
        <f ca="1"/>
        <v>58.415366417881749</v>
      </c>
      <c r="R53">
        <f ca="1"/>
        <v>0.79137886482749698</v>
      </c>
      <c r="S53">
        <f ca="1"/>
        <v>1.2143578744081837E-5</v>
      </c>
      <c r="T53">
        <f ca="1"/>
        <v>0.44416666666666504</v>
      </c>
      <c r="U53">
        <f ca="1"/>
        <v>0</v>
      </c>
      <c r="V53">
        <f ca="1"/>
        <v>20.2213139744808</v>
      </c>
      <c r="W53">
        <f ca="1"/>
        <v>5.1432472500309903</v>
      </c>
      <c r="X53">
        <f ca="1"/>
        <v>0</v>
      </c>
      <c r="Y53">
        <f ca="1"/>
        <v>0.59892479784707253</v>
      </c>
      <c r="Z53">
        <f ca="1"/>
        <v>0</v>
      </c>
      <c r="AA53">
        <f ca="1"/>
        <v>0</v>
      </c>
      <c r="AB53">
        <f ca="1"/>
        <v>0.96545480094018099</v>
      </c>
      <c r="AD53" s="2">
        <f t="shared" ca="1" si="2"/>
        <v>45001</v>
      </c>
      <c r="AE53" s="46">
        <f t="shared" ca="1" si="3"/>
        <v>0</v>
      </c>
      <c r="AG53" s="72">
        <f t="shared" ca="1" si="7"/>
        <v>59.20674528270925</v>
      </c>
      <c r="AH53" s="72">
        <f t="shared" ca="1" si="8"/>
        <v>59.20674528270925</v>
      </c>
      <c r="AI53" s="3">
        <f t="shared" ca="1" si="9"/>
        <v>0</v>
      </c>
    </row>
    <row r="54" spans="1:35" x14ac:dyDescent="0.25">
      <c r="G54" s="3">
        <f t="shared" ca="1" si="4"/>
        <v>32</v>
      </c>
      <c r="H54" s="105">
        <f t="shared" ca="1" si="6"/>
        <v>44957</v>
      </c>
      <c r="I54" s="133">
        <f ca="1">HLOOKUP($H$4,'Met Data'!$A$2:$F$368,G54,FALSE)</f>
        <v>18.716666666666601</v>
      </c>
      <c r="J54" s="133">
        <f ca="1">HLOOKUP($H$4,'Met Data'!$H$2:$M$368,G54,FALSE)*L54</f>
        <v>1.6666666666666601E-2</v>
      </c>
      <c r="K54" s="106">
        <f ca="1">HLOOKUP($H$4,'Met Data'!$O$2:$T$368,G54,FALSE)</f>
        <v>3.9002627778438899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45002</v>
      </c>
      <c r="Q54">
        <f ca="1"/>
        <v>58.074927098715918</v>
      </c>
      <c r="R54">
        <f ca="1"/>
        <v>0.74294797743267804</v>
      </c>
      <c r="S54">
        <f ca="1"/>
        <v>8.6582668406613029E-6</v>
      </c>
      <c r="T54">
        <f ca="1"/>
        <v>0.40250000000000002</v>
      </c>
      <c r="U54">
        <f ca="1"/>
        <v>0</v>
      </c>
      <c r="V54">
        <f ca="1"/>
        <v>20.9642619519135</v>
      </c>
      <c r="W54">
        <f ca="1"/>
        <v>5.3322144529866904</v>
      </c>
      <c r="X54">
        <f ca="1"/>
        <v>0</v>
      </c>
      <c r="Y54">
        <f ca="1"/>
        <v>0.587712358740337</v>
      </c>
      <c r="Z54">
        <f ca="1"/>
        <v>0</v>
      </c>
      <c r="AA54">
        <f ca="1"/>
        <v>0</v>
      </c>
      <c r="AB54">
        <f ca="1"/>
        <v>0.97266339155510195</v>
      </c>
      <c r="AD54" s="2">
        <f t="shared" ca="1" si="2"/>
        <v>45002</v>
      </c>
      <c r="AE54" s="46">
        <f t="shared" ca="1" si="3"/>
        <v>0</v>
      </c>
      <c r="AG54" s="72">
        <f t="shared" ca="1" si="7"/>
        <v>58.817875076148596</v>
      </c>
      <c r="AH54" s="72">
        <f t="shared" ca="1" si="8"/>
        <v>58.817875076148596</v>
      </c>
      <c r="AI54" s="3">
        <f t="shared" ca="1" si="9"/>
        <v>0</v>
      </c>
    </row>
    <row r="55" spans="1:35" x14ac:dyDescent="0.25">
      <c r="G55" s="3">
        <f t="shared" ca="1" si="4"/>
        <v>33</v>
      </c>
      <c r="H55" s="105">
        <f t="shared" ca="1" si="6"/>
        <v>44958</v>
      </c>
      <c r="I55" s="133">
        <f ca="1">HLOOKUP($H$4,'Met Data'!$A$2:$F$368,G55,FALSE)</f>
        <v>18.720833333333299</v>
      </c>
      <c r="J55" s="133">
        <f ca="1">HLOOKUP($H$4,'Met Data'!$H$2:$M$368,G55,FALSE)*L55</f>
        <v>5.1333333333333302</v>
      </c>
      <c r="K55" s="106">
        <f ca="1">HLOOKUP($H$4,'Met Data'!$O$2:$T$368,G55,FALSE)</f>
        <v>3.3425533464765702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45003</v>
      </c>
      <c r="Q55">
        <f ca="1"/>
        <v>57.726150175586461</v>
      </c>
      <c r="R55">
        <f ca="1"/>
        <v>0.73326276252966605</v>
      </c>
      <c r="S55">
        <f ca="1"/>
        <v>6.6727335494008729E-6</v>
      </c>
      <c r="T55">
        <f ca="1"/>
        <v>0.38447916666666504</v>
      </c>
      <c r="U55">
        <f ca="1"/>
        <v>0</v>
      </c>
      <c r="V55">
        <f ca="1"/>
        <v>21.697524714443102</v>
      </c>
      <c r="W55">
        <f ca="1"/>
        <v>5.5187182425866297</v>
      </c>
      <c r="X55">
        <f ca="1"/>
        <v>0</v>
      </c>
      <c r="Y55">
        <f ca="1"/>
        <v>0.59597526713257654</v>
      </c>
      <c r="Z55">
        <f ca="1"/>
        <v>0</v>
      </c>
      <c r="AA55">
        <f ca="1"/>
        <v>0</v>
      </c>
      <c r="AB55">
        <f ca="1"/>
        <v>0.97817175004254098</v>
      </c>
      <c r="AD55" s="2">
        <f t="shared" ca="1" si="2"/>
        <v>45003</v>
      </c>
      <c r="AE55" s="46">
        <f t="shared" ca="1" si="3"/>
        <v>0</v>
      </c>
      <c r="AG55" s="72">
        <f t="shared" ca="1" si="7"/>
        <v>58.459412938116131</v>
      </c>
      <c r="AH55" s="72">
        <f t="shared" ca="1" si="8"/>
        <v>58.459412938116131</v>
      </c>
      <c r="AI55" s="3">
        <f t="shared" ca="1" si="9"/>
        <v>0</v>
      </c>
    </row>
    <row r="56" spans="1:35" x14ac:dyDescent="0.25">
      <c r="G56" s="3">
        <f t="shared" ca="1" si="4"/>
        <v>34</v>
      </c>
      <c r="H56" s="105">
        <f t="shared" ca="1" si="6"/>
        <v>44959</v>
      </c>
      <c r="I56" s="133">
        <f ca="1">HLOOKUP($H$4,'Met Data'!$A$2:$F$368,G56,FALSE)</f>
        <v>18.558333333333302</v>
      </c>
      <c r="J56" s="133">
        <f ca="1">HLOOKUP($H$4,'Met Data'!$H$2:$M$368,G56,FALSE)*L56</f>
        <v>5.1666666666666599</v>
      </c>
      <c r="K56" s="106">
        <f ca="1">HLOOKUP($H$4,'Met Data'!$O$2:$T$368,G56,FALSE)</f>
        <v>3.37031285883524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45004</v>
      </c>
      <c r="Q56">
        <f ca="1"/>
        <v>57.34171676369683</v>
      </c>
      <c r="R56">
        <f ca="1"/>
        <v>0.78089735603680299</v>
      </c>
      <c r="S56">
        <f ca="1"/>
        <v>5.610813833731021E-6</v>
      </c>
      <c r="T56">
        <f ca="1"/>
        <v>0.39645833333333252</v>
      </c>
      <c r="U56">
        <f ca="1"/>
        <v>0</v>
      </c>
      <c r="V56">
        <f ca="1"/>
        <v>22.478422070479901</v>
      </c>
      <c r="W56">
        <f ca="1"/>
        <v>5.7173377874916396</v>
      </c>
      <c r="X56">
        <f ca="1"/>
        <v>0</v>
      </c>
      <c r="Y56">
        <f ca="1"/>
        <v>0.57970944491672893</v>
      </c>
      <c r="Z56">
        <f ca="1"/>
        <v>0</v>
      </c>
      <c r="AA56">
        <f ca="1"/>
        <v>0</v>
      </c>
      <c r="AB56">
        <f ca="1"/>
        <v>0.98271255519367895</v>
      </c>
      <c r="AD56" s="2">
        <f t="shared" ca="1" si="2"/>
        <v>45004</v>
      </c>
      <c r="AE56" s="46">
        <f t="shared" ca="1" si="3"/>
        <v>0</v>
      </c>
      <c r="AG56" s="72">
        <f t="shared" ca="1" si="7"/>
        <v>58.122614119733633</v>
      </c>
      <c r="AH56" s="72">
        <f t="shared" ca="1" si="8"/>
        <v>58.122614119733633</v>
      </c>
      <c r="AI56" s="3">
        <f t="shared" ca="1" si="9"/>
        <v>0</v>
      </c>
    </row>
    <row r="57" spans="1:35" x14ac:dyDescent="0.25">
      <c r="G57" s="3">
        <f t="shared" ca="1" si="4"/>
        <v>35</v>
      </c>
      <c r="H57" s="105">
        <f t="shared" ca="1" si="6"/>
        <v>44960</v>
      </c>
      <c r="I57" s="133">
        <f ca="1">HLOOKUP($H$4,'Met Data'!$A$2:$F$368,G57,FALSE)</f>
        <v>18.841666666666601</v>
      </c>
      <c r="J57" s="133">
        <f ca="1">HLOOKUP($H$4,'Met Data'!$H$2:$M$368,G57,FALSE)*L57</f>
        <v>0.483333333333333</v>
      </c>
      <c r="K57" s="106">
        <f ca="1">HLOOKUP($H$4,'Met Data'!$O$2:$T$368,G57,FALSE)</f>
        <v>4.5373745966907704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45005</v>
      </c>
      <c r="Q57">
        <f ca="1"/>
        <v>56.921862108173549</v>
      </c>
      <c r="R57">
        <f ca="1"/>
        <v>0.82527596792080604</v>
      </c>
      <c r="S57">
        <f ca="1"/>
        <v>4.645730856773892E-6</v>
      </c>
      <c r="T57">
        <f ca="1"/>
        <v>0.40541666666666504</v>
      </c>
      <c r="U57">
        <f ca="1"/>
        <v>0</v>
      </c>
      <c r="V57">
        <f ca="1"/>
        <v>23.3036980384007</v>
      </c>
      <c r="W57">
        <f ca="1"/>
        <v>5.9272449358541097</v>
      </c>
      <c r="X57">
        <f ca="1"/>
        <v>0</v>
      </c>
      <c r="Y57">
        <f ca="1"/>
        <v>0.55761786921325818</v>
      </c>
      <c r="Z57">
        <f ca="1"/>
        <v>0</v>
      </c>
      <c r="AA57">
        <f ca="1"/>
        <v>0</v>
      </c>
      <c r="AB57">
        <f ca="1"/>
        <v>0.98639429012627999</v>
      </c>
      <c r="AD57" s="2">
        <f t="shared" ca="1" si="2"/>
        <v>45005</v>
      </c>
      <c r="AE57" s="46">
        <f t="shared" ca="1" si="3"/>
        <v>0</v>
      </c>
      <c r="AG57" s="72">
        <f t="shared" ca="1" si="7"/>
        <v>57.747138076094352</v>
      </c>
      <c r="AH57" s="72">
        <f t="shared" ca="1" si="8"/>
        <v>57.747138076094352</v>
      </c>
      <c r="AI57" s="3">
        <f t="shared" ca="1" si="9"/>
        <v>0</v>
      </c>
    </row>
    <row r="58" spans="1:35" x14ac:dyDescent="0.25">
      <c r="G58" s="3">
        <f t="shared" ca="1" si="4"/>
        <v>36</v>
      </c>
      <c r="H58" s="105">
        <f t="shared" ca="1" si="6"/>
        <v>44961</v>
      </c>
      <c r="I58" s="133">
        <f ca="1">HLOOKUP($H$4,'Met Data'!$A$2:$F$368,G58,FALSE)</f>
        <v>18.441666666666599</v>
      </c>
      <c r="J58" s="133">
        <f ca="1">HLOOKUP($H$4,'Met Data'!$H$2:$M$368,G58,FALSE)*L58</f>
        <v>4.8</v>
      </c>
      <c r="K58" s="106">
        <f ca="1">HLOOKUP($H$4,'Met Data'!$O$2:$T$368,G58,FALSE)</f>
        <v>3.5125215918157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45006</v>
      </c>
      <c r="Q58">
        <f ca="1"/>
        <v>56.466643802293753</v>
      </c>
      <c r="R58">
        <f ca="1"/>
        <v>0.86730544241276397</v>
      </c>
      <c r="S58">
        <f ca="1"/>
        <v>3.8031996342170607E-6</v>
      </c>
      <c r="T58">
        <f ca="1"/>
        <v>0.41208333333333247</v>
      </c>
      <c r="U58">
        <f ca="1"/>
        <v>0</v>
      </c>
      <c r="V58">
        <f ca="1"/>
        <v>24.1710034808135</v>
      </c>
      <c r="W58">
        <f ca="1"/>
        <v>6.1478421896851803</v>
      </c>
      <c r="X58">
        <f ca="1"/>
        <v>0</v>
      </c>
      <c r="Y58">
        <f ca="1"/>
        <v>0.54511609694953334</v>
      </c>
      <c r="Z58">
        <f ca="1"/>
        <v>0</v>
      </c>
      <c r="AA58">
        <f ca="1"/>
        <v>0</v>
      </c>
      <c r="AB58">
        <f ca="1"/>
        <v>0.98934271129704998</v>
      </c>
      <c r="AD58" s="2">
        <f t="shared" ca="1" si="2"/>
        <v>45006</v>
      </c>
      <c r="AE58" s="46">
        <f t="shared" ca="1" si="3"/>
        <v>0</v>
      </c>
      <c r="AG58" s="72">
        <f t="shared" ca="1" si="7"/>
        <v>57.333949244706517</v>
      </c>
      <c r="AH58" s="72">
        <f t="shared" ca="1" si="8"/>
        <v>57.333949244706517</v>
      </c>
      <c r="AI58" s="3">
        <f t="shared" ca="1" si="9"/>
        <v>0</v>
      </c>
    </row>
    <row r="59" spans="1:35" x14ac:dyDescent="0.25">
      <c r="G59" s="3">
        <f t="shared" ca="1" si="4"/>
        <v>37</v>
      </c>
      <c r="H59" s="105">
        <f t="shared" ca="1" si="6"/>
        <v>44962</v>
      </c>
      <c r="I59" s="133">
        <f ca="1">HLOOKUP($H$4,'Met Data'!$A$2:$F$368,G59,FALSE)</f>
        <v>17.975000000000001</v>
      </c>
      <c r="J59" s="133">
        <f ca="1">HLOOKUP($H$4,'Met Data'!$H$2:$M$368,G59,FALSE)*L59</f>
        <v>2.0166666666666599</v>
      </c>
      <c r="K59" s="106">
        <f ca="1">HLOOKUP($H$4,'Met Data'!$O$2:$T$368,G59,FALSE)</f>
        <v>3.7922889429532498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45007</v>
      </c>
      <c r="Q59">
        <f ca="1"/>
        <v>55.97601583781509</v>
      </c>
      <c r="R59">
        <f ca="1"/>
        <v>0.90761021831917799</v>
      </c>
      <c r="S59">
        <f ca="1"/>
        <v>3.0871738540231025E-6</v>
      </c>
      <c r="T59">
        <f ca="1"/>
        <v>0.41697916666666501</v>
      </c>
      <c r="U59">
        <f ca="1"/>
        <v>0</v>
      </c>
      <c r="V59">
        <f ca="1"/>
        <v>25.078613699132699</v>
      </c>
      <c r="W59">
        <f ca="1"/>
        <v>6.37869087564897</v>
      </c>
      <c r="X59">
        <f ca="1"/>
        <v>0</v>
      </c>
      <c r="Y59">
        <f ca="1"/>
        <v>0.53928964073059038</v>
      </c>
      <c r="Z59">
        <f ca="1"/>
        <v>0</v>
      </c>
      <c r="AA59">
        <f ca="1"/>
        <v>0</v>
      </c>
      <c r="AB59">
        <f ca="1"/>
        <v>0.99168186390713997</v>
      </c>
      <c r="AD59" s="2">
        <f t="shared" ca="1" si="2"/>
        <v>45007</v>
      </c>
      <c r="AE59" s="46">
        <f t="shared" ca="1" si="3"/>
        <v>0</v>
      </c>
      <c r="AG59" s="72">
        <f t="shared" ca="1" si="7"/>
        <v>56.883626056134268</v>
      </c>
      <c r="AH59" s="72">
        <f t="shared" ca="1" si="8"/>
        <v>56.883626056134268</v>
      </c>
      <c r="AI59" s="3">
        <f t="shared" ca="1" si="9"/>
        <v>0</v>
      </c>
    </row>
    <row r="60" spans="1:35" x14ac:dyDescent="0.25">
      <c r="G60" s="3">
        <f t="shared" ca="1" si="4"/>
        <v>38</v>
      </c>
      <c r="H60" s="105">
        <f t="shared" ca="1" si="6"/>
        <v>44963</v>
      </c>
      <c r="I60" s="133">
        <f ca="1">HLOOKUP($H$4,'Met Data'!$A$2:$F$368,G60,FALSE)</f>
        <v>17.383333333333301</v>
      </c>
      <c r="J60" s="133">
        <f ca="1">HLOOKUP($H$4,'Met Data'!$H$2:$M$368,G60,FALSE)*L60</f>
        <v>0.15</v>
      </c>
      <c r="K60" s="106">
        <f ca="1">HLOOKUP($H$4,'Met Data'!$O$2:$T$368,G60,FALSE)</f>
        <v>3.67022287265541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45008</v>
      </c>
      <c r="Q60">
        <f ca="1"/>
        <v>55.450500056708449</v>
      </c>
      <c r="R60">
        <f ca="1"/>
        <v>0.94551826827148799</v>
      </c>
      <c r="S60">
        <f ca="1"/>
        <v>2.4871648415663393E-6</v>
      </c>
      <c r="T60">
        <f ca="1"/>
        <v>0.42</v>
      </c>
      <c r="U60">
        <f ca="1"/>
        <v>0</v>
      </c>
      <c r="V60">
        <f ca="1"/>
        <v>26.024131967404202</v>
      </c>
      <c r="W60">
        <f ca="1"/>
        <v>6.6191813917093301</v>
      </c>
      <c r="X60">
        <f ca="1"/>
        <v>0</v>
      </c>
      <c r="Y60">
        <f ca="1"/>
        <v>0.53585248836645882</v>
      </c>
      <c r="Z60">
        <f ca="1"/>
        <v>0</v>
      </c>
      <c r="AA60">
        <f ca="1"/>
        <v>0</v>
      </c>
      <c r="AB60">
        <f ca="1"/>
        <v>0.99352264049274297</v>
      </c>
      <c r="AD60" s="2">
        <f t="shared" ca="1" si="2"/>
        <v>45008</v>
      </c>
      <c r="AE60" s="46">
        <f t="shared" ca="1" si="3"/>
        <v>0</v>
      </c>
      <c r="AG60" s="72">
        <f t="shared" ca="1" si="7"/>
        <v>56.396018324979934</v>
      </c>
      <c r="AH60" s="72">
        <f t="shared" ca="1" si="8"/>
        <v>56.396018324979934</v>
      </c>
      <c r="AI60" s="3">
        <f t="shared" ca="1" si="9"/>
        <v>0</v>
      </c>
    </row>
    <row r="61" spans="1:35" x14ac:dyDescent="0.25">
      <c r="G61" s="3">
        <f t="shared" ca="1" si="4"/>
        <v>39</v>
      </c>
      <c r="H61" s="105">
        <f t="shared" ca="1" si="6"/>
        <v>44964</v>
      </c>
      <c r="I61" s="133">
        <f ca="1">HLOOKUP($H$4,'Met Data'!$A$2:$F$368,G61,FALSE)</f>
        <v>17.0416666666666</v>
      </c>
      <c r="J61" s="133">
        <f ca="1">HLOOKUP($H$4,'Met Data'!$H$2:$M$368,G61,FALSE)*L61</f>
        <v>3.0166666666666599</v>
      </c>
      <c r="K61" s="106">
        <f ca="1">HLOOKUP($H$4,'Met Data'!$O$2:$T$368,G61,FALSE)</f>
        <v>3.8754357428809398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45009</v>
      </c>
      <c r="Q61">
        <f ca="1"/>
        <v>54.911905495887488</v>
      </c>
      <c r="R61">
        <f ca="1"/>
        <v>0.94453398008613099</v>
      </c>
      <c r="S61">
        <f ca="1"/>
        <v>1.9192651636525511E-6</v>
      </c>
      <c r="T61">
        <f ca="1"/>
        <v>0.40593750000000001</v>
      </c>
      <c r="U61">
        <f ca="1"/>
        <v>0</v>
      </c>
      <c r="V61">
        <f ca="1"/>
        <v>26.968665947490301</v>
      </c>
      <c r="W61">
        <f ca="1"/>
        <v>6.8594215562094902</v>
      </c>
      <c r="X61">
        <f ca="1"/>
        <v>0</v>
      </c>
      <c r="Y61">
        <f ca="1"/>
        <v>0.54959971606263869</v>
      </c>
      <c r="Z61">
        <f ca="1"/>
        <v>0</v>
      </c>
      <c r="AA61">
        <f ca="1"/>
        <v>0</v>
      </c>
      <c r="AB61">
        <f ca="1"/>
        <v>0.99491563013925899</v>
      </c>
      <c r="AD61" s="2">
        <f t="shared" ca="1" si="2"/>
        <v>45009</v>
      </c>
      <c r="AE61" s="46">
        <f t="shared" ca="1" si="3"/>
        <v>0</v>
      </c>
      <c r="AG61" s="72">
        <f t="shared" ca="1" si="7"/>
        <v>55.856439475973616</v>
      </c>
      <c r="AH61" s="72">
        <f t="shared" ca="1" si="8"/>
        <v>55.856439475973616</v>
      </c>
      <c r="AI61" s="3">
        <f t="shared" ca="1" si="9"/>
        <v>0</v>
      </c>
    </row>
    <row r="62" spans="1:35" x14ac:dyDescent="0.25">
      <c r="G62" s="3">
        <f t="shared" ca="1" si="4"/>
        <v>40</v>
      </c>
      <c r="H62" s="105">
        <f t="shared" ca="1" si="6"/>
        <v>44965</v>
      </c>
      <c r="I62" s="133">
        <f ca="1">HLOOKUP($H$4,'Met Data'!$A$2:$F$368,G62,FALSE)</f>
        <v>17.483333333333299</v>
      </c>
      <c r="J62" s="133">
        <f ca="1">HLOOKUP($H$4,'Met Data'!$H$2:$M$368,G62,FALSE)*L62</f>
        <v>2.69999999999999</v>
      </c>
      <c r="K62" s="106">
        <f ca="1">HLOOKUP($H$4,'Met Data'!$O$2:$T$368,G62,FALSE)</f>
        <v>3.8024866154372199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45010</v>
      </c>
      <c r="Q62">
        <f ca="1"/>
        <v>54.319384763598201</v>
      </c>
      <c r="R62">
        <f ca="1"/>
        <v>1.0143973382554701</v>
      </c>
      <c r="S62">
        <f ca="1"/>
        <v>1.6059661799807924E-6</v>
      </c>
      <c r="T62">
        <f ca="1"/>
        <v>0.421875</v>
      </c>
      <c r="U62">
        <f ca="1"/>
        <v>0</v>
      </c>
      <c r="V62">
        <f ca="1"/>
        <v>27.9830632857458</v>
      </c>
      <c r="W62">
        <f ca="1"/>
        <v>7.11743131398317</v>
      </c>
      <c r="X62">
        <f ca="1"/>
        <v>0</v>
      </c>
      <c r="Y62">
        <f ca="1"/>
        <v>0.55354571890041249</v>
      </c>
      <c r="Z62">
        <f ca="1"/>
        <v>0</v>
      </c>
      <c r="AA62">
        <f ca="1"/>
        <v>0</v>
      </c>
      <c r="AB62">
        <f ca="1"/>
        <v>0.99604807020153796</v>
      </c>
      <c r="AD62" s="2">
        <f t="shared" ca="1" si="2"/>
        <v>45010</v>
      </c>
      <c r="AE62" s="46">
        <f t="shared" ca="1" si="3"/>
        <v>0</v>
      </c>
      <c r="AG62" s="72">
        <f t="shared" ca="1" si="7"/>
        <v>55.333782101853672</v>
      </c>
      <c r="AH62" s="72">
        <f t="shared" ca="1" si="8"/>
        <v>55.333782101853672</v>
      </c>
      <c r="AI62" s="3">
        <f t="shared" ca="1" si="9"/>
        <v>0</v>
      </c>
    </row>
    <row r="63" spans="1:35" x14ac:dyDescent="0.25">
      <c r="G63" s="3">
        <f t="shared" ca="1" si="4"/>
        <v>41</v>
      </c>
      <c r="H63" s="105">
        <f t="shared" ca="1" si="6"/>
        <v>44966</v>
      </c>
      <c r="I63" s="133">
        <f ca="1">HLOOKUP($H$4,'Met Data'!$A$2:$F$368,G63,FALSE)</f>
        <v>17.5625</v>
      </c>
      <c r="J63" s="133">
        <f ca="1">HLOOKUP($H$4,'Met Data'!$H$2:$M$368,G63,FALSE)*L63</f>
        <v>0.51666666666666605</v>
      </c>
      <c r="K63" s="106">
        <f ca="1">HLOOKUP($H$4,'Met Data'!$O$2:$T$368,G63,FALSE)</f>
        <v>3.9226252937625699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45011</v>
      </c>
      <c r="Q63">
        <f ca="1"/>
        <v>53.686875352293491</v>
      </c>
      <c r="R63">
        <f ca="1"/>
        <v>1.0581357034472501</v>
      </c>
      <c r="S63">
        <f ca="1"/>
        <v>1.2921425443438789E-6</v>
      </c>
      <c r="T63">
        <f ca="1"/>
        <v>0.42562500000000003</v>
      </c>
      <c r="U63">
        <f ca="1"/>
        <v>0</v>
      </c>
      <c r="V63">
        <f ca="1"/>
        <v>29.041198989192999</v>
      </c>
      <c r="W63">
        <f ca="1"/>
        <v>7.3865658298599701</v>
      </c>
      <c r="X63">
        <f ca="1"/>
        <v>0</v>
      </c>
      <c r="Y63">
        <f ca="1"/>
        <v>0.56479526595209306</v>
      </c>
      <c r="Z63">
        <f ca="1"/>
        <v>0</v>
      </c>
      <c r="AA63">
        <f ca="1"/>
        <v>0</v>
      </c>
      <c r="AB63">
        <f ca="1"/>
        <v>0.99693594093447302</v>
      </c>
      <c r="AD63" s="2">
        <f t="shared" ca="1" si="2"/>
        <v>45011</v>
      </c>
      <c r="AE63" s="46">
        <f t="shared" ca="1" si="3"/>
        <v>0</v>
      </c>
      <c r="AG63" s="72">
        <f t="shared" ca="1" si="7"/>
        <v>54.74501105574074</v>
      </c>
      <c r="AH63" s="72">
        <f t="shared" ca="1" si="8"/>
        <v>54.74501105574074</v>
      </c>
      <c r="AI63" s="3">
        <f t="shared" ca="1" si="9"/>
        <v>0</v>
      </c>
    </row>
    <row r="64" spans="1:35" x14ac:dyDescent="0.25">
      <c r="G64" s="3">
        <f t="shared" ca="1" si="4"/>
        <v>42</v>
      </c>
      <c r="H64" s="105">
        <f t="shared" ca="1" si="6"/>
        <v>44967</v>
      </c>
      <c r="I64" s="133">
        <f ca="1">HLOOKUP($H$4,'Met Data'!$A$2:$F$368,G64,FALSE)</f>
        <v>17.7083333333333</v>
      </c>
      <c r="J64" s="133">
        <f ca="1">HLOOKUP($H$4,'Met Data'!$H$2:$M$368,G64,FALSE)*L64</f>
        <v>2.7333333333333298</v>
      </c>
      <c r="K64" s="106">
        <f ca="1">HLOOKUP($H$4,'Met Data'!$O$2:$T$368,G64,FALSE)</f>
        <v>3.6312925833969301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45012</v>
      </c>
      <c r="Q64">
        <f ca="1"/>
        <v>53.007515869637423</v>
      </c>
      <c r="R64">
        <f ca="1"/>
        <v>1.1118605274214299</v>
      </c>
      <c r="S64">
        <f ca="1"/>
        <v>1.0447653644549512E-6</v>
      </c>
      <c r="T64">
        <f ca="1"/>
        <v>0.4325</v>
      </c>
      <c r="U64">
        <f ca="1"/>
        <v>0</v>
      </c>
      <c r="V64">
        <f ca="1"/>
        <v>30.153059516614501</v>
      </c>
      <c r="W64">
        <f ca="1"/>
        <v>7.6693651379215</v>
      </c>
      <c r="X64">
        <f ca="1"/>
        <v>0</v>
      </c>
      <c r="Y64">
        <f ca="1"/>
        <v>0.55884429560914106</v>
      </c>
      <c r="Z64">
        <f ca="1"/>
        <v>0</v>
      </c>
      <c r="AA64">
        <f ca="1"/>
        <v>0</v>
      </c>
      <c r="AB64">
        <f ca="1"/>
        <v>0.99763456508215398</v>
      </c>
      <c r="AD64" s="2">
        <f t="shared" ca="1" si="2"/>
        <v>45012</v>
      </c>
      <c r="AE64" s="46">
        <f t="shared" ca="1" si="3"/>
        <v>0</v>
      </c>
      <c r="AG64" s="72">
        <f t="shared" ca="1" si="7"/>
        <v>54.119376397058851</v>
      </c>
      <c r="AH64" s="72">
        <f t="shared" ca="1" si="8"/>
        <v>54.119376397058851</v>
      </c>
      <c r="AI64" s="3">
        <f t="shared" ca="1" si="9"/>
        <v>0</v>
      </c>
    </row>
    <row r="65" spans="7:35" x14ac:dyDescent="0.25">
      <c r="G65" s="3">
        <f t="shared" ca="1" si="4"/>
        <v>43</v>
      </c>
      <c r="H65" s="105">
        <f t="shared" ca="1" si="6"/>
        <v>44968</v>
      </c>
      <c r="I65" s="133">
        <f ca="1">HLOOKUP($H$4,'Met Data'!$A$2:$F$368,G65,FALSE)</f>
        <v>17.654166666666601</v>
      </c>
      <c r="J65" s="133">
        <f ca="1">HLOOKUP($H$4,'Met Data'!$H$2:$M$368,G65,FALSE)*L65</f>
        <v>5.3166666666666602</v>
      </c>
      <c r="K65" s="106">
        <f ca="1">HLOOKUP($H$4,'Met Data'!$O$2:$T$368,G65,FALSE)</f>
        <v>3.7825096271499201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45013</v>
      </c>
      <c r="Q65">
        <f ca="1"/>
        <v>52.346244114112771</v>
      </c>
      <c r="R65">
        <f ca="1"/>
        <v>1.0608558537224499</v>
      </c>
      <c r="S65">
        <f ca="1"/>
        <v>7.6486446987239252E-7</v>
      </c>
      <c r="T65">
        <f ca="1"/>
        <v>0.39958333333333251</v>
      </c>
      <c r="U65">
        <f ca="1"/>
        <v>0</v>
      </c>
      <c r="V65">
        <f ca="1"/>
        <v>31.213915370336899</v>
      </c>
      <c r="W65">
        <f ca="1"/>
        <v>7.93919151810743</v>
      </c>
      <c r="X65">
        <f ca="1"/>
        <v>0</v>
      </c>
      <c r="Y65">
        <f ca="1"/>
        <v>0.5503712076014492</v>
      </c>
      <c r="Z65">
        <f ca="1"/>
        <v>0</v>
      </c>
      <c r="AA65">
        <f ca="1"/>
        <v>0</v>
      </c>
      <c r="AB65">
        <f ca="1"/>
        <v>0.99813784297304398</v>
      </c>
      <c r="AD65" s="2">
        <f t="shared" ca="1" si="2"/>
        <v>45013</v>
      </c>
      <c r="AE65" s="46">
        <f t="shared" ca="1" si="3"/>
        <v>0</v>
      </c>
      <c r="AG65" s="72">
        <f t="shared" ca="1" si="7"/>
        <v>53.407099967835222</v>
      </c>
      <c r="AH65" s="72">
        <f t="shared" ca="1" si="8"/>
        <v>53.407099967835222</v>
      </c>
      <c r="AI65" s="3">
        <f t="shared" ca="1" si="9"/>
        <v>0</v>
      </c>
    </row>
    <row r="66" spans="7:35" x14ac:dyDescent="0.25">
      <c r="G66" s="3">
        <f t="shared" ca="1" si="4"/>
        <v>44</v>
      </c>
      <c r="H66" s="105">
        <f t="shared" ca="1" si="6"/>
        <v>44969</v>
      </c>
      <c r="I66" s="133">
        <f ca="1">HLOOKUP($H$4,'Met Data'!$A$2:$F$368,G66,FALSE)</f>
        <v>18.245833333333302</v>
      </c>
      <c r="J66" s="133">
        <f ca="1">HLOOKUP($H$4,'Met Data'!$H$2:$M$368,G66,FALSE)*L66</f>
        <v>1.8</v>
      </c>
      <c r="K66" s="106">
        <f ca="1">HLOOKUP($H$4,'Met Data'!$O$2:$T$368,G66,FALSE)</f>
        <v>3.5345089397679601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45014</v>
      </c>
      <c r="Q66">
        <f ca="1"/>
        <v>51.633202738481828</v>
      </c>
      <c r="R66">
        <f ca="1"/>
        <v>1.1231461767370099</v>
      </c>
      <c r="S66">
        <f ca="1"/>
        <v>6.3443940561438023E-7</v>
      </c>
      <c r="T66">
        <f ca="1"/>
        <v>0.41010416666666499</v>
      </c>
      <c r="U66">
        <f ca="1"/>
        <v>0</v>
      </c>
      <c r="V66">
        <f ca="1"/>
        <v>32.337061547073901</v>
      </c>
      <c r="W66">
        <f ca="1"/>
        <v>8.2248613065383704</v>
      </c>
      <c r="X66">
        <f ca="1"/>
        <v>0</v>
      </c>
      <c r="Y66">
        <f ca="1"/>
        <v>0.5502768160409045</v>
      </c>
      <c r="Z66">
        <f ca="1"/>
        <v>0</v>
      </c>
      <c r="AA66">
        <f ca="1"/>
        <v>0</v>
      </c>
      <c r="AB66">
        <f ca="1"/>
        <v>0.99854340864792901</v>
      </c>
      <c r="AD66" s="2">
        <f t="shared" ca="1" si="2"/>
        <v>45014</v>
      </c>
      <c r="AE66" s="46">
        <f t="shared" ca="1" si="3"/>
        <v>0</v>
      </c>
      <c r="AG66" s="72">
        <f t="shared" ca="1" si="7"/>
        <v>52.756348915218837</v>
      </c>
      <c r="AH66" s="72">
        <f t="shared" ca="1" si="8"/>
        <v>52.756348915218837</v>
      </c>
      <c r="AI66" s="3">
        <f t="shared" ca="1" si="9"/>
        <v>0</v>
      </c>
    </row>
    <row r="67" spans="7:35" x14ac:dyDescent="0.25">
      <c r="G67" s="3">
        <f t="shared" ca="1" si="4"/>
        <v>45</v>
      </c>
      <c r="H67" s="105">
        <f t="shared" ca="1" si="6"/>
        <v>44970</v>
      </c>
      <c r="I67" s="133">
        <f ca="1">HLOOKUP($H$4,'Met Data'!$A$2:$F$368,G67,FALSE)</f>
        <v>18.674999999999901</v>
      </c>
      <c r="J67" s="133">
        <f ca="1">HLOOKUP($H$4,'Met Data'!$H$2:$M$368,G67,FALSE)*L67</f>
        <v>0.44999999999999901</v>
      </c>
      <c r="K67" s="106">
        <f ca="1">HLOOKUP($H$4,'Met Data'!$O$2:$T$368,G67,FALSE)</f>
        <v>3.2860966338213999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45015</v>
      </c>
      <c r="Q67">
        <f ca="1"/>
        <v>50.874060409395675</v>
      </c>
      <c r="R67">
        <f ca="1"/>
        <v>1.1748720122918299</v>
      </c>
      <c r="S67">
        <f ca="1"/>
        <v>5.1653901051541447E-7</v>
      </c>
      <c r="T67">
        <f ca="1"/>
        <v>0.41572916666666504</v>
      </c>
      <c r="U67">
        <f ca="1"/>
        <v>0</v>
      </c>
      <c r="V67">
        <f ca="1"/>
        <v>33.511933559365701</v>
      </c>
      <c r="W67">
        <f ca="1"/>
        <v>8.5236874487952008</v>
      </c>
      <c r="X67">
        <f ca="1"/>
        <v>0</v>
      </c>
      <c r="Y67">
        <f ca="1"/>
        <v>0.54778999052662802</v>
      </c>
      <c r="Z67">
        <f ca="1"/>
        <v>0</v>
      </c>
      <c r="AA67">
        <f ca="1"/>
        <v>0</v>
      </c>
      <c r="AB67">
        <f ca="1"/>
        <v>0.99886457941401796</v>
      </c>
      <c r="AD67" s="2">
        <f t="shared" ca="1" si="2"/>
        <v>45015</v>
      </c>
      <c r="AE67" s="46">
        <f t="shared" ca="1" si="3"/>
        <v>0</v>
      </c>
      <c r="AG67" s="72">
        <f t="shared" ca="1" si="7"/>
        <v>52.048932421687503</v>
      </c>
      <c r="AH67" s="72">
        <f t="shared" ca="1" si="8"/>
        <v>52.048932421687503</v>
      </c>
      <c r="AI67" s="3">
        <f t="shared" ca="1" si="9"/>
        <v>0</v>
      </c>
    </row>
    <row r="68" spans="7:35" x14ac:dyDescent="0.25">
      <c r="G68" s="3">
        <f t="shared" ca="1" si="4"/>
        <v>46</v>
      </c>
      <c r="H68" s="105">
        <f t="shared" ca="1" si="6"/>
        <v>44971</v>
      </c>
      <c r="I68" s="133">
        <f ca="1">HLOOKUP($H$4,'Met Data'!$A$2:$F$368,G68,FALSE)</f>
        <v>18.670833333333299</v>
      </c>
      <c r="J68" s="133">
        <f ca="1">HLOOKUP($H$4,'Met Data'!$H$2:$M$368,G68,FALSE)*L68</f>
        <v>1.13333333333333</v>
      </c>
      <c r="K68" s="106">
        <f ca="1">HLOOKUP($H$4,'Met Data'!$O$2:$T$368,G68,FALSE)</f>
        <v>3.8932908527116399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45016</v>
      </c>
      <c r="Q68">
        <f ca="1"/>
        <v>50.102862347737563</v>
      </c>
      <c r="R68">
        <f ca="1"/>
        <v>1.17401096227548</v>
      </c>
      <c r="S68">
        <f ca="1"/>
        <v>4.006173736631504E-7</v>
      </c>
      <c r="T68">
        <f ca="1"/>
        <v>0.40281249999999752</v>
      </c>
      <c r="U68">
        <f ca="1"/>
        <v>0</v>
      </c>
      <c r="V68">
        <f ca="1"/>
        <v>34.685944521641197</v>
      </c>
      <c r="W68">
        <f ca="1"/>
        <v>8.8222945848522301</v>
      </c>
      <c r="X68">
        <f ca="1"/>
        <v>0</v>
      </c>
      <c r="Y68">
        <f ca="1"/>
        <v>0.54460842211821536</v>
      </c>
      <c r="Z68">
        <f ca="1"/>
        <v>0</v>
      </c>
      <c r="AA68">
        <f ca="1"/>
        <v>0</v>
      </c>
      <c r="AB68">
        <f ca="1"/>
        <v>0.99910811774406205</v>
      </c>
      <c r="AD68" s="2">
        <f t="shared" ca="1" si="2"/>
        <v>45016</v>
      </c>
      <c r="AE68" s="46">
        <f t="shared" ca="1" si="3"/>
        <v>0</v>
      </c>
      <c r="AG68" s="72">
        <f t="shared" ca="1" si="7"/>
        <v>51.276873310013045</v>
      </c>
      <c r="AH68" s="72">
        <f t="shared" ca="1" si="8"/>
        <v>51.276873310013045</v>
      </c>
      <c r="AI68" s="3">
        <f t="shared" ca="1" si="9"/>
        <v>0</v>
      </c>
    </row>
    <row r="69" spans="7:35" x14ac:dyDescent="0.25">
      <c r="G69" s="3">
        <f t="shared" ca="1" si="4"/>
        <v>47</v>
      </c>
      <c r="H69" s="105">
        <f t="shared" ca="1" si="6"/>
        <v>44972</v>
      </c>
      <c r="I69" s="133">
        <f ca="1">HLOOKUP($H$4,'Met Data'!$A$2:$F$368,G69,FALSE)</f>
        <v>18.1666666666666</v>
      </c>
      <c r="J69" s="133">
        <f ca="1">HLOOKUP($H$4,'Met Data'!$H$2:$M$368,G69,FALSE)*L69</f>
        <v>1.7333333333333301</v>
      </c>
      <c r="K69" s="106">
        <f ca="1">HLOOKUP($H$4,'Met Data'!$O$2:$T$368,G69,FALSE)</f>
        <v>3.7918051722380999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45017</v>
      </c>
      <c r="Q69">
        <f ca="1"/>
        <v>49.308647289643211</v>
      </c>
      <c r="R69">
        <f ca="1"/>
        <v>1.1907778762382699</v>
      </c>
      <c r="S69">
        <f ca="1"/>
        <v>3.1814391595544663E-7</v>
      </c>
      <c r="T69">
        <f ca="1"/>
        <v>0.39656249999999998</v>
      </c>
      <c r="U69">
        <f ca="1"/>
        <v>0</v>
      </c>
      <c r="V69">
        <f ca="1"/>
        <v>35.876722397879497</v>
      </c>
      <c r="W69">
        <f ca="1"/>
        <v>9.1251663490258696</v>
      </c>
      <c r="X69">
        <f ca="1"/>
        <v>0</v>
      </c>
      <c r="Y69">
        <f ca="1"/>
        <v>0.53641406834752914</v>
      </c>
      <c r="Z69">
        <f ca="1"/>
        <v>0</v>
      </c>
      <c r="AA69">
        <f ca="1"/>
        <v>0</v>
      </c>
      <c r="AB69">
        <f ca="1"/>
        <v>0.999296825840988</v>
      </c>
      <c r="AD69" s="2">
        <f t="shared" ca="1" si="2"/>
        <v>45017</v>
      </c>
      <c r="AE69" s="46">
        <f t="shared" ca="1" si="3"/>
        <v>0</v>
      </c>
      <c r="AG69" s="72">
        <f t="shared" ca="1" si="7"/>
        <v>50.499425165881483</v>
      </c>
      <c r="AH69" s="72">
        <f t="shared" ca="1" si="8"/>
        <v>50.499425165881483</v>
      </c>
      <c r="AI69" s="3">
        <f t="shared" ca="1" si="9"/>
        <v>0</v>
      </c>
    </row>
    <row r="70" spans="7:35" x14ac:dyDescent="0.25">
      <c r="G70" s="3">
        <f t="shared" ca="1" si="4"/>
        <v>48</v>
      </c>
      <c r="H70" s="105">
        <f t="shared" ca="1" si="6"/>
        <v>44973</v>
      </c>
      <c r="I70" s="133">
        <f ca="1">HLOOKUP($H$4,'Met Data'!$A$2:$F$368,G70,FALSE)</f>
        <v>17.879166666666599</v>
      </c>
      <c r="J70" s="133">
        <f ca="1">HLOOKUP($H$4,'Met Data'!$H$2:$M$368,G70,FALSE)*L70</f>
        <v>0.73333333333333295</v>
      </c>
      <c r="K70" s="106">
        <f ca="1">HLOOKUP($H$4,'Met Data'!$O$2:$T$368,G70,FALSE)</f>
        <v>3.8813294167315999</v>
      </c>
      <c r="L70">
        <f t="shared" ref="L70:L133" ca="1" si="10">IF(H70&lt;$B$27,$J$3,$J$4)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45018</v>
      </c>
      <c r="Q70">
        <f ca="1"/>
        <v>48.509065922472047</v>
      </c>
      <c r="R70">
        <f ca="1"/>
        <v>1.1820816156221601</v>
      </c>
      <c r="S70">
        <f ca="1"/>
        <v>2.4845099383866874E-7</v>
      </c>
      <c r="T70">
        <f ca="1"/>
        <v>0.38249999999999751</v>
      </c>
      <c r="U70">
        <f ca="1"/>
        <v>0</v>
      </c>
      <c r="V70">
        <f ca="1"/>
        <v>37.0588040135016</v>
      </c>
      <c r="W70">
        <f ca="1"/>
        <v>9.4258262382167306</v>
      </c>
      <c r="X70">
        <f ca="1"/>
        <v>0</v>
      </c>
      <c r="Y70">
        <f ca="1"/>
        <v>0.52171483015396214</v>
      </c>
      <c r="Z70">
        <f ca="1"/>
        <v>0</v>
      </c>
      <c r="AA70">
        <f ca="1"/>
        <v>0</v>
      </c>
      <c r="AB70">
        <f ca="1"/>
        <v>0.99944093416728497</v>
      </c>
      <c r="AD70" s="2">
        <f t="shared" ref="AD70:AD133" ca="1" si="12">IFERROR(P70,$AD$4)</f>
        <v>45018</v>
      </c>
      <c r="AE70" s="46">
        <f t="shared" ref="AE70:AE133" ca="1" si="13">IFERROR(U70,0)</f>
        <v>0</v>
      </c>
      <c r="AG70" s="72">
        <f t="shared" ca="1" si="7"/>
        <v>49.691147538094206</v>
      </c>
      <c r="AH70" s="72">
        <f t="shared" ca="1" si="8"/>
        <v>49.691147538094206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49</v>
      </c>
      <c r="H71" s="105">
        <f t="shared" ca="1" si="6"/>
        <v>44974</v>
      </c>
      <c r="I71" s="133">
        <f ca="1">HLOOKUP($H$4,'Met Data'!$A$2:$F$368,G71,FALSE)</f>
        <v>18.2083333333333</v>
      </c>
      <c r="J71" s="133">
        <f ca="1">HLOOKUP($H$4,'Met Data'!$H$2:$M$368,G71,FALSE)*L71</f>
        <v>2.8833333333333302</v>
      </c>
      <c r="K71" s="106">
        <f ca="1">HLOOKUP($H$4,'Met Data'!$O$2:$T$368,G71,FALSE)</f>
        <v>3.5062121478789399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45019</v>
      </c>
      <c r="Q71">
        <f ca="1"/>
        <v>47.622170255694925</v>
      </c>
      <c r="R71">
        <f ca="1"/>
        <v>1.29356254909449</v>
      </c>
      <c r="S71">
        <f ca="1"/>
        <v>2.1565069932136451E-7</v>
      </c>
      <c r="T71">
        <f ca="1"/>
        <v>0.40666666666666501</v>
      </c>
      <c r="U71">
        <f ca="1"/>
        <v>0</v>
      </c>
      <c r="V71">
        <f ca="1"/>
        <v>38.352366562596103</v>
      </c>
      <c r="W71">
        <f ca="1"/>
        <v>9.7548410604864095</v>
      </c>
      <c r="X71">
        <f ca="1"/>
        <v>0</v>
      </c>
      <c r="Y71">
        <f ca="1"/>
        <v>0.53982220405827519</v>
      </c>
      <c r="Z71">
        <f ca="1"/>
        <v>0</v>
      </c>
      <c r="AA71">
        <f ca="1"/>
        <v>0</v>
      </c>
      <c r="AB71">
        <f ca="1"/>
        <v>0.99956191722310295</v>
      </c>
      <c r="AD71" s="2">
        <f t="shared" ca="1" si="12"/>
        <v>45019</v>
      </c>
      <c r="AE71" s="46">
        <f t="shared" ca="1" si="13"/>
        <v>0</v>
      </c>
      <c r="AG71" s="72">
        <f t="shared" ca="1" si="7"/>
        <v>48.915732804789414</v>
      </c>
      <c r="AH71" s="72">
        <f t="shared" ca="1" si="8"/>
        <v>48.915732804789414</v>
      </c>
      <c r="AI71" s="3">
        <f t="shared" ca="1" si="9"/>
        <v>0</v>
      </c>
    </row>
    <row r="72" spans="7:35" x14ac:dyDescent="0.25">
      <c r="G72" s="3">
        <f t="shared" ca="1" si="14"/>
        <v>50</v>
      </c>
      <c r="H72" s="105">
        <f t="shared" ref="H72:H135" ca="1" si="16">H71+1</f>
        <v>44975</v>
      </c>
      <c r="I72" s="133">
        <f ca="1">HLOOKUP($H$4,'Met Data'!$A$2:$F$368,G72,FALSE)</f>
        <v>18.529166666666601</v>
      </c>
      <c r="J72" s="133">
        <f ca="1">HLOOKUP($H$4,'Met Data'!$H$2:$M$368,G72,FALSE)*L72</f>
        <v>2.85</v>
      </c>
      <c r="K72" s="106">
        <f ca="1">HLOOKUP($H$4,'Met Data'!$O$2:$T$368,G72,FALSE)</f>
        <v>3.5342235016405201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45020</v>
      </c>
      <c r="Q72">
        <f ca="1"/>
        <v>46.711657435558607</v>
      </c>
      <c r="R72">
        <f ca="1"/>
        <v>1.3107213242690701</v>
      </c>
      <c r="S72">
        <f ca="1"/>
        <v>1.7079941940849197E-7</v>
      </c>
      <c r="T72">
        <f ca="1"/>
        <v>0.4002083333333325</v>
      </c>
      <c r="U72">
        <f ca="1"/>
        <v>0</v>
      </c>
      <c r="V72">
        <f ca="1"/>
        <v>39.663087886865199</v>
      </c>
      <c r="W72">
        <f ca="1"/>
        <v>10.0882201799201</v>
      </c>
      <c r="X72">
        <f ca="1"/>
        <v>0</v>
      </c>
      <c r="Y72">
        <f ca="1"/>
        <v>0.56811327307264503</v>
      </c>
      <c r="Z72">
        <f ca="1"/>
        <v>0</v>
      </c>
      <c r="AA72">
        <f ca="1"/>
        <v>0</v>
      </c>
      <c r="AB72">
        <f ca="1"/>
        <v>0.99965539608413401</v>
      </c>
      <c r="AD72" s="2">
        <f t="shared" ca="1" si="12"/>
        <v>45020</v>
      </c>
      <c r="AE72" s="46">
        <f t="shared" ca="1" si="13"/>
        <v>0</v>
      </c>
      <c r="AG72" s="72">
        <f t="shared" ref="AG72:AG135" ca="1" si="17">Q71+S72+T72+U72</f>
        <v>48.022378759827674</v>
      </c>
      <c r="AH72" s="72">
        <f t="shared" ref="AH72:AH135" ca="1" si="18">Q72+R72+X72</f>
        <v>48.022378759827674</v>
      </c>
      <c r="AI72" s="3">
        <f t="shared" ref="AI72:AI135" ca="1" si="19">AH72-AG72</f>
        <v>0</v>
      </c>
    </row>
    <row r="73" spans="7:35" x14ac:dyDescent="0.25">
      <c r="G73" s="3">
        <f t="shared" ca="1" si="14"/>
        <v>51</v>
      </c>
      <c r="H73" s="105">
        <f t="shared" ca="1" si="16"/>
        <v>44976</v>
      </c>
      <c r="I73" s="133">
        <f ca="1">HLOOKUP($H$4,'Met Data'!$A$2:$F$368,G73,FALSE)</f>
        <v>18.925000000000001</v>
      </c>
      <c r="J73" s="133">
        <f ca="1">HLOOKUP($H$4,'Met Data'!$H$2:$M$368,G73,FALSE)*L73</f>
        <v>3.86666666666666</v>
      </c>
      <c r="K73" s="106">
        <f ca="1">HLOOKUP($H$4,'Met Data'!$O$2:$T$368,G73,FALSE)</f>
        <v>3.6338116563958698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45021</v>
      </c>
      <c r="Q73">
        <f ca="1"/>
        <v>45.835518912447583</v>
      </c>
      <c r="R73">
        <f ca="1"/>
        <v>1.2463469840894299</v>
      </c>
      <c r="S73">
        <f ca="1"/>
        <v>1.276450745031726E-7</v>
      </c>
      <c r="T73">
        <f ca="1"/>
        <v>0.37020833333333253</v>
      </c>
      <c r="U73">
        <f ca="1"/>
        <v>0</v>
      </c>
      <c r="V73">
        <f ca="1"/>
        <v>40.909434870954598</v>
      </c>
      <c r="W73">
        <f ca="1"/>
        <v>10.405225825873201</v>
      </c>
      <c r="X73">
        <f ca="1"/>
        <v>0</v>
      </c>
      <c r="Y73">
        <f ca="1"/>
        <v>0.58206832999878932</v>
      </c>
      <c r="Z73">
        <f ca="1"/>
        <v>0</v>
      </c>
      <c r="AA73">
        <f ca="1"/>
        <v>0</v>
      </c>
      <c r="AB73">
        <f ca="1"/>
        <v>0.99972401205977102</v>
      </c>
      <c r="AD73" s="2">
        <f t="shared" ca="1" si="12"/>
        <v>45021</v>
      </c>
      <c r="AE73" s="46">
        <f t="shared" ca="1" si="13"/>
        <v>0</v>
      </c>
      <c r="AG73" s="72">
        <f t="shared" ca="1" si="17"/>
        <v>47.08186589653701</v>
      </c>
      <c r="AH73" s="72">
        <f t="shared" ca="1" si="18"/>
        <v>47.08186589653701</v>
      </c>
      <c r="AI73" s="3">
        <f t="shared" ca="1" si="19"/>
        <v>0</v>
      </c>
    </row>
    <row r="74" spans="7:35" x14ac:dyDescent="0.25">
      <c r="G74" s="3">
        <f t="shared" ca="1" si="14"/>
        <v>52</v>
      </c>
      <c r="H74" s="105">
        <f t="shared" ca="1" si="16"/>
        <v>44977</v>
      </c>
      <c r="I74" s="133">
        <f ca="1">HLOOKUP($H$4,'Met Data'!$A$2:$F$368,G74,FALSE)</f>
        <v>19.195833333333301</v>
      </c>
      <c r="J74" s="133">
        <f ca="1">HLOOKUP($H$4,'Met Data'!$H$2:$M$368,G74,FALSE)*L74</f>
        <v>1.18333333333333</v>
      </c>
      <c r="K74" s="106">
        <f ca="1">HLOOKUP($H$4,'Met Data'!$O$2:$T$368,G74,FALSE)</f>
        <v>3.7477053916930299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45022</v>
      </c>
      <c r="Q74">
        <f ca="1"/>
        <v>44.959102745536022</v>
      </c>
      <c r="R74">
        <f ca="1"/>
        <v>1.2334996014862001</v>
      </c>
      <c r="S74">
        <f ca="1"/>
        <v>1.0124130654216402E-7</v>
      </c>
      <c r="T74">
        <f ca="1"/>
        <v>0.35708333333333253</v>
      </c>
      <c r="U74">
        <f ca="1"/>
        <v>0</v>
      </c>
      <c r="V74">
        <f ca="1"/>
        <v>42.1429344724408</v>
      </c>
      <c r="W74">
        <f ca="1"/>
        <v>10.718963767990401</v>
      </c>
      <c r="X74">
        <f ca="1"/>
        <v>0</v>
      </c>
      <c r="Y74">
        <f ca="1"/>
        <v>0.57349881371485323</v>
      </c>
      <c r="Z74">
        <f ca="1"/>
        <v>0</v>
      </c>
      <c r="AA74">
        <f ca="1"/>
        <v>0</v>
      </c>
      <c r="AB74">
        <f ca="1"/>
        <v>0.99977722158890903</v>
      </c>
      <c r="AD74" s="2">
        <f t="shared" ca="1" si="12"/>
        <v>45022</v>
      </c>
      <c r="AE74" s="46">
        <f t="shared" ca="1" si="13"/>
        <v>0</v>
      </c>
      <c r="AG74" s="72">
        <f t="shared" ca="1" si="17"/>
        <v>46.192602347022223</v>
      </c>
      <c r="AH74" s="72">
        <f t="shared" ca="1" si="18"/>
        <v>46.192602347022223</v>
      </c>
      <c r="AI74" s="3">
        <f t="shared" ca="1" si="19"/>
        <v>0</v>
      </c>
    </row>
    <row r="75" spans="7:35" x14ac:dyDescent="0.25">
      <c r="G75" s="3">
        <f t="shared" ca="1" si="14"/>
        <v>53</v>
      </c>
      <c r="H75" s="105">
        <f t="shared" ca="1" si="16"/>
        <v>44978</v>
      </c>
      <c r="I75" s="133">
        <f ca="1">HLOOKUP($H$4,'Met Data'!$A$2:$F$368,G75,FALSE)</f>
        <v>18.945833333333301</v>
      </c>
      <c r="J75" s="133">
        <f ca="1">HLOOKUP($H$4,'Met Data'!$H$2:$M$368,G75,FALSE)*L75</f>
        <v>1.3333333333333299</v>
      </c>
      <c r="K75" s="106">
        <f ca="1">HLOOKUP($H$4,'Met Data'!$O$2:$T$368,G75,FALSE)</f>
        <v>3.7395681594102799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45023</v>
      </c>
      <c r="Q75">
        <f ca="1"/>
        <v>44.117646241460037</v>
      </c>
      <c r="R75">
        <f ca="1"/>
        <v>1.17291491527786</v>
      </c>
      <c r="S75">
        <f ca="1"/>
        <v>7.7868540047801556E-8</v>
      </c>
      <c r="T75">
        <f ca="1"/>
        <v>0.33145833333333252</v>
      </c>
      <c r="U75">
        <f ca="1"/>
        <v>0</v>
      </c>
      <c r="V75">
        <f ca="1"/>
        <v>43.3158493877187</v>
      </c>
      <c r="W75">
        <f ca="1"/>
        <v>11.017292126876301</v>
      </c>
      <c r="X75">
        <f ca="1"/>
        <v>0</v>
      </c>
      <c r="Y75">
        <f ca="1"/>
        <v>0.56714766060206434</v>
      </c>
      <c r="Z75">
        <f ca="1"/>
        <v>0</v>
      </c>
      <c r="AA75">
        <f ca="1"/>
        <v>0</v>
      </c>
      <c r="AB75">
        <f ca="1"/>
        <v>0.99981738889945304</v>
      </c>
      <c r="AD75" s="2">
        <f t="shared" ca="1" si="12"/>
        <v>45023</v>
      </c>
      <c r="AE75" s="46">
        <f t="shared" ca="1" si="13"/>
        <v>0</v>
      </c>
      <c r="AG75" s="72">
        <f t="shared" ca="1" si="17"/>
        <v>45.290561156737894</v>
      </c>
      <c r="AH75" s="72">
        <f t="shared" ca="1" si="18"/>
        <v>45.290561156737894</v>
      </c>
      <c r="AI75" s="3">
        <f t="shared" ca="1" si="19"/>
        <v>0</v>
      </c>
    </row>
    <row r="76" spans="7:35" x14ac:dyDescent="0.25">
      <c r="G76" s="3">
        <f t="shared" ca="1" si="14"/>
        <v>54</v>
      </c>
      <c r="H76" s="105">
        <f t="shared" ca="1" si="16"/>
        <v>44979</v>
      </c>
      <c r="I76" s="133">
        <f ca="1">HLOOKUP($H$4,'Met Data'!$A$2:$F$368,G76,FALSE)</f>
        <v>18.912499999999898</v>
      </c>
      <c r="J76" s="133">
        <f ca="1">HLOOKUP($H$4,'Met Data'!$H$2:$M$368,G76,FALSE)*L76</f>
        <v>6.18333333333333</v>
      </c>
      <c r="K76" s="106">
        <f ca="1">HLOOKUP($H$4,'Met Data'!$O$2:$T$368,G76,FALSE)</f>
        <v>3.0629444033618198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45024</v>
      </c>
      <c r="Q76">
        <f ca="1"/>
        <v>43.208424677282032</v>
      </c>
      <c r="R76">
        <f ca="1"/>
        <v>1.2558882993287299</v>
      </c>
      <c r="S76">
        <f ca="1"/>
        <v>6.8484064401502511E-8</v>
      </c>
      <c r="T76">
        <f ca="1"/>
        <v>0.34666666666666501</v>
      </c>
      <c r="U76">
        <f ca="1"/>
        <v>0</v>
      </c>
      <c r="V76">
        <f ca="1"/>
        <v>44.571737687047403</v>
      </c>
      <c r="W76">
        <f ca="1"/>
        <v>11.336724585618599</v>
      </c>
      <c r="X76">
        <f ca="1"/>
        <v>0</v>
      </c>
      <c r="Y76">
        <f ca="1"/>
        <v>0.59282412825366193</v>
      </c>
      <c r="Z76">
        <f ca="1"/>
        <v>0</v>
      </c>
      <c r="AA76">
        <f ca="1"/>
        <v>0</v>
      </c>
      <c r="AB76">
        <f ca="1"/>
        <v>0.99985167441451395</v>
      </c>
      <c r="AD76" s="2">
        <f t="shared" ca="1" si="12"/>
        <v>45024</v>
      </c>
      <c r="AE76" s="46">
        <f t="shared" ca="1" si="13"/>
        <v>0</v>
      </c>
      <c r="AG76" s="72">
        <f t="shared" ca="1" si="17"/>
        <v>44.464312976610763</v>
      </c>
      <c r="AH76" s="72">
        <f t="shared" ca="1" si="18"/>
        <v>44.464312976610763</v>
      </c>
      <c r="AI76" s="3">
        <f t="shared" ca="1" si="19"/>
        <v>0</v>
      </c>
    </row>
    <row r="77" spans="7:35" x14ac:dyDescent="0.25">
      <c r="G77" s="3">
        <f t="shared" ca="1" si="14"/>
        <v>55</v>
      </c>
      <c r="H77" s="105">
        <f t="shared" ca="1" si="16"/>
        <v>44980</v>
      </c>
      <c r="I77" s="133">
        <f ca="1">HLOOKUP($H$4,'Met Data'!$A$2:$F$368,G77,FALSE)</f>
        <v>17.745833333333302</v>
      </c>
      <c r="J77" s="133">
        <f ca="1">HLOOKUP($H$4,'Met Data'!$H$2:$M$368,G77,FALSE)*L77</f>
        <v>0.7</v>
      </c>
      <c r="K77" s="106">
        <f ca="1">HLOOKUP($H$4,'Met Data'!$O$2:$T$368,G77,FALSE)</f>
        <v>3.7397228058893299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45025</v>
      </c>
      <c r="Q77">
        <f ca="1"/>
        <v>42.231993318089927</v>
      </c>
      <c r="R77">
        <f ca="1"/>
        <v>1.3365355851599401</v>
      </c>
      <c r="S77">
        <f ca="1"/>
        <v>5.9301174491035129E-8</v>
      </c>
      <c r="T77">
        <f ca="1"/>
        <v>0.360104166666665</v>
      </c>
      <c r="U77">
        <f ca="1"/>
        <v>0</v>
      </c>
      <c r="V77">
        <f ca="1"/>
        <v>45.908273272207403</v>
      </c>
      <c r="W77">
        <f ca="1"/>
        <v>11.676669506191899</v>
      </c>
      <c r="X77">
        <f ca="1"/>
        <v>0</v>
      </c>
      <c r="Y77">
        <f ca="1"/>
        <v>0.61324023063091293</v>
      </c>
      <c r="Z77">
        <f ca="1"/>
        <v>0</v>
      </c>
      <c r="AA77">
        <f ca="1"/>
        <v>0</v>
      </c>
      <c r="AB77">
        <f ca="1"/>
        <v>0.99988049079021102</v>
      </c>
      <c r="AD77" s="2">
        <f t="shared" ca="1" si="12"/>
        <v>45025</v>
      </c>
      <c r="AE77" s="46">
        <f t="shared" ca="1" si="13"/>
        <v>0</v>
      </c>
      <c r="AG77" s="72">
        <f t="shared" ca="1" si="17"/>
        <v>43.56852890324987</v>
      </c>
      <c r="AH77" s="72">
        <f t="shared" ca="1" si="18"/>
        <v>43.56852890324987</v>
      </c>
      <c r="AI77" s="3">
        <f t="shared" ca="1" si="19"/>
        <v>0</v>
      </c>
    </row>
    <row r="78" spans="7:35" x14ac:dyDescent="0.25">
      <c r="G78" s="3">
        <f t="shared" ca="1" si="14"/>
        <v>56</v>
      </c>
      <c r="H78" s="105">
        <f t="shared" ca="1" si="16"/>
        <v>44981</v>
      </c>
      <c r="I78" s="133">
        <f ca="1">HLOOKUP($H$4,'Met Data'!$A$2:$F$368,G78,FALSE)</f>
        <v>16.945833333333301</v>
      </c>
      <c r="J78" s="133">
        <f ca="1">HLOOKUP($H$4,'Met Data'!$H$2:$M$368,G78,FALSE)*L78</f>
        <v>1.5999999999999901</v>
      </c>
      <c r="K78" s="106">
        <f ca="1">HLOOKUP($H$4,'Met Data'!$O$2:$T$368,G78,FALSE)</f>
        <v>3.5683594386422701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45026</v>
      </c>
      <c r="Q78">
        <f ca="1"/>
        <v>41.212790085911593</v>
      </c>
      <c r="R78">
        <f ca="1"/>
        <v>1.3827449483642</v>
      </c>
      <c r="S78">
        <f ca="1"/>
        <v>4.9519199599683705E-8</v>
      </c>
      <c r="T78">
        <f ca="1"/>
        <v>0.36354166666666504</v>
      </c>
      <c r="U78">
        <f ca="1"/>
        <v>0</v>
      </c>
      <c r="V78">
        <f ca="1"/>
        <v>47.291018220571601</v>
      </c>
      <c r="W78">
        <f ca="1"/>
        <v>12.028367677841</v>
      </c>
      <c r="X78">
        <f ca="1"/>
        <v>0</v>
      </c>
      <c r="Y78">
        <f ca="1"/>
        <v>0.63374352836947945</v>
      </c>
      <c r="Z78">
        <f ca="1"/>
        <v>0</v>
      </c>
      <c r="AA78">
        <f ca="1"/>
        <v>0</v>
      </c>
      <c r="AB78">
        <f ca="1"/>
        <v>0.99990390768144899</v>
      </c>
      <c r="AD78" s="2">
        <f t="shared" ca="1" si="12"/>
        <v>45026</v>
      </c>
      <c r="AE78" s="46">
        <f t="shared" ca="1" si="13"/>
        <v>0</v>
      </c>
      <c r="AG78" s="72">
        <f t="shared" ca="1" si="17"/>
        <v>42.595535034275791</v>
      </c>
      <c r="AH78" s="72">
        <f t="shared" ca="1" si="18"/>
        <v>42.595535034275791</v>
      </c>
      <c r="AI78" s="3">
        <f t="shared" ca="1" si="19"/>
        <v>0</v>
      </c>
    </row>
    <row r="79" spans="7:35" x14ac:dyDescent="0.25">
      <c r="G79" s="3">
        <f t="shared" ca="1" si="14"/>
        <v>57</v>
      </c>
      <c r="H79" s="105">
        <f t="shared" ca="1" si="16"/>
        <v>44982</v>
      </c>
      <c r="I79" s="133">
        <f ca="1">HLOOKUP($H$4,'Met Data'!$A$2:$F$368,G79,FALSE)</f>
        <v>17.495833333333302</v>
      </c>
      <c r="J79" s="133">
        <f ca="1">HLOOKUP($H$4,'Met Data'!$H$2:$M$368,G79,FALSE)*L79</f>
        <v>0.86666666666666603</v>
      </c>
      <c r="K79" s="106">
        <f ca="1">HLOOKUP($H$4,'Met Data'!$O$2:$T$368,G79,FALSE)</f>
        <v>3.5556810366886502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45027</v>
      </c>
      <c r="Q79">
        <f ca="1"/>
        <v>40.178895935043244</v>
      </c>
      <c r="R79">
        <f ca="1"/>
        <v>1.3908733576751999</v>
      </c>
      <c r="S79">
        <f ca="1"/>
        <v>4.0140185156650402E-8</v>
      </c>
      <c r="T79">
        <f ca="1"/>
        <v>0.35697916666666502</v>
      </c>
      <c r="U79">
        <f ca="1"/>
        <v>0</v>
      </c>
      <c r="V79">
        <f ca="1"/>
        <v>48.681891578246798</v>
      </c>
      <c r="W79">
        <f ca="1"/>
        <v>12.382133292728</v>
      </c>
      <c r="X79">
        <f ca="1"/>
        <v>0</v>
      </c>
      <c r="Y79">
        <f ca="1"/>
        <v>0.63120197047984516</v>
      </c>
      <c r="Z79">
        <f ca="1"/>
        <v>0</v>
      </c>
      <c r="AA79">
        <f ca="1"/>
        <v>0</v>
      </c>
      <c r="AB79">
        <f ca="1"/>
        <v>0.99992243179497897</v>
      </c>
      <c r="AD79" s="2">
        <f t="shared" ca="1" si="12"/>
        <v>45027</v>
      </c>
      <c r="AE79" s="46">
        <f t="shared" ca="1" si="13"/>
        <v>0</v>
      </c>
      <c r="AG79" s="72">
        <f t="shared" ca="1" si="17"/>
        <v>41.569769292718441</v>
      </c>
      <c r="AH79" s="72">
        <f t="shared" ca="1" si="18"/>
        <v>41.569769292718441</v>
      </c>
      <c r="AI79" s="3">
        <f t="shared" ca="1" si="19"/>
        <v>0</v>
      </c>
    </row>
    <row r="80" spans="7:35" x14ac:dyDescent="0.25">
      <c r="G80" s="3">
        <f t="shared" ca="1" si="14"/>
        <v>58</v>
      </c>
      <c r="H80" s="105">
        <f t="shared" ca="1" si="16"/>
        <v>44983</v>
      </c>
      <c r="I80" s="133">
        <f ca="1">HLOOKUP($H$4,'Met Data'!$A$2:$F$368,G80,FALSE)</f>
        <v>16.954166666666602</v>
      </c>
      <c r="J80" s="133">
        <f ca="1">HLOOKUP($H$4,'Met Data'!$H$2:$M$368,G80,FALSE)*L80</f>
        <v>0.93333333333333302</v>
      </c>
      <c r="K80" s="106">
        <f ca="1">HLOOKUP($H$4,'Met Data'!$O$2:$T$368,G80,FALSE)</f>
        <v>3.6102637976598602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45028</v>
      </c>
      <c r="Q80">
        <f ca="1"/>
        <v>39.044434046473299</v>
      </c>
      <c r="R80">
        <f ca="1"/>
        <v>1.51362859056613</v>
      </c>
      <c r="S80">
        <f ca="1"/>
        <v>3.5329523935048911E-8</v>
      </c>
      <c r="T80">
        <f ca="1"/>
        <v>0.37916666666666504</v>
      </c>
      <c r="U80">
        <f ca="1"/>
        <v>0</v>
      </c>
      <c r="V80">
        <f ca="1"/>
        <v>50.195520168812898</v>
      </c>
      <c r="W80">
        <f ca="1"/>
        <v>12.767121434241499</v>
      </c>
      <c r="X80">
        <f ca="1"/>
        <v>0</v>
      </c>
      <c r="Y80">
        <f ca="1"/>
        <v>0.64694941426567043</v>
      </c>
      <c r="Z80">
        <f ca="1"/>
        <v>0</v>
      </c>
      <c r="AA80">
        <f ca="1"/>
        <v>0</v>
      </c>
      <c r="AB80">
        <f ca="1"/>
        <v>0.99993821308111996</v>
      </c>
      <c r="AD80" s="2">
        <f t="shared" ca="1" si="12"/>
        <v>45028</v>
      </c>
      <c r="AE80" s="46">
        <f t="shared" ca="1" si="13"/>
        <v>0</v>
      </c>
      <c r="AG80" s="72">
        <f t="shared" ca="1" si="17"/>
        <v>40.558062637039427</v>
      </c>
      <c r="AH80" s="72">
        <f t="shared" ca="1" si="18"/>
        <v>40.558062637039427</v>
      </c>
      <c r="AI80" s="3">
        <f t="shared" ca="1" si="19"/>
        <v>0</v>
      </c>
    </row>
    <row r="81" spans="7:35" x14ac:dyDescent="0.25">
      <c r="G81" s="3">
        <f t="shared" ca="1" si="14"/>
        <v>59</v>
      </c>
      <c r="H81" s="105">
        <f t="shared" ca="1" si="16"/>
        <v>44984</v>
      </c>
      <c r="I81" s="133">
        <f ca="1">HLOOKUP($H$4,'Met Data'!$A$2:$F$368,G81,FALSE)</f>
        <v>16.829166666666602</v>
      </c>
      <c r="J81" s="133">
        <f ca="1">HLOOKUP($H$4,'Met Data'!$H$2:$M$368,G81,FALSE)*L81</f>
        <v>0.41666666666666602</v>
      </c>
      <c r="K81" s="106">
        <f ca="1">HLOOKUP($H$4,'Met Data'!$O$2:$T$368,G81,FALSE)</f>
        <v>3.6752740997587301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45029</v>
      </c>
      <c r="Q81">
        <f ca="1"/>
        <v>37.910778504720625</v>
      </c>
      <c r="R81">
        <f ca="1"/>
        <v>1.5005305697153699</v>
      </c>
      <c r="S81">
        <f ca="1"/>
        <v>2.796269701614855E-8</v>
      </c>
      <c r="T81">
        <f ca="1"/>
        <v>0.36687500000000001</v>
      </c>
      <c r="U81">
        <f ca="1"/>
        <v>0</v>
      </c>
      <c r="V81">
        <f ca="1"/>
        <v>51.696050738528299</v>
      </c>
      <c r="W81">
        <f ca="1"/>
        <v>13.1487781226257</v>
      </c>
      <c r="X81">
        <f ca="1"/>
        <v>0</v>
      </c>
      <c r="Y81">
        <f ca="1"/>
        <v>0.67044574569233162</v>
      </c>
      <c r="Z81">
        <f ca="1"/>
        <v>0</v>
      </c>
      <c r="AA81">
        <f ca="1"/>
        <v>0</v>
      </c>
      <c r="AB81">
        <f ca="1"/>
        <v>0.99995041955187203</v>
      </c>
      <c r="AD81" s="2">
        <f t="shared" ca="1" si="12"/>
        <v>45029</v>
      </c>
      <c r="AE81" s="46">
        <f t="shared" ca="1" si="13"/>
        <v>0</v>
      </c>
      <c r="AG81" s="72">
        <f t="shared" ca="1" si="17"/>
        <v>39.411309074435998</v>
      </c>
      <c r="AH81" s="72">
        <f t="shared" ca="1" si="18"/>
        <v>39.411309074435998</v>
      </c>
      <c r="AI81" s="3">
        <f t="shared" ca="1" si="19"/>
        <v>0</v>
      </c>
    </row>
    <row r="82" spans="7:35" x14ac:dyDescent="0.25">
      <c r="G82" s="3">
        <f t="shared" ca="1" si="14"/>
        <v>60</v>
      </c>
      <c r="H82" s="105">
        <f t="shared" ca="1" si="16"/>
        <v>44985</v>
      </c>
      <c r="I82" s="133">
        <f ca="1">HLOOKUP($H$4,'Met Data'!$A$2:$F$368,G82,FALSE)</f>
        <v>17.512499999999999</v>
      </c>
      <c r="J82" s="133">
        <f ca="1">HLOOKUP($H$4,'Met Data'!$H$2:$M$368,G82,FALSE)*L82</f>
        <v>0.38333333333333303</v>
      </c>
      <c r="K82" s="106">
        <f ca="1">HLOOKUP($H$4,'Met Data'!$O$2:$T$368,G82,FALSE)</f>
        <v>3.6973328494211302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45030</v>
      </c>
      <c r="Q82">
        <f ca="1"/>
        <v>36.836024237257824</v>
      </c>
      <c r="R82">
        <f ca="1"/>
        <v>1.4123584553298201</v>
      </c>
      <c r="S82">
        <f ca="1"/>
        <v>2.1200360175488574E-8</v>
      </c>
      <c r="T82">
        <f ca="1"/>
        <v>0.33760416666666504</v>
      </c>
      <c r="U82">
        <f ca="1"/>
        <v>0</v>
      </c>
      <c r="V82">
        <f ca="1"/>
        <v>53.108409193858101</v>
      </c>
      <c r="W82">
        <f ca="1"/>
        <v>13.5080084253943</v>
      </c>
      <c r="X82">
        <f ca="1"/>
        <v>0</v>
      </c>
      <c r="Y82">
        <f ca="1"/>
        <v>0.69380369614858872</v>
      </c>
      <c r="Z82">
        <f ca="1"/>
        <v>0</v>
      </c>
      <c r="AA82">
        <f ca="1"/>
        <v>0</v>
      </c>
      <c r="AB82">
        <f ca="1"/>
        <v>0.99995950982187698</v>
      </c>
      <c r="AD82" s="2">
        <f t="shared" ca="1" si="12"/>
        <v>45030</v>
      </c>
      <c r="AE82" s="46">
        <f t="shared" ca="1" si="13"/>
        <v>0</v>
      </c>
      <c r="AG82" s="72">
        <f t="shared" ca="1" si="17"/>
        <v>38.248382692587647</v>
      </c>
      <c r="AH82" s="72">
        <f t="shared" ca="1" si="18"/>
        <v>38.248382692587647</v>
      </c>
      <c r="AI82" s="3">
        <f t="shared" ca="1" si="19"/>
        <v>0</v>
      </c>
    </row>
    <row r="83" spans="7:35" x14ac:dyDescent="0.25">
      <c r="G83" s="3">
        <f t="shared" ca="1" si="14"/>
        <v>61</v>
      </c>
      <c r="H83" s="105">
        <f t="shared" ca="1" si="16"/>
        <v>44986</v>
      </c>
      <c r="I83" s="133">
        <f ca="1">HLOOKUP($H$4,'Met Data'!$A$2:$F$368,G83,FALSE)</f>
        <v>17.1166666666666</v>
      </c>
      <c r="J83" s="133">
        <f ca="1">HLOOKUP($H$4,'Met Data'!$H$2:$M$368,G83,FALSE)*L83</f>
        <v>2.3166666666666602</v>
      </c>
      <c r="K83" s="106">
        <f ca="1">HLOOKUP($H$4,'Met Data'!$O$2:$T$368,G83,FALSE)</f>
        <v>3.5365052642272401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45031</v>
      </c>
      <c r="Q83">
        <f ca="1"/>
        <v>35.707963988846963</v>
      </c>
      <c r="R83">
        <f ca="1"/>
        <v>1.4725394332041299</v>
      </c>
      <c r="S83">
        <f ca="1"/>
        <v>1.8126606560484591E-8</v>
      </c>
      <c r="T83">
        <f ca="1"/>
        <v>0.344479166666665</v>
      </c>
      <c r="U83">
        <f ca="1"/>
        <v>0</v>
      </c>
      <c r="V83">
        <f ca="1"/>
        <v>54.580948627062199</v>
      </c>
      <c r="W83">
        <f ca="1"/>
        <v>13.8825456290571</v>
      </c>
      <c r="X83">
        <f ca="1"/>
        <v>0</v>
      </c>
      <c r="Y83">
        <f ca="1"/>
        <v>0.68409604354325027</v>
      </c>
      <c r="Z83">
        <f ca="1"/>
        <v>0</v>
      </c>
      <c r="AA83">
        <f ca="1"/>
        <v>0</v>
      </c>
      <c r="AB83">
        <f ca="1"/>
        <v>0.99996706960491</v>
      </c>
      <c r="AD83" s="2">
        <f t="shared" ca="1" si="12"/>
        <v>45031</v>
      </c>
      <c r="AE83" s="46">
        <f t="shared" ca="1" si="13"/>
        <v>0</v>
      </c>
      <c r="AG83" s="72">
        <f t="shared" ca="1" si="17"/>
        <v>37.180503422051096</v>
      </c>
      <c r="AH83" s="72">
        <f t="shared" ca="1" si="18"/>
        <v>37.180503422051096</v>
      </c>
      <c r="AI83" s="3">
        <f t="shared" ca="1" si="19"/>
        <v>0</v>
      </c>
    </row>
    <row r="84" spans="7:35" x14ac:dyDescent="0.25">
      <c r="G84" s="3">
        <f t="shared" ca="1" si="14"/>
        <v>62</v>
      </c>
      <c r="H84" s="105">
        <f t="shared" ca="1" si="16"/>
        <v>44987</v>
      </c>
      <c r="I84" s="133">
        <f ca="1">HLOOKUP($H$4,'Met Data'!$A$2:$F$368,G84,FALSE)</f>
        <v>17.037500000000001</v>
      </c>
      <c r="J84" s="133">
        <f ca="1">HLOOKUP($H$4,'Met Data'!$H$2:$M$368,G84,FALSE)*L84</f>
        <v>2.18333333333333</v>
      </c>
      <c r="K84" s="106">
        <f ca="1">HLOOKUP($H$4,'Met Data'!$O$2:$T$368,G84,FALSE)</f>
        <v>3.0680063753167199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45032</v>
      </c>
      <c r="Q84">
        <f ca="1"/>
        <v>34.535847559245788</v>
      </c>
      <c r="R84">
        <f ca="1"/>
        <v>1.52013727821942</v>
      </c>
      <c r="S84">
        <f ca="1"/>
        <v>1.5284920594385289E-8</v>
      </c>
      <c r="T84">
        <f ca="1"/>
        <v>0.3480208333333325</v>
      </c>
      <c r="U84">
        <f ca="1"/>
        <v>0</v>
      </c>
      <c r="V84">
        <f ca="1"/>
        <v>56.1010859052816</v>
      </c>
      <c r="W84">
        <f ca="1"/>
        <v>14.269189241126</v>
      </c>
      <c r="X84">
        <f ca="1"/>
        <v>0</v>
      </c>
      <c r="Y84">
        <f ca="1"/>
        <v>0.73319265336911521</v>
      </c>
      <c r="Z84">
        <f ca="1"/>
        <v>0</v>
      </c>
      <c r="AA84">
        <f ca="1"/>
        <v>0</v>
      </c>
      <c r="AB84">
        <f ca="1"/>
        <v>0.99997327480976295</v>
      </c>
      <c r="AD84" s="2">
        <f t="shared" ca="1" si="12"/>
        <v>45032</v>
      </c>
      <c r="AE84" s="46">
        <f t="shared" ca="1" si="13"/>
        <v>0</v>
      </c>
      <c r="AG84" s="72">
        <f t="shared" ca="1" si="17"/>
        <v>36.055984837465211</v>
      </c>
      <c r="AH84" s="72">
        <f t="shared" ca="1" si="18"/>
        <v>36.055984837465211</v>
      </c>
      <c r="AI84" s="3">
        <f t="shared" ca="1" si="19"/>
        <v>0</v>
      </c>
    </row>
    <row r="85" spans="7:35" x14ac:dyDescent="0.25">
      <c r="G85" s="3">
        <f t="shared" ca="1" si="14"/>
        <v>63</v>
      </c>
      <c r="H85" s="105">
        <f t="shared" ca="1" si="16"/>
        <v>44988</v>
      </c>
      <c r="I85" s="133">
        <f ca="1">HLOOKUP($H$4,'Met Data'!$A$2:$F$368,G85,FALSE)</f>
        <v>17.204166666666602</v>
      </c>
      <c r="J85" s="133">
        <f ca="1">HLOOKUP($H$4,'Met Data'!$H$2:$M$368,G85,FALSE)*L85</f>
        <v>0.61666666666666603</v>
      </c>
      <c r="K85" s="106">
        <f ca="1">HLOOKUP($H$4,'Met Data'!$O$2:$T$368,G85,FALSE)</f>
        <v>3.2161744467378801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45033</v>
      </c>
      <c r="Q85">
        <f ca="1"/>
        <v>33.35538643621792</v>
      </c>
      <c r="R85">
        <f ca="1"/>
        <v>1.5215028021707899</v>
      </c>
      <c r="S85">
        <f ca="1"/>
        <v>1.2476257189515456E-8</v>
      </c>
      <c r="T85">
        <f ca="1"/>
        <v>0.34104166666666502</v>
      </c>
      <c r="U85">
        <f ca="1"/>
        <v>0</v>
      </c>
      <c r="V85">
        <f ca="1"/>
        <v>57.622588707452401</v>
      </c>
      <c r="W85">
        <f ca="1"/>
        <v>14.6561801712433</v>
      </c>
      <c r="X85">
        <f ca="1"/>
        <v>0</v>
      </c>
      <c r="Y85">
        <f ca="1"/>
        <v>0.749693051389139</v>
      </c>
      <c r="Z85">
        <f ca="1"/>
        <v>0</v>
      </c>
      <c r="AA85">
        <f ca="1"/>
        <v>0</v>
      </c>
      <c r="AB85">
        <f ca="1"/>
        <v>0.99997821976386003</v>
      </c>
      <c r="AD85" s="2">
        <f t="shared" ca="1" si="12"/>
        <v>45033</v>
      </c>
      <c r="AE85" s="46">
        <f t="shared" ca="1" si="13"/>
        <v>0</v>
      </c>
      <c r="AG85" s="72">
        <f t="shared" ca="1" si="17"/>
        <v>34.876889238388706</v>
      </c>
      <c r="AH85" s="72">
        <f t="shared" ca="1" si="18"/>
        <v>34.876889238388706</v>
      </c>
      <c r="AI85" s="3">
        <f t="shared" ca="1" si="19"/>
        <v>0</v>
      </c>
    </row>
    <row r="86" spans="7:35" x14ac:dyDescent="0.25">
      <c r="G86" s="3">
        <f t="shared" ca="1" si="14"/>
        <v>64</v>
      </c>
      <c r="H86" s="105">
        <f t="shared" ca="1" si="16"/>
        <v>44989</v>
      </c>
      <c r="I86" s="133">
        <f ca="1">HLOOKUP($H$4,'Met Data'!$A$2:$F$368,G86,FALSE)</f>
        <v>16.720833333333299</v>
      </c>
      <c r="J86" s="133">
        <f ca="1">HLOOKUP($H$4,'Met Data'!$H$2:$M$368,G86,FALSE)*L86</f>
        <v>2.93333333333333</v>
      </c>
      <c r="K86" s="106">
        <f ca="1">HLOOKUP($H$4,'Met Data'!$O$2:$T$368,G86,FALSE)</f>
        <v>2.8476580172568502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45034</v>
      </c>
      <c r="Q86">
        <f ca="1"/>
        <v>32.139475171665843</v>
      </c>
      <c r="R86">
        <f ca="1"/>
        <v>1.55799460835117</v>
      </c>
      <c r="S86">
        <f ca="1"/>
        <v>1.0465762836545967E-8</v>
      </c>
      <c r="T86">
        <f ca="1"/>
        <v>0.34208333333333252</v>
      </c>
      <c r="U86">
        <f ca="1"/>
        <v>0</v>
      </c>
      <c r="V86">
        <f ca="1"/>
        <v>59.180583315803602</v>
      </c>
      <c r="W86">
        <f ca="1"/>
        <v>15.0524527129327</v>
      </c>
      <c r="X86">
        <f ca="1"/>
        <v>0</v>
      </c>
      <c r="Y86">
        <f ca="1"/>
        <v>0.75614244124040364</v>
      </c>
      <c r="Z86">
        <f ca="1"/>
        <v>0</v>
      </c>
      <c r="AA86">
        <f ca="1"/>
        <v>0</v>
      </c>
      <c r="AB86">
        <f ca="1"/>
        <v>0.99998226086013497</v>
      </c>
      <c r="AD86" s="2">
        <f t="shared" ca="1" si="12"/>
        <v>45034</v>
      </c>
      <c r="AE86" s="46">
        <f t="shared" ca="1" si="13"/>
        <v>0</v>
      </c>
      <c r="AG86" s="72">
        <f t="shared" ca="1" si="17"/>
        <v>33.697469780017016</v>
      </c>
      <c r="AH86" s="72">
        <f t="shared" ca="1" si="18"/>
        <v>33.697469780017016</v>
      </c>
      <c r="AI86" s="3">
        <f t="shared" ca="1" si="19"/>
        <v>0</v>
      </c>
    </row>
    <row r="87" spans="7:35" x14ac:dyDescent="0.25">
      <c r="G87" s="3">
        <f t="shared" ca="1" si="14"/>
        <v>65</v>
      </c>
      <c r="H87" s="105">
        <f t="shared" ca="1" si="16"/>
        <v>44990</v>
      </c>
      <c r="I87" s="133">
        <f ca="1">HLOOKUP($H$4,'Met Data'!$A$2:$F$368,G87,FALSE)</f>
        <v>17.05</v>
      </c>
      <c r="J87" s="133">
        <f ca="1">HLOOKUP($H$4,'Met Data'!$H$2:$M$368,G87,FALSE)*L87</f>
        <v>3.5</v>
      </c>
      <c r="K87" s="106">
        <f ca="1">HLOOKUP($H$4,'Met Data'!$O$2:$T$368,G87,FALSE)</f>
        <v>3.0856400612975601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45035</v>
      </c>
      <c r="Q87">
        <f ca="1"/>
        <v>30.95960737563497</v>
      </c>
      <c r="R87">
        <f ca="1"/>
        <v>1.50351363764003</v>
      </c>
      <c r="S87">
        <f ca="1"/>
        <v>8.2758261833999326E-9</v>
      </c>
      <c r="T87">
        <f ca="1"/>
        <v>0.32364583333333252</v>
      </c>
      <c r="U87">
        <f ca="1"/>
        <v>0</v>
      </c>
      <c r="V87">
        <f ca="1"/>
        <v>60.6840969534436</v>
      </c>
      <c r="W87">
        <f ca="1"/>
        <v>15.4348681381585</v>
      </c>
      <c r="X87">
        <f ca="1"/>
        <v>0</v>
      </c>
      <c r="Y87">
        <f ca="1"/>
        <v>0.75528058789732699</v>
      </c>
      <c r="Z87">
        <f ca="1"/>
        <v>0</v>
      </c>
      <c r="AA87">
        <f ca="1"/>
        <v>0</v>
      </c>
      <c r="AB87">
        <f ca="1"/>
        <v>0.999985391482903</v>
      </c>
      <c r="AD87" s="2">
        <f t="shared" ca="1" si="12"/>
        <v>45035</v>
      </c>
      <c r="AE87" s="46">
        <f t="shared" ca="1" si="13"/>
        <v>0</v>
      </c>
      <c r="AG87" s="72">
        <f t="shared" ca="1" si="17"/>
        <v>32.463121013275</v>
      </c>
      <c r="AH87" s="72">
        <f t="shared" ca="1" si="18"/>
        <v>32.463121013275</v>
      </c>
      <c r="AI87" s="3">
        <f t="shared" ca="1" si="19"/>
        <v>0</v>
      </c>
    </row>
    <row r="88" spans="7:35" x14ac:dyDescent="0.25">
      <c r="G88" s="3">
        <f t="shared" ca="1" si="14"/>
        <v>66</v>
      </c>
      <c r="H88" s="105">
        <f t="shared" ca="1" si="16"/>
        <v>44991</v>
      </c>
      <c r="I88" s="133">
        <f ca="1">HLOOKUP($H$4,'Met Data'!$A$2:$F$368,G88,FALSE)</f>
        <v>16.5625</v>
      </c>
      <c r="J88" s="133">
        <f ca="1">HLOOKUP($H$4,'Met Data'!$H$2:$M$368,G88,FALSE)*L88</f>
        <v>1.9166666666666601</v>
      </c>
      <c r="K88" s="106">
        <f ca="1">HLOOKUP($H$4,'Met Data'!$O$2:$T$368,G88,FALSE)</f>
        <v>2.4477007585282702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45036</v>
      </c>
      <c r="Q88">
        <f ca="1"/>
        <v>128.82405625355804</v>
      </c>
      <c r="R88">
        <f ca="1"/>
        <v>1.6927386297915601</v>
      </c>
      <c r="S88">
        <f ca="1"/>
        <v>7.7146171589115818E-9</v>
      </c>
      <c r="T88">
        <f ca="1"/>
        <v>0.35718749999999999</v>
      </c>
      <c r="U88">
        <f ca="1"/>
        <v>124</v>
      </c>
      <c r="V88">
        <f ca="1"/>
        <v>62.376835583235199</v>
      </c>
      <c r="W88">
        <f ca="1"/>
        <v>15.8654125287794</v>
      </c>
      <c r="X88">
        <f ca="1"/>
        <v>24.799999999999994</v>
      </c>
      <c r="Y88">
        <f ca="1"/>
        <v>0.75080773773952836</v>
      </c>
      <c r="Z88">
        <f ca="1"/>
        <v>0</v>
      </c>
      <c r="AA88">
        <f ca="1"/>
        <v>0</v>
      </c>
      <c r="AB88">
        <f ca="1"/>
        <v>0.99998820928618604</v>
      </c>
      <c r="AD88" s="2">
        <f t="shared" ca="1" si="12"/>
        <v>45036</v>
      </c>
      <c r="AE88" s="46">
        <f t="shared" ca="1" si="13"/>
        <v>124</v>
      </c>
      <c r="AG88" s="72">
        <f t="shared" ca="1" si="17"/>
        <v>155.31679488334959</v>
      </c>
      <c r="AH88" s="72">
        <f t="shared" ca="1" si="18"/>
        <v>155.31679488334959</v>
      </c>
      <c r="AI88" s="3">
        <f t="shared" ca="1" si="19"/>
        <v>0</v>
      </c>
    </row>
    <row r="89" spans="7:35" x14ac:dyDescent="0.25">
      <c r="G89" s="3">
        <f t="shared" ca="1" si="14"/>
        <v>67</v>
      </c>
      <c r="H89" s="105">
        <f t="shared" ca="1" si="16"/>
        <v>44992</v>
      </c>
      <c r="I89" s="133">
        <f ca="1">HLOOKUP($H$4,'Met Data'!$A$2:$F$368,G89,FALSE)</f>
        <v>16.349999999999898</v>
      </c>
      <c r="J89" s="133">
        <f ca="1">HLOOKUP($H$4,'Met Data'!$H$2:$M$368,G89,FALSE)*L89</f>
        <v>5.4</v>
      </c>
      <c r="K89" s="106">
        <f ca="1">HLOOKUP($H$4,'Met Data'!$O$2:$T$368,G89,FALSE)</f>
        <v>3.2051572713162999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45037</v>
      </c>
      <c r="Q89">
        <f ca="1"/>
        <v>127.45457568950059</v>
      </c>
      <c r="R89">
        <f ca="1"/>
        <v>1.7263555704437901</v>
      </c>
      <c r="S89">
        <f ca="1"/>
        <v>6.3863537932567744E-9</v>
      </c>
      <c r="T89">
        <f ca="1"/>
        <v>0.356875</v>
      </c>
      <c r="U89">
        <f ca="1"/>
        <v>0</v>
      </c>
      <c r="V89">
        <f ca="1"/>
        <v>64.103191153679006</v>
      </c>
      <c r="W89">
        <f ca="1"/>
        <v>16.304507315174899</v>
      </c>
      <c r="X89">
        <f ca="1"/>
        <v>0</v>
      </c>
      <c r="Y89">
        <f ca="1"/>
        <v>0.75554186269815671</v>
      </c>
      <c r="Z89">
        <f ca="1"/>
        <v>0</v>
      </c>
      <c r="AA89">
        <f ca="1"/>
        <v>0</v>
      </c>
      <c r="AB89">
        <f ca="1"/>
        <v>0.99999048179070604</v>
      </c>
      <c r="AD89" s="2">
        <f t="shared" ca="1" si="12"/>
        <v>45037</v>
      </c>
      <c r="AE89" s="46">
        <f t="shared" ca="1" si="13"/>
        <v>0</v>
      </c>
      <c r="AG89" s="72">
        <f t="shared" ca="1" si="17"/>
        <v>129.1809312599444</v>
      </c>
      <c r="AH89" s="72">
        <f t="shared" ca="1" si="18"/>
        <v>129.18093125994437</v>
      </c>
      <c r="AI89" s="3">
        <f t="shared" ca="1" si="19"/>
        <v>0</v>
      </c>
    </row>
    <row r="90" spans="7:35" x14ac:dyDescent="0.25">
      <c r="G90" s="3">
        <f t="shared" ca="1" si="14"/>
        <v>68</v>
      </c>
      <c r="H90" s="105">
        <f t="shared" ca="1" si="16"/>
        <v>44993</v>
      </c>
      <c r="I90" s="133">
        <f ca="1">HLOOKUP($H$4,'Met Data'!$A$2:$F$368,G90,FALSE)</f>
        <v>16.404166666666601</v>
      </c>
      <c r="J90" s="133">
        <f ca="1">HLOOKUP($H$4,'Met Data'!$H$2:$M$368,G90,FALSE)*L90</f>
        <v>1.7666666666666599</v>
      </c>
      <c r="K90" s="106">
        <f ca="1">HLOOKUP($H$4,'Met Data'!$O$2:$T$368,G90,FALSE)</f>
        <v>3.3473688975414899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45038</v>
      </c>
      <c r="Q90">
        <f ca="1"/>
        <v>126.11757886486306</v>
      </c>
      <c r="R90">
        <f ca="1"/>
        <v>1.67689266301144</v>
      </c>
      <c r="S90">
        <f ca="1"/>
        <v>5.0405743842918057E-9</v>
      </c>
      <c r="T90">
        <f ca="1"/>
        <v>0.33989583333333251</v>
      </c>
      <c r="U90">
        <f ca="1"/>
        <v>0</v>
      </c>
      <c r="V90">
        <f ca="1"/>
        <v>65.780083816690393</v>
      </c>
      <c r="W90">
        <f ca="1"/>
        <v>16.731021318593001</v>
      </c>
      <c r="X90">
        <f ca="1"/>
        <v>0</v>
      </c>
      <c r="Y90">
        <f ca="1"/>
        <v>0.74813753658418591</v>
      </c>
      <c r="Z90">
        <f ca="1"/>
        <v>0</v>
      </c>
      <c r="AA90">
        <f ca="1"/>
        <v>0</v>
      </c>
      <c r="AB90">
        <f ca="1"/>
        <v>0.99999223763254896</v>
      </c>
      <c r="AD90" s="2">
        <f t="shared" ca="1" si="12"/>
        <v>45038</v>
      </c>
      <c r="AE90" s="46">
        <f t="shared" ca="1" si="13"/>
        <v>0</v>
      </c>
      <c r="AG90" s="72">
        <f t="shared" ca="1" si="17"/>
        <v>127.79447152787449</v>
      </c>
      <c r="AH90" s="72">
        <f t="shared" ca="1" si="18"/>
        <v>127.79447152787451</v>
      </c>
      <c r="AI90" s="3">
        <f t="shared" ca="1" si="19"/>
        <v>0</v>
      </c>
    </row>
    <row r="91" spans="7:35" x14ac:dyDescent="0.25">
      <c r="G91" s="3">
        <f t="shared" ca="1" si="14"/>
        <v>69</v>
      </c>
      <c r="H91" s="105">
        <f t="shared" ca="1" si="16"/>
        <v>44994</v>
      </c>
      <c r="I91" s="133">
        <f ca="1">HLOOKUP($H$4,'Met Data'!$A$2:$F$368,G91,FALSE)</f>
        <v>16.174999999999901</v>
      </c>
      <c r="J91" s="133">
        <f ca="1">HLOOKUP($H$4,'Met Data'!$H$2:$M$368,G91,FALSE)*L91</f>
        <v>0.54999999999999905</v>
      </c>
      <c r="K91" s="106">
        <f ca="1">HLOOKUP($H$4,'Met Data'!$O$2:$T$368,G91,FALSE)</f>
        <v>3.3552920602916099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45039</v>
      </c>
      <c r="Q91">
        <f ca="1"/>
        <v>124.71642441558025</v>
      </c>
      <c r="R91">
        <f ca="1"/>
        <v>1.74896695359926</v>
      </c>
      <c r="S91">
        <f ca="1"/>
        <v>4.31645277499188E-9</v>
      </c>
      <c r="T91">
        <f ca="1"/>
        <v>0.34781250000000002</v>
      </c>
      <c r="U91">
        <f ca="1"/>
        <v>0</v>
      </c>
      <c r="V91">
        <f ca="1"/>
        <v>67.5290507702897</v>
      </c>
      <c r="W91">
        <f ca="1"/>
        <v>17.175867261138901</v>
      </c>
      <c r="X91">
        <f ca="1"/>
        <v>0</v>
      </c>
      <c r="Y91">
        <f ca="1"/>
        <v>0.7367554116460785</v>
      </c>
      <c r="Z91">
        <f ca="1"/>
        <v>0</v>
      </c>
      <c r="AA91">
        <f ca="1"/>
        <v>0</v>
      </c>
      <c r="AB91">
        <f ca="1"/>
        <v>0.99999369956865103</v>
      </c>
      <c r="AD91" s="2">
        <f t="shared" ca="1" si="12"/>
        <v>45039</v>
      </c>
      <c r="AE91" s="46">
        <f t="shared" ca="1" si="13"/>
        <v>0</v>
      </c>
      <c r="AG91" s="72">
        <f t="shared" ca="1" si="17"/>
        <v>126.46539136917951</v>
      </c>
      <c r="AH91" s="72">
        <f t="shared" ca="1" si="18"/>
        <v>126.46539136917951</v>
      </c>
      <c r="AI91" s="3">
        <f t="shared" ca="1" si="19"/>
        <v>0</v>
      </c>
    </row>
    <row r="92" spans="7:35" x14ac:dyDescent="0.25">
      <c r="G92" s="3">
        <f t="shared" ca="1" si="14"/>
        <v>70</v>
      </c>
      <c r="H92" s="105">
        <f t="shared" ca="1" si="16"/>
        <v>44995</v>
      </c>
      <c r="I92" s="133">
        <f ca="1">HLOOKUP($H$4,'Met Data'!$A$2:$F$368,G92,FALSE)</f>
        <v>16.625</v>
      </c>
      <c r="J92" s="133">
        <f ca="1">HLOOKUP($H$4,'Met Data'!$H$2:$M$368,G92,FALSE)*L92</f>
        <v>2.0666666666666602</v>
      </c>
      <c r="K92" s="106">
        <f ca="1">HLOOKUP($H$4,'Met Data'!$O$2:$T$368,G92,FALSE)</f>
        <v>3.2920876744510998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45040</v>
      </c>
      <c r="Q92">
        <f ca="1"/>
        <v>123.18707252791175</v>
      </c>
      <c r="R92">
        <f ca="1"/>
        <v>1.8998727248324201</v>
      </c>
      <c r="S92">
        <f ca="1"/>
        <v>3.8305885716754168E-9</v>
      </c>
      <c r="T92">
        <f ca="1"/>
        <v>0.37052083333333252</v>
      </c>
      <c r="U92">
        <f ca="1"/>
        <v>0</v>
      </c>
      <c r="V92">
        <f ca="1"/>
        <v>69.428923495122106</v>
      </c>
      <c r="W92">
        <f ca="1"/>
        <v>17.659095758541898</v>
      </c>
      <c r="X92">
        <f ca="1"/>
        <v>0</v>
      </c>
      <c r="Y92">
        <f ca="1"/>
        <v>0.74473789049306427</v>
      </c>
      <c r="Z92">
        <f ca="1"/>
        <v>0</v>
      </c>
      <c r="AA92">
        <f ca="1"/>
        <v>0</v>
      </c>
      <c r="AB92">
        <f ca="1"/>
        <v>0.99999495536796201</v>
      </c>
      <c r="AD92" s="2">
        <f t="shared" ca="1" si="12"/>
        <v>45040</v>
      </c>
      <c r="AE92" s="46">
        <f t="shared" ca="1" si="13"/>
        <v>0</v>
      </c>
      <c r="AG92" s="72">
        <f t="shared" ca="1" si="17"/>
        <v>125.08694525274417</v>
      </c>
      <c r="AH92" s="72">
        <f t="shared" ca="1" si="18"/>
        <v>125.08694525274417</v>
      </c>
      <c r="AI92" s="3">
        <f t="shared" ca="1" si="19"/>
        <v>0</v>
      </c>
    </row>
    <row r="93" spans="7:35" x14ac:dyDescent="0.25">
      <c r="G93" s="3">
        <f t="shared" ca="1" si="14"/>
        <v>71</v>
      </c>
      <c r="H93" s="105">
        <f t="shared" ca="1" si="16"/>
        <v>44996</v>
      </c>
      <c r="I93" s="133">
        <f ca="1">HLOOKUP($H$4,'Met Data'!$A$2:$F$368,G93,FALSE)</f>
        <v>16.266666666666602</v>
      </c>
      <c r="J93" s="133">
        <f ca="1">HLOOKUP($H$4,'Met Data'!$H$2:$M$368,G93,FALSE)*L93</f>
        <v>3.44999999999999</v>
      </c>
      <c r="K93" s="106">
        <f ca="1">HLOOKUP($H$4,'Met Data'!$O$2:$T$368,G93,FALSE)</f>
        <v>2.5592177640993499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45041</v>
      </c>
      <c r="Q93">
        <f ca="1"/>
        <v>121.66314959228178</v>
      </c>
      <c r="R93">
        <f ca="1"/>
        <v>1.88433960536008</v>
      </c>
      <c r="S93">
        <f ca="1"/>
        <v>3.063435941507497E-9</v>
      </c>
      <c r="T93">
        <f ca="1"/>
        <v>0.360416666666665</v>
      </c>
      <c r="U93">
        <f ca="1"/>
        <v>0</v>
      </c>
      <c r="V93">
        <f ca="1"/>
        <v>71.313263100482203</v>
      </c>
      <c r="W93">
        <f ca="1"/>
        <v>18.138373440774799</v>
      </c>
      <c r="X93">
        <f ca="1"/>
        <v>0</v>
      </c>
      <c r="Y93">
        <f ca="1"/>
        <v>0.79408067781768044</v>
      </c>
      <c r="Z93">
        <f ca="1"/>
        <v>0</v>
      </c>
      <c r="AA93">
        <f ca="1"/>
        <v>0</v>
      </c>
      <c r="AB93">
        <f ca="1"/>
        <v>0.99999593630332995</v>
      </c>
      <c r="AD93" s="2">
        <f t="shared" ca="1" si="12"/>
        <v>45041</v>
      </c>
      <c r="AE93" s="46">
        <f t="shared" ca="1" si="13"/>
        <v>0</v>
      </c>
      <c r="AG93" s="72">
        <f t="shared" ca="1" si="17"/>
        <v>123.54748919764185</v>
      </c>
      <c r="AH93" s="72">
        <f t="shared" ca="1" si="18"/>
        <v>123.54748919764187</v>
      </c>
      <c r="AI93" s="3">
        <f t="shared" ca="1" si="19"/>
        <v>0</v>
      </c>
    </row>
    <row r="94" spans="7:35" x14ac:dyDescent="0.25">
      <c r="G94" s="3">
        <f t="shared" ca="1" si="14"/>
        <v>72</v>
      </c>
      <c r="H94" s="105">
        <f t="shared" ca="1" si="16"/>
        <v>44997</v>
      </c>
      <c r="I94" s="133">
        <f ca="1">HLOOKUP($H$4,'Met Data'!$A$2:$F$368,G94,FALSE)</f>
        <v>16.404166666666601</v>
      </c>
      <c r="J94" s="133">
        <f ca="1">HLOOKUP($H$4,'Met Data'!$H$2:$M$368,G94,FALSE)*L94</f>
        <v>1.5833333333333299</v>
      </c>
      <c r="K94" s="106">
        <f ca="1">HLOOKUP($H$4,'Met Data'!$O$2:$T$368,G94,FALSE)</f>
        <v>2.85115032224514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45042</v>
      </c>
      <c r="Q94">
        <f ca="1"/>
        <v>120.15597125672049</v>
      </c>
      <c r="R94">
        <f ca="1"/>
        <v>1.8556158380105501</v>
      </c>
      <c r="S94">
        <f ca="1"/>
        <v>2.4492568776102186E-9</v>
      </c>
      <c r="T94">
        <f ca="1"/>
        <v>0.34843750000000001</v>
      </c>
      <c r="U94">
        <f ca="1"/>
        <v>0</v>
      </c>
      <c r="V94">
        <f ca="1"/>
        <v>73.168878938492796</v>
      </c>
      <c r="W94">
        <f ca="1"/>
        <v>18.610345295225301</v>
      </c>
      <c r="X94">
        <f ca="1"/>
        <v>0</v>
      </c>
      <c r="Y94">
        <f ca="1"/>
        <v>0.7874429174333436</v>
      </c>
      <c r="Z94">
        <f ca="1"/>
        <v>0</v>
      </c>
      <c r="AA94">
        <f ca="1"/>
        <v>0</v>
      </c>
      <c r="AB94">
        <f ca="1"/>
        <v>0.99999670288405096</v>
      </c>
      <c r="AD94" s="2">
        <f t="shared" ca="1" si="12"/>
        <v>45042</v>
      </c>
      <c r="AE94" s="46">
        <f t="shared" ca="1" si="13"/>
        <v>0</v>
      </c>
      <c r="AG94" s="72">
        <f t="shared" ca="1" si="17"/>
        <v>122.01158709473104</v>
      </c>
      <c r="AH94" s="72">
        <f t="shared" ca="1" si="18"/>
        <v>122.01158709473104</v>
      </c>
      <c r="AI94" s="3">
        <f t="shared" ca="1" si="19"/>
        <v>0</v>
      </c>
    </row>
    <row r="95" spans="7:35" x14ac:dyDescent="0.25">
      <c r="G95" s="3">
        <f t="shared" ca="1" si="14"/>
        <v>73</v>
      </c>
      <c r="H95" s="105">
        <f t="shared" ca="1" si="16"/>
        <v>44998</v>
      </c>
      <c r="I95" s="133">
        <f ca="1">HLOOKUP($H$4,'Met Data'!$A$2:$F$368,G95,FALSE)</f>
        <v>15.324999999999999</v>
      </c>
      <c r="J95" s="133">
        <f ca="1">HLOOKUP($H$4,'Met Data'!$H$2:$M$368,G95,FALSE)*L95</f>
        <v>1.38333333333333</v>
      </c>
      <c r="K95" s="106">
        <f ca="1">HLOOKUP($H$4,'Met Data'!$O$2:$T$368,G95,FALSE)</f>
        <v>2.7545575054438101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45043</v>
      </c>
      <c r="Q95">
        <f ca="1"/>
        <v>118.51868655381671</v>
      </c>
      <c r="R95">
        <f ca="1"/>
        <v>2.0073983414339098</v>
      </c>
      <c r="S95">
        <f ca="1"/>
        <v>2.1665024023973885E-9</v>
      </c>
      <c r="T95">
        <f ca="1"/>
        <v>0.37011363636363498</v>
      </c>
      <c r="U95">
        <f ca="1"/>
        <v>0</v>
      </c>
      <c r="V95">
        <f ca="1"/>
        <v>75.176277279926694</v>
      </c>
      <c r="W95">
        <f ca="1"/>
        <v>19.120922699459602</v>
      </c>
      <c r="X95">
        <f ca="1"/>
        <v>0</v>
      </c>
      <c r="Y95">
        <f ca="1"/>
        <v>0.81253925816510886</v>
      </c>
      <c r="Z95">
        <f ca="1"/>
        <v>0</v>
      </c>
      <c r="AA95">
        <f ca="1"/>
        <v>0</v>
      </c>
      <c r="AB95">
        <f ca="1"/>
        <v>0.99999735942037804</v>
      </c>
      <c r="AD95" s="2">
        <f t="shared" ca="1" si="12"/>
        <v>45043</v>
      </c>
      <c r="AE95" s="46">
        <f t="shared" ca="1" si="13"/>
        <v>0</v>
      </c>
      <c r="AG95" s="72">
        <f t="shared" ca="1" si="17"/>
        <v>120.52608489525063</v>
      </c>
      <c r="AH95" s="72">
        <f t="shared" ca="1" si="18"/>
        <v>120.52608489525062</v>
      </c>
      <c r="AI95" s="3">
        <f t="shared" ca="1" si="19"/>
        <v>0</v>
      </c>
    </row>
    <row r="96" spans="7:35" x14ac:dyDescent="0.25">
      <c r="G96" s="3">
        <f t="shared" ca="1" si="14"/>
        <v>74</v>
      </c>
      <c r="H96" s="105">
        <f t="shared" ca="1" si="16"/>
        <v>44999</v>
      </c>
      <c r="I96" s="133">
        <f ca="1">HLOOKUP($H$4,'Met Data'!$A$2:$F$368,G96,FALSE)</f>
        <v>15.8333333333333</v>
      </c>
      <c r="J96" s="133">
        <f ca="1">HLOOKUP($H$4,'Met Data'!$H$2:$M$368,G96,FALSE)*L96</f>
        <v>0.483333333333333</v>
      </c>
      <c r="K96" s="106">
        <f ca="1">HLOOKUP($H$4,'Met Data'!$O$2:$T$368,G96,FALSE)</f>
        <v>2.9925841251346701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45044</v>
      </c>
      <c r="Q96">
        <f ca="1"/>
        <v>116.9236717588569</v>
      </c>
      <c r="R96">
        <f ca="1"/>
        <v>1.94774206938501</v>
      </c>
      <c r="S96">
        <f ca="1"/>
        <v>1.6979207867727179E-9</v>
      </c>
      <c r="T96">
        <f ca="1"/>
        <v>0.3527272727272725</v>
      </c>
      <c r="U96">
        <f ca="1"/>
        <v>0</v>
      </c>
      <c r="V96">
        <f ca="1"/>
        <v>77.124019349311695</v>
      </c>
      <c r="W96">
        <f ca="1"/>
        <v>19.616326660585798</v>
      </c>
      <c r="X96">
        <f ca="1"/>
        <v>0</v>
      </c>
      <c r="Y96">
        <f ca="1"/>
        <v>0.84814877176554826</v>
      </c>
      <c r="Z96">
        <f ca="1"/>
        <v>0</v>
      </c>
      <c r="AA96">
        <f ca="1"/>
        <v>0</v>
      </c>
      <c r="AB96">
        <f ca="1"/>
        <v>0.99999786304997795</v>
      </c>
      <c r="AD96" s="2">
        <f t="shared" ca="1" si="12"/>
        <v>45044</v>
      </c>
      <c r="AE96" s="46">
        <f t="shared" ca="1" si="13"/>
        <v>0</v>
      </c>
      <c r="AG96" s="72">
        <f t="shared" ca="1" si="17"/>
        <v>118.87141382824191</v>
      </c>
      <c r="AH96" s="72">
        <f t="shared" ca="1" si="18"/>
        <v>118.87141382824191</v>
      </c>
      <c r="AI96" s="3">
        <f t="shared" ca="1" si="19"/>
        <v>0</v>
      </c>
    </row>
    <row r="97" spans="7:35" x14ac:dyDescent="0.25">
      <c r="G97" s="3">
        <f t="shared" ca="1" si="14"/>
        <v>75</v>
      </c>
      <c r="H97" s="105">
        <f t="shared" ca="1" si="16"/>
        <v>45000</v>
      </c>
      <c r="I97" s="133">
        <f ca="1">HLOOKUP($H$4,'Met Data'!$A$2:$F$368,G97,FALSE)</f>
        <v>16.966666666666601</v>
      </c>
      <c r="J97" s="133">
        <f ca="1">HLOOKUP($H$4,'Met Data'!$H$2:$M$368,G97,FALSE)*L97</f>
        <v>0.31666666666666599</v>
      </c>
      <c r="K97" s="106">
        <f ca="1">HLOOKUP($H$4,'Met Data'!$O$2:$T$368,G97,FALSE)</f>
        <v>2.9125814341448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45045</v>
      </c>
      <c r="Q97">
        <f ca="1"/>
        <v>115.3267573268773</v>
      </c>
      <c r="R97">
        <f ca="1"/>
        <v>1.94285193336289</v>
      </c>
      <c r="S97">
        <f ca="1"/>
        <v>1.3832971590048603E-9</v>
      </c>
      <c r="T97">
        <f ca="1"/>
        <v>0.34593750000000001</v>
      </c>
      <c r="U97">
        <f ca="1"/>
        <v>0</v>
      </c>
      <c r="V97">
        <f ca="1"/>
        <v>79.066871282674597</v>
      </c>
      <c r="W97">
        <f ca="1"/>
        <v>20.110486826245499</v>
      </c>
      <c r="X97">
        <f ca="1"/>
        <v>0</v>
      </c>
      <c r="Y97">
        <f ca="1"/>
        <v>0.87461160947673744</v>
      </c>
      <c r="Z97">
        <f ca="1"/>
        <v>0</v>
      </c>
      <c r="AA97">
        <f ca="1"/>
        <v>0</v>
      </c>
      <c r="AB97">
        <f ca="1"/>
        <v>0.999998263564993</v>
      </c>
      <c r="AD97" s="2">
        <f t="shared" ca="1" si="12"/>
        <v>45045</v>
      </c>
      <c r="AE97" s="46">
        <f t="shared" ca="1" si="13"/>
        <v>0</v>
      </c>
      <c r="AG97" s="72">
        <f t="shared" ca="1" si="17"/>
        <v>117.2696092602402</v>
      </c>
      <c r="AH97" s="72">
        <f t="shared" ca="1" si="18"/>
        <v>117.26960926024019</v>
      </c>
      <c r="AI97" s="3">
        <f t="shared" ca="1" si="19"/>
        <v>0</v>
      </c>
    </row>
    <row r="98" spans="7:35" x14ac:dyDescent="0.25">
      <c r="G98" s="3">
        <f t="shared" ca="1" si="14"/>
        <v>76</v>
      </c>
      <c r="H98" s="105">
        <f t="shared" ca="1" si="16"/>
        <v>45001</v>
      </c>
      <c r="I98" s="133">
        <f ca="1">HLOOKUP($H$4,'Met Data'!$A$2:$F$368,G98,FALSE)</f>
        <v>17.766666666666602</v>
      </c>
      <c r="J98" s="133">
        <f ca="1">HLOOKUP($H$4,'Met Data'!$H$2:$M$368,G98,FALSE)*L98</f>
        <v>2.25</v>
      </c>
      <c r="K98" s="106">
        <f ca="1">HLOOKUP($H$4,'Met Data'!$O$2:$T$368,G98,FALSE)</f>
        <v>2.3685635659939601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45046</v>
      </c>
      <c r="Q98">
        <f ca="1"/>
        <v>113.72061153492587</v>
      </c>
      <c r="R98">
        <f ca="1"/>
        <v>1.9472916264224001</v>
      </c>
      <c r="S98">
        <f ca="1"/>
        <v>1.1376218549648084E-9</v>
      </c>
      <c r="T98">
        <f ca="1"/>
        <v>0.34114583333333254</v>
      </c>
      <c r="U98">
        <f ca="1"/>
        <v>0</v>
      </c>
      <c r="V98">
        <f ca="1"/>
        <v>81.014162909096996</v>
      </c>
      <c r="W98">
        <f ca="1"/>
        <v>20.605776218183401</v>
      </c>
      <c r="X98">
        <f ca="1"/>
        <v>0</v>
      </c>
      <c r="Y98">
        <f ca="1"/>
        <v>0.9062532443231035</v>
      </c>
      <c r="Z98">
        <f ca="1"/>
        <v>0</v>
      </c>
      <c r="AA98">
        <f ca="1"/>
        <v>0</v>
      </c>
      <c r="AB98">
        <f ca="1"/>
        <v>0.99999858495203198</v>
      </c>
      <c r="AD98" s="2">
        <f t="shared" ca="1" si="12"/>
        <v>45046</v>
      </c>
      <c r="AE98" s="46">
        <f t="shared" ca="1" si="13"/>
        <v>0</v>
      </c>
      <c r="AG98" s="72">
        <f t="shared" ca="1" si="17"/>
        <v>115.66790316134825</v>
      </c>
      <c r="AH98" s="72">
        <f t="shared" ca="1" si="18"/>
        <v>115.66790316134826</v>
      </c>
      <c r="AI98" s="3">
        <f t="shared" ca="1" si="19"/>
        <v>0</v>
      </c>
    </row>
    <row r="99" spans="7:35" x14ac:dyDescent="0.25">
      <c r="G99" s="3">
        <f t="shared" ca="1" si="14"/>
        <v>77</v>
      </c>
      <c r="H99" s="105">
        <f t="shared" ca="1" si="16"/>
        <v>45002</v>
      </c>
      <c r="I99" s="133">
        <f ca="1">HLOOKUP($H$4,'Met Data'!$A$2:$F$368,G99,FALSE)</f>
        <v>16.100000000000001</v>
      </c>
      <c r="J99" s="133">
        <f ca="1">HLOOKUP($H$4,'Met Data'!$H$2:$M$368,G99,FALSE)*L99</f>
        <v>1.4</v>
      </c>
      <c r="K99" s="106">
        <f ca="1">HLOOKUP($H$4,'Met Data'!$O$2:$T$368,G99,FALSE)</f>
        <v>2.7759280674014901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45047</v>
      </c>
      <c r="Q99">
        <f ca="1"/>
        <v>112.29679327245276</v>
      </c>
      <c r="R99">
        <f ca="1"/>
        <v>1.7209015966348999</v>
      </c>
      <c r="S99">
        <f ca="1"/>
        <v>8.2846139229412002E-10</v>
      </c>
      <c r="T99">
        <f ca="1"/>
        <v>0.29708333333333253</v>
      </c>
      <c r="U99">
        <f ca="1"/>
        <v>0</v>
      </c>
      <c r="V99">
        <f ca="1"/>
        <v>82.735064505731899</v>
      </c>
      <c r="W99">
        <f ca="1"/>
        <v>21.043483798196998</v>
      </c>
      <c r="X99">
        <f ca="1"/>
        <v>0</v>
      </c>
      <c r="Y99">
        <f ca="1"/>
        <v>0.89435008309279296</v>
      </c>
      <c r="Z99">
        <f ca="1"/>
        <v>0</v>
      </c>
      <c r="AA99">
        <f ca="1"/>
        <v>0</v>
      </c>
      <c r="AB99">
        <f ca="1"/>
        <v>0.99999881596513596</v>
      </c>
      <c r="AD99" s="2">
        <f t="shared" ca="1" si="12"/>
        <v>45047</v>
      </c>
      <c r="AE99" s="46">
        <f t="shared" ca="1" si="13"/>
        <v>0</v>
      </c>
      <c r="AG99" s="72">
        <f t="shared" ca="1" si="17"/>
        <v>114.01769486908766</v>
      </c>
      <c r="AH99" s="72">
        <f t="shared" ca="1" si="18"/>
        <v>114.01769486908766</v>
      </c>
      <c r="AI99" s="3">
        <f t="shared" ca="1" si="19"/>
        <v>0</v>
      </c>
    </row>
    <row r="100" spans="7:35" x14ac:dyDescent="0.25">
      <c r="G100" s="3">
        <f t="shared" ca="1" si="14"/>
        <v>78</v>
      </c>
      <c r="H100" s="105">
        <f t="shared" ca="1" si="16"/>
        <v>45003</v>
      </c>
      <c r="I100" s="133">
        <f ca="1">HLOOKUP($H$4,'Met Data'!$A$2:$F$368,G100,FALSE)</f>
        <v>15.379166666666601</v>
      </c>
      <c r="J100" s="133">
        <f ca="1">HLOOKUP($H$4,'Met Data'!$H$2:$M$368,G100,FALSE)*L100</f>
        <v>3.68333333333333</v>
      </c>
      <c r="K100" s="106">
        <f ca="1">HLOOKUP($H$4,'Met Data'!$O$2:$T$368,G100,FALSE)</f>
        <v>2.7162290778951999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45048</v>
      </c>
      <c r="Q100">
        <f ca="1"/>
        <v>110.85340446202335</v>
      </c>
      <c r="R100">
        <f ca="1"/>
        <v>1.73974297780465</v>
      </c>
      <c r="S100">
        <f ca="1"/>
        <v>7.0857936872623402E-10</v>
      </c>
      <c r="T100">
        <f ca="1"/>
        <v>0.29635416666666503</v>
      </c>
      <c r="U100">
        <f ca="1"/>
        <v>0</v>
      </c>
      <c r="V100">
        <f ca="1"/>
        <v>84.474807483536495</v>
      </c>
      <c r="W100">
        <f ca="1"/>
        <v>21.485983642551702</v>
      </c>
      <c r="X100">
        <f ca="1"/>
        <v>0</v>
      </c>
      <c r="Y100">
        <f ca="1"/>
        <v>0.88341438026825125</v>
      </c>
      <c r="Z100">
        <f ca="1"/>
        <v>0</v>
      </c>
      <c r="AA100">
        <f ca="1"/>
        <v>0</v>
      </c>
      <c r="AB100">
        <f ca="1"/>
        <v>0.99999900883081705</v>
      </c>
      <c r="AD100" s="2">
        <f t="shared" ca="1" si="12"/>
        <v>45048</v>
      </c>
      <c r="AE100" s="46">
        <f t="shared" ca="1" si="13"/>
        <v>0</v>
      </c>
      <c r="AG100" s="72">
        <f t="shared" ca="1" si="17"/>
        <v>112.593147439828</v>
      </c>
      <c r="AH100" s="72">
        <f t="shared" ca="1" si="18"/>
        <v>112.593147439828</v>
      </c>
      <c r="AI100" s="3">
        <f t="shared" ca="1" si="19"/>
        <v>0</v>
      </c>
    </row>
    <row r="101" spans="7:35" x14ac:dyDescent="0.25">
      <c r="G101" s="3">
        <f t="shared" ca="1" si="14"/>
        <v>79</v>
      </c>
      <c r="H101" s="105">
        <f t="shared" ca="1" si="16"/>
        <v>45004</v>
      </c>
      <c r="I101" s="133">
        <f ca="1">HLOOKUP($H$4,'Met Data'!$A$2:$F$368,G101,FALSE)</f>
        <v>15.858333333333301</v>
      </c>
      <c r="J101" s="133">
        <f ca="1">HLOOKUP($H$4,'Met Data'!$H$2:$M$368,G101,FALSE)*L101</f>
        <v>0.85</v>
      </c>
      <c r="K101" s="106">
        <f ca="1">HLOOKUP($H$4,'Met Data'!$O$2:$T$368,G101,FALSE)</f>
        <v>2.8216063312721902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45049</v>
      </c>
      <c r="Q101">
        <f ca="1"/>
        <v>109.23338850621307</v>
      </c>
      <c r="R101">
        <f ca="1"/>
        <v>1.9472034564812899</v>
      </c>
      <c r="S101">
        <f ca="1"/>
        <v>6.7101912057005579E-10</v>
      </c>
      <c r="T101">
        <f ca="1"/>
        <v>0.32718750000000002</v>
      </c>
      <c r="U101">
        <f ca="1"/>
        <v>0</v>
      </c>
      <c r="V101">
        <f ca="1"/>
        <v>86.422010940017799</v>
      </c>
      <c r="W101">
        <f ca="1"/>
        <v>21.981250608656701</v>
      </c>
      <c r="X101">
        <f ca="1"/>
        <v>0</v>
      </c>
      <c r="Y101">
        <f ca="1"/>
        <v>0.88925900671492109</v>
      </c>
      <c r="Z101">
        <f ca="1"/>
        <v>0</v>
      </c>
      <c r="AA101">
        <f ca="1"/>
        <v>0</v>
      </c>
      <c r="AB101">
        <f ca="1"/>
        <v>0.99999918548838596</v>
      </c>
      <c r="AD101" s="2">
        <f t="shared" ca="1" si="12"/>
        <v>45049</v>
      </c>
      <c r="AE101" s="46">
        <f t="shared" ca="1" si="13"/>
        <v>0</v>
      </c>
      <c r="AG101" s="72">
        <f t="shared" ca="1" si="17"/>
        <v>111.18059196269436</v>
      </c>
      <c r="AH101" s="72">
        <f t="shared" ca="1" si="18"/>
        <v>111.18059196269436</v>
      </c>
      <c r="AI101" s="3">
        <f t="shared" ca="1" si="19"/>
        <v>0</v>
      </c>
    </row>
    <row r="102" spans="7:35" x14ac:dyDescent="0.25">
      <c r="G102" s="3">
        <f t="shared" ca="1" si="14"/>
        <v>80</v>
      </c>
      <c r="H102" s="105">
        <f t="shared" ca="1" si="16"/>
        <v>45005</v>
      </c>
      <c r="I102" s="133">
        <f ca="1">HLOOKUP($H$4,'Met Data'!$A$2:$F$368,G102,FALSE)</f>
        <v>16.216666666666601</v>
      </c>
      <c r="J102" s="133">
        <f ca="1">HLOOKUP($H$4,'Met Data'!$H$2:$M$368,G102,FALSE)*L102</f>
        <v>8.3333333333333301E-2</v>
      </c>
      <c r="K102" s="106">
        <f ca="1">HLOOKUP($H$4,'Met Data'!$O$2:$T$368,G102,FALSE)</f>
        <v>2.7500481593686201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45050</v>
      </c>
      <c r="Q102">
        <f ca="1"/>
        <v>107.57962776636364</v>
      </c>
      <c r="R102">
        <f ca="1"/>
        <v>1.98219824041723</v>
      </c>
      <c r="S102">
        <f ca="1"/>
        <v>5.6779654406536724E-10</v>
      </c>
      <c r="T102">
        <f ca="1"/>
        <v>0.32843749999999999</v>
      </c>
      <c r="U102">
        <f ca="1"/>
        <v>0</v>
      </c>
      <c r="V102">
        <f ca="1"/>
        <v>88.404209180435004</v>
      </c>
      <c r="W102">
        <f ca="1"/>
        <v>22.485418421980199</v>
      </c>
      <c r="X102">
        <f ca="1"/>
        <v>0</v>
      </c>
      <c r="Y102">
        <f ca="1"/>
        <v>0.90455791015106812</v>
      </c>
      <c r="Z102">
        <f ca="1"/>
        <v>0</v>
      </c>
      <c r="AA102">
        <f ca="1"/>
        <v>0</v>
      </c>
      <c r="AB102">
        <f ca="1"/>
        <v>0.99999933116180895</v>
      </c>
      <c r="AD102" s="2">
        <f t="shared" ca="1" si="12"/>
        <v>45050</v>
      </c>
      <c r="AE102" s="46">
        <f t="shared" ca="1" si="13"/>
        <v>0</v>
      </c>
      <c r="AG102" s="72">
        <f t="shared" ca="1" si="17"/>
        <v>109.56182600678088</v>
      </c>
      <c r="AH102" s="72">
        <f t="shared" ca="1" si="18"/>
        <v>109.56182600678088</v>
      </c>
      <c r="AI102" s="3">
        <f t="shared" ca="1" si="19"/>
        <v>0</v>
      </c>
    </row>
    <row r="103" spans="7:35" x14ac:dyDescent="0.25">
      <c r="G103" s="3">
        <f t="shared" ca="1" si="14"/>
        <v>81</v>
      </c>
      <c r="H103" s="105">
        <f t="shared" ca="1" si="16"/>
        <v>45006</v>
      </c>
      <c r="I103" s="133">
        <f ca="1">HLOOKUP($H$4,'Met Data'!$A$2:$F$368,G103,FALSE)</f>
        <v>16.483333333333299</v>
      </c>
      <c r="J103" s="133">
        <f ca="1">HLOOKUP($H$4,'Met Data'!$H$2:$M$368,G103,FALSE)*L103</f>
        <v>1.11666666666666</v>
      </c>
      <c r="K103" s="106">
        <f ca="1">HLOOKUP($H$4,'Met Data'!$O$2:$T$368,G103,FALSE)</f>
        <v>2.6292753041097501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45051</v>
      </c>
      <c r="Q103">
        <f ca="1"/>
        <v>105.84008329282116</v>
      </c>
      <c r="R103">
        <f ca="1"/>
        <v>2.0793361407039601</v>
      </c>
      <c r="S103">
        <f ca="1"/>
        <v>4.9481779652092154E-10</v>
      </c>
      <c r="T103">
        <f ca="1"/>
        <v>0.33979166666666499</v>
      </c>
      <c r="U103">
        <f ca="1"/>
        <v>0</v>
      </c>
      <c r="V103">
        <f ca="1"/>
        <v>90.483545321139005</v>
      </c>
      <c r="W103">
        <f ca="1"/>
        <v>23.0142930490723</v>
      </c>
      <c r="X103">
        <f ca="1"/>
        <v>0</v>
      </c>
      <c r="Y103">
        <f ca="1"/>
        <v>0.93410039726324856</v>
      </c>
      <c r="Z103">
        <f ca="1"/>
        <v>0</v>
      </c>
      <c r="AA103">
        <f ca="1"/>
        <v>0</v>
      </c>
      <c r="AB103">
        <f ca="1"/>
        <v>0.99999945451044003</v>
      </c>
      <c r="AD103" s="2">
        <f t="shared" ca="1" si="12"/>
        <v>45051</v>
      </c>
      <c r="AE103" s="46">
        <f t="shared" ca="1" si="13"/>
        <v>0</v>
      </c>
      <c r="AG103" s="72">
        <f t="shared" ca="1" si="17"/>
        <v>107.91941943352514</v>
      </c>
      <c r="AH103" s="72">
        <f t="shared" ca="1" si="18"/>
        <v>107.91941943352512</v>
      </c>
      <c r="AI103" s="3">
        <f t="shared" ca="1" si="19"/>
        <v>0</v>
      </c>
    </row>
    <row r="104" spans="7:35" x14ac:dyDescent="0.25">
      <c r="G104" s="3">
        <f t="shared" ca="1" si="14"/>
        <v>82</v>
      </c>
      <c r="H104" s="105">
        <f t="shared" ca="1" si="16"/>
        <v>45007</v>
      </c>
      <c r="I104" s="133">
        <f ca="1">HLOOKUP($H$4,'Met Data'!$A$2:$F$368,G104,FALSE)</f>
        <v>16.6791666666666</v>
      </c>
      <c r="J104" s="133">
        <f ca="1">HLOOKUP($H$4,'Met Data'!$H$2:$M$368,G104,FALSE)*L104</f>
        <v>1.63333333333333</v>
      </c>
      <c r="K104" s="106">
        <f ca="1">HLOOKUP($H$4,'Met Data'!$O$2:$T$368,G104,FALSE)</f>
        <v>2.3413673129625598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45052</v>
      </c>
      <c r="Q104">
        <f ca="1"/>
        <v>104.11400262089863</v>
      </c>
      <c r="R104">
        <f ca="1"/>
        <v>2.05785150566021</v>
      </c>
      <c r="S104">
        <f ca="1"/>
        <v>4.0433781400923626E-10</v>
      </c>
      <c r="T104">
        <f ca="1"/>
        <v>0.33177083333333252</v>
      </c>
      <c r="U104">
        <f ca="1"/>
        <v>0</v>
      </c>
      <c r="V104">
        <f ca="1"/>
        <v>92.5413968267992</v>
      </c>
      <c r="W104">
        <f ca="1"/>
        <v>23.5377031059468</v>
      </c>
      <c r="X104">
        <f ca="1"/>
        <v>0</v>
      </c>
      <c r="Y104">
        <f ca="1"/>
        <v>0.94300997085530203</v>
      </c>
      <c r="Z104">
        <f ca="1"/>
        <v>0</v>
      </c>
      <c r="AA104">
        <f ca="1"/>
        <v>0</v>
      </c>
      <c r="AB104">
        <f ca="1"/>
        <v>0.999999552964836</v>
      </c>
      <c r="AD104" s="2">
        <f t="shared" ca="1" si="12"/>
        <v>45052</v>
      </c>
      <c r="AE104" s="46">
        <f t="shared" ca="1" si="13"/>
        <v>0</v>
      </c>
      <c r="AG104" s="72">
        <f t="shared" ca="1" si="17"/>
        <v>106.17185412655884</v>
      </c>
      <c r="AH104" s="72">
        <f t="shared" ca="1" si="18"/>
        <v>106.17185412655884</v>
      </c>
      <c r="AI104" s="3">
        <f t="shared" ca="1" si="19"/>
        <v>0</v>
      </c>
    </row>
    <row r="105" spans="7:35" x14ac:dyDescent="0.25">
      <c r="G105" s="3">
        <f t="shared" ca="1" si="14"/>
        <v>83</v>
      </c>
      <c r="H105" s="105">
        <f t="shared" ca="1" si="16"/>
        <v>45008</v>
      </c>
      <c r="I105" s="133">
        <f ca="1">HLOOKUP($H$4,'Met Data'!$A$2:$F$368,G105,FALSE)</f>
        <v>16.8</v>
      </c>
      <c r="J105" s="133">
        <f ca="1">HLOOKUP($H$4,'Met Data'!$H$2:$M$368,G105,FALSE)*L105</f>
        <v>2.2833333333333301</v>
      </c>
      <c r="K105" s="106">
        <f ca="1">HLOOKUP($H$4,'Met Data'!$O$2:$T$368,G105,FALSE)</f>
        <v>2.7038604411954998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45053</v>
      </c>
      <c r="Q105">
        <f ca="1"/>
        <v>102.43987920012049</v>
      </c>
      <c r="R105">
        <f ca="1"/>
        <v>1.9911025877696</v>
      </c>
      <c r="S105">
        <f ca="1"/>
        <v>3.2479082358596837E-10</v>
      </c>
      <c r="T105">
        <f ca="1"/>
        <v>0.31697916666666504</v>
      </c>
      <c r="U105">
        <f ca="1"/>
        <v>0</v>
      </c>
      <c r="V105">
        <f ca="1"/>
        <v>94.532499414568804</v>
      </c>
      <c r="W105">
        <f ca="1"/>
        <v>24.044135720662101</v>
      </c>
      <c r="X105">
        <f ca="1"/>
        <v>0</v>
      </c>
      <c r="Y105">
        <f ca="1"/>
        <v>0.97725559613055246</v>
      </c>
      <c r="Z105">
        <f ca="1"/>
        <v>0</v>
      </c>
      <c r="AA105">
        <f ca="1"/>
        <v>0</v>
      </c>
      <c r="AB105">
        <f ca="1"/>
        <v>0.999999630383821</v>
      </c>
      <c r="AD105" s="2">
        <f t="shared" ca="1" si="12"/>
        <v>45053</v>
      </c>
      <c r="AE105" s="46">
        <f t="shared" ca="1" si="13"/>
        <v>0</v>
      </c>
      <c r="AG105" s="72">
        <f t="shared" ca="1" si="17"/>
        <v>104.43098178789009</v>
      </c>
      <c r="AH105" s="72">
        <f t="shared" ca="1" si="18"/>
        <v>104.43098178789009</v>
      </c>
      <c r="AI105" s="3">
        <f t="shared" ca="1" si="19"/>
        <v>0</v>
      </c>
    </row>
    <row r="106" spans="7:35" x14ac:dyDescent="0.25">
      <c r="G106" s="3">
        <f t="shared" ca="1" si="14"/>
        <v>84</v>
      </c>
      <c r="H106" s="105">
        <f t="shared" ca="1" si="16"/>
        <v>45009</v>
      </c>
      <c r="I106" s="133">
        <f ca="1">HLOOKUP($H$4,'Met Data'!$A$2:$F$368,G106,FALSE)</f>
        <v>16.237500000000001</v>
      </c>
      <c r="J106" s="133">
        <f ca="1">HLOOKUP($H$4,'Met Data'!$H$2:$M$368,G106,FALSE)*L106</f>
        <v>3.7833333333333301</v>
      </c>
      <c r="K106" s="106">
        <f ca="1">HLOOKUP($H$4,'Met Data'!$O$2:$T$368,G106,FALSE)</f>
        <v>2.1387131538714801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45054</v>
      </c>
      <c r="Q106">
        <f ca="1"/>
        <v>100.72551930365599</v>
      </c>
      <c r="R106">
        <f ca="1"/>
        <v>2.0343598967425001</v>
      </c>
      <c r="S106">
        <f ca="1"/>
        <v>2.7799823204602648E-10</v>
      </c>
      <c r="T106">
        <f ca="1"/>
        <v>0.31999999999999751</v>
      </c>
      <c r="U106">
        <f ca="1"/>
        <v>0</v>
      </c>
      <c r="V106">
        <f ca="1"/>
        <v>96.566859311311305</v>
      </c>
      <c r="W106">
        <f ca="1"/>
        <v>24.561570737876998</v>
      </c>
      <c r="X106">
        <f ca="1"/>
        <v>0</v>
      </c>
      <c r="Y106">
        <f ca="1"/>
        <v>0.98471845058616503</v>
      </c>
      <c r="Z106">
        <f ca="1"/>
        <v>0</v>
      </c>
      <c r="AA106">
        <f ca="1"/>
        <v>0</v>
      </c>
      <c r="AB106">
        <f ca="1"/>
        <v>0.99999969494850305</v>
      </c>
      <c r="AD106" s="2">
        <f t="shared" ca="1" si="12"/>
        <v>45054</v>
      </c>
      <c r="AE106" s="46">
        <f t="shared" ca="1" si="13"/>
        <v>0</v>
      </c>
      <c r="AG106" s="72">
        <f t="shared" ca="1" si="17"/>
        <v>102.75987920039847</v>
      </c>
      <c r="AH106" s="72">
        <f t="shared" ca="1" si="18"/>
        <v>102.75987920039849</v>
      </c>
      <c r="AI106" s="3">
        <f t="shared" ca="1" si="19"/>
        <v>0</v>
      </c>
    </row>
    <row r="107" spans="7:35" x14ac:dyDescent="0.25">
      <c r="G107" s="3">
        <f t="shared" ca="1" si="14"/>
        <v>85</v>
      </c>
      <c r="H107" s="105">
        <f t="shared" ca="1" si="16"/>
        <v>45010</v>
      </c>
      <c r="I107" s="133">
        <f ca="1">HLOOKUP($H$4,'Met Data'!$A$2:$F$368,G107,FALSE)</f>
        <v>16.875</v>
      </c>
      <c r="J107" s="133">
        <f ca="1">HLOOKUP($H$4,'Met Data'!$H$2:$M$368,G107,FALSE)*L107</f>
        <v>2.9</v>
      </c>
      <c r="K107" s="106">
        <f ca="1">HLOOKUP($H$4,'Met Data'!$O$2:$T$368,G107,FALSE)</f>
        <v>2.4308063740099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45055</v>
      </c>
      <c r="Q107">
        <f ca="1"/>
        <v>98.809438603310042</v>
      </c>
      <c r="R107">
        <f ca="1"/>
        <v>2.2685807006051402</v>
      </c>
      <c r="S107">
        <f ca="1"/>
        <v>2.591951266260157E-10</v>
      </c>
      <c r="T107">
        <f ca="1"/>
        <v>0.35249999999999998</v>
      </c>
      <c r="U107">
        <f ca="1"/>
        <v>0</v>
      </c>
      <c r="V107">
        <f ca="1"/>
        <v>98.835440011916504</v>
      </c>
      <c r="W107">
        <f ca="1"/>
        <v>25.138579307378802</v>
      </c>
      <c r="X107">
        <f ca="1"/>
        <v>0</v>
      </c>
      <c r="Y107">
        <f ca="1"/>
        <v>0.98366828682582375</v>
      </c>
      <c r="Z107">
        <f ca="1"/>
        <v>0</v>
      </c>
      <c r="AA107">
        <f ca="1"/>
        <v>0</v>
      </c>
      <c r="AB107">
        <f ca="1"/>
        <v>0.99999975309648004</v>
      </c>
      <c r="AD107" s="2">
        <f t="shared" ca="1" si="12"/>
        <v>45055</v>
      </c>
      <c r="AE107" s="46">
        <f t="shared" ca="1" si="13"/>
        <v>0</v>
      </c>
      <c r="AG107" s="72">
        <f t="shared" ca="1" si="17"/>
        <v>101.07801930391518</v>
      </c>
      <c r="AH107" s="72">
        <f t="shared" ca="1" si="18"/>
        <v>101.07801930391518</v>
      </c>
      <c r="AI107" s="3">
        <f t="shared" ca="1" si="19"/>
        <v>0</v>
      </c>
    </row>
    <row r="108" spans="7:35" x14ac:dyDescent="0.25">
      <c r="G108" s="3">
        <f t="shared" ca="1" si="14"/>
        <v>86</v>
      </c>
      <c r="H108" s="105">
        <f t="shared" ca="1" si="16"/>
        <v>45011</v>
      </c>
      <c r="I108" s="133">
        <f ca="1">HLOOKUP($H$4,'Met Data'!$A$2:$F$368,G108,FALSE)</f>
        <v>17.024999999999999</v>
      </c>
      <c r="J108" s="133">
        <f ca="1">HLOOKUP($H$4,'Met Data'!$H$2:$M$368,G108,FALSE)*L108</f>
        <v>3.7333333333333298</v>
      </c>
      <c r="K108" s="106">
        <f ca="1">HLOOKUP($H$4,'Met Data'!$O$2:$T$368,G108,FALSE)</f>
        <v>2.3866525377963699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45056</v>
      </c>
      <c r="Q108">
        <f ca="1"/>
        <v>96.914907885082741</v>
      </c>
      <c r="R108">
        <f ca="1"/>
        <v>2.23807238510383</v>
      </c>
      <c r="S108">
        <f ca="1"/>
        <v>2.0986674005335237E-10</v>
      </c>
      <c r="T108">
        <f ca="1"/>
        <v>0.34354166666666502</v>
      </c>
      <c r="U108">
        <f ca="1"/>
        <v>0</v>
      </c>
      <c r="V108">
        <f ca="1"/>
        <v>101.07351239702</v>
      </c>
      <c r="W108">
        <f ca="1"/>
        <v>25.707828153155202</v>
      </c>
      <c r="X108">
        <f ca="1"/>
        <v>0</v>
      </c>
      <c r="Y108">
        <f ca="1"/>
        <v>0.98674009745625213</v>
      </c>
      <c r="Z108">
        <f ca="1"/>
        <v>0</v>
      </c>
      <c r="AA108">
        <f ca="1"/>
        <v>0</v>
      </c>
      <c r="AB108">
        <f ca="1"/>
        <v>0.99999979908352798</v>
      </c>
      <c r="AD108" s="2">
        <f t="shared" ca="1" si="12"/>
        <v>45056</v>
      </c>
      <c r="AE108" s="46">
        <f t="shared" ca="1" si="13"/>
        <v>0</v>
      </c>
      <c r="AG108" s="72">
        <f t="shared" ca="1" si="17"/>
        <v>99.152980270186575</v>
      </c>
      <c r="AH108" s="72">
        <f t="shared" ca="1" si="18"/>
        <v>99.152980270186575</v>
      </c>
      <c r="AI108" s="3">
        <f t="shared" ca="1" si="19"/>
        <v>0</v>
      </c>
    </row>
    <row r="109" spans="7:35" x14ac:dyDescent="0.25">
      <c r="G109" s="3">
        <f t="shared" ca="1" si="14"/>
        <v>87</v>
      </c>
      <c r="H109" s="105">
        <f t="shared" ca="1" si="16"/>
        <v>45012</v>
      </c>
      <c r="I109" s="133">
        <f ca="1">HLOOKUP($H$4,'Met Data'!$A$2:$F$368,G109,FALSE)</f>
        <v>17.3</v>
      </c>
      <c r="J109" s="133">
        <f ca="1">HLOOKUP($H$4,'Met Data'!$H$2:$M$368,G109,FALSE)*L109</f>
        <v>1.93333333333333</v>
      </c>
      <c r="K109" s="106">
        <f ca="1">HLOOKUP($H$4,'Met Data'!$O$2:$T$368,G109,FALSE)</f>
        <v>2.6501779961824399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45057</v>
      </c>
      <c r="Q109">
        <f ca="1"/>
        <v>95.084586175184199</v>
      </c>
      <c r="R109">
        <f ca="1"/>
        <v>2.1578217100656198</v>
      </c>
      <c r="S109">
        <f ca="1"/>
        <v>1.6707596808997536E-10</v>
      </c>
      <c r="T109">
        <f ca="1"/>
        <v>0.32750000000000001</v>
      </c>
      <c r="U109">
        <f ca="1"/>
        <v>0</v>
      </c>
      <c r="V109">
        <f ca="1"/>
        <v>103.231334107086</v>
      </c>
      <c r="W109">
        <f ca="1"/>
        <v>26.256665414193598</v>
      </c>
      <c r="X109">
        <f ca="1"/>
        <v>0</v>
      </c>
      <c r="Y109">
        <f ca="1"/>
        <v>1</v>
      </c>
      <c r="Z109">
        <f ca="1"/>
        <v>1.0436153854978869</v>
      </c>
      <c r="AA109">
        <f ca="1"/>
        <v>0</v>
      </c>
      <c r="AB109">
        <f ca="1"/>
        <v>0.99999983492414701</v>
      </c>
      <c r="AD109" s="2">
        <f t="shared" ca="1" si="12"/>
        <v>45057</v>
      </c>
      <c r="AE109" s="46">
        <f t="shared" ca="1" si="13"/>
        <v>0</v>
      </c>
      <c r="AG109" s="72">
        <f t="shared" ca="1" si="17"/>
        <v>97.242407885249818</v>
      </c>
      <c r="AH109" s="72">
        <f t="shared" ca="1" si="18"/>
        <v>97.242407885249818</v>
      </c>
      <c r="AI109" s="3">
        <f t="shared" ca="1" si="19"/>
        <v>0</v>
      </c>
    </row>
    <row r="110" spans="7:35" x14ac:dyDescent="0.25">
      <c r="G110" s="3">
        <f t="shared" ca="1" si="14"/>
        <v>88</v>
      </c>
      <c r="H110" s="105">
        <f t="shared" ca="1" si="16"/>
        <v>45013</v>
      </c>
      <c r="I110" s="133">
        <f ca="1">HLOOKUP($H$4,'Met Data'!$A$2:$F$368,G110,FALSE)</f>
        <v>15.983333333333301</v>
      </c>
      <c r="J110" s="133">
        <f ca="1">HLOOKUP($H$4,'Met Data'!$H$2:$M$368,G110,FALSE)*L110</f>
        <v>1.2166666666666599</v>
      </c>
      <c r="K110" s="106">
        <f ca="1">HLOOKUP($H$4,'Met Data'!$O$2:$T$368,G110,FALSE)</f>
        <v>2.2352735074469998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45058</v>
      </c>
      <c r="Q110">
        <f ca="1"/>
        <v>93.164851249225862</v>
      </c>
      <c r="R110">
        <f ca="1"/>
        <v>2.25890159277083</v>
      </c>
      <c r="S110">
        <f ca="1"/>
        <v>1.458278161420759E-10</v>
      </c>
      <c r="T110">
        <f ca="1"/>
        <v>0.33916666666666501</v>
      </c>
      <c r="U110">
        <f ca="1"/>
        <v>0</v>
      </c>
      <c r="V110">
        <f ca="1"/>
        <v>105.490235699857</v>
      </c>
      <c r="W110">
        <f ca="1"/>
        <v>26.831212123659199</v>
      </c>
      <c r="X110">
        <f ca="1"/>
        <v>0</v>
      </c>
      <c r="Y110">
        <f ca="1"/>
        <v>1</v>
      </c>
      <c r="Z110">
        <f ca="1"/>
        <v>4.9330574671925973</v>
      </c>
      <c r="AA110">
        <f ca="1"/>
        <v>0</v>
      </c>
      <c r="AB110">
        <f ca="1"/>
        <v>0.99999986531732399</v>
      </c>
      <c r="AD110" s="2">
        <f t="shared" ca="1" si="12"/>
        <v>45058</v>
      </c>
      <c r="AE110" s="46">
        <f t="shared" ca="1" si="13"/>
        <v>0</v>
      </c>
      <c r="AG110" s="72">
        <f t="shared" ca="1" si="17"/>
        <v>95.423752841996702</v>
      </c>
      <c r="AH110" s="72">
        <f t="shared" ca="1" si="18"/>
        <v>95.423752841996688</v>
      </c>
      <c r="AI110" s="3">
        <f t="shared" ca="1" si="19"/>
        <v>0</v>
      </c>
    </row>
    <row r="111" spans="7:35" x14ac:dyDescent="0.25">
      <c r="G111" s="3">
        <f t="shared" ca="1" si="14"/>
        <v>89</v>
      </c>
      <c r="H111" s="105">
        <f t="shared" ca="1" si="16"/>
        <v>45014</v>
      </c>
      <c r="I111" s="133">
        <f ca="1">HLOOKUP($H$4,'Met Data'!$A$2:$F$368,G111,FALSE)</f>
        <v>16.404166666666601</v>
      </c>
      <c r="J111" s="133">
        <f ca="1">HLOOKUP($H$4,'Met Data'!$H$2:$M$368,G111,FALSE)*L111</f>
        <v>2.3333333333333299</v>
      </c>
      <c r="K111" s="106">
        <f ca="1">HLOOKUP($H$4,'Met Data'!$O$2:$T$368,G111,FALSE)</f>
        <v>2.3461969045698901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45059</v>
      </c>
      <c r="Q111">
        <f ca="1"/>
        <v>91.319131301727026</v>
      </c>
      <c r="R111">
        <f ca="1"/>
        <v>2.1679074476148101</v>
      </c>
      <c r="S111">
        <f ca="1"/>
        <v>1.1597519608603674E-10</v>
      </c>
      <c r="T111">
        <f ca="1"/>
        <v>0.32218750000000002</v>
      </c>
      <c r="U111">
        <f ca="1"/>
        <v>0</v>
      </c>
      <c r="V111">
        <f ca="1"/>
        <v>107.658143147472</v>
      </c>
      <c r="W111">
        <f ca="1"/>
        <v>27.3826146701178</v>
      </c>
      <c r="X111">
        <f ca="1"/>
        <v>0</v>
      </c>
      <c r="Y111">
        <f ca="1"/>
        <v>1</v>
      </c>
      <c r="Z111">
        <f ca="1"/>
        <v>3.8305139195310574</v>
      </c>
      <c r="AA111">
        <f ca="1"/>
        <v>0</v>
      </c>
      <c r="AB111">
        <f ca="1"/>
        <v>0.99999988898953096</v>
      </c>
      <c r="AD111" s="2">
        <f t="shared" ca="1" si="12"/>
        <v>45059</v>
      </c>
      <c r="AE111" s="46">
        <f t="shared" ca="1" si="13"/>
        <v>0</v>
      </c>
      <c r="AG111" s="72">
        <f t="shared" ca="1" si="17"/>
        <v>93.487038749341835</v>
      </c>
      <c r="AH111" s="72">
        <f t="shared" ca="1" si="18"/>
        <v>93.487038749341835</v>
      </c>
      <c r="AI111" s="3">
        <f t="shared" ca="1" si="19"/>
        <v>0</v>
      </c>
    </row>
    <row r="112" spans="7:35" x14ac:dyDescent="0.25">
      <c r="G112" s="3">
        <f t="shared" ca="1" si="14"/>
        <v>90</v>
      </c>
      <c r="H112" s="105">
        <f t="shared" ca="1" si="16"/>
        <v>45015</v>
      </c>
      <c r="I112" s="133">
        <f ca="1">HLOOKUP($H$4,'Met Data'!$A$2:$F$368,G112,FALSE)</f>
        <v>16.629166666666599</v>
      </c>
      <c r="J112" s="133">
        <f ca="1">HLOOKUP($H$4,'Met Data'!$H$2:$M$368,G112,FALSE)*L112</f>
        <v>2.2333333333333298</v>
      </c>
      <c r="K112" s="106">
        <f ca="1">HLOOKUP($H$4,'Met Data'!$O$2:$T$368,G112,FALSE)</f>
        <v>2.5330458314755799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45060</v>
      </c>
      <c r="Q112">
        <f ca="1"/>
        <v>89.436245506568298</v>
      </c>
      <c r="R112">
        <f ca="1"/>
        <v>2.2078857952576199</v>
      </c>
      <c r="S112">
        <f ca="1"/>
        <v>9.8895458090964526E-11</v>
      </c>
      <c r="T112">
        <f ca="1"/>
        <v>0.32500000000000001</v>
      </c>
      <c r="U112">
        <f ca="1"/>
        <v>0</v>
      </c>
      <c r="V112">
        <f ca="1"/>
        <v>109.866028942729</v>
      </c>
      <c r="W112">
        <f ca="1"/>
        <v>27.944185622389799</v>
      </c>
      <c r="X112">
        <f ca="1"/>
        <v>0</v>
      </c>
      <c r="Y112">
        <f ca="1"/>
        <v>1</v>
      </c>
      <c r="Z112">
        <f ca="1"/>
        <v>3.6759034042223391</v>
      </c>
      <c r="AA112">
        <f ca="1"/>
        <v>0</v>
      </c>
      <c r="AB112">
        <f ca="1"/>
        <v>0.99999990865530597</v>
      </c>
      <c r="AD112" s="2">
        <f t="shared" ca="1" si="12"/>
        <v>45060</v>
      </c>
      <c r="AE112" s="46">
        <f t="shared" ca="1" si="13"/>
        <v>0</v>
      </c>
      <c r="AG112" s="72">
        <f t="shared" ca="1" si="17"/>
        <v>91.644131301825922</v>
      </c>
      <c r="AH112" s="72">
        <f t="shared" ca="1" si="18"/>
        <v>91.644131301825922</v>
      </c>
      <c r="AI112" s="3">
        <f t="shared" ca="1" si="19"/>
        <v>0</v>
      </c>
    </row>
    <row r="113" spans="7:35" x14ac:dyDescent="0.25">
      <c r="G113" s="3">
        <f t="shared" ca="1" si="14"/>
        <v>91</v>
      </c>
      <c r="H113" s="105">
        <f t="shared" ca="1" si="16"/>
        <v>45016</v>
      </c>
      <c r="I113" s="133">
        <f ca="1">HLOOKUP($H$4,'Met Data'!$A$2:$F$368,G113,FALSE)</f>
        <v>16.112499999999901</v>
      </c>
      <c r="J113" s="133">
        <f ca="1">HLOOKUP($H$4,'Met Data'!$H$2:$M$368,G113,FALSE)*L113</f>
        <v>2.0833333333333299</v>
      </c>
      <c r="K113" s="106">
        <f ca="1">HLOOKUP($H$4,'Met Data'!$O$2:$T$368,G113,FALSE)</f>
        <v>2.4661161715906501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45061</v>
      </c>
      <c r="Q113">
        <f ca="1"/>
        <v>87.463689899485161</v>
      </c>
      <c r="R113">
        <f ca="1"/>
        <v>2.3093264405029599</v>
      </c>
      <c r="S113">
        <f ca="1"/>
        <v>8.6490797920136499E-11</v>
      </c>
      <c r="T113">
        <f ca="1"/>
        <v>0.33677083333333252</v>
      </c>
      <c r="U113">
        <f ca="1"/>
        <v>0</v>
      </c>
      <c r="V113">
        <f ca="1"/>
        <v>112.175355383232</v>
      </c>
      <c r="W113">
        <f ca="1"/>
        <v>28.5315577822569</v>
      </c>
      <c r="X113">
        <f ca="1"/>
        <v>0</v>
      </c>
      <c r="Y113">
        <f ca="1"/>
        <v>1</v>
      </c>
      <c r="Z113">
        <f ca="1"/>
        <v>7.6149245672803119</v>
      </c>
      <c r="AA113">
        <f ca="1"/>
        <v>0</v>
      </c>
      <c r="AB113">
        <f ca="1"/>
        <v>0.999999925366166</v>
      </c>
      <c r="AD113" s="2">
        <f t="shared" ca="1" si="12"/>
        <v>45061</v>
      </c>
      <c r="AE113" s="46">
        <f t="shared" ca="1" si="13"/>
        <v>0</v>
      </c>
      <c r="AG113" s="72">
        <f t="shared" ca="1" si="17"/>
        <v>89.773016339988118</v>
      </c>
      <c r="AH113" s="72">
        <f t="shared" ca="1" si="18"/>
        <v>89.773016339988118</v>
      </c>
      <c r="AI113" s="3">
        <f t="shared" ca="1" si="19"/>
        <v>0</v>
      </c>
    </row>
    <row r="114" spans="7:35" x14ac:dyDescent="0.25">
      <c r="G114" s="3">
        <f t="shared" ca="1" si="14"/>
        <v>92</v>
      </c>
      <c r="H114" s="105">
        <f t="shared" ca="1" si="16"/>
        <v>45017</v>
      </c>
      <c r="I114" s="133">
        <f ca="1">HLOOKUP($H$4,'Met Data'!$A$2:$F$368,G114,FALSE)</f>
        <v>15.862500000000001</v>
      </c>
      <c r="J114" s="133">
        <f ca="1">HLOOKUP($H$4,'Met Data'!$H$2:$M$368,G114,FALSE)*L114</f>
        <v>1.3333333333333299</v>
      </c>
      <c r="K114" s="106">
        <f ca="1">HLOOKUP($H$4,'Met Data'!$O$2:$T$368,G114,FALSE)</f>
        <v>2.3173978620084501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45062</v>
      </c>
      <c r="Q114">
        <f ca="1"/>
        <v>85.560019989148941</v>
      </c>
      <c r="R114">
        <f ca="1"/>
        <v>2.2253365770721398</v>
      </c>
      <c r="S114">
        <f ca="1"/>
        <v>6.925750777217361E-11</v>
      </c>
      <c r="T114">
        <f ca="1"/>
        <v>0.32166666666666499</v>
      </c>
      <c r="U114">
        <f ca="1"/>
        <v>0</v>
      </c>
      <c r="V114">
        <f ca="1"/>
        <v>114.400691960304</v>
      </c>
      <c r="W114">
        <f ca="1"/>
        <v>29.097567302946999</v>
      </c>
      <c r="X114">
        <f ca="1"/>
        <v>0</v>
      </c>
      <c r="Y114">
        <f ca="1"/>
        <v>1</v>
      </c>
      <c r="Z114">
        <f ca="1"/>
        <v>3.6282082697318572</v>
      </c>
      <c r="AA114">
        <f ca="1"/>
        <v>0</v>
      </c>
      <c r="AB114">
        <f ca="1"/>
        <v>0.99999993846479396</v>
      </c>
      <c r="AD114" s="2">
        <f t="shared" ca="1" si="12"/>
        <v>45062</v>
      </c>
      <c r="AE114" s="46">
        <f t="shared" ca="1" si="13"/>
        <v>0</v>
      </c>
      <c r="AG114" s="72">
        <f t="shared" ca="1" si="17"/>
        <v>87.785356566221083</v>
      </c>
      <c r="AH114" s="72">
        <f t="shared" ca="1" si="18"/>
        <v>87.785356566221083</v>
      </c>
      <c r="AI114" s="3">
        <f t="shared" ca="1" si="19"/>
        <v>0</v>
      </c>
    </row>
    <row r="115" spans="7:35" x14ac:dyDescent="0.25">
      <c r="G115" s="3">
        <f t="shared" ca="1" si="14"/>
        <v>93</v>
      </c>
      <c r="H115" s="105">
        <f t="shared" ca="1" si="16"/>
        <v>45018</v>
      </c>
      <c r="I115" s="133">
        <f ca="1">HLOOKUP($H$4,'Met Data'!$A$2:$F$368,G115,FALSE)</f>
        <v>15.299999999999899</v>
      </c>
      <c r="J115" s="133">
        <f ca="1">HLOOKUP($H$4,'Met Data'!$H$2:$M$368,G115,FALSE)*L115</f>
        <v>0.36666666666666597</v>
      </c>
      <c r="K115" s="106">
        <f ca="1">HLOOKUP($H$4,'Met Data'!$O$2:$T$368,G115,FALSE)</f>
        <v>2.1311275850035698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45063</v>
      </c>
      <c r="Q115">
        <f ca="1"/>
        <v>83.732447916931378</v>
      </c>
      <c r="R115">
        <f ca="1"/>
        <v>2.1335095722732702</v>
      </c>
      <c r="S115">
        <f ca="1"/>
        <v>5.5700422395208618E-11</v>
      </c>
      <c r="T115">
        <f ca="1"/>
        <v>0.30593749999999748</v>
      </c>
      <c r="U115">
        <f ca="1"/>
        <v>0</v>
      </c>
      <c r="V115">
        <f ca="1"/>
        <v>116.534201532578</v>
      </c>
      <c r="W115">
        <f ca="1"/>
        <v>29.640220824590401</v>
      </c>
      <c r="X115">
        <f ca="1"/>
        <v>0</v>
      </c>
      <c r="Y115">
        <f ca="1"/>
        <v>1</v>
      </c>
      <c r="Z115">
        <f ca="1"/>
        <v>2.409176850075113</v>
      </c>
      <c r="AA115">
        <f ca="1"/>
        <v>0</v>
      </c>
      <c r="AB115">
        <f ca="1"/>
        <v>0.99999994878350096</v>
      </c>
      <c r="AD115" s="2">
        <f t="shared" ca="1" si="12"/>
        <v>45063</v>
      </c>
      <c r="AE115" s="46">
        <f t="shared" ca="1" si="13"/>
        <v>0</v>
      </c>
      <c r="AG115" s="72">
        <f t="shared" ca="1" si="17"/>
        <v>85.865957489204646</v>
      </c>
      <c r="AH115" s="72">
        <f t="shared" ca="1" si="18"/>
        <v>85.865957489204646</v>
      </c>
      <c r="AI115" s="3">
        <f t="shared" ca="1" si="19"/>
        <v>0</v>
      </c>
    </row>
    <row r="116" spans="7:35" x14ac:dyDescent="0.25">
      <c r="G116" s="3">
        <f t="shared" ca="1" si="14"/>
        <v>94</v>
      </c>
      <c r="H116" s="105">
        <f t="shared" ca="1" si="16"/>
        <v>45019</v>
      </c>
      <c r="I116" s="133">
        <f ca="1">HLOOKUP($H$4,'Met Data'!$A$2:$F$368,G116,FALSE)</f>
        <v>16.266666666666602</v>
      </c>
      <c r="J116" s="133">
        <f ca="1">HLOOKUP($H$4,'Met Data'!$H$2:$M$368,G116,FALSE)*L116</f>
        <v>4.36666666666666</v>
      </c>
      <c r="K116" s="106">
        <f ca="1">HLOOKUP($H$4,'Met Data'!$O$2:$T$368,G116,FALSE)</f>
        <v>2.1942415542804201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45064</v>
      </c>
      <c r="Q116">
        <f ca="1"/>
        <v>81.986097745324685</v>
      </c>
      <c r="R116">
        <f ca="1"/>
        <v>2.0362460049850499</v>
      </c>
      <c r="S116">
        <f ca="1"/>
        <v>4.5029087219915939E-11</v>
      </c>
      <c r="T116">
        <f ca="1"/>
        <v>0.28989583333333252</v>
      </c>
      <c r="U116">
        <f ca="1"/>
        <v>0</v>
      </c>
      <c r="V116">
        <f ca="1"/>
        <v>118.570447537563</v>
      </c>
      <c r="W116">
        <f ca="1"/>
        <v>30.158135569336601</v>
      </c>
      <c r="X116">
        <f ca="1"/>
        <v>0</v>
      </c>
      <c r="Y116">
        <f ca="1"/>
        <v>1</v>
      </c>
      <c r="Z116">
        <f ca="1"/>
        <v>1.2845513306234437</v>
      </c>
      <c r="AA116">
        <f ca="1"/>
        <v>0</v>
      </c>
      <c r="AB116">
        <f ca="1"/>
        <v>0.99999995695964305</v>
      </c>
      <c r="AD116" s="2">
        <f t="shared" ca="1" si="12"/>
        <v>45064</v>
      </c>
      <c r="AE116" s="46">
        <f t="shared" ca="1" si="13"/>
        <v>0</v>
      </c>
      <c r="AG116" s="72">
        <f t="shared" ca="1" si="17"/>
        <v>84.022343750309744</v>
      </c>
      <c r="AH116" s="72">
        <f t="shared" ca="1" si="18"/>
        <v>84.02234375030973</v>
      </c>
      <c r="AI116" s="3">
        <f t="shared" ca="1" si="19"/>
        <v>0</v>
      </c>
    </row>
    <row r="117" spans="7:35" x14ac:dyDescent="0.25">
      <c r="G117" s="3">
        <f t="shared" ca="1" si="14"/>
        <v>95</v>
      </c>
      <c r="H117" s="105">
        <f t="shared" ca="1" si="16"/>
        <v>45020</v>
      </c>
      <c r="I117" s="133">
        <f ca="1">HLOOKUP($H$4,'Met Data'!$A$2:$F$368,G117,FALSE)</f>
        <v>16.008333333333301</v>
      </c>
      <c r="J117" s="133">
        <f ca="1">HLOOKUP($H$4,'Met Data'!$H$2:$M$368,G117,FALSE)*L117</f>
        <v>5.5833333333333304</v>
      </c>
      <c r="K117" s="106">
        <f ca="1">HLOOKUP($H$4,'Met Data'!$O$2:$T$368,G117,FALSE)</f>
        <v>2.18875214188912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45065</v>
      </c>
      <c r="Q117">
        <f ca="1"/>
        <v>80.179218198200061</v>
      </c>
      <c r="R117">
        <f ca="1"/>
        <v>2.1044837138310899</v>
      </c>
      <c r="S117">
        <f ca="1"/>
        <v>3.9794006025129997E-11</v>
      </c>
      <c r="T117">
        <f ca="1"/>
        <v>0.297604166666665</v>
      </c>
      <c r="U117">
        <f ca="1"/>
        <v>0</v>
      </c>
      <c r="V117">
        <f ca="1"/>
        <v>120.674931251394</v>
      </c>
      <c r="W117">
        <f ca="1"/>
        <v>30.6934064269849</v>
      </c>
      <c r="X117">
        <f ca="1"/>
        <v>0</v>
      </c>
      <c r="Y117">
        <f ca="1"/>
        <v>1</v>
      </c>
      <c r="Z117">
        <f ca="1"/>
        <v>1.0538223591370155</v>
      </c>
      <c r="AA117">
        <f ca="1"/>
        <v>0</v>
      </c>
      <c r="AB117">
        <f ca="1"/>
        <v>0.99999996399743996</v>
      </c>
      <c r="AD117" s="2">
        <f t="shared" ca="1" si="12"/>
        <v>45065</v>
      </c>
      <c r="AE117" s="46">
        <f t="shared" ca="1" si="13"/>
        <v>0</v>
      </c>
      <c r="AG117" s="72">
        <f t="shared" ca="1" si="17"/>
        <v>82.283701912031134</v>
      </c>
      <c r="AH117" s="72">
        <f t="shared" ca="1" si="18"/>
        <v>82.283701912031148</v>
      </c>
      <c r="AI117" s="3">
        <f t="shared" ca="1" si="19"/>
        <v>0</v>
      </c>
    </row>
    <row r="118" spans="7:35" x14ac:dyDescent="0.25">
      <c r="G118" s="3">
        <f t="shared" ca="1" si="14"/>
        <v>96</v>
      </c>
      <c r="H118" s="105">
        <f t="shared" ca="1" si="16"/>
        <v>45021</v>
      </c>
      <c r="I118" s="133">
        <f ca="1">HLOOKUP($H$4,'Met Data'!$A$2:$F$368,G118,FALSE)</f>
        <v>14.8083333333333</v>
      </c>
      <c r="J118" s="133">
        <f ca="1">HLOOKUP($H$4,'Met Data'!$H$2:$M$368,G118,FALSE)*L118</f>
        <v>3.93333333333333</v>
      </c>
      <c r="K118" s="106">
        <f ca="1">HLOOKUP($H$4,'Met Data'!$O$2:$T$368,G118,FALSE)</f>
        <v>2.25899576438928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45066</v>
      </c>
      <c r="Q118">
        <f ca="1"/>
        <v>78.380515360197364</v>
      </c>
      <c r="R118">
        <f ca="1"/>
        <v>2.0927653380364002</v>
      </c>
      <c r="S118">
        <f ca="1"/>
        <v>3.3703509724366554E-11</v>
      </c>
      <c r="T118">
        <f ca="1"/>
        <v>0.2940625</v>
      </c>
      <c r="U118">
        <f ca="1"/>
        <v>0</v>
      </c>
      <c r="V118">
        <f ca="1"/>
        <v>122.76769658943</v>
      </c>
      <c r="W118">
        <f ca="1"/>
        <v>31.225696741224599</v>
      </c>
      <c r="X118">
        <f ca="1"/>
        <v>0</v>
      </c>
      <c r="Y118">
        <f ca="1"/>
        <v>0.99208900393420163</v>
      </c>
      <c r="Z118">
        <f ca="1"/>
        <v>0</v>
      </c>
      <c r="AA118">
        <f ca="1"/>
        <v>0</v>
      </c>
      <c r="AB118">
        <f ca="1"/>
        <v>0.99999996982038397</v>
      </c>
      <c r="AD118" s="2">
        <f t="shared" ca="1" si="12"/>
        <v>45066</v>
      </c>
      <c r="AE118" s="46">
        <f t="shared" ca="1" si="13"/>
        <v>0</v>
      </c>
      <c r="AG118" s="72">
        <f t="shared" ca="1" si="17"/>
        <v>80.473280698233765</v>
      </c>
      <c r="AH118" s="72">
        <f t="shared" ca="1" si="18"/>
        <v>80.473280698233765</v>
      </c>
      <c r="AI118" s="3">
        <f t="shared" ca="1" si="19"/>
        <v>0</v>
      </c>
    </row>
    <row r="119" spans="7:35" x14ac:dyDescent="0.25">
      <c r="G119" s="3">
        <f t="shared" ca="1" si="14"/>
        <v>97</v>
      </c>
      <c r="H119" s="105">
        <f t="shared" ca="1" si="16"/>
        <v>45022</v>
      </c>
      <c r="I119" s="133">
        <f ca="1">HLOOKUP($H$4,'Met Data'!$A$2:$F$368,G119,FALSE)</f>
        <v>14.283333333333299</v>
      </c>
      <c r="J119" s="133">
        <f ca="1">HLOOKUP($H$4,'Met Data'!$H$2:$M$368,G119,FALSE)*L119</f>
        <v>1.2666666666666599</v>
      </c>
      <c r="K119" s="106">
        <f ca="1">HLOOKUP($H$4,'Met Data'!$O$2:$T$368,G119,FALSE)</f>
        <v>2.2952223200603901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45067</v>
      </c>
      <c r="Q119">
        <f ca="1"/>
        <v>76.592456808382082</v>
      </c>
      <c r="R119">
        <f ca="1"/>
        <v>2.0783710518438601</v>
      </c>
      <c r="S119">
        <f ca="1"/>
        <v>2.8577125307727303E-11</v>
      </c>
      <c r="T119">
        <f ca="1"/>
        <v>0.29031250000000003</v>
      </c>
      <c r="U119">
        <f ca="1"/>
        <v>0</v>
      </c>
      <c r="V119">
        <f ca="1"/>
        <v>124.846067641274</v>
      </c>
      <c r="W119">
        <f ca="1"/>
        <v>31.754325900063201</v>
      </c>
      <c r="X119">
        <f ca="1"/>
        <v>0</v>
      </c>
      <c r="Y119">
        <f ca="1"/>
        <v>0.99991645062721068</v>
      </c>
      <c r="Z119">
        <f ca="1"/>
        <v>0</v>
      </c>
      <c r="AA119">
        <f ca="1"/>
        <v>0</v>
      </c>
      <c r="AB119">
        <f ca="1"/>
        <v>0.99999997464456203</v>
      </c>
      <c r="AD119" s="2">
        <f t="shared" ca="1" si="12"/>
        <v>45067</v>
      </c>
      <c r="AE119" s="46">
        <f t="shared" ca="1" si="13"/>
        <v>0</v>
      </c>
      <c r="AG119" s="72">
        <f t="shared" ca="1" si="17"/>
        <v>78.670827860225941</v>
      </c>
      <c r="AH119" s="72">
        <f t="shared" ca="1" si="18"/>
        <v>78.670827860225941</v>
      </c>
      <c r="AI119" s="3">
        <f t="shared" ca="1" si="19"/>
        <v>0</v>
      </c>
    </row>
    <row r="120" spans="7:35" x14ac:dyDescent="0.25">
      <c r="G120" s="3">
        <f t="shared" ca="1" si="14"/>
        <v>98</v>
      </c>
      <c r="H120" s="105">
        <f t="shared" ca="1" si="16"/>
        <v>45023</v>
      </c>
      <c r="I120" s="133">
        <f ca="1">HLOOKUP($H$4,'Met Data'!$A$2:$F$368,G120,FALSE)</f>
        <v>13.258333333333301</v>
      </c>
      <c r="J120" s="133">
        <f ca="1">HLOOKUP($H$4,'Met Data'!$H$2:$M$368,G120,FALSE)*L120</f>
        <v>1.18333333333333</v>
      </c>
      <c r="K120" s="106">
        <f ca="1">HLOOKUP($H$4,'Met Data'!$O$2:$T$368,G120,FALSE)</f>
        <v>1.94562323949851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45068</v>
      </c>
      <c r="Q120">
        <f ca="1"/>
        <v>75.016258070602049</v>
      </c>
      <c r="R120">
        <f ca="1"/>
        <v>1.8305737378015701</v>
      </c>
      <c r="S120">
        <f ca="1"/>
        <v>2.1550323958473131E-11</v>
      </c>
      <c r="T120">
        <f ca="1"/>
        <v>0.25437499999999746</v>
      </c>
      <c r="U120">
        <f ca="1"/>
        <v>0</v>
      </c>
      <c r="V120">
        <f ca="1"/>
        <v>126.676641379076</v>
      </c>
      <c r="W120">
        <f ca="1"/>
        <v>32.219928350764903</v>
      </c>
      <c r="X120">
        <f ca="1"/>
        <v>0</v>
      </c>
      <c r="Y120">
        <f ca="1"/>
        <v>1</v>
      </c>
      <c r="Z120">
        <f ca="1"/>
        <v>1.8159619378721459</v>
      </c>
      <c r="AA120">
        <f ca="1"/>
        <v>0</v>
      </c>
      <c r="AB120">
        <f ca="1"/>
        <v>0.99999997823331699</v>
      </c>
      <c r="AD120" s="2">
        <f t="shared" ca="1" si="12"/>
        <v>45068</v>
      </c>
      <c r="AE120" s="46">
        <f t="shared" ca="1" si="13"/>
        <v>0</v>
      </c>
      <c r="AG120" s="72">
        <f t="shared" ca="1" si="17"/>
        <v>76.846831808403621</v>
      </c>
      <c r="AH120" s="72">
        <f t="shared" ca="1" si="18"/>
        <v>76.846831808403621</v>
      </c>
      <c r="AI120" s="3">
        <f t="shared" ca="1" si="19"/>
        <v>0</v>
      </c>
    </row>
    <row r="121" spans="7:35" x14ac:dyDescent="0.25">
      <c r="G121" s="3">
        <f t="shared" ca="1" si="14"/>
        <v>99</v>
      </c>
      <c r="H121" s="105">
        <f t="shared" ca="1" si="16"/>
        <v>45024</v>
      </c>
      <c r="I121" s="133">
        <f ca="1">HLOOKUP($H$4,'Met Data'!$A$2:$F$368,G121,FALSE)</f>
        <v>13.8666666666666</v>
      </c>
      <c r="J121" s="133">
        <f ca="1">HLOOKUP($H$4,'Met Data'!$H$2:$M$368,G121,FALSE)*L121</f>
        <v>4.7333333333333298</v>
      </c>
      <c r="K121" s="106">
        <f ca="1">HLOOKUP($H$4,'Met Data'!$O$2:$T$368,G121,FALSE)</f>
        <v>1.65226329552866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45069</v>
      </c>
      <c r="Q121">
        <f ca="1"/>
        <v>73.343228168494306</v>
      </c>
      <c r="R121">
        <f ca="1"/>
        <v>1.94157156879439</v>
      </c>
      <c r="S121">
        <f ca="1"/>
        <v>1.9972669042303173E-11</v>
      </c>
      <c r="T121">
        <f ca="1"/>
        <v>0.26854166666666501</v>
      </c>
      <c r="U121">
        <f ca="1"/>
        <v>0</v>
      </c>
      <c r="V121">
        <f ca="1"/>
        <v>128.61821294787001</v>
      </c>
      <c r="W121">
        <f ca="1"/>
        <v>32.713762858480003</v>
      </c>
      <c r="X121">
        <f ca="1"/>
        <v>0</v>
      </c>
      <c r="Y121">
        <f ca="1"/>
        <v>1</v>
      </c>
      <c r="Z121">
        <f ca="1"/>
        <v>1.8507891791923328</v>
      </c>
      <c r="AA121">
        <f ca="1"/>
        <v>0</v>
      </c>
      <c r="AB121">
        <f ca="1"/>
        <v>0.99999998147227098</v>
      </c>
      <c r="AD121" s="2">
        <f t="shared" ca="1" si="12"/>
        <v>45069</v>
      </c>
      <c r="AE121" s="46">
        <f t="shared" ca="1" si="13"/>
        <v>0</v>
      </c>
      <c r="AG121" s="72">
        <f t="shared" ca="1" si="17"/>
        <v>75.284799737288679</v>
      </c>
      <c r="AH121" s="72">
        <f t="shared" ca="1" si="18"/>
        <v>75.284799737288694</v>
      </c>
      <c r="AI121" s="3">
        <f t="shared" ca="1" si="19"/>
        <v>0</v>
      </c>
    </row>
    <row r="122" spans="7:35" x14ac:dyDescent="0.25">
      <c r="G122" s="3">
        <f t="shared" ca="1" si="14"/>
        <v>100</v>
      </c>
      <c r="H122" s="105">
        <f t="shared" ca="1" si="16"/>
        <v>45025</v>
      </c>
      <c r="I122" s="133">
        <f ca="1">HLOOKUP($H$4,'Met Data'!$A$2:$F$368,G122,FALSE)</f>
        <v>14.404166666666599</v>
      </c>
      <c r="J122" s="133">
        <f ca="1">HLOOKUP($H$4,'Met Data'!$H$2:$M$368,G122,FALSE)*L122</f>
        <v>4.3166666666666602</v>
      </c>
      <c r="K122" s="106">
        <f ca="1">HLOOKUP($H$4,'Met Data'!$O$2:$T$368,G122,FALSE)</f>
        <v>1.8668252234765801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45070</v>
      </c>
      <c r="Q122">
        <f ca="1"/>
        <v>71.62354390160526</v>
      </c>
      <c r="R122">
        <f ca="1"/>
        <v>1.99426760024016</v>
      </c>
      <c r="S122">
        <f ca="1"/>
        <v>1.778961757922807E-11</v>
      </c>
      <c r="T122">
        <f ca="1"/>
        <v>0.27458333333333251</v>
      </c>
      <c r="U122">
        <f ca="1"/>
        <v>0</v>
      </c>
      <c r="V122">
        <f ca="1"/>
        <v>130.61248054811</v>
      </c>
      <c r="W122">
        <f ca="1"/>
        <v>33.221000487236701</v>
      </c>
      <c r="X122">
        <f ca="1"/>
        <v>0</v>
      </c>
      <c r="Y122">
        <f ca="1"/>
        <v>1</v>
      </c>
      <c r="Z122">
        <f ca="1"/>
        <v>4.6607295375658992</v>
      </c>
      <c r="AA122">
        <f ca="1"/>
        <v>0</v>
      </c>
      <c r="AB122">
        <f ca="1"/>
        <v>0.99999998428631998</v>
      </c>
      <c r="AD122" s="2">
        <f t="shared" ca="1" si="12"/>
        <v>45070</v>
      </c>
      <c r="AE122" s="46">
        <f t="shared" ca="1" si="13"/>
        <v>0</v>
      </c>
      <c r="AG122" s="72">
        <f t="shared" ca="1" si="17"/>
        <v>73.617811501845438</v>
      </c>
      <c r="AH122" s="72">
        <f t="shared" ca="1" si="18"/>
        <v>73.617811501845424</v>
      </c>
      <c r="AI122" s="3">
        <f t="shared" ca="1" si="19"/>
        <v>0</v>
      </c>
    </row>
    <row r="123" spans="7:35" x14ac:dyDescent="0.25">
      <c r="G123" s="3">
        <f t="shared" ca="1" si="14"/>
        <v>101</v>
      </c>
      <c r="H123" s="105">
        <f t="shared" ca="1" si="16"/>
        <v>45026</v>
      </c>
      <c r="I123" s="133">
        <f ca="1">HLOOKUP($H$4,'Met Data'!$A$2:$F$368,G123,FALSE)</f>
        <v>14.5416666666666</v>
      </c>
      <c r="J123" s="133">
        <f ca="1">HLOOKUP($H$4,'Met Data'!$H$2:$M$368,G123,FALSE)*L123</f>
        <v>4.43333333333333</v>
      </c>
      <c r="K123" s="106">
        <f ca="1">HLOOKUP($H$4,'Met Data'!$O$2:$T$368,G123,FALSE)</f>
        <v>1.97301093095216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45071</v>
      </c>
      <c r="Q123">
        <f ca="1"/>
        <v>69.929543975070459</v>
      </c>
      <c r="R123">
        <f ca="1"/>
        <v>1.96316659321661</v>
      </c>
      <c r="S123">
        <f ca="1"/>
        <v>1.5140265712528995E-11</v>
      </c>
      <c r="T123">
        <f ca="1"/>
        <v>0.269166666666665</v>
      </c>
      <c r="U123">
        <f ca="1"/>
        <v>0</v>
      </c>
      <c r="V123">
        <f ca="1"/>
        <v>132.57564714132701</v>
      </c>
      <c r="W123">
        <f ca="1"/>
        <v>33.7203276424679</v>
      </c>
      <c r="X123">
        <f ca="1"/>
        <v>0</v>
      </c>
      <c r="Y123">
        <f ca="1"/>
        <v>1</v>
      </c>
      <c r="Z123">
        <f ca="1"/>
        <v>2.1806884610571871</v>
      </c>
      <c r="AA123">
        <f ca="1"/>
        <v>0</v>
      </c>
      <c r="AB123">
        <f ca="1"/>
        <v>0.99999998662958201</v>
      </c>
      <c r="AD123" s="2">
        <f t="shared" ca="1" si="12"/>
        <v>45071</v>
      </c>
      <c r="AE123" s="46">
        <f t="shared" ca="1" si="13"/>
        <v>0</v>
      </c>
      <c r="AG123" s="72">
        <f t="shared" ca="1" si="17"/>
        <v>71.892710568287058</v>
      </c>
      <c r="AH123" s="72">
        <f t="shared" ca="1" si="18"/>
        <v>71.892710568287072</v>
      </c>
      <c r="AI123" s="3">
        <f t="shared" ca="1" si="19"/>
        <v>0</v>
      </c>
    </row>
    <row r="124" spans="7:35" x14ac:dyDescent="0.25">
      <c r="G124" s="3">
        <f t="shared" ca="1" si="14"/>
        <v>102</v>
      </c>
      <c r="H124" s="105">
        <f t="shared" ca="1" si="16"/>
        <v>45027</v>
      </c>
      <c r="I124" s="133">
        <f ca="1">HLOOKUP($H$4,'Met Data'!$A$2:$F$368,G124,FALSE)</f>
        <v>14.279166666666599</v>
      </c>
      <c r="J124" s="133">
        <f ca="1">HLOOKUP($H$4,'Met Data'!$H$2:$M$368,G124,FALSE)*L124</f>
        <v>1.3333333333333299</v>
      </c>
      <c r="K124" s="106">
        <f ca="1">HLOOKUP($H$4,'Met Data'!$O$2:$T$368,G124,FALSE)</f>
        <v>1.63836682585681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45072</v>
      </c>
      <c r="Q124">
        <f ca="1"/>
        <v>68.162006125494145</v>
      </c>
      <c r="R124">
        <f ca="1"/>
        <v>2.04712118292335</v>
      </c>
      <c r="S124">
        <f ca="1"/>
        <v>1.3694365649593769E-11</v>
      </c>
      <c r="T124">
        <f ca="1"/>
        <v>0.27958333333333252</v>
      </c>
      <c r="U124">
        <f ca="1"/>
        <v>0</v>
      </c>
      <c r="V124">
        <f ca="1"/>
        <v>134.62276832424999</v>
      </c>
      <c r="W124">
        <f ca="1"/>
        <v>34.241008465081002</v>
      </c>
      <c r="X124">
        <f ca="1"/>
        <v>0</v>
      </c>
      <c r="Y124">
        <f ca="1"/>
        <v>1</v>
      </c>
      <c r="Z124">
        <f ca="1"/>
        <v>5.1246932094789486</v>
      </c>
      <c r="AA124">
        <f ca="1"/>
        <v>0</v>
      </c>
      <c r="AB124">
        <f ca="1"/>
        <v>0.99999998869428697</v>
      </c>
      <c r="AD124" s="2">
        <f t="shared" ca="1" si="12"/>
        <v>45072</v>
      </c>
      <c r="AE124" s="46">
        <f t="shared" ca="1" si="13"/>
        <v>0</v>
      </c>
      <c r="AG124" s="72">
        <f t="shared" ca="1" si="17"/>
        <v>70.209127308417493</v>
      </c>
      <c r="AH124" s="72">
        <f t="shared" ca="1" si="18"/>
        <v>70.209127308417493</v>
      </c>
      <c r="AI124" s="3">
        <f t="shared" ca="1" si="19"/>
        <v>0</v>
      </c>
    </row>
    <row r="125" spans="7:35" x14ac:dyDescent="0.25">
      <c r="G125" s="3">
        <f t="shared" ca="1" si="14"/>
        <v>103</v>
      </c>
      <c r="H125" s="105">
        <f t="shared" ca="1" si="16"/>
        <v>45028</v>
      </c>
      <c r="I125" s="133">
        <f ca="1">HLOOKUP($H$4,'Met Data'!$A$2:$F$368,G125,FALSE)</f>
        <v>15.1666666666666</v>
      </c>
      <c r="J125" s="133">
        <f ca="1">HLOOKUP($H$4,'Met Data'!$H$2:$M$368,G125,FALSE)*L125</f>
        <v>3.7833333333333301</v>
      </c>
      <c r="K125" s="106">
        <f ca="1">HLOOKUP($H$4,'Met Data'!$O$2:$T$368,G125,FALSE)</f>
        <v>1.8936832301932101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45073</v>
      </c>
      <c r="Q125">
        <f ca="1"/>
        <v>66.485077953134038</v>
      </c>
      <c r="R125">
        <f ca="1"/>
        <v>1.9410948390379601</v>
      </c>
      <c r="S125">
        <f ca="1"/>
        <v>1.120279112988252E-11</v>
      </c>
      <c r="T125">
        <f ca="1"/>
        <v>0.264166666666665</v>
      </c>
      <c r="U125">
        <f ca="1"/>
        <v>0</v>
      </c>
      <c r="V125">
        <f ca="1"/>
        <v>136.563863163288</v>
      </c>
      <c r="W125">
        <f ca="1"/>
        <v>34.734721717618903</v>
      </c>
      <c r="X125">
        <f ca="1"/>
        <v>0</v>
      </c>
      <c r="Y125">
        <f ca="1"/>
        <v>1</v>
      </c>
      <c r="Z125">
        <f ca="1"/>
        <v>1.7115812375994039</v>
      </c>
      <c r="AA125">
        <f ca="1"/>
        <v>0</v>
      </c>
      <c r="AB125">
        <f ca="1"/>
        <v>0.99999999035132203</v>
      </c>
      <c r="AD125" s="2">
        <f t="shared" ca="1" si="12"/>
        <v>45073</v>
      </c>
      <c r="AE125" s="46">
        <f t="shared" ca="1" si="13"/>
        <v>0</v>
      </c>
      <c r="AG125" s="72">
        <f t="shared" ca="1" si="17"/>
        <v>68.426172792172011</v>
      </c>
      <c r="AH125" s="72">
        <f t="shared" ca="1" si="18"/>
        <v>68.426172792171997</v>
      </c>
      <c r="AI125" s="3">
        <f t="shared" ca="1" si="19"/>
        <v>0</v>
      </c>
    </row>
    <row r="126" spans="7:35" x14ac:dyDescent="0.25">
      <c r="G126" s="3">
        <f t="shared" ca="1" si="14"/>
        <v>104</v>
      </c>
      <c r="H126" s="105">
        <f t="shared" ca="1" si="16"/>
        <v>45029</v>
      </c>
      <c r="I126" s="133">
        <f ca="1">HLOOKUP($H$4,'Met Data'!$A$2:$F$368,G126,FALSE)</f>
        <v>14.675000000000001</v>
      </c>
      <c r="J126" s="133">
        <f ca="1">HLOOKUP($H$4,'Met Data'!$H$2:$M$368,G126,FALSE)*L126</f>
        <v>4.5166666666666604</v>
      </c>
      <c r="K126" s="106">
        <f ca="1">HLOOKUP($H$4,'Met Data'!$O$2:$T$368,G126,FALSE)</f>
        <v>1.6971366028359001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45074</v>
      </c>
      <c r="Q126">
        <f ca="1"/>
        <v>64.847294439766657</v>
      </c>
      <c r="R126">
        <f ca="1"/>
        <v>1.8948668467102401</v>
      </c>
      <c r="S126">
        <f ca="1"/>
        <v>9.5199764060197188E-12</v>
      </c>
      <c r="T126">
        <f ca="1"/>
        <v>0.2570833333333325</v>
      </c>
      <c r="U126">
        <f ca="1"/>
        <v>0</v>
      </c>
      <c r="V126">
        <f ca="1"/>
        <v>138.45873000999799</v>
      </c>
      <c r="W126">
        <f ca="1"/>
        <v>35.216676980803904</v>
      </c>
      <c r="X126">
        <f ca="1"/>
        <v>0</v>
      </c>
      <c r="Y126">
        <f ca="1"/>
        <v>1</v>
      </c>
      <c r="Z126">
        <f ca="1"/>
        <v>1.7705978864165672</v>
      </c>
      <c r="AA126">
        <f ca="1"/>
        <v>0</v>
      </c>
      <c r="AB126">
        <f ca="1"/>
        <v>0.99999999173042398</v>
      </c>
      <c r="AD126" s="2">
        <f t="shared" ca="1" si="12"/>
        <v>45074</v>
      </c>
      <c r="AE126" s="46">
        <f t="shared" ca="1" si="13"/>
        <v>0</v>
      </c>
      <c r="AG126" s="72">
        <f t="shared" ca="1" si="17"/>
        <v>66.742161286476886</v>
      </c>
      <c r="AH126" s="72">
        <f t="shared" ca="1" si="18"/>
        <v>66.7421612864769</v>
      </c>
      <c r="AI126" s="3">
        <f t="shared" ca="1" si="19"/>
        <v>0</v>
      </c>
    </row>
    <row r="127" spans="7:35" x14ac:dyDescent="0.25">
      <c r="G127" s="3">
        <f t="shared" ca="1" si="14"/>
        <v>105</v>
      </c>
      <c r="H127" s="105">
        <f t="shared" ca="1" si="16"/>
        <v>45030</v>
      </c>
      <c r="I127" s="133">
        <f ca="1">HLOOKUP($H$4,'Met Data'!$A$2:$F$368,G127,FALSE)</f>
        <v>13.504166666666601</v>
      </c>
      <c r="J127" s="133">
        <f ca="1">HLOOKUP($H$4,'Met Data'!$H$2:$M$368,G127,FALSE)*L127</f>
        <v>4.5</v>
      </c>
      <c r="K127" s="106">
        <f ca="1">HLOOKUP($H$4,'Met Data'!$O$2:$T$368,G127,FALSE)</f>
        <v>1.6970685904410301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45075</v>
      </c>
      <c r="Q127">
        <f ca="1"/>
        <v>63.121653652961143</v>
      </c>
      <c r="R127">
        <f ca="1"/>
        <v>1.99564078681428</v>
      </c>
      <c r="S127">
        <f ca="1"/>
        <v>8.7645007029999394E-12</v>
      </c>
      <c r="T127">
        <f ca="1"/>
        <v>0.27</v>
      </c>
      <c r="U127">
        <f ca="1"/>
        <v>0</v>
      </c>
      <c r="V127">
        <f ca="1"/>
        <v>140.45437079681199</v>
      </c>
      <c r="W127">
        <f ca="1"/>
        <v>35.724263876580601</v>
      </c>
      <c r="X127">
        <f ca="1"/>
        <v>0</v>
      </c>
      <c r="Y127">
        <f ca="1"/>
        <v>1</v>
      </c>
      <c r="Z127">
        <f ca="1"/>
        <v>2.1451650160618527</v>
      </c>
      <c r="AA127">
        <f ca="1"/>
        <v>0</v>
      </c>
      <c r="AB127">
        <f ca="1"/>
        <v>0.99999999296712005</v>
      </c>
      <c r="AD127" s="2">
        <f t="shared" ca="1" si="12"/>
        <v>45075</v>
      </c>
      <c r="AE127" s="46">
        <f t="shared" ca="1" si="13"/>
        <v>0</v>
      </c>
      <c r="AG127" s="72">
        <f t="shared" ca="1" si="17"/>
        <v>65.117294439775421</v>
      </c>
      <c r="AH127" s="72">
        <f t="shared" ca="1" si="18"/>
        <v>65.117294439775421</v>
      </c>
      <c r="AI127" s="3">
        <f t="shared" ca="1" si="19"/>
        <v>0</v>
      </c>
    </row>
    <row r="128" spans="7:35" x14ac:dyDescent="0.25">
      <c r="G128" s="3">
        <f t="shared" ca="1" si="14"/>
        <v>106</v>
      </c>
      <c r="H128" s="105">
        <f t="shared" ca="1" si="16"/>
        <v>45031</v>
      </c>
      <c r="I128" s="133">
        <f ca="1">HLOOKUP($H$4,'Met Data'!$A$2:$F$368,G128,FALSE)</f>
        <v>13.779166666666599</v>
      </c>
      <c r="J128" s="133">
        <f ca="1">HLOOKUP($H$4,'Met Data'!$H$2:$M$368,G128,FALSE)*L128</f>
        <v>0.9</v>
      </c>
      <c r="K128" s="106">
        <f ca="1">HLOOKUP($H$4,'Met Data'!$O$2:$T$368,G128,FALSE)</f>
        <v>2.0649391337631702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45076</v>
      </c>
      <c r="Q128">
        <f ca="1"/>
        <v>61.573449194297069</v>
      </c>
      <c r="R128">
        <f ca="1"/>
        <v>1.7897669586709</v>
      </c>
      <c r="S128">
        <f ca="1"/>
        <v>6.8251439252220572E-12</v>
      </c>
      <c r="T128">
        <f ca="1"/>
        <v>0.24156250000000001</v>
      </c>
      <c r="U128">
        <f ca="1"/>
        <v>0</v>
      </c>
      <c r="V128">
        <f ca="1"/>
        <v>142.244137755483</v>
      </c>
      <c r="W128">
        <f ca="1"/>
        <v>36.179487211720797</v>
      </c>
      <c r="X128">
        <f ca="1"/>
        <v>0</v>
      </c>
      <c r="Y128">
        <f ca="1"/>
        <v>1</v>
      </c>
      <c r="Z128">
        <f ca="1"/>
        <v>0.86462931580986435</v>
      </c>
      <c r="AA128">
        <f ca="1"/>
        <v>0</v>
      </c>
      <c r="AB128">
        <f ca="1"/>
        <v>0.99999999391595096</v>
      </c>
      <c r="AD128" s="2">
        <f t="shared" ca="1" si="12"/>
        <v>45076</v>
      </c>
      <c r="AE128" s="46">
        <f t="shared" ca="1" si="13"/>
        <v>0</v>
      </c>
      <c r="AG128" s="72">
        <f t="shared" ca="1" si="17"/>
        <v>63.363216152967972</v>
      </c>
      <c r="AH128" s="72">
        <f t="shared" ca="1" si="18"/>
        <v>63.363216152967972</v>
      </c>
      <c r="AI128" s="3">
        <f t="shared" ca="1" si="19"/>
        <v>0</v>
      </c>
    </row>
    <row r="129" spans="7:35" x14ac:dyDescent="0.25">
      <c r="G129" s="3">
        <f t="shared" ca="1" si="14"/>
        <v>107</v>
      </c>
      <c r="H129" s="105">
        <f t="shared" ca="1" si="16"/>
        <v>45032</v>
      </c>
      <c r="I129" s="133">
        <f ca="1">HLOOKUP($H$4,'Met Data'!$A$2:$F$368,G129,FALSE)</f>
        <v>13.920833333333301</v>
      </c>
      <c r="J129" s="133">
        <f ca="1">HLOOKUP($H$4,'Met Data'!$H$2:$M$368,G129,FALSE)*L129</f>
        <v>7.6</v>
      </c>
      <c r="K129" s="106">
        <f ca="1">HLOOKUP($H$4,'Met Data'!$O$2:$T$368,G129,FALSE)</f>
        <v>1.7084212444020199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45077</v>
      </c>
      <c r="Q129">
        <f ca="1"/>
        <v>60.012948192952436</v>
      </c>
      <c r="R129">
        <f ca="1"/>
        <v>1.8034176680173699</v>
      </c>
      <c r="S129">
        <f ca="1"/>
        <v>6.0675929762396874E-12</v>
      </c>
      <c r="T129">
        <f ca="1"/>
        <v>0.2429166666666665</v>
      </c>
      <c r="U129">
        <f ca="1"/>
        <v>0</v>
      </c>
      <c r="V129">
        <f ca="1"/>
        <v>144.047555423501</v>
      </c>
      <c r="W129">
        <f ca="1"/>
        <v>36.638182575107798</v>
      </c>
      <c r="X129">
        <f ca="1"/>
        <v>0</v>
      </c>
      <c r="Y129">
        <f ca="1"/>
        <v>1</v>
      </c>
      <c r="Z129">
        <f ca="1"/>
        <v>3.5980299328115137</v>
      </c>
      <c r="AA129">
        <f ca="1"/>
        <v>0</v>
      </c>
      <c r="AB129">
        <f ca="1"/>
        <v>0.99999999474104595</v>
      </c>
      <c r="AD129" s="2">
        <f t="shared" ca="1" si="12"/>
        <v>45077</v>
      </c>
      <c r="AE129" s="46">
        <f t="shared" ca="1" si="13"/>
        <v>0</v>
      </c>
      <c r="AG129" s="72">
        <f t="shared" ca="1" si="17"/>
        <v>61.816365860969803</v>
      </c>
      <c r="AH129" s="72">
        <f t="shared" ca="1" si="18"/>
        <v>61.816365860969803</v>
      </c>
      <c r="AI129" s="3">
        <f t="shared" ca="1" si="19"/>
        <v>0</v>
      </c>
    </row>
    <row r="130" spans="7:35" x14ac:dyDescent="0.25">
      <c r="G130" s="3">
        <f t="shared" ca="1" si="14"/>
        <v>108</v>
      </c>
      <c r="H130" s="105">
        <f t="shared" ca="1" si="16"/>
        <v>45033</v>
      </c>
      <c r="I130" s="133">
        <f ca="1">HLOOKUP($H$4,'Met Data'!$A$2:$F$368,G130,FALSE)</f>
        <v>13.6416666666666</v>
      </c>
      <c r="J130" s="133">
        <f ca="1">HLOOKUP($H$4,'Met Data'!$H$2:$M$368,G130,FALSE)*L130</f>
        <v>3.44999999999999</v>
      </c>
      <c r="K130" s="106">
        <f ca="1">HLOOKUP($H$4,'Met Data'!$O$2:$T$368,G130,FALSE)</f>
        <v>1.46996077972592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45078</v>
      </c>
      <c r="Q130">
        <f ca="1"/>
        <v>58.402990619979427</v>
      </c>
      <c r="R130">
        <f ca="1"/>
        <v>1.8600617396451999</v>
      </c>
      <c r="S130">
        <f ca="1"/>
        <v>5.5187084202999459E-12</v>
      </c>
      <c r="T130">
        <f ca="1"/>
        <v>0.25010416666666502</v>
      </c>
      <c r="U130">
        <f ca="1"/>
        <v>0</v>
      </c>
      <c r="V130">
        <f ca="1"/>
        <v>145.907617163146</v>
      </c>
      <c r="W130">
        <f ca="1"/>
        <v>37.111285234974098</v>
      </c>
      <c r="X130">
        <f ca="1"/>
        <v>0</v>
      </c>
      <c r="Y130">
        <f ca="1"/>
        <v>1</v>
      </c>
      <c r="Z130">
        <f ca="1"/>
        <v>1.3309902146425969</v>
      </c>
      <c r="AA130">
        <f ca="1"/>
        <v>0</v>
      </c>
      <c r="AB130">
        <f ca="1"/>
        <v>0.99999999547380503</v>
      </c>
      <c r="AD130" s="2">
        <f t="shared" ca="1" si="12"/>
        <v>45078</v>
      </c>
      <c r="AE130" s="46">
        <f t="shared" ca="1" si="13"/>
        <v>0</v>
      </c>
      <c r="AG130" s="72">
        <f t="shared" ca="1" si="17"/>
        <v>60.263052359624623</v>
      </c>
      <c r="AH130" s="72">
        <f t="shared" ca="1" si="18"/>
        <v>60.263052359624623</v>
      </c>
      <c r="AI130" s="3">
        <f t="shared" ca="1" si="19"/>
        <v>0</v>
      </c>
    </row>
    <row r="131" spans="7:35" x14ac:dyDescent="0.25">
      <c r="G131" s="3">
        <f t="shared" ca="1" si="14"/>
        <v>109</v>
      </c>
      <c r="H131" s="105">
        <f t="shared" ca="1" si="16"/>
        <v>45034</v>
      </c>
      <c r="I131" s="133">
        <f ca="1">HLOOKUP($H$4,'Met Data'!$A$2:$F$368,G131,FALSE)</f>
        <v>13.6833333333333</v>
      </c>
      <c r="J131" s="133">
        <f ca="1">HLOOKUP($H$4,'Met Data'!$H$2:$M$368,G131,FALSE)*L131</f>
        <v>2.4166666666666599</v>
      </c>
      <c r="K131" s="106">
        <f ca="1">HLOOKUP($H$4,'Met Data'!$O$2:$T$368,G131,FALSE)</f>
        <v>1.64274717869015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45079</v>
      </c>
      <c r="Q131">
        <f ca="1"/>
        <v>56.79156899973573</v>
      </c>
      <c r="R131">
        <f ca="1"/>
        <v>1.8613174535818799</v>
      </c>
      <c r="S131">
        <f ca="1"/>
        <v>4.8521423370215278E-12</v>
      </c>
      <c r="T131">
        <f ca="1"/>
        <v>0.24989583333333326</v>
      </c>
      <c r="U131">
        <f ca="1"/>
        <v>0</v>
      </c>
      <c r="V131">
        <f ca="1"/>
        <v>147.76893461672799</v>
      </c>
      <c r="W131">
        <f ca="1"/>
        <v>37.584707282950397</v>
      </c>
      <c r="X131">
        <f ca="1"/>
        <v>0</v>
      </c>
      <c r="Y131">
        <f ca="1"/>
        <v>1</v>
      </c>
      <c r="Z131">
        <f ca="1"/>
        <v>1.7552437564817325</v>
      </c>
      <c r="AA131">
        <f ca="1"/>
        <v>0</v>
      </c>
      <c r="AB131">
        <f ca="1"/>
        <v>0.99999999610397705</v>
      </c>
      <c r="AD131" s="2">
        <f t="shared" ca="1" si="12"/>
        <v>45079</v>
      </c>
      <c r="AE131" s="46">
        <f t="shared" ca="1" si="13"/>
        <v>0</v>
      </c>
      <c r="AG131" s="72">
        <f t="shared" ca="1" si="17"/>
        <v>58.652886453317613</v>
      </c>
      <c r="AH131" s="72">
        <f t="shared" ca="1" si="18"/>
        <v>58.652886453317613</v>
      </c>
      <c r="AI131" s="3">
        <f t="shared" ca="1" si="19"/>
        <v>0</v>
      </c>
    </row>
    <row r="132" spans="7:35" x14ac:dyDescent="0.25">
      <c r="G132" s="3">
        <f t="shared" ca="1" si="14"/>
        <v>110</v>
      </c>
      <c r="H132" s="105">
        <f t="shared" ca="1" si="16"/>
        <v>45035</v>
      </c>
      <c r="I132" s="133">
        <f ca="1">HLOOKUP($H$4,'Met Data'!$A$2:$F$368,G132,FALSE)</f>
        <v>12.945833333333301</v>
      </c>
      <c r="J132" s="133">
        <f ca="1">HLOOKUP($H$4,'Met Data'!$H$2:$M$368,G132,FALSE)*L132</f>
        <v>1.5999999999999901</v>
      </c>
      <c r="K132" s="106">
        <f ca="1">HLOOKUP($H$4,'Met Data'!$O$2:$T$368,G132,FALSE)</f>
        <v>1.70342846945819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45080</v>
      </c>
      <c r="Q132">
        <f ca="1"/>
        <v>55.193353979217001</v>
      </c>
      <c r="R132">
        <f ca="1"/>
        <v>1.84571502052296</v>
      </c>
      <c r="S132">
        <f ca="1"/>
        <v>4.2291887470367666E-12</v>
      </c>
      <c r="T132">
        <f ca="1"/>
        <v>0.24749999999999975</v>
      </c>
      <c r="U132">
        <f ca="1"/>
        <v>0</v>
      </c>
      <c r="V132">
        <f ca="1"/>
        <v>149.61464963725101</v>
      </c>
      <c r="W132">
        <f ca="1"/>
        <v>38.054160885996403</v>
      </c>
      <c r="X132">
        <f ca="1"/>
        <v>0</v>
      </c>
      <c r="Y132">
        <f ca="1"/>
        <v>1</v>
      </c>
      <c r="Z132">
        <f ca="1"/>
        <v>0.81223036395613235</v>
      </c>
      <c r="AA132">
        <f ca="1"/>
        <v>0</v>
      </c>
      <c r="AB132">
        <f ca="1"/>
        <v>0.99999999664158801</v>
      </c>
      <c r="AD132" s="2">
        <f t="shared" ca="1" si="12"/>
        <v>45080</v>
      </c>
      <c r="AE132" s="46">
        <f t="shared" ca="1" si="13"/>
        <v>0</v>
      </c>
      <c r="AG132" s="72">
        <f t="shared" ca="1" si="17"/>
        <v>57.03906899973996</v>
      </c>
      <c r="AH132" s="72">
        <f t="shared" ca="1" si="18"/>
        <v>57.03906899973996</v>
      </c>
      <c r="AI132" s="3">
        <f t="shared" ca="1" si="19"/>
        <v>0</v>
      </c>
    </row>
    <row r="133" spans="7:35" x14ac:dyDescent="0.25">
      <c r="G133" s="3">
        <f t="shared" ca="1" si="14"/>
        <v>111</v>
      </c>
      <c r="H133" s="105">
        <f t="shared" ca="1" si="16"/>
        <v>45036</v>
      </c>
      <c r="I133" s="133">
        <f ca="1">HLOOKUP($H$4,'Met Data'!$A$2:$F$368,G133,FALSE)</f>
        <v>14.2875</v>
      </c>
      <c r="J133" s="133">
        <f ca="1">HLOOKUP($H$4,'Met Data'!$H$2:$M$368,G133,FALSE)*L133</f>
        <v>1.1499999999999999</v>
      </c>
      <c r="K133" s="106">
        <f ca="1">HLOOKUP($H$4,'Met Data'!$O$2:$T$368,G133,FALSE)</f>
        <v>1.68674688590323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45081</v>
      </c>
      <c r="Q133">
        <f ca="1"/>
        <v>53.42365813098445</v>
      </c>
      <c r="R133">
        <f ca="1"/>
        <v>2.04344584823667</v>
      </c>
      <c r="S133">
        <f ca="1"/>
        <v>4.1220236673315546E-12</v>
      </c>
      <c r="T133">
        <f ca="1"/>
        <v>0.27374999999999999</v>
      </c>
      <c r="U133">
        <f ca="1"/>
        <v>0</v>
      </c>
      <c r="V133">
        <f ca="1"/>
        <v>151.658095485487</v>
      </c>
      <c r="W133">
        <f ca="1"/>
        <v>38.573906895221803</v>
      </c>
      <c r="X133">
        <f ca="1"/>
        <v>0</v>
      </c>
      <c r="Y133">
        <f ca="1"/>
        <v>1</v>
      </c>
      <c r="Z133">
        <f ca="1"/>
        <v>1.4892291225065009</v>
      </c>
      <c r="AA133">
        <f ca="1"/>
        <v>0</v>
      </c>
      <c r="AB133">
        <f ca="1"/>
        <v>0.99999999715025001</v>
      </c>
      <c r="AD133" s="2">
        <f t="shared" ca="1" si="12"/>
        <v>45081</v>
      </c>
      <c r="AE133" s="46">
        <f t="shared" ca="1" si="13"/>
        <v>0</v>
      </c>
      <c r="AG133" s="72">
        <f t="shared" ca="1" si="17"/>
        <v>55.467103979221122</v>
      </c>
      <c r="AH133" s="72">
        <f t="shared" ca="1" si="18"/>
        <v>55.467103979221122</v>
      </c>
      <c r="AI133" s="3">
        <f t="shared" ca="1" si="19"/>
        <v>0</v>
      </c>
    </row>
    <row r="134" spans="7:35" x14ac:dyDescent="0.25">
      <c r="G134" s="3">
        <f t="shared" ca="1" si="14"/>
        <v>112</v>
      </c>
      <c r="H134" s="105">
        <f t="shared" ca="1" si="16"/>
        <v>45037</v>
      </c>
      <c r="I134" s="133">
        <f ca="1">HLOOKUP($H$4,'Met Data'!$A$2:$F$368,G134,FALSE)</f>
        <v>14.275</v>
      </c>
      <c r="J134" s="133">
        <f ca="1">HLOOKUP($H$4,'Met Data'!$H$2:$M$368,G134,FALSE)*L134</f>
        <v>2.0833333333333299</v>
      </c>
      <c r="K134" s="106">
        <f ca="1">HLOOKUP($H$4,'Met Data'!$O$2:$T$368,G134,FALSE)</f>
        <v>1.5152419322458901</v>
      </c>
      <c r="L134">
        <f t="shared" ref="L134:L197" ca="1" si="20">IF(H134&lt;$B$27,$J$3,$J$4)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45082</v>
      </c>
      <c r="Q134">
        <f ca="1"/>
        <v>51.695038942297131</v>
      </c>
      <c r="R134">
        <f ca="1"/>
        <v>1.9958066886908099</v>
      </c>
      <c r="S134">
        <f ca="1"/>
        <v>3.4945584961355947E-12</v>
      </c>
      <c r="T134">
        <f ca="1"/>
        <v>0.26718750000000002</v>
      </c>
      <c r="U134">
        <f ca="1"/>
        <v>0</v>
      </c>
      <c r="V134">
        <f ca="1"/>
        <v>153.653902174178</v>
      </c>
      <c r="W134">
        <f ca="1"/>
        <v>39.0815359877801</v>
      </c>
      <c r="X134">
        <f ca="1"/>
        <v>0</v>
      </c>
      <c r="Y134">
        <f ca="1"/>
        <v>1</v>
      </c>
      <c r="Z134">
        <f ca="1"/>
        <v>3.2900064313517277</v>
      </c>
      <c r="AA134">
        <f ca="1"/>
        <v>0</v>
      </c>
      <c r="AB134">
        <f ca="1"/>
        <v>0.99999999757233005</v>
      </c>
      <c r="AD134" s="2">
        <f t="shared" ref="AD134:AD197" ca="1" si="22">IFERROR(P134,$AD$4)</f>
        <v>45082</v>
      </c>
      <c r="AE134" s="46">
        <f t="shared" ref="AE134:AE197" ca="1" si="23">IFERROR(U134,0)</f>
        <v>0</v>
      </c>
      <c r="AG134" s="72">
        <f t="shared" ca="1" si="17"/>
        <v>53.690845630987944</v>
      </c>
      <c r="AH134" s="72">
        <f t="shared" ca="1" si="18"/>
        <v>53.690845630987944</v>
      </c>
      <c r="AI134" s="3">
        <f t="shared" ca="1" si="19"/>
        <v>0</v>
      </c>
    </row>
    <row r="135" spans="7:35" x14ac:dyDescent="0.25">
      <c r="G135" s="3">
        <f t="shared" ref="G135:G198" ca="1" si="24">H135-DATE(YEAR(H135),1,0)+1</f>
        <v>113</v>
      </c>
      <c r="H135" s="105">
        <f t="shared" ca="1" si="16"/>
        <v>45038</v>
      </c>
      <c r="I135" s="133">
        <f ca="1">HLOOKUP($H$4,'Met Data'!$A$2:$F$368,G135,FALSE)</f>
        <v>13.595833333333299</v>
      </c>
      <c r="J135" s="133">
        <f ca="1">HLOOKUP($H$4,'Met Data'!$H$2:$M$368,G135,FALSE)*L135</f>
        <v>0.76666666666666605</v>
      </c>
      <c r="K135" s="106">
        <f ca="1">HLOOKUP($H$4,'Met Data'!$O$2:$T$368,G135,FALSE)</f>
        <v>1.65518894118648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45083</v>
      </c>
      <c r="Q135">
        <f ca="1"/>
        <v>49.985976460447567</v>
      </c>
      <c r="R135">
        <f ca="1"/>
        <v>1.97312498185258</v>
      </c>
      <c r="S135">
        <f ca="1"/>
        <v>3.0107511775558404E-12</v>
      </c>
      <c r="T135">
        <f ca="1"/>
        <v>0.26406249999999998</v>
      </c>
      <c r="U135">
        <f ca="1"/>
        <v>0</v>
      </c>
      <c r="V135">
        <f ca="1"/>
        <v>155.62702715603101</v>
      </c>
      <c r="W135">
        <f ca="1"/>
        <v>39.583396037512202</v>
      </c>
      <c r="X135">
        <f ca="1"/>
        <v>0</v>
      </c>
      <c r="Y135">
        <f ca="1"/>
        <v>1</v>
      </c>
      <c r="Z135">
        <f ca="1"/>
        <v>4.3675724012378794</v>
      </c>
      <c r="AA135">
        <f ca="1"/>
        <v>0</v>
      </c>
      <c r="AB135">
        <f ca="1"/>
        <v>0.99999999792801497</v>
      </c>
      <c r="AD135" s="2">
        <f t="shared" ca="1" si="22"/>
        <v>45083</v>
      </c>
      <c r="AE135" s="46">
        <f t="shared" ca="1" si="23"/>
        <v>0</v>
      </c>
      <c r="AG135" s="72">
        <f t="shared" ca="1" si="17"/>
        <v>51.959101442300145</v>
      </c>
      <c r="AH135" s="72">
        <f t="shared" ca="1" si="18"/>
        <v>51.959101442300145</v>
      </c>
      <c r="AI135" s="3">
        <f t="shared" ca="1" si="19"/>
        <v>0</v>
      </c>
    </row>
    <row r="136" spans="7:35" x14ac:dyDescent="0.25">
      <c r="G136" s="3">
        <f t="shared" ca="1" si="24"/>
        <v>114</v>
      </c>
      <c r="H136" s="105">
        <f t="shared" ref="H136:H199" ca="1" si="26">H135+1</f>
        <v>45039</v>
      </c>
      <c r="I136" s="133">
        <f ca="1">HLOOKUP($H$4,'Met Data'!$A$2:$F$368,G136,FALSE)</f>
        <v>13.9125</v>
      </c>
      <c r="J136" s="133">
        <f ca="1">HLOOKUP($H$4,'Met Data'!$H$2:$M$368,G136,FALSE)*L136</f>
        <v>0.3</v>
      </c>
      <c r="K136" s="106">
        <f ca="1">HLOOKUP($H$4,'Met Data'!$O$2:$T$368,G136,FALSE)</f>
        <v>1.66585763602601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45084</v>
      </c>
      <c r="Q136">
        <f ca="1"/>
        <v>48.293071806909481</v>
      </c>
      <c r="R136">
        <f ca="1"/>
        <v>1.9544671535406899</v>
      </c>
      <c r="S136">
        <f ca="1"/>
        <v>2.6042472140534124E-12</v>
      </c>
      <c r="T136">
        <f ca="1"/>
        <v>0.26156250000000003</v>
      </c>
      <c r="U136">
        <f ca="1"/>
        <v>0</v>
      </c>
      <c r="V136">
        <f ca="1"/>
        <v>157.58149430957201</v>
      </c>
      <c r="W136">
        <f ca="1"/>
        <v>40.0805105091736</v>
      </c>
      <c r="X136">
        <f ca="1"/>
        <v>0</v>
      </c>
      <c r="Y136">
        <f ca="1"/>
        <v>1</v>
      </c>
      <c r="Z136">
        <f ca="1"/>
        <v>1.4508743505761714</v>
      </c>
      <c r="AA136">
        <f ca="1"/>
        <v>0</v>
      </c>
      <c r="AB136">
        <f ca="1"/>
        <v>0.99999999822893304</v>
      </c>
      <c r="AD136" s="2">
        <f t="shared" ca="1" si="22"/>
        <v>45084</v>
      </c>
      <c r="AE136" s="46">
        <f t="shared" ca="1" si="23"/>
        <v>0</v>
      </c>
      <c r="AG136" s="72">
        <f t="shared" ref="AG136:AG199" ca="1" si="27">Q135+S136+T136+U136</f>
        <v>50.247538960450171</v>
      </c>
      <c r="AH136" s="72">
        <f t="shared" ref="AH136:AH199" ca="1" si="28">Q136+R136+X136</f>
        <v>50.247538960450171</v>
      </c>
      <c r="AI136" s="3">
        <f t="shared" ref="AI136:AI199" ca="1" si="29">AH136-AG136</f>
        <v>0</v>
      </c>
    </row>
    <row r="137" spans="7:35" x14ac:dyDescent="0.25">
      <c r="G137" s="3">
        <f t="shared" ca="1" si="24"/>
        <v>115</v>
      </c>
      <c r="H137" s="105">
        <f t="shared" ca="1" si="26"/>
        <v>45040</v>
      </c>
      <c r="I137" s="133">
        <f ca="1">HLOOKUP($H$4,'Met Data'!$A$2:$F$368,G137,FALSE)</f>
        <v>14.820833333333301</v>
      </c>
      <c r="J137" s="133">
        <f ca="1">HLOOKUP($H$4,'Met Data'!$H$2:$M$368,G137,FALSE)*L137</f>
        <v>2.5333333333333301</v>
      </c>
      <c r="K137" s="106">
        <f ca="1">HLOOKUP($H$4,'Met Data'!$O$2:$T$368,G137,FALSE)</f>
        <v>1.5754379638326901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45085</v>
      </c>
      <c r="Q137">
        <f ca="1"/>
        <v>46.742255852552404</v>
      </c>
      <c r="R137">
        <f ca="1"/>
        <v>1.79050345435917</v>
      </c>
      <c r="S137">
        <f ca="1"/>
        <v>2.0868301192883485E-12</v>
      </c>
      <c r="T137">
        <f ca="1"/>
        <v>0.2396875</v>
      </c>
      <c r="U137">
        <f ca="1"/>
        <v>0</v>
      </c>
      <c r="V137">
        <f ca="1"/>
        <v>159.37199776393101</v>
      </c>
      <c r="W137">
        <f ca="1"/>
        <v>40.535921170391099</v>
      </c>
      <c r="X137">
        <f ca="1"/>
        <v>0</v>
      </c>
      <c r="Y137">
        <f ca="1"/>
        <v>1</v>
      </c>
      <c r="Z137">
        <f ca="1"/>
        <v>0.64942817835039079</v>
      </c>
      <c r="AA137">
        <f ca="1"/>
        <v>0</v>
      </c>
      <c r="AB137">
        <f ca="1"/>
        <v>0.99999999846614995</v>
      </c>
      <c r="AD137" s="2">
        <f t="shared" ca="1" si="22"/>
        <v>45085</v>
      </c>
      <c r="AE137" s="46">
        <f t="shared" ca="1" si="23"/>
        <v>0</v>
      </c>
      <c r="AG137" s="72">
        <f t="shared" ca="1" si="27"/>
        <v>48.532759306911572</v>
      </c>
      <c r="AH137" s="72">
        <f t="shared" ca="1" si="28"/>
        <v>48.532759306911572</v>
      </c>
      <c r="AI137" s="3">
        <f t="shared" ca="1" si="29"/>
        <v>0</v>
      </c>
    </row>
    <row r="138" spans="7:35" x14ac:dyDescent="0.25">
      <c r="G138" s="3">
        <f t="shared" ca="1" si="24"/>
        <v>116</v>
      </c>
      <c r="H138" s="105">
        <f t="shared" ca="1" si="26"/>
        <v>45041</v>
      </c>
      <c r="I138" s="133">
        <f ca="1">HLOOKUP($H$4,'Met Data'!$A$2:$F$368,G138,FALSE)</f>
        <v>14.4166666666666</v>
      </c>
      <c r="J138" s="133">
        <f ca="1">HLOOKUP($H$4,'Met Data'!$H$2:$M$368,G138,FALSE)*L138</f>
        <v>7.3833333333333302</v>
      </c>
      <c r="K138" s="106">
        <f ca="1">HLOOKUP($H$4,'Met Data'!$O$2:$T$368,G138,FALSE)</f>
        <v>1.4622003711311999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45086</v>
      </c>
      <c r="Q138">
        <f ca="1"/>
        <v>45.20857183775027</v>
      </c>
      <c r="R138">
        <f ca="1"/>
        <v>1.77087151480396</v>
      </c>
      <c r="S138">
        <f ca="1"/>
        <v>1.8274783551170096E-12</v>
      </c>
      <c r="T138">
        <f ca="1"/>
        <v>0.2371875</v>
      </c>
      <c r="U138">
        <f ca="1"/>
        <v>0</v>
      </c>
      <c r="V138">
        <f ca="1"/>
        <v>161.14286927873499</v>
      </c>
      <c r="W138">
        <f ca="1"/>
        <v>40.986338490460803</v>
      </c>
      <c r="X138">
        <f ca="1"/>
        <v>0</v>
      </c>
      <c r="Y138">
        <f ca="1"/>
        <v>1</v>
      </c>
      <c r="Z138">
        <f ca="1"/>
        <v>0.60432403407104118</v>
      </c>
      <c r="AA138">
        <f ca="1"/>
        <v>0</v>
      </c>
      <c r="AB138">
        <f ca="1"/>
        <v>0.99999999866959899</v>
      </c>
      <c r="AD138" s="2">
        <f t="shared" ca="1" si="22"/>
        <v>45086</v>
      </c>
      <c r="AE138" s="46">
        <f t="shared" ca="1" si="23"/>
        <v>0</v>
      </c>
      <c r="AG138" s="72">
        <f t="shared" ca="1" si="27"/>
        <v>46.979443352554227</v>
      </c>
      <c r="AH138" s="72">
        <f t="shared" ca="1" si="28"/>
        <v>46.979443352554227</v>
      </c>
      <c r="AI138" s="3">
        <f t="shared" ca="1" si="29"/>
        <v>0</v>
      </c>
    </row>
    <row r="139" spans="7:35" x14ac:dyDescent="0.25">
      <c r="G139" s="3">
        <f t="shared" ca="1" si="24"/>
        <v>117</v>
      </c>
      <c r="H139" s="105">
        <f t="shared" ca="1" si="26"/>
        <v>45042</v>
      </c>
      <c r="I139" s="133">
        <f ca="1">HLOOKUP($H$4,'Met Data'!$A$2:$F$368,G139,FALSE)</f>
        <v>13.9375</v>
      </c>
      <c r="J139" s="133">
        <f ca="1">HLOOKUP($H$4,'Met Data'!$H$2:$M$368,G139,FALSE)*L139</f>
        <v>0.7</v>
      </c>
      <c r="K139" s="106">
        <f ca="1">HLOOKUP($H$4,'Met Data'!$O$2:$T$368,G139,FALSE)</f>
        <v>1.4965322621758601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45087</v>
      </c>
      <c r="Q139">
        <f ca="1"/>
        <v>43.448322384799425</v>
      </c>
      <c r="R139">
        <f ca="1"/>
        <v>2.0327494529527099</v>
      </c>
      <c r="S139">
        <f ca="1"/>
        <v>1.8605193563971146E-12</v>
      </c>
      <c r="T139">
        <f ca="1"/>
        <v>0.27250000000000002</v>
      </c>
      <c r="U139">
        <f ca="1"/>
        <v>0</v>
      </c>
      <c r="V139">
        <f ca="1"/>
        <v>163.175618731687</v>
      </c>
      <c r="W139">
        <f ca="1"/>
        <v>41.503363894798802</v>
      </c>
      <c r="X139">
        <f ca="1"/>
        <v>0</v>
      </c>
      <c r="Y139">
        <f ca="1"/>
        <v>1</v>
      </c>
      <c r="Z139">
        <f ca="1"/>
        <v>4.0648710380177562</v>
      </c>
      <c r="AA139">
        <f ca="1"/>
        <v>0</v>
      </c>
      <c r="AB139">
        <f ca="1"/>
        <v>0.99999999887025304</v>
      </c>
      <c r="AD139" s="2">
        <f t="shared" ca="1" si="22"/>
        <v>45087</v>
      </c>
      <c r="AE139" s="46">
        <f t="shared" ca="1" si="23"/>
        <v>0</v>
      </c>
      <c r="AG139" s="72">
        <f t="shared" ca="1" si="27"/>
        <v>45.481071837752133</v>
      </c>
      <c r="AH139" s="72">
        <f t="shared" ca="1" si="28"/>
        <v>45.481071837752133</v>
      </c>
      <c r="AI139" s="3">
        <f t="shared" ca="1" si="29"/>
        <v>0</v>
      </c>
    </row>
    <row r="140" spans="7:35" x14ac:dyDescent="0.25">
      <c r="G140" s="3">
        <f t="shared" ca="1" si="24"/>
        <v>118</v>
      </c>
      <c r="H140" s="105">
        <f t="shared" ca="1" si="26"/>
        <v>45043</v>
      </c>
      <c r="I140" s="133">
        <f ca="1">HLOOKUP($H$4,'Met Data'!$A$2:$F$368,G140,FALSE)</f>
        <v>14.8045454545454</v>
      </c>
      <c r="J140" s="133">
        <f ca="1">HLOOKUP($H$4,'Met Data'!$H$2:$M$368,G140,FALSE)*L140</f>
        <v>4.5818181818181802</v>
      </c>
      <c r="K140" s="106">
        <f ca="1">HLOOKUP($H$4,'Met Data'!$O$2:$T$368,G140,FALSE)</f>
        <v>1.5702581753512701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45088</v>
      </c>
      <c r="Q140">
        <f ca="1"/>
        <v>41.691359257006532</v>
      </c>
      <c r="R140">
        <f ca="1"/>
        <v>2.0293494914308798</v>
      </c>
      <c r="S140">
        <f ca="1"/>
        <v>1.6164890445033923E-12</v>
      </c>
      <c r="T140">
        <f ca="1"/>
        <v>0.27238636363636248</v>
      </c>
      <c r="U140">
        <f ca="1"/>
        <v>0</v>
      </c>
      <c r="V140">
        <f ca="1"/>
        <v>165.20496822311799</v>
      </c>
      <c r="W140">
        <f ca="1"/>
        <v>42.019524526314903</v>
      </c>
      <c r="X140">
        <f ca="1"/>
        <v>0</v>
      </c>
      <c r="Y140">
        <f ca="1"/>
        <v>1</v>
      </c>
      <c r="Z140">
        <f ca="1"/>
        <v>6.3765781024554684</v>
      </c>
      <c r="AA140">
        <f ca="1"/>
        <v>0</v>
      </c>
      <c r="AB140">
        <f ca="1"/>
        <v>0.99999999904057901</v>
      </c>
      <c r="AD140" s="2">
        <f t="shared" ca="1" si="22"/>
        <v>45088</v>
      </c>
      <c r="AE140" s="46">
        <f t="shared" ca="1" si="23"/>
        <v>0</v>
      </c>
      <c r="AG140" s="72">
        <f t="shared" ca="1" si="27"/>
        <v>43.72070874843741</v>
      </c>
      <c r="AH140" s="72">
        <f t="shared" ca="1" si="28"/>
        <v>43.72070874843741</v>
      </c>
      <c r="AI140" s="3">
        <f t="shared" ca="1" si="29"/>
        <v>0</v>
      </c>
    </row>
    <row r="141" spans="7:35" x14ac:dyDescent="0.25">
      <c r="G141" s="3">
        <f t="shared" ca="1" si="24"/>
        <v>119</v>
      </c>
      <c r="H141" s="105">
        <f t="shared" ca="1" si="26"/>
        <v>45044</v>
      </c>
      <c r="I141" s="133">
        <f ca="1">HLOOKUP($H$4,'Met Data'!$A$2:$F$368,G141,FALSE)</f>
        <v>14.1090909090909</v>
      </c>
      <c r="J141" s="133">
        <f ca="1">HLOOKUP($H$4,'Met Data'!$H$2:$M$368,G141,FALSE)*L141</f>
        <v>5.5454545454545396</v>
      </c>
      <c r="K141" s="106">
        <f ca="1">HLOOKUP($H$4,'Met Data'!$O$2:$T$368,G141,FALSE)</f>
        <v>1.27231342308323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45089</v>
      </c>
      <c r="Q141">
        <f ca="1"/>
        <v>39.786178946964888</v>
      </c>
      <c r="R141">
        <f ca="1"/>
        <v>2.2011178100431699</v>
      </c>
      <c r="S141">
        <f ca="1"/>
        <v>1.5266320466842702E-12</v>
      </c>
      <c r="T141">
        <f ca="1"/>
        <v>0.29593750000000002</v>
      </c>
      <c r="U141">
        <f ca="1"/>
        <v>0</v>
      </c>
      <c r="V141">
        <f ca="1"/>
        <v>167.40608603316099</v>
      </c>
      <c r="W141">
        <f ca="1"/>
        <v>42.579374056260598</v>
      </c>
      <c r="X141">
        <f ca="1"/>
        <v>0</v>
      </c>
      <c r="Y141">
        <f ca="1"/>
        <v>0.99997300064521277</v>
      </c>
      <c r="Z141">
        <f ca="1"/>
        <v>0</v>
      </c>
      <c r="AA141">
        <f ca="1"/>
        <v>0</v>
      </c>
      <c r="AB141">
        <f ca="1"/>
        <v>0.99999999919665705</v>
      </c>
      <c r="AD141" s="2">
        <f t="shared" ca="1" si="22"/>
        <v>45089</v>
      </c>
      <c r="AE141" s="46">
        <f t="shared" ca="1" si="23"/>
        <v>0</v>
      </c>
      <c r="AG141" s="72">
        <f t="shared" ca="1" si="27"/>
        <v>41.98729675700806</v>
      </c>
      <c r="AH141" s="72">
        <f t="shared" ca="1" si="28"/>
        <v>41.98729675700806</v>
      </c>
      <c r="AI141" s="3">
        <f t="shared" ca="1" si="29"/>
        <v>0</v>
      </c>
    </row>
    <row r="142" spans="7:35" x14ac:dyDescent="0.25">
      <c r="G142" s="3">
        <f t="shared" ca="1" si="24"/>
        <v>120</v>
      </c>
      <c r="H142" s="105">
        <f t="shared" ca="1" si="26"/>
        <v>45045</v>
      </c>
      <c r="I142" s="133">
        <f ca="1">HLOOKUP($H$4,'Met Data'!$A$2:$F$368,G142,FALSE)</f>
        <v>13.8375</v>
      </c>
      <c r="J142" s="133">
        <f ca="1">HLOOKUP($H$4,'Met Data'!$H$2:$M$368,G142,FALSE)*L142</f>
        <v>4.68333333333333</v>
      </c>
      <c r="K142" s="106">
        <f ca="1">HLOOKUP($H$4,'Met Data'!$O$2:$T$368,G142,FALSE)</f>
        <v>1.5077932055652401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45090</v>
      </c>
      <c r="Q142">
        <f ca="1"/>
        <v>38.101503620584289</v>
      </c>
      <c r="R142">
        <f ca="1"/>
        <v>1.9469669930484199</v>
      </c>
      <c r="S142">
        <f ca="1"/>
        <v>1.1608626689517958E-12</v>
      </c>
      <c r="T142">
        <f ca="1"/>
        <v>0.26229166666666504</v>
      </c>
      <c r="U142">
        <f ca="1"/>
        <v>0</v>
      </c>
      <c r="V142">
        <f ca="1"/>
        <v>169.35305302621001</v>
      </c>
      <c r="W142">
        <f ca="1"/>
        <v>43.074580878405598</v>
      </c>
      <c r="X142">
        <f ca="1"/>
        <v>0</v>
      </c>
      <c r="Y142">
        <f ca="1"/>
        <v>1</v>
      </c>
      <c r="Z142">
        <f ca="1"/>
        <v>4.5604205264417175</v>
      </c>
      <c r="AA142">
        <f ca="1"/>
        <v>0</v>
      </c>
      <c r="AB142">
        <f ca="1"/>
        <v>0.99999999931362804</v>
      </c>
      <c r="AD142" s="2">
        <f t="shared" ca="1" si="22"/>
        <v>45090</v>
      </c>
      <c r="AE142" s="46">
        <f t="shared" ca="1" si="23"/>
        <v>0</v>
      </c>
      <c r="AG142" s="72">
        <f t="shared" ca="1" si="27"/>
        <v>40.048470613632709</v>
      </c>
      <c r="AH142" s="72">
        <f t="shared" ca="1" si="28"/>
        <v>40.048470613632709</v>
      </c>
      <c r="AI142" s="3">
        <f t="shared" ca="1" si="29"/>
        <v>0</v>
      </c>
    </row>
    <row r="143" spans="7:35" x14ac:dyDescent="0.25">
      <c r="G143" s="3">
        <f t="shared" ca="1" si="24"/>
        <v>121</v>
      </c>
      <c r="H143" s="105">
        <f t="shared" ca="1" si="26"/>
        <v>45046</v>
      </c>
      <c r="I143" s="133">
        <f ca="1">HLOOKUP($H$4,'Met Data'!$A$2:$F$368,G143,FALSE)</f>
        <v>13.6458333333333</v>
      </c>
      <c r="J143" s="133">
        <f ca="1">HLOOKUP($H$4,'Met Data'!$H$2:$M$368,G143,FALSE)*L143</f>
        <v>5.3999999999999897</v>
      </c>
      <c r="K143" s="106">
        <f ca="1">HLOOKUP($H$4,'Met Data'!$O$2:$T$368,G143,FALSE)</f>
        <v>1.60300410285803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45091</v>
      </c>
      <c r="Q143">
        <f ca="1"/>
        <v>36.478438958401497</v>
      </c>
      <c r="R143">
        <f ca="1"/>
        <v>1.8763979955171</v>
      </c>
      <c r="S143">
        <f ca="1"/>
        <v>9.8005355969802633E-13</v>
      </c>
      <c r="T143">
        <f ca="1"/>
        <v>0.25333333333333252</v>
      </c>
      <c r="U143">
        <f ca="1"/>
        <v>0</v>
      </c>
      <c r="V143">
        <f ca="1"/>
        <v>171.22945102172699</v>
      </c>
      <c r="W143">
        <f ca="1"/>
        <v>43.551838629439303</v>
      </c>
      <c r="X143">
        <f ca="1"/>
        <v>0</v>
      </c>
      <c r="Y143">
        <f ca="1"/>
        <v>1</v>
      </c>
      <c r="Z143">
        <f ca="1"/>
        <v>0.10501842223929714</v>
      </c>
      <c r="AA143">
        <f ca="1"/>
        <v>0</v>
      </c>
      <c r="AB143">
        <f ca="1"/>
        <v>0.99999999941040796</v>
      </c>
      <c r="AD143" s="2">
        <f t="shared" ca="1" si="22"/>
        <v>45091</v>
      </c>
      <c r="AE143" s="46">
        <f t="shared" ca="1" si="23"/>
        <v>0</v>
      </c>
      <c r="AG143" s="72">
        <f t="shared" ca="1" si="27"/>
        <v>38.3548369539186</v>
      </c>
      <c r="AH143" s="72">
        <f t="shared" ca="1" si="28"/>
        <v>38.3548369539186</v>
      </c>
      <c r="AI143" s="3">
        <f t="shared" ca="1" si="29"/>
        <v>0</v>
      </c>
    </row>
    <row r="144" spans="7:35" x14ac:dyDescent="0.25">
      <c r="G144" s="3">
        <f t="shared" ca="1" si="24"/>
        <v>122</v>
      </c>
      <c r="H144" s="105">
        <f t="shared" ca="1" si="26"/>
        <v>45047</v>
      </c>
      <c r="I144" s="133">
        <f ca="1">HLOOKUP($H$4,'Met Data'!$A$2:$F$368,G144,FALSE)</f>
        <v>11.883333333333301</v>
      </c>
      <c r="J144" s="133">
        <f ca="1">HLOOKUP($H$4,'Met Data'!$H$2:$M$368,G144,FALSE)*L144</f>
        <v>0.25</v>
      </c>
      <c r="K144" s="106">
        <f ca="1">HLOOKUP($H$4,'Met Data'!$O$2:$T$368,G144,FALSE)</f>
        <v>1.67837953393642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45092</v>
      </c>
      <c r="Q144">
        <f ca="1"/>
        <v>35.036044754358855</v>
      </c>
      <c r="R144">
        <f ca="1"/>
        <v>1.66812337071008</v>
      </c>
      <c r="S144">
        <f ca="1"/>
        <v>7.6707438096199381E-13</v>
      </c>
      <c r="T144">
        <f ca="1"/>
        <v>0.22572916666666651</v>
      </c>
      <c r="U144">
        <f ca="1"/>
        <v>0</v>
      </c>
      <c r="V144">
        <f ca="1"/>
        <v>172.89757439243701</v>
      </c>
      <c r="W144">
        <f ca="1"/>
        <v>43.976122182424199</v>
      </c>
      <c r="X144">
        <f ca="1"/>
        <v>0</v>
      </c>
      <c r="Y144">
        <f ca="1"/>
        <v>1</v>
      </c>
      <c r="Z144">
        <f ca="1"/>
        <v>1.2863670892341759</v>
      </c>
      <c r="AA144">
        <f ca="1"/>
        <v>0</v>
      </c>
      <c r="AB144">
        <f ca="1"/>
        <v>0.999999999485083</v>
      </c>
      <c r="AD144" s="2">
        <f t="shared" ca="1" si="22"/>
        <v>45092</v>
      </c>
      <c r="AE144" s="46">
        <f t="shared" ca="1" si="23"/>
        <v>0</v>
      </c>
      <c r="AG144" s="72">
        <f t="shared" ca="1" si="27"/>
        <v>36.704168125068932</v>
      </c>
      <c r="AH144" s="72">
        <f t="shared" ca="1" si="28"/>
        <v>36.704168125068932</v>
      </c>
      <c r="AI144" s="3">
        <f t="shared" ca="1" si="29"/>
        <v>0</v>
      </c>
    </row>
    <row r="145" spans="7:35" x14ac:dyDescent="0.25">
      <c r="G145" s="3">
        <f t="shared" ca="1" si="24"/>
        <v>123</v>
      </c>
      <c r="H145" s="105">
        <f t="shared" ca="1" si="26"/>
        <v>45048</v>
      </c>
      <c r="I145" s="133">
        <f ca="1">HLOOKUP($H$4,'Met Data'!$A$2:$F$368,G145,FALSE)</f>
        <v>11.8541666666666</v>
      </c>
      <c r="J145" s="133">
        <f ca="1">HLOOKUP($H$4,'Met Data'!$H$2:$M$368,G145,FALSE)*L145</f>
        <v>0.133333333333333</v>
      </c>
      <c r="K145" s="106">
        <f ca="1">HLOOKUP($H$4,'Met Data'!$O$2:$T$368,G145,FALSE)</f>
        <v>1.44561782365903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45093</v>
      </c>
      <c r="Q145">
        <f ca="1"/>
        <v>33.423356168627294</v>
      </c>
      <c r="R145">
        <f ca="1"/>
        <v>1.8658135857323299</v>
      </c>
      <c r="S145">
        <f ca="1"/>
        <v>7.6697154980940131E-13</v>
      </c>
      <c r="T145">
        <f ca="1"/>
        <v>0.25312499999999999</v>
      </c>
      <c r="U145">
        <f ca="1"/>
        <v>0</v>
      </c>
      <c r="V145">
        <f ca="1"/>
        <v>174.76338797816899</v>
      </c>
      <c r="W145">
        <f ca="1"/>
        <v>44.450687811838698</v>
      </c>
      <c r="X145">
        <f ca="1"/>
        <v>0</v>
      </c>
      <c r="Y145">
        <f ca="1"/>
        <v>1</v>
      </c>
      <c r="Z145">
        <f ca="1"/>
        <v>1.8369961215502144</v>
      </c>
      <c r="AA145">
        <f ca="1"/>
        <v>0</v>
      </c>
      <c r="AB145">
        <f ca="1"/>
        <v>0.99999999955763197</v>
      </c>
      <c r="AD145" s="2">
        <f t="shared" ca="1" si="22"/>
        <v>45093</v>
      </c>
      <c r="AE145" s="46">
        <f t="shared" ca="1" si="23"/>
        <v>0</v>
      </c>
      <c r="AG145" s="72">
        <f t="shared" ca="1" si="27"/>
        <v>35.289169754359619</v>
      </c>
      <c r="AH145" s="72">
        <f t="shared" ca="1" si="28"/>
        <v>35.289169754359627</v>
      </c>
      <c r="AI145" s="3">
        <f t="shared" ca="1" si="29"/>
        <v>0</v>
      </c>
    </row>
    <row r="146" spans="7:35" x14ac:dyDescent="0.25">
      <c r="G146" s="3">
        <f t="shared" ca="1" si="24"/>
        <v>124</v>
      </c>
      <c r="H146" s="105">
        <f t="shared" ca="1" si="26"/>
        <v>45049</v>
      </c>
      <c r="I146" s="133">
        <f ca="1">HLOOKUP($H$4,'Met Data'!$A$2:$F$368,G146,FALSE)</f>
        <v>13.0875</v>
      </c>
      <c r="J146" s="133">
        <f ca="1">HLOOKUP($H$4,'Met Data'!$H$2:$M$368,G146,FALSE)*L146</f>
        <v>2.1333333333333302</v>
      </c>
      <c r="K146" s="106">
        <f ca="1">HLOOKUP($H$4,'Met Data'!$O$2:$T$368,G146,FALSE)</f>
        <v>1.4319782957140901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45094</v>
      </c>
      <c r="Q146">
        <f ca="1"/>
        <v>31.799708552857368</v>
      </c>
      <c r="R146">
        <f ca="1"/>
        <v>1.87937678243728</v>
      </c>
      <c r="S146">
        <f ca="1"/>
        <v>6.8071644587491645E-13</v>
      </c>
      <c r="T146">
        <f ca="1"/>
        <v>0.25572916666666501</v>
      </c>
      <c r="U146">
        <f ca="1"/>
        <v>0</v>
      </c>
      <c r="V146">
        <f ca="1"/>
        <v>176.64276476060701</v>
      </c>
      <c r="W146">
        <f ca="1"/>
        <v>44.928703210850003</v>
      </c>
      <c r="X146">
        <f ca="1"/>
        <v>0</v>
      </c>
      <c r="Y146">
        <f ca="1"/>
        <v>1</v>
      </c>
      <c r="Z146">
        <f ca="1"/>
        <v>1.6172154967759411</v>
      </c>
      <c r="AA146">
        <f ca="1"/>
        <v>0</v>
      </c>
      <c r="AB146">
        <f ca="1"/>
        <v>0.99999999962055197</v>
      </c>
      <c r="AD146" s="2">
        <f t="shared" ca="1" si="22"/>
        <v>45094</v>
      </c>
      <c r="AE146" s="46">
        <f t="shared" ca="1" si="23"/>
        <v>0</v>
      </c>
      <c r="AG146" s="72">
        <f t="shared" ca="1" si="27"/>
        <v>33.679085335294644</v>
      </c>
      <c r="AH146" s="72">
        <f t="shared" ca="1" si="28"/>
        <v>33.679085335294644</v>
      </c>
      <c r="AI146" s="3">
        <f t="shared" ca="1" si="29"/>
        <v>0</v>
      </c>
    </row>
    <row r="147" spans="7:35" x14ac:dyDescent="0.25">
      <c r="G147" s="3">
        <f t="shared" ca="1" si="24"/>
        <v>125</v>
      </c>
      <c r="H147" s="105">
        <f t="shared" ca="1" si="26"/>
        <v>45050</v>
      </c>
      <c r="I147" s="133">
        <f ca="1">HLOOKUP($H$4,'Met Data'!$A$2:$F$368,G147,FALSE)</f>
        <v>13.137499999999999</v>
      </c>
      <c r="J147" s="133">
        <f ca="1">HLOOKUP($H$4,'Met Data'!$H$2:$M$368,G147,FALSE)*L147</f>
        <v>3</v>
      </c>
      <c r="K147" s="106">
        <f ca="1">HLOOKUP($H$4,'Met Data'!$O$2:$T$368,G147,FALSE)</f>
        <v>1.16413167388704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45095</v>
      </c>
      <c r="Q147">
        <f ca="1"/>
        <v>30.168451112857724</v>
      </c>
      <c r="R147">
        <f ca="1"/>
        <v>1.8891741066669001</v>
      </c>
      <c r="S147">
        <f ca="1"/>
        <v>6.0226657894418614E-13</v>
      </c>
      <c r="T147">
        <f ca="1"/>
        <v>0.25791666666666502</v>
      </c>
      <c r="U147">
        <f ca="1"/>
        <v>0</v>
      </c>
      <c r="V147">
        <f ca="1"/>
        <v>178.53193886727399</v>
      </c>
      <c r="W147">
        <f ca="1"/>
        <v>45.409210537980499</v>
      </c>
      <c r="X147">
        <f ca="1"/>
        <v>0</v>
      </c>
      <c r="Y147">
        <f ca="1"/>
        <v>1</v>
      </c>
      <c r="Z147">
        <f ca="1"/>
        <v>4.7501049560178217</v>
      </c>
      <c r="AA147">
        <f ca="1"/>
        <v>0</v>
      </c>
      <c r="AB147">
        <f ca="1"/>
        <v>0.99999999967495001</v>
      </c>
      <c r="AD147" s="2">
        <f t="shared" ca="1" si="22"/>
        <v>45095</v>
      </c>
      <c r="AE147" s="46">
        <f t="shared" ca="1" si="23"/>
        <v>0</v>
      </c>
      <c r="AG147" s="72">
        <f t="shared" ca="1" si="27"/>
        <v>32.057625219524638</v>
      </c>
      <c r="AH147" s="72">
        <f t="shared" ca="1" si="28"/>
        <v>32.057625219524624</v>
      </c>
      <c r="AI147" s="3">
        <f t="shared" ca="1" si="29"/>
        <v>0</v>
      </c>
    </row>
    <row r="148" spans="7:35" x14ac:dyDescent="0.25">
      <c r="G148" s="3">
        <f t="shared" ca="1" si="24"/>
        <v>126</v>
      </c>
      <c r="H148" s="105">
        <f t="shared" ca="1" si="26"/>
        <v>45051</v>
      </c>
      <c r="I148" s="133">
        <f ca="1">HLOOKUP($H$4,'Met Data'!$A$2:$F$368,G148,FALSE)</f>
        <v>13.591666666666599</v>
      </c>
      <c r="J148" s="133">
        <f ca="1">HLOOKUP($H$4,'Met Data'!$H$2:$M$368,G148,FALSE)*L148</f>
        <v>4.8499999999999996</v>
      </c>
      <c r="K148" s="106">
        <f ca="1">HLOOKUP($H$4,'Met Data'!$O$2:$T$368,G148,FALSE)</f>
        <v>1.3049016144750001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45096</v>
      </c>
      <c r="Q148">
        <f ca="1"/>
        <v>47.474827005673916</v>
      </c>
      <c r="R148">
        <f ca="1"/>
        <v>0</v>
      </c>
      <c r="S148">
        <f ca="1"/>
        <v>17.039709226149526</v>
      </c>
      <c r="T148">
        <f ca="1"/>
        <v>0.266666666666665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1</v>
      </c>
      <c r="Z148">
        <f ca="1"/>
        <v>11.163016101227555</v>
      </c>
      <c r="AA148">
        <f ca="1"/>
        <v>0</v>
      </c>
      <c r="AB148">
        <f ca="1"/>
        <v>0</v>
      </c>
      <c r="AD148" s="2">
        <f t="shared" ca="1" si="22"/>
        <v>45096</v>
      </c>
      <c r="AE148" s="46">
        <f t="shared" ca="1" si="23"/>
        <v>0</v>
      </c>
      <c r="AG148" s="72">
        <f t="shared" ca="1" si="27"/>
        <v>47.474827005673916</v>
      </c>
      <c r="AH148" s="72">
        <f t="shared" ca="1" si="28"/>
        <v>47.474827005673916</v>
      </c>
      <c r="AI148" s="3">
        <f t="shared" ca="1" si="29"/>
        <v>0</v>
      </c>
    </row>
    <row r="149" spans="7:35" x14ac:dyDescent="0.25">
      <c r="G149" s="3">
        <f t="shared" ca="1" si="24"/>
        <v>127</v>
      </c>
      <c r="H149" s="105">
        <f t="shared" ca="1" si="26"/>
        <v>45052</v>
      </c>
      <c r="I149" s="133">
        <f ca="1">HLOOKUP($H$4,'Met Data'!$A$2:$F$368,G149,FALSE)</f>
        <v>13.2708333333333</v>
      </c>
      <c r="J149" s="133">
        <f ca="1">HLOOKUP($H$4,'Met Data'!$H$2:$M$368,G149,FALSE)*L149</f>
        <v>2.36666666666666</v>
      </c>
      <c r="K149" s="106">
        <f ca="1">HLOOKUP($H$4,'Met Data'!$O$2:$T$368,G149,FALSE)</f>
        <v>1.29751787384439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45097</v>
      </c>
      <c r="Q149">
        <f ca="1"/>
        <v>62.531368785216358</v>
      </c>
      <c r="R149">
        <f ca="1"/>
        <v>0</v>
      </c>
      <c r="S149">
        <f ca="1"/>
        <v>14.7910872340879</v>
      </c>
      <c r="T149">
        <f ca="1"/>
        <v>0.265454545454545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1</v>
      </c>
      <c r="Z149">
        <f ca="1"/>
        <v>8.1888365082085954</v>
      </c>
      <c r="AA149">
        <f ca="1"/>
        <v>0</v>
      </c>
      <c r="AB149">
        <f ca="1"/>
        <v>0</v>
      </c>
      <c r="AD149" s="2">
        <f t="shared" ca="1" si="22"/>
        <v>45097</v>
      </c>
      <c r="AE149" s="46">
        <f t="shared" ca="1" si="23"/>
        <v>0</v>
      </c>
      <c r="AG149" s="72">
        <f t="shared" ca="1" si="27"/>
        <v>62.531368785216358</v>
      </c>
      <c r="AH149" s="72">
        <f t="shared" ca="1" si="28"/>
        <v>62.531368785216358</v>
      </c>
      <c r="AI149" s="3">
        <f t="shared" ca="1" si="29"/>
        <v>0</v>
      </c>
    </row>
    <row r="150" spans="7:35" x14ac:dyDescent="0.25">
      <c r="G150" s="3">
        <f t="shared" ca="1" si="24"/>
        <v>128</v>
      </c>
      <c r="H150" s="105">
        <f t="shared" ca="1" si="26"/>
        <v>45053</v>
      </c>
      <c r="I150" s="133">
        <f ca="1">HLOOKUP($H$4,'Met Data'!$A$2:$F$368,G150,FALSE)</f>
        <v>12.6791666666666</v>
      </c>
      <c r="J150" s="133">
        <f ca="1">HLOOKUP($H$4,'Met Data'!$H$2:$M$368,G150,FALSE)*L150</f>
        <v>5.4166666666666599</v>
      </c>
      <c r="K150" s="106">
        <f ca="1">HLOOKUP($H$4,'Met Data'!$O$2:$T$368,G150,FALSE)</f>
        <v>1.3071916611718599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45098</v>
      </c>
      <c r="Q150">
        <f ca="1"/>
        <v>74.975871165307595</v>
      </c>
      <c r="R150">
        <f ca="1"/>
        <v>0</v>
      </c>
      <c r="S150">
        <f ca="1"/>
        <v>12.193706925545779</v>
      </c>
      <c r="T150">
        <f ca="1"/>
        <v>0.25079545454545249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1</v>
      </c>
      <c r="Z150">
        <f ca="1"/>
        <v>1.0033485479809343</v>
      </c>
      <c r="AA150">
        <f ca="1"/>
        <v>0</v>
      </c>
      <c r="AB150">
        <f ca="1"/>
        <v>0</v>
      </c>
      <c r="AD150" s="2">
        <f t="shared" ca="1" si="22"/>
        <v>45098</v>
      </c>
      <c r="AE150" s="46">
        <f t="shared" ca="1" si="23"/>
        <v>0</v>
      </c>
      <c r="AG150" s="72">
        <f t="shared" ca="1" si="27"/>
        <v>74.975871165307595</v>
      </c>
      <c r="AH150" s="72">
        <f t="shared" ca="1" si="28"/>
        <v>74.975871165307595</v>
      </c>
      <c r="AI150" s="3">
        <f t="shared" ca="1" si="29"/>
        <v>0</v>
      </c>
    </row>
    <row r="151" spans="7:35" x14ac:dyDescent="0.25">
      <c r="G151" s="3">
        <f t="shared" ca="1" si="24"/>
        <v>129</v>
      </c>
      <c r="H151" s="105">
        <f t="shared" ca="1" si="26"/>
        <v>45054</v>
      </c>
      <c r="I151" s="133">
        <f ca="1">HLOOKUP($H$4,'Met Data'!$A$2:$F$368,G151,FALSE)</f>
        <v>12.799999999999899</v>
      </c>
      <c r="J151" s="133">
        <f ca="1">HLOOKUP($H$4,'Met Data'!$H$2:$M$368,G151,FALSE)*L151</f>
        <v>2.1666666666666599</v>
      </c>
      <c r="K151" s="106">
        <f ca="1">HLOOKUP($H$4,'Met Data'!$O$2:$T$368,G151,FALSE)</f>
        <v>1.27112414081248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45099</v>
      </c>
      <c r="Q151">
        <f ca="1"/>
        <v>84.793638221952506</v>
      </c>
      <c r="R151">
        <f ca="1"/>
        <v>0</v>
      </c>
      <c r="S151">
        <f ca="1"/>
        <v>9.5934488748267359</v>
      </c>
      <c r="T151">
        <f ca="1"/>
        <v>0.22431818181818178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1</v>
      </c>
      <c r="Z151">
        <f ca="1"/>
        <v>1.0645879267232488</v>
      </c>
      <c r="AA151">
        <f ca="1"/>
        <v>0</v>
      </c>
      <c r="AB151">
        <f ca="1"/>
        <v>0</v>
      </c>
      <c r="AD151" s="2">
        <f t="shared" ca="1" si="22"/>
        <v>45099</v>
      </c>
      <c r="AE151" s="46">
        <f t="shared" ca="1" si="23"/>
        <v>0</v>
      </c>
      <c r="AG151" s="72">
        <f t="shared" ca="1" si="27"/>
        <v>84.793638221952506</v>
      </c>
      <c r="AH151" s="72">
        <f t="shared" ca="1" si="28"/>
        <v>84.793638221952506</v>
      </c>
      <c r="AI151" s="3">
        <f t="shared" ca="1" si="29"/>
        <v>0</v>
      </c>
    </row>
    <row r="152" spans="7:35" x14ac:dyDescent="0.25">
      <c r="G152" s="3">
        <f t="shared" ca="1" si="24"/>
        <v>130</v>
      </c>
      <c r="H152" s="105">
        <f t="shared" ca="1" si="26"/>
        <v>45055</v>
      </c>
      <c r="I152" s="133">
        <f ca="1">HLOOKUP($H$4,'Met Data'!$A$2:$F$368,G152,FALSE)</f>
        <v>14.1</v>
      </c>
      <c r="J152" s="133">
        <f ca="1">HLOOKUP($H$4,'Met Data'!$H$2:$M$368,G152,FALSE)*L152</f>
        <v>1.2333333333333301</v>
      </c>
      <c r="K152" s="106">
        <f ca="1">HLOOKUP($H$4,'Met Data'!$O$2:$T$368,G152,FALSE)</f>
        <v>1.3593529897032299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45100</v>
      </c>
      <c r="Q152">
        <f ca="1"/>
        <v>93.627405339934569</v>
      </c>
      <c r="R152">
        <f ca="1"/>
        <v>0</v>
      </c>
      <c r="S152">
        <f ca="1"/>
        <v>8.6081989361638751</v>
      </c>
      <c r="T152">
        <f ca="1"/>
        <v>0.22556818181818172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1</v>
      </c>
      <c r="Z152">
        <f ca="1"/>
        <v>2.1890456670604266</v>
      </c>
      <c r="AA152">
        <f ca="1"/>
        <v>0</v>
      </c>
      <c r="AB152">
        <f ca="1"/>
        <v>0</v>
      </c>
      <c r="AD152" s="2">
        <f t="shared" ca="1" si="22"/>
        <v>45100</v>
      </c>
      <c r="AE152" s="46">
        <f t="shared" ca="1" si="23"/>
        <v>0</v>
      </c>
      <c r="AG152" s="72">
        <f t="shared" ca="1" si="27"/>
        <v>93.627405339934555</v>
      </c>
      <c r="AH152" s="72">
        <f t="shared" ca="1" si="28"/>
        <v>93.627405339934569</v>
      </c>
      <c r="AI152" s="3">
        <f t="shared" ca="1" si="29"/>
        <v>0</v>
      </c>
    </row>
    <row r="153" spans="7:35" x14ac:dyDescent="0.25">
      <c r="G153" s="3">
        <f t="shared" ca="1" si="24"/>
        <v>131</v>
      </c>
      <c r="H153" s="105">
        <f t="shared" ca="1" si="26"/>
        <v>45056</v>
      </c>
      <c r="I153" s="133">
        <f ca="1">HLOOKUP($H$4,'Met Data'!$A$2:$F$368,G153,FALSE)</f>
        <v>13.7416666666666</v>
      </c>
      <c r="J153" s="133">
        <f ca="1">HLOOKUP($H$4,'Met Data'!$H$2:$M$368,G153,FALSE)*L153</f>
        <v>1.56666666666666</v>
      </c>
      <c r="K153" s="106">
        <f ca="1">HLOOKUP($H$4,'Met Data'!$O$2:$T$368,G153,FALSE)</f>
        <v>1.1980493949464299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45101</v>
      </c>
      <c r="Q153">
        <f ca="1"/>
        <v>102.69947166457165</v>
      </c>
      <c r="R153">
        <f ca="1"/>
        <v>0</v>
      </c>
      <c r="S153">
        <f ca="1"/>
        <v>8.8130890519098131</v>
      </c>
      <c r="T153">
        <f ca="1"/>
        <v>0.2589772727272725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1</v>
      </c>
      <c r="Z153">
        <f ca="1"/>
        <v>2.8579921700218591</v>
      </c>
      <c r="AA153">
        <f ca="1"/>
        <v>0</v>
      </c>
      <c r="AB153">
        <f ca="1"/>
        <v>0</v>
      </c>
      <c r="AD153" s="2">
        <f t="shared" ca="1" si="22"/>
        <v>45101</v>
      </c>
      <c r="AE153" s="46">
        <f t="shared" ca="1" si="23"/>
        <v>0</v>
      </c>
      <c r="AG153" s="72">
        <f t="shared" ca="1" si="27"/>
        <v>102.69947166457166</v>
      </c>
      <c r="AH153" s="72">
        <f t="shared" ca="1" si="28"/>
        <v>102.69947166457165</v>
      </c>
      <c r="AI153" s="3">
        <f t="shared" ca="1" si="29"/>
        <v>0</v>
      </c>
    </row>
    <row r="154" spans="7:35" x14ac:dyDescent="0.25">
      <c r="G154" s="3">
        <f t="shared" ca="1" si="24"/>
        <v>132</v>
      </c>
      <c r="H154" s="105">
        <f t="shared" ca="1" si="26"/>
        <v>45057</v>
      </c>
      <c r="I154" s="133">
        <f ca="1">HLOOKUP($H$4,'Met Data'!$A$2:$F$368,G154,FALSE)</f>
        <v>13.1</v>
      </c>
      <c r="J154" s="133">
        <f ca="1">HLOOKUP($H$4,'Met Data'!$H$2:$M$368,G154,FALSE)*L154</f>
        <v>3.7166666666666601</v>
      </c>
      <c r="K154" s="106">
        <f ca="1">HLOOKUP($H$4,'Met Data'!$O$2:$T$368,G154,FALSE)</f>
        <v>1.0818629782871001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45102</v>
      </c>
      <c r="Q154">
        <f ca="1"/>
        <v>110.02148932264275</v>
      </c>
      <c r="R154">
        <f ca="1"/>
        <v>0</v>
      </c>
      <c r="S154">
        <f ca="1"/>
        <v>7.0842903853438237</v>
      </c>
      <c r="T154">
        <f ca="1"/>
        <v>0.23772727272727273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1</v>
      </c>
      <c r="Z154">
        <f ca="1"/>
        <v>2.1304249143843919</v>
      </c>
      <c r="AA154">
        <f ca="1"/>
        <v>0</v>
      </c>
      <c r="AB154">
        <f ca="1"/>
        <v>0</v>
      </c>
      <c r="AD154" s="2">
        <f t="shared" ca="1" si="22"/>
        <v>45102</v>
      </c>
      <c r="AE154" s="46">
        <f t="shared" ca="1" si="23"/>
        <v>0</v>
      </c>
      <c r="AG154" s="72">
        <f t="shared" ca="1" si="27"/>
        <v>110.02148932264274</v>
      </c>
      <c r="AH154" s="72">
        <f t="shared" ca="1" si="28"/>
        <v>110.02148932264275</v>
      </c>
      <c r="AI154" s="3">
        <f t="shared" ca="1" si="29"/>
        <v>0</v>
      </c>
    </row>
    <row r="155" spans="7:35" x14ac:dyDescent="0.25">
      <c r="G155" s="3">
        <f t="shared" ca="1" si="24"/>
        <v>133</v>
      </c>
      <c r="H155" s="105">
        <f t="shared" ca="1" si="26"/>
        <v>45058</v>
      </c>
      <c r="I155" s="133">
        <f ca="1">HLOOKUP($H$4,'Met Data'!$A$2:$F$368,G155,FALSE)</f>
        <v>13.566666666666601</v>
      </c>
      <c r="J155" s="133">
        <f ca="1">HLOOKUP($H$4,'Met Data'!$H$2:$M$368,G155,FALSE)*L155</f>
        <v>5.86666666666666</v>
      </c>
      <c r="K155" s="106">
        <f ca="1">HLOOKUP($H$4,'Met Data'!$O$2:$T$368,G155,FALSE)</f>
        <v>0.93360919947406795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45103</v>
      </c>
      <c r="Q155">
        <f ca="1"/>
        <v>116.2735832665752</v>
      </c>
      <c r="R155">
        <f ca="1"/>
        <v>0</v>
      </c>
      <c r="S155">
        <f ca="1"/>
        <v>6.0239121257506376</v>
      </c>
      <c r="T155">
        <f ca="1"/>
        <v>0.22818181818181799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1</v>
      </c>
      <c r="Z155">
        <f ca="1"/>
        <v>0.25048848063671869</v>
      </c>
      <c r="AA155">
        <f ca="1"/>
        <v>0</v>
      </c>
      <c r="AB155">
        <f ca="1"/>
        <v>0</v>
      </c>
      <c r="AD155" s="2">
        <f t="shared" ca="1" si="22"/>
        <v>45103</v>
      </c>
      <c r="AE155" s="46">
        <f t="shared" ca="1" si="23"/>
        <v>0</v>
      </c>
      <c r="AG155" s="72">
        <f t="shared" ca="1" si="27"/>
        <v>116.27358326657522</v>
      </c>
      <c r="AH155" s="72">
        <f t="shared" ca="1" si="28"/>
        <v>116.2735832665752</v>
      </c>
      <c r="AI155" s="3">
        <f t="shared" ca="1" si="29"/>
        <v>0</v>
      </c>
    </row>
    <row r="156" spans="7:35" x14ac:dyDescent="0.25">
      <c r="G156" s="3">
        <f t="shared" ca="1" si="24"/>
        <v>134</v>
      </c>
      <c r="H156" s="105">
        <f t="shared" ca="1" si="26"/>
        <v>45059</v>
      </c>
      <c r="I156" s="133">
        <f ca="1">HLOOKUP($H$4,'Met Data'!$A$2:$F$368,G156,FALSE)</f>
        <v>12.887499999999999</v>
      </c>
      <c r="J156" s="133">
        <f ca="1">HLOOKUP($H$4,'Met Data'!$H$2:$M$368,G156,FALSE)*L156</f>
        <v>5.1666666666666599</v>
      </c>
      <c r="K156" s="106">
        <f ca="1">HLOOKUP($H$4,'Met Data'!$O$2:$T$368,G156,FALSE)</f>
        <v>1.3361527471355901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45104</v>
      </c>
      <c r="Q156">
        <f ca="1"/>
        <v>121.64866332925696</v>
      </c>
      <c r="R156">
        <f ca="1"/>
        <v>0</v>
      </c>
      <c r="S156">
        <f ca="1"/>
        <v>5.155761880863575</v>
      </c>
      <c r="T156">
        <f ca="1"/>
        <v>0.21931818181818175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1</v>
      </c>
      <c r="Z156">
        <f ca="1"/>
        <v>2.0912629704932328</v>
      </c>
      <c r="AA156">
        <f ca="1"/>
        <v>0</v>
      </c>
      <c r="AB156">
        <f ca="1"/>
        <v>0</v>
      </c>
      <c r="AD156" s="2">
        <f t="shared" ca="1" si="22"/>
        <v>45104</v>
      </c>
      <c r="AE156" s="46">
        <f t="shared" ca="1" si="23"/>
        <v>0</v>
      </c>
      <c r="AG156" s="72">
        <f t="shared" ca="1" si="27"/>
        <v>121.64866332925696</v>
      </c>
      <c r="AH156" s="72">
        <f t="shared" ca="1" si="28"/>
        <v>121.64866332925696</v>
      </c>
      <c r="AI156" s="3">
        <f t="shared" ca="1" si="29"/>
        <v>0</v>
      </c>
    </row>
    <row r="157" spans="7:35" x14ac:dyDescent="0.25">
      <c r="G157" s="3">
        <f t="shared" ca="1" si="24"/>
        <v>135</v>
      </c>
      <c r="H157" s="105">
        <f t="shared" ca="1" si="26"/>
        <v>45060</v>
      </c>
      <c r="I157" s="133">
        <f ca="1">HLOOKUP($H$4,'Met Data'!$A$2:$F$368,G157,FALSE)</f>
        <v>13</v>
      </c>
      <c r="J157" s="133">
        <f ca="1">HLOOKUP($H$4,'Met Data'!$H$2:$M$368,G157,FALSE)*L157</f>
        <v>4.86666666666666</v>
      </c>
      <c r="K157" s="106">
        <f ca="1">HLOOKUP($H$4,'Met Data'!$O$2:$T$368,G157,FALSE)</f>
        <v>1.1907632624443201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45105</v>
      </c>
      <c r="Q157">
        <f ca="1"/>
        <v>126.51603536838823</v>
      </c>
      <c r="R157">
        <f ca="1"/>
        <v>0</v>
      </c>
      <c r="S157">
        <f ca="1"/>
        <v>4.6464629482221786</v>
      </c>
      <c r="T157">
        <f ca="1"/>
        <v>0.22090909090909075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0.99966462428429592</v>
      </c>
      <c r="Z157">
        <f ca="1"/>
        <v>0</v>
      </c>
      <c r="AA157">
        <f ca="1"/>
        <v>0</v>
      </c>
      <c r="AB157">
        <f ca="1"/>
        <v>0</v>
      </c>
      <c r="AD157" s="2">
        <f t="shared" ca="1" si="22"/>
        <v>45105</v>
      </c>
      <c r="AE157" s="46">
        <f t="shared" ca="1" si="23"/>
        <v>0</v>
      </c>
      <c r="AG157" s="72">
        <f t="shared" ca="1" si="27"/>
        <v>126.51603536838823</v>
      </c>
      <c r="AH157" s="72">
        <f t="shared" ca="1" si="28"/>
        <v>126.51603536838823</v>
      </c>
      <c r="AI157" s="3">
        <f t="shared" ca="1" si="29"/>
        <v>0</v>
      </c>
    </row>
    <row r="158" spans="7:35" x14ac:dyDescent="0.25">
      <c r="G158" s="3">
        <f t="shared" ca="1" si="24"/>
        <v>136</v>
      </c>
      <c r="H158" s="105">
        <f t="shared" ca="1" si="26"/>
        <v>45061</v>
      </c>
      <c r="I158" s="133">
        <f ca="1">HLOOKUP($H$4,'Met Data'!$A$2:$F$368,G158,FALSE)</f>
        <v>13.470833333333299</v>
      </c>
      <c r="J158" s="133">
        <f ca="1">HLOOKUP($H$4,'Met Data'!$H$2:$M$368,G158,FALSE)*L158</f>
        <v>8.7833333333333297</v>
      </c>
      <c r="K158" s="106">
        <f ca="1">HLOOKUP($H$4,'Met Data'!$O$2:$T$368,G158,FALSE)</f>
        <v>1.16840876605303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45106</v>
      </c>
      <c r="Q158">
        <f ca="1"/>
        <v>130.8299539559921</v>
      </c>
      <c r="R158">
        <f ca="1"/>
        <v>0</v>
      </c>
      <c r="S158">
        <f ca="1"/>
        <v>4.0960776785129687</v>
      </c>
      <c r="T158">
        <f ca="1"/>
        <v>0.217840909090909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1</v>
      </c>
      <c r="Z158">
        <f ca="1"/>
        <v>0.81800687401351979</v>
      </c>
      <c r="AA158">
        <f ca="1"/>
        <v>0</v>
      </c>
      <c r="AB158">
        <f ca="1"/>
        <v>0</v>
      </c>
      <c r="AD158" s="2">
        <f t="shared" ca="1" si="22"/>
        <v>45106</v>
      </c>
      <c r="AE158" s="46">
        <f t="shared" ca="1" si="23"/>
        <v>0</v>
      </c>
      <c r="AG158" s="72">
        <f t="shared" ca="1" si="27"/>
        <v>130.8299539559921</v>
      </c>
      <c r="AH158" s="72">
        <f t="shared" ca="1" si="28"/>
        <v>130.8299539559921</v>
      </c>
      <c r="AI158" s="3">
        <f t="shared" ca="1" si="29"/>
        <v>0</v>
      </c>
    </row>
    <row r="159" spans="7:35" x14ac:dyDescent="0.25">
      <c r="G159" s="3">
        <f t="shared" ca="1" si="24"/>
        <v>137</v>
      </c>
      <c r="H159" s="105">
        <f t="shared" ca="1" si="26"/>
        <v>45062</v>
      </c>
      <c r="I159" s="133">
        <f ca="1">HLOOKUP($H$4,'Met Data'!$A$2:$F$368,G159,FALSE)</f>
        <v>12.8666666666666</v>
      </c>
      <c r="J159" s="133">
        <f ca="1">HLOOKUP($H$4,'Met Data'!$H$2:$M$368,G159,FALSE)*L159</f>
        <v>4.86666666666666</v>
      </c>
      <c r="K159" s="106">
        <f ca="1">HLOOKUP($H$4,'Met Data'!$O$2:$T$368,G159,FALSE)</f>
        <v>1.23845839693481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45107</v>
      </c>
      <c r="Q159">
        <f ca="1"/>
        <v>134.63331233904597</v>
      </c>
      <c r="R159">
        <f ca="1"/>
        <v>0</v>
      </c>
      <c r="S159">
        <f ca="1"/>
        <v>3.5901292163872145</v>
      </c>
      <c r="T159">
        <f ca="1"/>
        <v>0.2132291666666665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1</v>
      </c>
      <c r="Z159">
        <f ca="1"/>
        <v>1.7570935632686684</v>
      </c>
      <c r="AA159">
        <f ca="1"/>
        <v>0</v>
      </c>
      <c r="AB159">
        <f ca="1"/>
        <v>0</v>
      </c>
      <c r="AD159" s="2">
        <f t="shared" ca="1" si="22"/>
        <v>45107</v>
      </c>
      <c r="AE159" s="46">
        <f t="shared" ca="1" si="23"/>
        <v>0</v>
      </c>
      <c r="AG159" s="72">
        <f t="shared" ca="1" si="27"/>
        <v>134.633312339046</v>
      </c>
      <c r="AH159" s="72">
        <f t="shared" ca="1" si="28"/>
        <v>134.63331233904597</v>
      </c>
      <c r="AI159" s="3">
        <f t="shared" ca="1" si="29"/>
        <v>0</v>
      </c>
    </row>
    <row r="160" spans="7:35" x14ac:dyDescent="0.25">
      <c r="G160" s="3">
        <f t="shared" ca="1" si="24"/>
        <v>138</v>
      </c>
      <c r="H160" s="105">
        <f t="shared" ca="1" si="26"/>
        <v>45063</v>
      </c>
      <c r="I160" s="133">
        <f ca="1">HLOOKUP($H$4,'Met Data'!$A$2:$F$368,G160,FALSE)</f>
        <v>12.237499999999899</v>
      </c>
      <c r="J160" s="133">
        <f ca="1">HLOOKUP($H$4,'Met Data'!$H$2:$M$368,G160,FALSE)*L160</f>
        <v>3.7166666666666601</v>
      </c>
      <c r="K160" s="106">
        <f ca="1">HLOOKUP($H$4,'Met Data'!$O$2:$T$368,G160,FALSE)</f>
        <v>1.3074898165915401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45108</v>
      </c>
      <c r="Q160">
        <f ca="1"/>
        <v>138.18671665192866</v>
      </c>
      <c r="R160">
        <f ca="1"/>
        <v>0</v>
      </c>
      <c r="S160">
        <f ca="1"/>
        <v>3.3328834795493392</v>
      </c>
      <c r="T160">
        <f ca="1"/>
        <v>0.22052083333333322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1</v>
      </c>
      <c r="Z160">
        <f ca="1"/>
        <v>1.3264328451549119</v>
      </c>
      <c r="AA160">
        <f ca="1"/>
        <v>0</v>
      </c>
      <c r="AB160">
        <f ca="1"/>
        <v>0</v>
      </c>
      <c r="AD160" s="2">
        <f t="shared" ca="1" si="22"/>
        <v>45108</v>
      </c>
      <c r="AE160" s="46">
        <f t="shared" ca="1" si="23"/>
        <v>0</v>
      </c>
      <c r="AG160" s="72">
        <f t="shared" ca="1" si="27"/>
        <v>138.18671665192863</v>
      </c>
      <c r="AH160" s="72">
        <f t="shared" ca="1" si="28"/>
        <v>138.18671665192866</v>
      </c>
      <c r="AI160" s="3">
        <f t="shared" ca="1" si="29"/>
        <v>0</v>
      </c>
    </row>
    <row r="161" spans="7:35" x14ac:dyDescent="0.25">
      <c r="G161" s="3">
        <f t="shared" ca="1" si="24"/>
        <v>139</v>
      </c>
      <c r="H161" s="105">
        <f t="shared" ca="1" si="26"/>
        <v>45064</v>
      </c>
      <c r="I161" s="133">
        <f ca="1">HLOOKUP($H$4,'Met Data'!$A$2:$F$368,G161,FALSE)</f>
        <v>11.595833333333299</v>
      </c>
      <c r="J161" s="133">
        <f ca="1">HLOOKUP($H$4,'Met Data'!$H$2:$M$368,G161,FALSE)*L161</f>
        <v>2.61666666666666</v>
      </c>
      <c r="K161" s="106">
        <f ca="1">HLOOKUP($H$4,'Met Data'!$O$2:$T$368,G161,FALSE)</f>
        <v>1.3321153360432201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45109</v>
      </c>
      <c r="Q161">
        <f ca="1"/>
        <v>141.17113852705094</v>
      </c>
      <c r="R161">
        <f ca="1"/>
        <v>0</v>
      </c>
      <c r="S161">
        <f ca="1"/>
        <v>2.778796875122282</v>
      </c>
      <c r="T161">
        <f ca="1"/>
        <v>0.205625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0.99848678907688515</v>
      </c>
      <c r="Z161">
        <f ca="1"/>
        <v>0</v>
      </c>
      <c r="AA161">
        <f ca="1"/>
        <v>0</v>
      </c>
      <c r="AB161">
        <f ca="1"/>
        <v>0</v>
      </c>
      <c r="AD161" s="2">
        <f t="shared" ca="1" si="22"/>
        <v>45109</v>
      </c>
      <c r="AE161" s="46">
        <f t="shared" ca="1" si="23"/>
        <v>0</v>
      </c>
      <c r="AG161" s="72">
        <f t="shared" ca="1" si="27"/>
        <v>141.17113852705094</v>
      </c>
      <c r="AH161" s="72">
        <f t="shared" ca="1" si="28"/>
        <v>141.17113852705094</v>
      </c>
      <c r="AI161" s="3">
        <f t="shared" ca="1" si="29"/>
        <v>0</v>
      </c>
    </row>
    <row r="162" spans="7:35" x14ac:dyDescent="0.25">
      <c r="G162" s="3">
        <f t="shared" ca="1" si="24"/>
        <v>140</v>
      </c>
      <c r="H162" s="105">
        <f t="shared" ca="1" si="26"/>
        <v>45065</v>
      </c>
      <c r="I162" s="133">
        <f ca="1">HLOOKUP($H$4,'Met Data'!$A$2:$F$368,G162,FALSE)</f>
        <v>11.904166666666599</v>
      </c>
      <c r="J162" s="133">
        <f ca="1">HLOOKUP($H$4,'Met Data'!$H$2:$M$368,G162,FALSE)*L162</f>
        <v>2.35</v>
      </c>
      <c r="K162" s="106">
        <f ca="1">HLOOKUP($H$4,'Met Data'!$O$2:$T$368,G162,FALSE)</f>
        <v>1.2961776408629699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45110</v>
      </c>
      <c r="Q162">
        <f ca="1"/>
        <v>144.08174025041524</v>
      </c>
      <c r="R162">
        <f ca="1"/>
        <v>0</v>
      </c>
      <c r="S162">
        <f ca="1"/>
        <v>2.6897683900309781</v>
      </c>
      <c r="T162">
        <f ca="1"/>
        <v>0.22083333333333324</v>
      </c>
      <c r="U162">
        <f ca="1"/>
        <v>0</v>
      </c>
      <c r="V162">
        <f ca="1"/>
        <v>0.70714196864573198</v>
      </c>
      <c r="W162">
        <f ca="1"/>
        <v>0.64690394909442905</v>
      </c>
      <c r="X162">
        <f ca="1"/>
        <v>0</v>
      </c>
      <c r="Y162">
        <f ca="1"/>
        <v>1</v>
      </c>
      <c r="Z162">
        <f ca="1"/>
        <v>2.4951660756443914</v>
      </c>
      <c r="AA162">
        <f ca="1"/>
        <v>0</v>
      </c>
      <c r="AB162">
        <f ca="1"/>
        <v>7.5187399010051698E-3</v>
      </c>
      <c r="AD162" s="2">
        <f t="shared" ca="1" si="22"/>
        <v>45110</v>
      </c>
      <c r="AE162" s="46">
        <f t="shared" ca="1" si="23"/>
        <v>0</v>
      </c>
      <c r="AG162" s="72">
        <f t="shared" ca="1" si="27"/>
        <v>144.08174025041527</v>
      </c>
      <c r="AH162" s="72">
        <f t="shared" ca="1" si="28"/>
        <v>144.08174025041524</v>
      </c>
      <c r="AI162" s="3">
        <f t="shared" ca="1" si="29"/>
        <v>0</v>
      </c>
    </row>
    <row r="163" spans="7:35" x14ac:dyDescent="0.25">
      <c r="G163" s="3">
        <f t="shared" ca="1" si="24"/>
        <v>141</v>
      </c>
      <c r="H163" s="105">
        <f t="shared" ca="1" si="26"/>
        <v>45066</v>
      </c>
      <c r="I163" s="133">
        <f ca="1">HLOOKUP($H$4,'Met Data'!$A$2:$F$368,G163,FALSE)</f>
        <v>11.762499999999999</v>
      </c>
      <c r="J163" s="133">
        <f ca="1">HLOOKUP($H$4,'Met Data'!$H$2:$M$368,G163,FALSE)*L163</f>
        <v>0.31666666666666599</v>
      </c>
      <c r="K163" s="106">
        <f ca="1">HLOOKUP($H$4,'Met Data'!$O$2:$T$368,G163,FALSE)</f>
        <v>1.26598619456247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45111</v>
      </c>
      <c r="Q163">
        <f ca="1"/>
        <v>146.61208753629472</v>
      </c>
      <c r="R163">
        <f ca="1"/>
        <v>2.57865205259118E-2</v>
      </c>
      <c r="S163">
        <f ca="1"/>
        <v>2.3411338064053782</v>
      </c>
      <c r="T163">
        <f ca="1"/>
        <v>0.215</v>
      </c>
      <c r="U163">
        <f ca="1"/>
        <v>0</v>
      </c>
      <c r="V163">
        <f ca="1"/>
        <v>0.73292848917164399</v>
      </c>
      <c r="W163">
        <f ca="1"/>
        <v>0.67049384009405899</v>
      </c>
      <c r="X163">
        <f ca="1"/>
        <v>0</v>
      </c>
      <c r="Y163">
        <f ca="1"/>
        <v>0.99884243721337918</v>
      </c>
      <c r="Z163">
        <f ca="1"/>
        <v>0</v>
      </c>
      <c r="AA163">
        <f ca="1"/>
        <v>0</v>
      </c>
      <c r="AB163">
        <f ca="1"/>
        <v>8.4197917716712298E-3</v>
      </c>
      <c r="AD163" s="2">
        <f t="shared" ca="1" si="22"/>
        <v>45111</v>
      </c>
      <c r="AE163" s="46">
        <f t="shared" ca="1" si="23"/>
        <v>0</v>
      </c>
      <c r="AG163" s="72">
        <f t="shared" ca="1" si="27"/>
        <v>146.63787405682061</v>
      </c>
      <c r="AH163" s="72">
        <f t="shared" ca="1" si="28"/>
        <v>146.63787405682064</v>
      </c>
      <c r="AI163" s="3">
        <f t="shared" ca="1" si="29"/>
        <v>0</v>
      </c>
    </row>
    <row r="164" spans="7:35" x14ac:dyDescent="0.25">
      <c r="G164" s="3">
        <f t="shared" ca="1" si="24"/>
        <v>142</v>
      </c>
      <c r="H164" s="105">
        <f t="shared" ca="1" si="26"/>
        <v>45067</v>
      </c>
      <c r="I164" s="133">
        <f ca="1">HLOOKUP($H$4,'Met Data'!$A$2:$F$368,G164,FALSE)</f>
        <v>11.612500000000001</v>
      </c>
      <c r="J164" s="133">
        <f ca="1">HLOOKUP($H$4,'Met Data'!$H$2:$M$368,G164,FALSE)*L164</f>
        <v>2</v>
      </c>
      <c r="K164" s="106">
        <f ca="1">HLOOKUP($H$4,'Met Data'!$O$2:$T$368,G164,FALSE)</f>
        <v>1.0607063970516699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45112</v>
      </c>
      <c r="Q164">
        <f ca="1"/>
        <v>149.11268133057484</v>
      </c>
      <c r="R164">
        <f ca="1"/>
        <v>2.92400077306798E-2</v>
      </c>
      <c r="S164">
        <f ca="1"/>
        <v>2.2948338020107935</v>
      </c>
      <c r="T164">
        <f ca="1"/>
        <v>0.23500000000000001</v>
      </c>
      <c r="U164">
        <f ca="1"/>
        <v>0</v>
      </c>
      <c r="V164">
        <f ca="1"/>
        <v>0.76216849690232302</v>
      </c>
      <c r="W164">
        <f ca="1"/>
        <v>0.69724303235138496</v>
      </c>
      <c r="X164">
        <f ca="1"/>
        <v>0</v>
      </c>
      <c r="Y164">
        <f ca="1"/>
        <v>0.9916067547738372</v>
      </c>
      <c r="Z164">
        <f ca="1"/>
        <v>0</v>
      </c>
      <c r="AA164">
        <f ca="1"/>
        <v>0</v>
      </c>
      <c r="AB164">
        <f ca="1"/>
        <v>9.5274368549896505E-3</v>
      </c>
      <c r="AD164" s="2">
        <f t="shared" ca="1" si="22"/>
        <v>45112</v>
      </c>
      <c r="AE164" s="46">
        <f t="shared" ca="1" si="23"/>
        <v>0</v>
      </c>
      <c r="AG164" s="72">
        <f t="shared" ca="1" si="27"/>
        <v>149.14192133830554</v>
      </c>
      <c r="AH164" s="72">
        <f t="shared" ca="1" si="28"/>
        <v>149.14192133830554</v>
      </c>
      <c r="AI164" s="3">
        <f t="shared" ca="1" si="29"/>
        <v>0</v>
      </c>
    </row>
    <row r="165" spans="7:35" x14ac:dyDescent="0.25">
      <c r="G165" s="3">
        <f t="shared" ca="1" si="24"/>
        <v>143</v>
      </c>
      <c r="H165" s="105">
        <f t="shared" ca="1" si="26"/>
        <v>45068</v>
      </c>
      <c r="I165" s="133">
        <f ca="1">HLOOKUP($H$4,'Met Data'!$A$2:$F$368,G165,FALSE)</f>
        <v>10.174999999999899</v>
      </c>
      <c r="J165" s="133">
        <f ca="1">HLOOKUP($H$4,'Met Data'!$H$2:$M$368,G165,FALSE)*L165</f>
        <v>2.93333333333333</v>
      </c>
      <c r="K165" s="106">
        <f ca="1">HLOOKUP($H$4,'Met Data'!$O$2:$T$368,G165,FALSE)</f>
        <v>1.10734547072848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45113</v>
      </c>
      <c r="Q165">
        <f ca="1"/>
        <v>151.28675058539667</v>
      </c>
      <c r="R165">
        <f ca="1"/>
        <v>2.9462512055888599E-2</v>
      </c>
      <c r="S165">
        <f ca="1"/>
        <v>1.9755109335443981</v>
      </c>
      <c r="T165">
        <f ca="1"/>
        <v>0.22802083333333326</v>
      </c>
      <c r="U165">
        <f ca="1"/>
        <v>0</v>
      </c>
      <c r="V165">
        <f ca="1"/>
        <v>0.79163100895821203</v>
      </c>
      <c r="W165">
        <f ca="1"/>
        <v>0.724195774861772</v>
      </c>
      <c r="X165">
        <f ca="1"/>
        <v>0</v>
      </c>
      <c r="Y165">
        <f ca="1"/>
        <v>1</v>
      </c>
      <c r="Z165">
        <f ca="1"/>
        <v>0.33158622856269915</v>
      </c>
      <c r="AA165">
        <f ca="1"/>
        <v>0</v>
      </c>
      <c r="AB165">
        <f ca="1"/>
        <v>1.07397907340864E-2</v>
      </c>
      <c r="AD165" s="2">
        <f t="shared" ca="1" si="22"/>
        <v>45113</v>
      </c>
      <c r="AE165" s="46">
        <f t="shared" ca="1" si="23"/>
        <v>0</v>
      </c>
      <c r="AG165" s="72">
        <f t="shared" ca="1" si="27"/>
        <v>151.31621309745259</v>
      </c>
      <c r="AH165" s="72">
        <f t="shared" ca="1" si="28"/>
        <v>151.31621309745256</v>
      </c>
      <c r="AI165" s="3">
        <f t="shared" ca="1" si="29"/>
        <v>0</v>
      </c>
    </row>
    <row r="166" spans="7:35" x14ac:dyDescent="0.25">
      <c r="G166" s="3">
        <f t="shared" ca="1" si="24"/>
        <v>144</v>
      </c>
      <c r="H166" s="105">
        <f t="shared" ca="1" si="26"/>
        <v>45069</v>
      </c>
      <c r="I166" s="133">
        <f ca="1">HLOOKUP($H$4,'Met Data'!$A$2:$F$368,G166,FALSE)</f>
        <v>10.7416666666666</v>
      </c>
      <c r="J166" s="133">
        <f ca="1">HLOOKUP($H$4,'Met Data'!$H$2:$M$368,G166,FALSE)*L166</f>
        <v>2.8</v>
      </c>
      <c r="K166" s="106">
        <f ca="1">HLOOKUP($H$4,'Met Data'!$O$2:$T$368,G166,FALSE)</f>
        <v>0.94921082080766905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45114</v>
      </c>
      <c r="Q166">
        <f ca="1"/>
        <v>153.35876331676306</v>
      </c>
      <c r="R166">
        <f ca="1"/>
        <v>3.2413690139599202E-2</v>
      </c>
      <c r="S166">
        <f ca="1"/>
        <v>1.862968088172654</v>
      </c>
      <c r="T166">
        <f ca="1"/>
        <v>0.24145833333333325</v>
      </c>
      <c r="U166">
        <f ca="1"/>
        <v>0</v>
      </c>
      <c r="V166">
        <f ca="1"/>
        <v>0.82404469909781097</v>
      </c>
      <c r="W166">
        <f ca="1"/>
        <v>0.75384829880429405</v>
      </c>
      <c r="X166">
        <f ca="1"/>
        <v>0</v>
      </c>
      <c r="Y166">
        <f ca="1"/>
        <v>1</v>
      </c>
      <c r="Z166">
        <f ca="1"/>
        <v>3.7581479801069122</v>
      </c>
      <c r="AA166">
        <f ca="1"/>
        <v>0</v>
      </c>
      <c r="AB166">
        <f ca="1"/>
        <v>1.2190098765641399E-2</v>
      </c>
      <c r="AD166" s="2">
        <f t="shared" ca="1" si="22"/>
        <v>45114</v>
      </c>
      <c r="AE166" s="46">
        <f t="shared" ca="1" si="23"/>
        <v>0</v>
      </c>
      <c r="AG166" s="72">
        <f t="shared" ca="1" si="27"/>
        <v>153.39117700690267</v>
      </c>
      <c r="AH166" s="72">
        <f t="shared" ca="1" si="28"/>
        <v>153.39117700690267</v>
      </c>
      <c r="AI166" s="3">
        <f t="shared" ca="1" si="29"/>
        <v>0</v>
      </c>
    </row>
    <row r="167" spans="7:35" x14ac:dyDescent="0.25">
      <c r="G167" s="3">
        <f t="shared" ca="1" si="24"/>
        <v>145</v>
      </c>
      <c r="H167" s="105">
        <f t="shared" ca="1" si="26"/>
        <v>45070</v>
      </c>
      <c r="I167" s="133">
        <f ca="1">HLOOKUP($H$4,'Met Data'!$A$2:$F$368,G167,FALSE)</f>
        <v>10.983333333333301</v>
      </c>
      <c r="J167" s="133">
        <f ca="1">HLOOKUP($H$4,'Met Data'!$H$2:$M$368,G167,FALSE)*L167</f>
        <v>5.61666666666666</v>
      </c>
      <c r="K167" s="106">
        <f ca="1">HLOOKUP($H$4,'Met Data'!$O$2:$T$368,G167,FALSE)</f>
        <v>0.95593712910075901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45115</v>
      </c>
      <c r="Q167">
        <f ca="1"/>
        <v>154.99678348987919</v>
      </c>
      <c r="R167">
        <f ca="1"/>
        <v>2.9700593026095699E-2</v>
      </c>
      <c r="S167">
        <f ca="1"/>
        <v>1.4544915994755381</v>
      </c>
      <c r="T167">
        <f ca="1"/>
        <v>0.2132291666666665</v>
      </c>
      <c r="U167">
        <f ca="1"/>
        <v>0</v>
      </c>
      <c r="V167">
        <f ca="1"/>
        <v>0.85374529212390704</v>
      </c>
      <c r="W167">
        <f ca="1"/>
        <v>0.78101884131335197</v>
      </c>
      <c r="X167">
        <f ca="1"/>
        <v>0</v>
      </c>
      <c r="Y167">
        <f ca="1"/>
        <v>1</v>
      </c>
      <c r="Z167">
        <f ca="1"/>
        <v>2.6883956233886579</v>
      </c>
      <c r="AA167">
        <f ca="1"/>
        <v>0</v>
      </c>
      <c r="AB167">
        <f ca="1"/>
        <v>1.36306340721522E-2</v>
      </c>
      <c r="AD167" s="2">
        <f t="shared" ca="1" si="22"/>
        <v>45115</v>
      </c>
      <c r="AE167" s="46">
        <f t="shared" ca="1" si="23"/>
        <v>0</v>
      </c>
      <c r="AG167" s="72">
        <f t="shared" ca="1" si="27"/>
        <v>155.02648408290528</v>
      </c>
      <c r="AH167" s="72">
        <f t="shared" ca="1" si="28"/>
        <v>155.02648408290528</v>
      </c>
      <c r="AI167" s="3">
        <f t="shared" ca="1" si="29"/>
        <v>0</v>
      </c>
    </row>
    <row r="168" spans="7:35" x14ac:dyDescent="0.25">
      <c r="G168" s="3">
        <f t="shared" ca="1" si="24"/>
        <v>146</v>
      </c>
      <c r="H168" s="105">
        <f t="shared" ca="1" si="26"/>
        <v>45071</v>
      </c>
      <c r="I168" s="133">
        <f ca="1">HLOOKUP($H$4,'Met Data'!$A$2:$F$368,G168,FALSE)</f>
        <v>10.7666666666666</v>
      </c>
      <c r="J168" s="133">
        <f ca="1">HLOOKUP($H$4,'Met Data'!$H$2:$M$368,G168,FALSE)*L168</f>
        <v>3.1666666666666599</v>
      </c>
      <c r="K168" s="106">
        <f ca="1">HLOOKUP($H$4,'Met Data'!$O$2:$T$368,G168,FALSE)</f>
        <v>0.98597820560947502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45116</v>
      </c>
      <c r="Q168">
        <f ca="1"/>
        <v>156.42021335626299</v>
      </c>
      <c r="R168">
        <f ca="1"/>
        <v>2.93865736418326E-2</v>
      </c>
      <c r="S168">
        <f ca="1"/>
        <v>1.248858106692295</v>
      </c>
      <c r="T168">
        <f ca="1"/>
        <v>0.20395833333333324</v>
      </c>
      <c r="U168">
        <f ca="1"/>
        <v>0</v>
      </c>
      <c r="V168">
        <f ca="1"/>
        <v>0.88313186576573899</v>
      </c>
      <c r="W168">
        <f ca="1"/>
        <v>0.80790211423754699</v>
      </c>
      <c r="X168">
        <f ca="1"/>
        <v>0</v>
      </c>
      <c r="Y168">
        <f ca="1"/>
        <v>1</v>
      </c>
      <c r="Z168">
        <f ca="1"/>
        <v>3.2930759313261291</v>
      </c>
      <c r="AA168">
        <f ca="1"/>
        <v>0</v>
      </c>
      <c r="AB168">
        <f ca="1"/>
        <v>1.51651217586213E-2</v>
      </c>
      <c r="AD168" s="2">
        <f t="shared" ca="1" si="22"/>
        <v>45116</v>
      </c>
      <c r="AE168" s="46">
        <f t="shared" ca="1" si="23"/>
        <v>0</v>
      </c>
      <c r="AG168" s="72">
        <f t="shared" ca="1" si="27"/>
        <v>156.44959992990482</v>
      </c>
      <c r="AH168" s="72">
        <f t="shared" ca="1" si="28"/>
        <v>156.44959992990482</v>
      </c>
      <c r="AI168" s="3">
        <f t="shared" ca="1" si="29"/>
        <v>0</v>
      </c>
    </row>
    <row r="169" spans="7:35" x14ac:dyDescent="0.25">
      <c r="G169" s="3">
        <f t="shared" ca="1" si="24"/>
        <v>147</v>
      </c>
      <c r="H169" s="105">
        <f t="shared" ca="1" si="26"/>
        <v>45072</v>
      </c>
      <c r="I169" s="133">
        <f ca="1">HLOOKUP($H$4,'Met Data'!$A$2:$F$368,G169,FALSE)</f>
        <v>11.1833333333333</v>
      </c>
      <c r="J169" s="133">
        <f ca="1">HLOOKUP($H$4,'Met Data'!$H$2:$M$368,G169,FALSE)*L169</f>
        <v>6.1499999999999897</v>
      </c>
      <c r="K169" s="106">
        <f ca="1">HLOOKUP($H$4,'Met Data'!$O$2:$T$368,G169,FALSE)</f>
        <v>1.02530679052105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45117</v>
      </c>
      <c r="Q169">
        <f ca="1"/>
        <v>157.73366894895312</v>
      </c>
      <c r="R169">
        <f ca="1"/>
        <v>3.0688580788173599E-2</v>
      </c>
      <c r="S169">
        <f ca="1"/>
        <v>1.1381025068116453</v>
      </c>
      <c r="T169">
        <f ca="1"/>
        <v>0.20604166666666651</v>
      </c>
      <c r="U169">
        <f ca="1"/>
        <v>0</v>
      </c>
      <c r="V169">
        <f ca="1"/>
        <v>0.91382044655391304</v>
      </c>
      <c r="W169">
        <f ca="1"/>
        <v>0.835976482588209</v>
      </c>
      <c r="X169">
        <f ca="1"/>
        <v>0</v>
      </c>
      <c r="Y169">
        <f ca="1"/>
        <v>1</v>
      </c>
      <c r="Z169">
        <f ca="1"/>
        <v>1.2019962137112117</v>
      </c>
      <c r="AA169">
        <f ca="1"/>
        <v>0</v>
      </c>
      <c r="AB169">
        <f ca="1"/>
        <v>1.6887747614456501E-2</v>
      </c>
      <c r="AD169" s="2">
        <f t="shared" ca="1" si="22"/>
        <v>45117</v>
      </c>
      <c r="AE169" s="46">
        <f t="shared" ca="1" si="23"/>
        <v>0</v>
      </c>
      <c r="AG169" s="72">
        <f t="shared" ca="1" si="27"/>
        <v>157.76435752974129</v>
      </c>
      <c r="AH169" s="72">
        <f t="shared" ca="1" si="28"/>
        <v>157.76435752974129</v>
      </c>
      <c r="AI169" s="3">
        <f t="shared" ca="1" si="29"/>
        <v>0</v>
      </c>
    </row>
    <row r="170" spans="7:35" x14ac:dyDescent="0.25">
      <c r="G170" s="3">
        <f t="shared" ca="1" si="24"/>
        <v>148</v>
      </c>
      <c r="H170" s="105">
        <f t="shared" ca="1" si="26"/>
        <v>45073</v>
      </c>
      <c r="I170" s="133">
        <f ca="1">HLOOKUP($H$4,'Met Data'!$A$2:$F$368,G170,FALSE)</f>
        <v>10.566666666666601</v>
      </c>
      <c r="J170" s="133">
        <f ca="1">HLOOKUP($H$4,'Met Data'!$H$2:$M$368,G170,FALSE)*L170</f>
        <v>2.7666666666666599</v>
      </c>
      <c r="K170" s="106">
        <f ca="1">HLOOKUP($H$4,'Met Data'!$O$2:$T$368,G170,FALSE)</f>
        <v>1.05508542906727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45118</v>
      </c>
      <c r="Q170">
        <f ca="1"/>
        <v>158.90321001556944</v>
      </c>
      <c r="R170">
        <f ca="1"/>
        <v>3.0912669960701401E-2</v>
      </c>
      <c r="S170">
        <f ca="1"/>
        <v>0.99962040324368739</v>
      </c>
      <c r="T170">
        <f ca="1"/>
        <v>0.20083333333333325</v>
      </c>
      <c r="U170">
        <f ca="1"/>
        <v>0</v>
      </c>
      <c r="V170">
        <f ca="1"/>
        <v>0.944733116514614</v>
      </c>
      <c r="W170">
        <f ca="1"/>
        <v>0.86425585103374003</v>
      </c>
      <c r="X170">
        <f ca="1"/>
        <v>0</v>
      </c>
      <c r="Y170">
        <f ca="1"/>
        <v>1</v>
      </c>
      <c r="Z170">
        <f ca="1"/>
        <v>3.6156918390833681</v>
      </c>
      <c r="AA170">
        <f ca="1"/>
        <v>0</v>
      </c>
      <c r="AB170">
        <f ca="1"/>
        <v>1.8751389670323599E-2</v>
      </c>
      <c r="AD170" s="2">
        <f t="shared" ca="1" si="22"/>
        <v>45118</v>
      </c>
      <c r="AE170" s="46">
        <f t="shared" ca="1" si="23"/>
        <v>0</v>
      </c>
      <c r="AG170" s="72">
        <f t="shared" ca="1" si="27"/>
        <v>158.93412268553013</v>
      </c>
      <c r="AH170" s="72">
        <f t="shared" ca="1" si="28"/>
        <v>158.93412268553016</v>
      </c>
      <c r="AI170" s="3">
        <f t="shared" ca="1" si="29"/>
        <v>0</v>
      </c>
    </row>
    <row r="171" spans="7:35" x14ac:dyDescent="0.25">
      <c r="G171" s="3">
        <f t="shared" ca="1" si="24"/>
        <v>149</v>
      </c>
      <c r="H171" s="105">
        <f t="shared" ca="1" si="26"/>
        <v>45074</v>
      </c>
      <c r="I171" s="133">
        <f ca="1">HLOOKUP($H$4,'Met Data'!$A$2:$F$368,G171,FALSE)</f>
        <v>10.283333333333299</v>
      </c>
      <c r="J171" s="133">
        <f ca="1">HLOOKUP($H$4,'Met Data'!$H$2:$M$368,G171,FALSE)*L171</f>
        <v>2.7333333333333298</v>
      </c>
      <c r="K171" s="106">
        <f ca="1">HLOOKUP($H$4,'Met Data'!$O$2:$T$368,G171,FALSE)</f>
        <v>0.96273544691676505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45119</v>
      </c>
      <c r="Q171">
        <f ca="1"/>
        <v>160.02039087532</v>
      </c>
      <c r="R171">
        <f ca="1"/>
        <v>3.3295007664372302E-2</v>
      </c>
      <c r="S171">
        <f ca="1"/>
        <v>0.94120503408160328</v>
      </c>
      <c r="T171">
        <f ca="1"/>
        <v>0.20927083333333327</v>
      </c>
      <c r="U171">
        <f ca="1"/>
        <v>0</v>
      </c>
      <c r="V171">
        <f ca="1"/>
        <v>0.97802812417898699</v>
      </c>
      <c r="W171">
        <f ca="1"/>
        <v>0.89471461730447999</v>
      </c>
      <c r="X171">
        <f ca="1"/>
        <v>0</v>
      </c>
      <c r="Y171">
        <f ca="1"/>
        <v>1</v>
      </c>
      <c r="Z171">
        <f ca="1"/>
        <v>0.61274046019862283</v>
      </c>
      <c r="AA171">
        <f ca="1"/>
        <v>0</v>
      </c>
      <c r="AB171">
        <f ca="1"/>
        <v>2.0907800944382899E-2</v>
      </c>
      <c r="AD171" s="2">
        <f t="shared" ca="1" si="22"/>
        <v>45119</v>
      </c>
      <c r="AE171" s="46">
        <f t="shared" ca="1" si="23"/>
        <v>0</v>
      </c>
      <c r="AG171" s="72">
        <f t="shared" ca="1" si="27"/>
        <v>160.05368588298438</v>
      </c>
      <c r="AH171" s="72">
        <f t="shared" ca="1" si="28"/>
        <v>160.05368588298438</v>
      </c>
      <c r="AI171" s="3">
        <f t="shared" ca="1" si="29"/>
        <v>0</v>
      </c>
    </row>
    <row r="172" spans="7:35" x14ac:dyDescent="0.25">
      <c r="G172" s="3">
        <f t="shared" ca="1" si="24"/>
        <v>150</v>
      </c>
      <c r="H172" s="105">
        <f t="shared" ca="1" si="26"/>
        <v>45075</v>
      </c>
      <c r="I172" s="133">
        <f ca="1">HLOOKUP($H$4,'Met Data'!$A$2:$F$368,G172,FALSE)</f>
        <v>10.8</v>
      </c>
      <c r="J172" s="133">
        <f ca="1">HLOOKUP($H$4,'Met Data'!$H$2:$M$368,G172,FALSE)*L172</f>
        <v>3.2333333333333298</v>
      </c>
      <c r="K172" s="106">
        <f ca="1">HLOOKUP($H$4,'Met Data'!$O$2:$T$368,G172,FALSE)</f>
        <v>1.08816831727148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45120</v>
      </c>
      <c r="Q172">
        <f ca="1"/>
        <v>161.00783841512427</v>
      </c>
      <c r="R172">
        <f ca="1"/>
        <v>3.3269034522221498E-2</v>
      </c>
      <c r="S172">
        <f ca="1"/>
        <v>0.8184249076598018</v>
      </c>
      <c r="T172">
        <f ca="1"/>
        <v>0.20229166666666651</v>
      </c>
      <c r="U172">
        <f ca="1"/>
        <v>0</v>
      </c>
      <c r="V172">
        <f ca="1"/>
        <v>1.0112971587012101</v>
      </c>
      <c r="W172">
        <f ca="1"/>
        <v>0.92514962295999403</v>
      </c>
      <c r="X172">
        <f ca="1"/>
        <v>0</v>
      </c>
      <c r="Y172">
        <f ca="1"/>
        <v>1</v>
      </c>
      <c r="Z172">
        <f ca="1"/>
        <v>4.1917463374071389</v>
      </c>
      <c r="AA172">
        <f ca="1"/>
        <v>0</v>
      </c>
      <c r="AB172">
        <f ca="1"/>
        <v>2.3222151370141501E-2</v>
      </c>
      <c r="AD172" s="2">
        <f t="shared" ca="1" si="22"/>
        <v>45120</v>
      </c>
      <c r="AE172" s="46">
        <f t="shared" ca="1" si="23"/>
        <v>0</v>
      </c>
      <c r="AG172" s="72">
        <f t="shared" ca="1" si="27"/>
        <v>161.04110744964646</v>
      </c>
      <c r="AH172" s="72">
        <f t="shared" ca="1" si="28"/>
        <v>161.04110744964649</v>
      </c>
      <c r="AI172" s="3">
        <f t="shared" ca="1" si="29"/>
        <v>0</v>
      </c>
    </row>
    <row r="173" spans="7:35" x14ac:dyDescent="0.25">
      <c r="G173" s="3">
        <f t="shared" ca="1" si="24"/>
        <v>151</v>
      </c>
      <c r="H173" s="105">
        <f t="shared" ca="1" si="26"/>
        <v>45076</v>
      </c>
      <c r="I173" s="133">
        <f ca="1">HLOOKUP($H$4,'Met Data'!$A$2:$F$368,G173,FALSE)</f>
        <v>9.6624999999999996</v>
      </c>
      <c r="J173" s="133">
        <f ca="1">HLOOKUP($H$4,'Met Data'!$H$2:$M$368,G173,FALSE)*L173</f>
        <v>1.88333333333333</v>
      </c>
      <c r="K173" s="106">
        <f ca="1">HLOOKUP($H$4,'Met Data'!$O$2:$T$368,G173,FALSE)</f>
        <v>1.0187040175234601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45121</v>
      </c>
      <c r="Q173">
        <f ca="1"/>
        <v>161.89499921190628</v>
      </c>
      <c r="R173">
        <f ca="1"/>
        <v>3.36090117283767E-2</v>
      </c>
      <c r="S173">
        <f ca="1"/>
        <v>0.72287918351039449</v>
      </c>
      <c r="T173">
        <f ca="1"/>
        <v>0.19789062500000001</v>
      </c>
      <c r="U173">
        <f ca="1"/>
        <v>0</v>
      </c>
      <c r="V173">
        <f ca="1"/>
        <v>1.0449061704295901</v>
      </c>
      <c r="W173">
        <f ca="1"/>
        <v>0.95589564480039801</v>
      </c>
      <c r="X173">
        <f ca="1"/>
        <v>0</v>
      </c>
      <c r="Y173">
        <f ca="1"/>
        <v>1</v>
      </c>
      <c r="Z173">
        <f ca="1"/>
        <v>3.3641613895058953</v>
      </c>
      <c r="AA173">
        <f ca="1"/>
        <v>0</v>
      </c>
      <c r="AB173">
        <f ca="1"/>
        <v>2.57273319310065E-2</v>
      </c>
      <c r="AD173" s="2">
        <f t="shared" ca="1" si="22"/>
        <v>45121</v>
      </c>
      <c r="AE173" s="46">
        <f t="shared" ca="1" si="23"/>
        <v>0</v>
      </c>
      <c r="AG173" s="72">
        <f t="shared" ca="1" si="27"/>
        <v>161.92860822363468</v>
      </c>
      <c r="AH173" s="72">
        <f t="shared" ca="1" si="28"/>
        <v>161.92860822363465</v>
      </c>
      <c r="AI173" s="3">
        <f t="shared" ca="1" si="29"/>
        <v>0</v>
      </c>
    </row>
    <row r="174" spans="7:35" x14ac:dyDescent="0.25">
      <c r="G174" s="3">
        <f t="shared" ca="1" si="24"/>
        <v>152</v>
      </c>
      <c r="H174" s="105">
        <f t="shared" ca="1" si="26"/>
        <v>45077</v>
      </c>
      <c r="I174" s="133">
        <f ca="1">HLOOKUP($H$4,'Met Data'!$A$2:$F$368,G174,FALSE)</f>
        <v>9.7166666666666597</v>
      </c>
      <c r="J174" s="133">
        <f ca="1">HLOOKUP($H$4,'Met Data'!$H$2:$M$368,G174,FALSE)*L174</f>
        <v>4.7</v>
      </c>
      <c r="K174" s="106">
        <f ca="1">HLOOKUP($H$4,'Met Data'!$O$2:$T$368,G174,FALSE)</f>
        <v>1.10197006718848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45122</v>
      </c>
      <c r="Q174">
        <f ca="1"/>
        <v>162.80976502312095</v>
      </c>
      <c r="R174">
        <f ca="1"/>
        <v>3.8902220344320101E-2</v>
      </c>
      <c r="S174">
        <f ca="1"/>
        <v>0.73219075883171225</v>
      </c>
      <c r="T174">
        <f ca="1"/>
        <v>0.22147727272727274</v>
      </c>
      <c r="U174">
        <f ca="1"/>
        <v>0</v>
      </c>
      <c r="V174">
        <f ca="1"/>
        <v>1.08380839077391</v>
      </c>
      <c r="W174">
        <f ca="1"/>
        <v>0.99148397230057195</v>
      </c>
      <c r="X174">
        <f ca="1"/>
        <v>0</v>
      </c>
      <c r="Y174">
        <f ca="1"/>
        <v>1</v>
      </c>
      <c r="Z174">
        <f ca="1"/>
        <v>1.088443044621485</v>
      </c>
      <c r="AA174">
        <f ca="1"/>
        <v>0</v>
      </c>
      <c r="AB174">
        <f ca="1"/>
        <v>2.8843439168080399E-2</v>
      </c>
      <c r="AD174" s="2">
        <f t="shared" ca="1" si="22"/>
        <v>45122</v>
      </c>
      <c r="AE174" s="46">
        <f t="shared" ca="1" si="23"/>
        <v>0</v>
      </c>
      <c r="AG174" s="72">
        <f t="shared" ca="1" si="27"/>
        <v>162.84866724346526</v>
      </c>
      <c r="AH174" s="72">
        <f t="shared" ca="1" si="28"/>
        <v>162.84866724346526</v>
      </c>
      <c r="AI174" s="3">
        <f t="shared" ca="1" si="29"/>
        <v>0</v>
      </c>
    </row>
    <row r="175" spans="7:35" x14ac:dyDescent="0.25">
      <c r="G175" s="3">
        <f t="shared" ca="1" si="24"/>
        <v>153</v>
      </c>
      <c r="H175" s="105">
        <f t="shared" ca="1" si="26"/>
        <v>45078</v>
      </c>
      <c r="I175" s="133">
        <f ca="1">HLOOKUP($H$4,'Met Data'!$A$2:$F$368,G175,FALSE)</f>
        <v>10.004166666666601</v>
      </c>
      <c r="J175" s="133">
        <f ca="1">HLOOKUP($H$4,'Met Data'!$H$2:$M$368,G175,FALSE)*L175</f>
        <v>2.5</v>
      </c>
      <c r="K175" s="106">
        <f ca="1">HLOOKUP($H$4,'Met Data'!$O$2:$T$368,G175,FALSE)</f>
        <v>1.1690097853574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45123</v>
      </c>
      <c r="Q175">
        <f ca="1"/>
        <v>163.64528813932048</v>
      </c>
      <c r="R175">
        <f ca="1"/>
        <v>4.0306381415998099E-2</v>
      </c>
      <c r="S175">
        <f ca="1"/>
        <v>0.65435222488827549</v>
      </c>
      <c r="T175">
        <f ca="1"/>
        <v>0.22147727272727274</v>
      </c>
      <c r="U175">
        <f ca="1"/>
        <v>0</v>
      </c>
      <c r="V175">
        <f ca="1"/>
        <v>1.1241147721899001</v>
      </c>
      <c r="W175">
        <f ca="1"/>
        <v>1.0283568471515001</v>
      </c>
      <c r="X175">
        <f ca="1"/>
        <v>0</v>
      </c>
      <c r="Y175">
        <f ca="1"/>
        <v>1</v>
      </c>
      <c r="Z175">
        <f ca="1"/>
        <v>5.2786433565918003</v>
      </c>
      <c r="AA175">
        <f ca="1"/>
        <v>0</v>
      </c>
      <c r="AB175">
        <f ca="1"/>
        <v>3.2324448662949798E-2</v>
      </c>
      <c r="AD175" s="2">
        <f t="shared" ca="1" si="22"/>
        <v>45123</v>
      </c>
      <c r="AE175" s="46">
        <f t="shared" ca="1" si="23"/>
        <v>0</v>
      </c>
      <c r="AG175" s="72">
        <f t="shared" ca="1" si="27"/>
        <v>163.68559452073649</v>
      </c>
      <c r="AH175" s="72">
        <f t="shared" ca="1" si="28"/>
        <v>163.68559452073649</v>
      </c>
      <c r="AI175" s="3">
        <f t="shared" ca="1" si="29"/>
        <v>0</v>
      </c>
    </row>
    <row r="176" spans="7:35" x14ac:dyDescent="0.25">
      <c r="G176" s="3">
        <f t="shared" ca="1" si="24"/>
        <v>154</v>
      </c>
      <c r="H176" s="105">
        <f t="shared" ca="1" si="26"/>
        <v>45079</v>
      </c>
      <c r="I176" s="133">
        <f ca="1">HLOOKUP($H$4,'Met Data'!$A$2:$F$368,G176,FALSE)</f>
        <v>9.99583333333333</v>
      </c>
      <c r="J176" s="133">
        <f ca="1">HLOOKUP($H$4,'Met Data'!$H$2:$M$368,G176,FALSE)*L176</f>
        <v>2.7833333333333301</v>
      </c>
      <c r="K176" s="106">
        <f ca="1">HLOOKUP($H$4,'Met Data'!$O$2:$T$368,G176,FALSE)</f>
        <v>1.0280895768516001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45124</v>
      </c>
      <c r="Q176">
        <f ca="1"/>
        <v>164.47288306286342</v>
      </c>
      <c r="R176">
        <f ca="1"/>
        <v>4.5273760257237498E-2</v>
      </c>
      <c r="S176">
        <f ca="1"/>
        <v>0.6330959565274451</v>
      </c>
      <c r="T176">
        <f ca="1"/>
        <v>0.23977272727272728</v>
      </c>
      <c r="U176">
        <f ca="1"/>
        <v>0</v>
      </c>
      <c r="V176">
        <f ca="1"/>
        <v>1.16938853244714</v>
      </c>
      <c r="W176">
        <f ca="1"/>
        <v>1.0697739537572</v>
      </c>
      <c r="X176">
        <f ca="1"/>
        <v>0</v>
      </c>
      <c r="Y176">
        <f ca="1"/>
        <v>1</v>
      </c>
      <c r="Z176">
        <f ca="1"/>
        <v>3.6552511547499762</v>
      </c>
      <c r="AA176">
        <f ca="1"/>
        <v>0</v>
      </c>
      <c r="AB176">
        <f ca="1"/>
        <v>3.6550263451982201E-2</v>
      </c>
      <c r="AD176" s="2">
        <f t="shared" ca="1" si="22"/>
        <v>45124</v>
      </c>
      <c r="AE176" s="46">
        <f t="shared" ca="1" si="23"/>
        <v>0</v>
      </c>
      <c r="AG176" s="72">
        <f t="shared" ca="1" si="27"/>
        <v>164.51815682312068</v>
      </c>
      <c r="AH176" s="72">
        <f t="shared" ca="1" si="28"/>
        <v>164.51815682312065</v>
      </c>
      <c r="AI176" s="3">
        <f t="shared" ca="1" si="29"/>
        <v>0</v>
      </c>
    </row>
    <row r="177" spans="7:35" x14ac:dyDescent="0.25">
      <c r="G177" s="3">
        <f t="shared" ca="1" si="24"/>
        <v>155</v>
      </c>
      <c r="H177" s="105">
        <f t="shared" ca="1" si="26"/>
        <v>45080</v>
      </c>
      <c r="I177" s="133">
        <f ca="1">HLOOKUP($H$4,'Met Data'!$A$2:$F$368,G177,FALSE)</f>
        <v>9.8999999999999897</v>
      </c>
      <c r="J177" s="133">
        <f ca="1">HLOOKUP($H$4,'Met Data'!$H$2:$M$368,G177,FALSE)*L177</f>
        <v>1.7833333333333301</v>
      </c>
      <c r="K177" s="106">
        <f ca="1">HLOOKUP($H$4,'Met Data'!$O$2:$T$368,G177,FALSE)</f>
        <v>0.97110296937720297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45125</v>
      </c>
      <c r="Q177">
        <f ca="1"/>
        <v>165.1673557634526</v>
      </c>
      <c r="R177">
        <f ca="1"/>
        <v>4.3313988332272797E-2</v>
      </c>
      <c r="S177">
        <f ca="1"/>
        <v>0.51666168892145448</v>
      </c>
      <c r="T177">
        <f ca="1"/>
        <v>0.22112500000000002</v>
      </c>
      <c r="U177">
        <f ca="1"/>
        <v>0</v>
      </c>
      <c r="V177">
        <f ca="1"/>
        <v>1.21270252077941</v>
      </c>
      <c r="W177">
        <f ca="1"/>
        <v>1.1093982319722799</v>
      </c>
      <c r="X177">
        <f ca="1"/>
        <v>0</v>
      </c>
      <c r="Y177">
        <f ca="1"/>
        <v>1</v>
      </c>
      <c r="Z177">
        <f ca="1"/>
        <v>7.5981289381800821E-2</v>
      </c>
      <c r="AA177">
        <f ca="1"/>
        <v>0</v>
      </c>
      <c r="AB177">
        <f ca="1"/>
        <v>4.0914852560435103E-2</v>
      </c>
      <c r="AD177" s="2">
        <f t="shared" ca="1" si="22"/>
        <v>45125</v>
      </c>
      <c r="AE177" s="46">
        <f t="shared" ca="1" si="23"/>
        <v>0</v>
      </c>
      <c r="AG177" s="72">
        <f t="shared" ca="1" si="27"/>
        <v>165.21066975178488</v>
      </c>
      <c r="AH177" s="72">
        <f t="shared" ca="1" si="28"/>
        <v>165.21066975178488</v>
      </c>
      <c r="AI177" s="3">
        <f t="shared" ca="1" si="29"/>
        <v>0</v>
      </c>
    </row>
    <row r="178" spans="7:35" x14ac:dyDescent="0.25">
      <c r="G178" s="3">
        <f t="shared" ca="1" si="24"/>
        <v>156</v>
      </c>
      <c r="H178" s="105">
        <f t="shared" ca="1" si="26"/>
        <v>45081</v>
      </c>
      <c r="I178" s="133">
        <f ca="1">HLOOKUP($H$4,'Met Data'!$A$2:$F$368,G178,FALSE)</f>
        <v>10.95</v>
      </c>
      <c r="J178" s="133">
        <f ca="1">HLOOKUP($H$4,'Met Data'!$H$2:$M$368,G178,FALSE)*L178</f>
        <v>2.44999999999999</v>
      </c>
      <c r="K178" s="106">
        <f ca="1">HLOOKUP($H$4,'Met Data'!$O$2:$T$368,G178,FALSE)</f>
        <v>0.960770877493487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45126</v>
      </c>
      <c r="Q178">
        <f ca="1"/>
        <v>165.81600787870678</v>
      </c>
      <c r="R178">
        <f ca="1"/>
        <v>4.5620662607889897E-2</v>
      </c>
      <c r="S178">
        <f ca="1"/>
        <v>0.46948111119541935</v>
      </c>
      <c r="T178">
        <f ca="1"/>
        <v>0.2247916666666665</v>
      </c>
      <c r="U178">
        <f ca="1"/>
        <v>0</v>
      </c>
      <c r="V178">
        <f ca="1"/>
        <v>1.2583231833873001</v>
      </c>
      <c r="W178">
        <f ca="1"/>
        <v>1.15113268998764</v>
      </c>
      <c r="X178">
        <f ca="1"/>
        <v>0</v>
      </c>
      <c r="Y178">
        <f ca="1"/>
        <v>1</v>
      </c>
      <c r="Z178">
        <f ca="1"/>
        <v>0.18825470529201027</v>
      </c>
      <c r="AA178">
        <f ca="1"/>
        <v>0</v>
      </c>
      <c r="AB178">
        <f ca="1"/>
        <v>4.5860937514148499E-2</v>
      </c>
      <c r="AD178" s="2">
        <f t="shared" ca="1" si="22"/>
        <v>45126</v>
      </c>
      <c r="AE178" s="46">
        <f t="shared" ca="1" si="23"/>
        <v>0</v>
      </c>
      <c r="AG178" s="72">
        <f t="shared" ca="1" si="27"/>
        <v>165.8616285413147</v>
      </c>
      <c r="AH178" s="72">
        <f t="shared" ca="1" si="28"/>
        <v>165.86162854131467</v>
      </c>
      <c r="AI178" s="3">
        <f t="shared" ca="1" si="29"/>
        <v>0</v>
      </c>
    </row>
    <row r="179" spans="7:35" x14ac:dyDescent="0.25">
      <c r="G179" s="3">
        <f t="shared" ca="1" si="24"/>
        <v>157</v>
      </c>
      <c r="H179" s="105">
        <f t="shared" ca="1" si="26"/>
        <v>45082</v>
      </c>
      <c r="I179" s="133">
        <f ca="1">HLOOKUP($H$4,'Met Data'!$A$2:$F$368,G179,FALSE)</f>
        <v>10.6875</v>
      </c>
      <c r="J179" s="133">
        <f ca="1">HLOOKUP($H$4,'Met Data'!$H$2:$M$368,G179,FALSE)*L179</f>
        <v>4.1333333333333302</v>
      </c>
      <c r="K179" s="106">
        <f ca="1">HLOOKUP($H$4,'Met Data'!$O$2:$T$368,G179,FALSE)</f>
        <v>0.84332690198160198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45127</v>
      </c>
      <c r="Q179">
        <f ca="1"/>
        <v>166.4460106869285</v>
      </c>
      <c r="R179">
        <f ca="1"/>
        <v>4.99990205077223E-2</v>
      </c>
      <c r="S179">
        <f ca="1"/>
        <v>0.44250182872944838</v>
      </c>
      <c r="T179">
        <f ca="1"/>
        <v>0.23750000000000002</v>
      </c>
      <c r="U179">
        <f ca="1"/>
        <v>0</v>
      </c>
      <c r="V179">
        <f ca="1"/>
        <v>1.30832220389503</v>
      </c>
      <c r="W179">
        <f ca="1"/>
        <v>1.1968725346743401</v>
      </c>
      <c r="X179">
        <f ca="1"/>
        <v>0</v>
      </c>
      <c r="Y179">
        <f ca="1"/>
        <v>1</v>
      </c>
      <c r="Z179">
        <f ca="1"/>
        <v>1.8033013448346225</v>
      </c>
      <c r="AA179">
        <f ca="1"/>
        <v>0</v>
      </c>
      <c r="AB179">
        <f ca="1"/>
        <v>5.1702569332230601E-2</v>
      </c>
      <c r="AD179" s="2">
        <f t="shared" ca="1" si="22"/>
        <v>45127</v>
      </c>
      <c r="AE179" s="46">
        <f t="shared" ca="1" si="23"/>
        <v>0</v>
      </c>
      <c r="AG179" s="72">
        <f t="shared" ca="1" si="27"/>
        <v>166.49600970743626</v>
      </c>
      <c r="AH179" s="72">
        <f t="shared" ca="1" si="28"/>
        <v>166.49600970743623</v>
      </c>
      <c r="AI179" s="3">
        <f t="shared" ca="1" si="29"/>
        <v>0</v>
      </c>
    </row>
    <row r="180" spans="7:35" x14ac:dyDescent="0.25">
      <c r="G180" s="3">
        <f t="shared" ca="1" si="24"/>
        <v>158</v>
      </c>
      <c r="H180" s="105">
        <f t="shared" ca="1" si="26"/>
        <v>45083</v>
      </c>
      <c r="I180" s="133">
        <f ca="1">HLOOKUP($H$4,'Met Data'!$A$2:$F$368,G180,FALSE)</f>
        <v>10.5625</v>
      </c>
      <c r="J180" s="133">
        <f ca="1">HLOOKUP($H$4,'Met Data'!$H$2:$M$368,G180,FALSE)*L180</f>
        <v>5.3</v>
      </c>
      <c r="K180" s="106">
        <f ca="1">HLOOKUP($H$4,'Met Data'!$O$2:$T$368,G180,FALSE)</f>
        <v>0.93242759876210701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45128</v>
      </c>
      <c r="Q180">
        <f ca="1"/>
        <v>167.04388802893476</v>
      </c>
      <c r="R180">
        <f ca="1"/>
        <v>5.3768984221877397E-2</v>
      </c>
      <c r="S180">
        <f ca="1"/>
        <v>0.40581299289479261</v>
      </c>
      <c r="T180">
        <f ca="1"/>
        <v>0.24583333333333326</v>
      </c>
      <c r="U180">
        <f ca="1"/>
        <v>0</v>
      </c>
      <c r="V180">
        <f ca="1"/>
        <v>1.3620911881169</v>
      </c>
      <c r="W180">
        <f ca="1"/>
        <v>1.24606119801806</v>
      </c>
      <c r="X180">
        <f ca="1"/>
        <v>0</v>
      </c>
      <c r="Y180">
        <f ca="1"/>
        <v>1</v>
      </c>
      <c r="Z180">
        <f ca="1"/>
        <v>2.5517938138543172</v>
      </c>
      <c r="AA180">
        <f ca="1"/>
        <v>0</v>
      </c>
      <c r="AB180">
        <f ca="1"/>
        <v>5.8485909402098399E-2</v>
      </c>
      <c r="AD180" s="2">
        <f t="shared" ca="1" si="22"/>
        <v>45128</v>
      </c>
      <c r="AE180" s="46">
        <f t="shared" ca="1" si="23"/>
        <v>0</v>
      </c>
      <c r="AG180" s="72">
        <f t="shared" ca="1" si="27"/>
        <v>167.09765701315663</v>
      </c>
      <c r="AH180" s="72">
        <f t="shared" ca="1" si="28"/>
        <v>167.09765701315663</v>
      </c>
      <c r="AI180" s="3">
        <f t="shared" ca="1" si="29"/>
        <v>0</v>
      </c>
    </row>
    <row r="181" spans="7:35" x14ac:dyDescent="0.25">
      <c r="G181" s="3">
        <f t="shared" ca="1" si="24"/>
        <v>159</v>
      </c>
      <c r="H181" s="105">
        <f t="shared" ca="1" si="26"/>
        <v>45084</v>
      </c>
      <c r="I181" s="133">
        <f ca="1">HLOOKUP($H$4,'Met Data'!$A$2:$F$368,G181,FALSE)</f>
        <v>10.4625</v>
      </c>
      <c r="J181" s="133">
        <f ca="1">HLOOKUP($H$4,'Met Data'!$H$2:$M$368,G181,FALSE)*L181</f>
        <v>2.44999999999999</v>
      </c>
      <c r="K181" s="106">
        <f ca="1">HLOOKUP($H$4,'Met Data'!$O$2:$T$368,G181,FALSE)</f>
        <v>0.99912564942381998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45129</v>
      </c>
      <c r="Q181">
        <f ca="1"/>
        <v>167.60264412516676</v>
      </c>
      <c r="R181">
        <f ca="1"/>
        <v>5.7028338560855901E-2</v>
      </c>
      <c r="S181">
        <f ca="1"/>
        <v>0.36505526812619649</v>
      </c>
      <c r="T181">
        <f ca="1"/>
        <v>0.250729166666665</v>
      </c>
      <c r="U181">
        <f ca="1"/>
        <v>0</v>
      </c>
      <c r="V181">
        <f ca="1"/>
        <v>1.4191195266777601</v>
      </c>
      <c r="W181">
        <f ca="1"/>
        <v>1.2982315669978</v>
      </c>
      <c r="X181">
        <f ca="1"/>
        <v>0</v>
      </c>
      <c r="Y181">
        <f ca="1"/>
        <v>1</v>
      </c>
      <c r="Z181">
        <f ca="1"/>
        <v>3.6062059559820057</v>
      </c>
      <c r="AA181">
        <f ca="1"/>
        <v>0</v>
      </c>
      <c r="AB181">
        <f ca="1"/>
        <v>6.6257743856139903E-2</v>
      </c>
      <c r="AD181" s="2">
        <f t="shared" ca="1" si="22"/>
        <v>45129</v>
      </c>
      <c r="AE181" s="46">
        <f t="shared" ca="1" si="23"/>
        <v>0</v>
      </c>
      <c r="AG181" s="72">
        <f t="shared" ca="1" si="27"/>
        <v>167.65967246372762</v>
      </c>
      <c r="AH181" s="72">
        <f t="shared" ca="1" si="28"/>
        <v>167.65967246372762</v>
      </c>
      <c r="AI181" s="3">
        <f t="shared" ca="1" si="29"/>
        <v>0</v>
      </c>
    </row>
    <row r="182" spans="7:35" x14ac:dyDescent="0.25">
      <c r="G182" s="3">
        <f t="shared" ca="1" si="24"/>
        <v>160</v>
      </c>
      <c r="H182" s="105">
        <f t="shared" ca="1" si="26"/>
        <v>45085</v>
      </c>
      <c r="I182" s="133">
        <f ca="1">HLOOKUP($H$4,'Met Data'!$A$2:$F$368,G182,FALSE)</f>
        <v>9.5875000000000004</v>
      </c>
      <c r="J182" s="133">
        <f ca="1">HLOOKUP($H$4,'Met Data'!$H$2:$M$368,G182,FALSE)*L182</f>
        <v>1.7333333333333301</v>
      </c>
      <c r="K182" s="106">
        <f ca="1">HLOOKUP($H$4,'Met Data'!$O$2:$T$368,G182,FALSE)</f>
        <v>1.0839051549829499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45130</v>
      </c>
      <c r="Q182">
        <f ca="1"/>
        <v>168.08436580421491</v>
      </c>
      <c r="R182">
        <f ca="1"/>
        <v>5.5679557040565701E-2</v>
      </c>
      <c r="S182">
        <f ca="1"/>
        <v>0.30177623608870463</v>
      </c>
      <c r="T182">
        <f ca="1"/>
        <v>0.235625</v>
      </c>
      <c r="U182">
        <f ca="1"/>
        <v>0</v>
      </c>
      <c r="V182">
        <f ca="1"/>
        <v>1.47479908371832</v>
      </c>
      <c r="W182">
        <f ca="1"/>
        <v>1.3491680506608399</v>
      </c>
      <c r="X182">
        <f ca="1"/>
        <v>0</v>
      </c>
      <c r="Y182">
        <f ca="1"/>
        <v>1</v>
      </c>
      <c r="Z182">
        <f ca="1"/>
        <v>4.3871078066843268</v>
      </c>
      <c r="AA182">
        <f ca="1"/>
        <v>0</v>
      </c>
      <c r="AB182">
        <f ca="1"/>
        <v>7.4426042702026296E-2</v>
      </c>
      <c r="AD182" s="2">
        <f t="shared" ca="1" si="22"/>
        <v>45130</v>
      </c>
      <c r="AE182" s="46">
        <f t="shared" ca="1" si="23"/>
        <v>0</v>
      </c>
      <c r="AG182" s="72">
        <f t="shared" ca="1" si="27"/>
        <v>168.14004536125546</v>
      </c>
      <c r="AH182" s="72">
        <f t="shared" ca="1" si="28"/>
        <v>168.14004536125549</v>
      </c>
      <c r="AI182" s="3">
        <f t="shared" ca="1" si="29"/>
        <v>0</v>
      </c>
    </row>
    <row r="183" spans="7:35" x14ac:dyDescent="0.25">
      <c r="G183" s="3">
        <f t="shared" ca="1" si="24"/>
        <v>161</v>
      </c>
      <c r="H183" s="105">
        <f t="shared" ca="1" si="26"/>
        <v>45086</v>
      </c>
      <c r="I183" s="133">
        <f ca="1">HLOOKUP($H$4,'Met Data'!$A$2:$F$368,G183,FALSE)</f>
        <v>9.4875000000000007</v>
      </c>
      <c r="J183" s="133">
        <f ca="1">HLOOKUP($H$4,'Met Data'!$H$2:$M$368,G183,FALSE)*L183</f>
        <v>1.55</v>
      </c>
      <c r="K183" s="106">
        <f ca="1">HLOOKUP($H$4,'Met Data'!$O$2:$T$368,G183,FALSE)</f>
        <v>0.94567596592895498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45131</v>
      </c>
      <c r="Q183">
        <f ca="1"/>
        <v>168.52868491519757</v>
      </c>
      <c r="R183">
        <f ca="1"/>
        <v>5.7616298205509703E-2</v>
      </c>
      <c r="S183">
        <f ca="1"/>
        <v>0.26693540918816744</v>
      </c>
      <c r="T183">
        <f ca="1"/>
        <v>0.23500000000000001</v>
      </c>
      <c r="U183">
        <f ca="1"/>
        <v>0</v>
      </c>
      <c r="V183">
        <f ca="1"/>
        <v>1.53241538192383</v>
      </c>
      <c r="W183">
        <f ca="1"/>
        <v>1.4018762938340299</v>
      </c>
      <c r="X183">
        <f ca="1"/>
        <v>0</v>
      </c>
      <c r="Y183">
        <f ca="1"/>
        <v>1</v>
      </c>
      <c r="Z183">
        <f ca="1"/>
        <v>1.0960011027519698</v>
      </c>
      <c r="AA183">
        <f ca="1"/>
        <v>0</v>
      </c>
      <c r="AB183">
        <f ca="1"/>
        <v>8.3485890590433695E-2</v>
      </c>
      <c r="AD183" s="2">
        <f t="shared" ca="1" si="22"/>
        <v>45131</v>
      </c>
      <c r="AE183" s="46">
        <f t="shared" ca="1" si="23"/>
        <v>0</v>
      </c>
      <c r="AG183" s="72">
        <f t="shared" ca="1" si="27"/>
        <v>168.58630121340309</v>
      </c>
      <c r="AH183" s="72">
        <f t="shared" ca="1" si="28"/>
        <v>168.58630121340309</v>
      </c>
      <c r="AI183" s="3">
        <f t="shared" ca="1" si="29"/>
        <v>0</v>
      </c>
    </row>
    <row r="184" spans="7:35" x14ac:dyDescent="0.25">
      <c r="G184" s="3">
        <f t="shared" ca="1" si="24"/>
        <v>162</v>
      </c>
      <c r="H184" s="105">
        <f t="shared" ca="1" si="26"/>
        <v>45087</v>
      </c>
      <c r="I184" s="133">
        <f ca="1">HLOOKUP($H$4,'Met Data'!$A$2:$F$368,G184,FALSE)</f>
        <v>10.9</v>
      </c>
      <c r="J184" s="133">
        <f ca="1">HLOOKUP($H$4,'Met Data'!$H$2:$M$368,G184,FALSE)*L184</f>
        <v>4.8363636363636298</v>
      </c>
      <c r="K184" s="106">
        <f ca="1">HLOOKUP($H$4,'Met Data'!$O$2:$T$368,G184,FALSE)</f>
        <v>0.77149259834587403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45132</v>
      </c>
      <c r="Q184">
        <f ca="1"/>
        <v>168.9201541860661</v>
      </c>
      <c r="R184">
        <f ca="1"/>
        <v>5.6722740945761602E-2</v>
      </c>
      <c r="S184">
        <f ca="1"/>
        <v>0.22496284514761652</v>
      </c>
      <c r="T184">
        <f ca="1"/>
        <v>0.22322916666666651</v>
      </c>
      <c r="U184">
        <f ca="1"/>
        <v>0</v>
      </c>
      <c r="V184">
        <f ca="1"/>
        <v>1.5891381228696</v>
      </c>
      <c r="W184">
        <f ca="1"/>
        <v>1.4537670975881101</v>
      </c>
      <c r="X184">
        <f ca="1"/>
        <v>0</v>
      </c>
      <c r="Y184">
        <f ca="1"/>
        <v>0.99919374536099503</v>
      </c>
      <c r="Z184">
        <f ca="1"/>
        <v>0</v>
      </c>
      <c r="AA184">
        <f ca="1"/>
        <v>0</v>
      </c>
      <c r="AB184">
        <f ca="1"/>
        <v>9.3008854685852793E-2</v>
      </c>
      <c r="AD184" s="2">
        <f t="shared" ca="1" si="22"/>
        <v>45132</v>
      </c>
      <c r="AE184" s="46">
        <f t="shared" ca="1" si="23"/>
        <v>0</v>
      </c>
      <c r="AG184" s="72">
        <f t="shared" ca="1" si="27"/>
        <v>168.97687692701186</v>
      </c>
      <c r="AH184" s="72">
        <f t="shared" ca="1" si="28"/>
        <v>168.97687692701186</v>
      </c>
      <c r="AI184" s="3">
        <f t="shared" ca="1" si="29"/>
        <v>0</v>
      </c>
    </row>
    <row r="185" spans="7:35" x14ac:dyDescent="0.25">
      <c r="G185" s="3">
        <f t="shared" ca="1" si="24"/>
        <v>163</v>
      </c>
      <c r="H185" s="105">
        <f t="shared" ca="1" si="26"/>
        <v>45088</v>
      </c>
      <c r="I185" s="133">
        <f ca="1">HLOOKUP($H$4,'Met Data'!$A$2:$F$368,G185,FALSE)</f>
        <v>10.8954545454545</v>
      </c>
      <c r="J185" s="133">
        <f ca="1">HLOOKUP($H$4,'Met Data'!$H$2:$M$368,G185,FALSE)*L185</f>
        <v>7.1454545454545402</v>
      </c>
      <c r="K185" s="106">
        <f ca="1">HLOOKUP($H$4,'Met Data'!$O$2:$T$368,G185,FALSE)</f>
        <v>0.76887644299908198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45133</v>
      </c>
      <c r="Q185">
        <f ca="1"/>
        <v>169.27871337261803</v>
      </c>
      <c r="R185">
        <f ca="1"/>
        <v>5.7612288920768903E-2</v>
      </c>
      <c r="S185">
        <f ca="1"/>
        <v>0.19710897547268977</v>
      </c>
      <c r="T185">
        <f ca="1"/>
        <v>0.21906249999999999</v>
      </c>
      <c r="U185">
        <f ca="1"/>
        <v>0</v>
      </c>
      <c r="V185">
        <f ca="1"/>
        <v>1.64675041179036</v>
      </c>
      <c r="W185">
        <f ca="1"/>
        <v>1.5064716730082199</v>
      </c>
      <c r="X185">
        <f ca="1"/>
        <v>0</v>
      </c>
      <c r="Y185">
        <f ca="1"/>
        <v>0.99199327814305949</v>
      </c>
      <c r="Z185">
        <f ca="1"/>
        <v>0</v>
      </c>
      <c r="AA185">
        <f ca="1"/>
        <v>0</v>
      </c>
      <c r="AB185">
        <f ca="1"/>
        <v>0.10329043058345</v>
      </c>
      <c r="AD185" s="2">
        <f t="shared" ca="1" si="22"/>
        <v>45133</v>
      </c>
      <c r="AE185" s="46">
        <f t="shared" ca="1" si="23"/>
        <v>0</v>
      </c>
      <c r="AG185" s="72">
        <f t="shared" ca="1" si="27"/>
        <v>169.33632566153881</v>
      </c>
      <c r="AH185" s="72">
        <f t="shared" ca="1" si="28"/>
        <v>169.33632566153881</v>
      </c>
      <c r="AI185" s="3">
        <f t="shared" ca="1" si="29"/>
        <v>0</v>
      </c>
    </row>
    <row r="186" spans="7:35" x14ac:dyDescent="0.25">
      <c r="G186" s="3">
        <f t="shared" ca="1" si="24"/>
        <v>164</v>
      </c>
      <c r="H186" s="105">
        <f t="shared" ca="1" si="26"/>
        <v>45089</v>
      </c>
      <c r="I186" s="133">
        <f ca="1">HLOOKUP($H$4,'Met Data'!$A$2:$F$368,G186,FALSE)</f>
        <v>11.8375</v>
      </c>
      <c r="J186" s="133">
        <f ca="1">HLOOKUP($H$4,'Met Data'!$H$2:$M$368,G186,FALSE)*L186</f>
        <v>0.88333333333333297</v>
      </c>
      <c r="K186" s="106">
        <f ca="1">HLOOKUP($H$4,'Met Data'!$O$2:$T$368,G186,FALSE)</f>
        <v>0.886573255907814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45134</v>
      </c>
      <c r="Q186">
        <f ca="1"/>
        <v>169.63636401301966</v>
      </c>
      <c r="R186">
        <f ca="1"/>
        <v>6.3556133450890506E-2</v>
      </c>
      <c r="S186">
        <f ca="1"/>
        <v>0.18787344051920571</v>
      </c>
      <c r="T186">
        <f ca="1"/>
        <v>0.23333333333333325</v>
      </c>
      <c r="U186">
        <f ca="1"/>
        <v>0</v>
      </c>
      <c r="V186">
        <f ca="1"/>
        <v>1.71030654524126</v>
      </c>
      <c r="W186">
        <f ca="1"/>
        <v>1.56461376546144</v>
      </c>
      <c r="X186">
        <f ca="1"/>
        <v>0</v>
      </c>
      <c r="Y186">
        <f ca="1"/>
        <v>0.99953522873746226</v>
      </c>
      <c r="Z186">
        <f ca="1"/>
        <v>0</v>
      </c>
      <c r="AA186">
        <f ca="1"/>
        <v>0</v>
      </c>
      <c r="AB186">
        <f ca="1"/>
        <v>0.11533547518545099</v>
      </c>
      <c r="AD186" s="2">
        <f t="shared" ca="1" si="22"/>
        <v>45134</v>
      </c>
      <c r="AE186" s="46">
        <f t="shared" ca="1" si="23"/>
        <v>0</v>
      </c>
      <c r="AG186" s="72">
        <f t="shared" ca="1" si="27"/>
        <v>169.69992014647056</v>
      </c>
      <c r="AH186" s="72">
        <f t="shared" ca="1" si="28"/>
        <v>169.69992014647056</v>
      </c>
      <c r="AI186" s="3">
        <f t="shared" ca="1" si="29"/>
        <v>0</v>
      </c>
    </row>
    <row r="187" spans="7:35" x14ac:dyDescent="0.25">
      <c r="G187" s="3">
        <f t="shared" ca="1" si="24"/>
        <v>165</v>
      </c>
      <c r="H187" s="105">
        <f t="shared" ca="1" si="26"/>
        <v>45090</v>
      </c>
      <c r="I187" s="133">
        <f ca="1">HLOOKUP($H$4,'Met Data'!$A$2:$F$368,G187,FALSE)</f>
        <v>10.4916666666666</v>
      </c>
      <c r="J187" s="133">
        <f ca="1">HLOOKUP($H$4,'Met Data'!$H$2:$M$368,G187,FALSE)*L187</f>
        <v>5.3166666666666602</v>
      </c>
      <c r="K187" s="106">
        <f ca="1">HLOOKUP($H$4,'Met Data'!$O$2:$T$368,G187,FALSE)</f>
        <v>0.75300621765048603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45135</v>
      </c>
      <c r="Q187">
        <f ca="1"/>
        <v>169.95829646273302</v>
      </c>
      <c r="R187">
        <f ca="1"/>
        <v>6.3404958298065098E-2</v>
      </c>
      <c r="S187">
        <f ca="1"/>
        <v>0.16064990801139958</v>
      </c>
      <c r="T187">
        <f ca="1"/>
        <v>0.22468750000000001</v>
      </c>
      <c r="U187">
        <f ca="1"/>
        <v>0</v>
      </c>
      <c r="V187">
        <f ca="1"/>
        <v>1.7737115035393201</v>
      </c>
      <c r="W187">
        <f ca="1"/>
        <v>1.62261756064523</v>
      </c>
      <c r="X187">
        <f ca="1"/>
        <v>0</v>
      </c>
      <c r="Y187">
        <f ca="1"/>
        <v>0.99938550915124302</v>
      </c>
      <c r="Z187">
        <f ca="1"/>
        <v>0</v>
      </c>
      <c r="AA187">
        <f ca="1"/>
        <v>0</v>
      </c>
      <c r="AB187">
        <f ca="1"/>
        <v>0.128070495738141</v>
      </c>
      <c r="AD187" s="2">
        <f t="shared" ca="1" si="22"/>
        <v>45135</v>
      </c>
      <c r="AE187" s="46">
        <f t="shared" ca="1" si="23"/>
        <v>0</v>
      </c>
      <c r="AG187" s="72">
        <f t="shared" ca="1" si="27"/>
        <v>170.02170142103105</v>
      </c>
      <c r="AH187" s="72">
        <f t="shared" ca="1" si="28"/>
        <v>170.02170142103108</v>
      </c>
      <c r="AI187" s="3">
        <f t="shared" ca="1" si="29"/>
        <v>0</v>
      </c>
    </row>
    <row r="188" spans="7:35" x14ac:dyDescent="0.25">
      <c r="G188" s="3">
        <f t="shared" ca="1" si="24"/>
        <v>166</v>
      </c>
      <c r="H188" s="105">
        <f t="shared" ca="1" si="26"/>
        <v>45091</v>
      </c>
      <c r="I188" s="133">
        <f ca="1">HLOOKUP($H$4,'Met Data'!$A$2:$F$368,G188,FALSE)</f>
        <v>10.133333333333301</v>
      </c>
      <c r="J188" s="133">
        <f ca="1">HLOOKUP($H$4,'Met Data'!$H$2:$M$368,G188,FALSE)*L188</f>
        <v>1.2</v>
      </c>
      <c r="K188" s="106">
        <f ca="1">HLOOKUP($H$4,'Met Data'!$O$2:$T$368,G188,FALSE)</f>
        <v>1.0949815777606999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45136</v>
      </c>
      <c r="Q188">
        <f ca="1"/>
        <v>170.2623475681275</v>
      </c>
      <c r="R188">
        <f ca="1"/>
        <v>6.6007560888698705E-2</v>
      </c>
      <c r="S188">
        <f ca="1"/>
        <v>0.14412116628317603</v>
      </c>
      <c r="T188">
        <f ca="1"/>
        <v>0.22593750000000001</v>
      </c>
      <c r="U188">
        <f ca="1"/>
        <v>0</v>
      </c>
      <c r="V188">
        <f ca="1"/>
        <v>1.8397190644280199</v>
      </c>
      <c r="W188">
        <f ca="1"/>
        <v>1.683002255236</v>
      </c>
      <c r="X188">
        <f ca="1"/>
        <v>0</v>
      </c>
      <c r="Y188">
        <f ca="1"/>
        <v>1</v>
      </c>
      <c r="Z188">
        <f ca="1"/>
        <v>1.5309578357457951</v>
      </c>
      <c r="AA188">
        <f ca="1"/>
        <v>0</v>
      </c>
      <c r="AB188">
        <f ca="1"/>
        <v>0.14206682781014501</v>
      </c>
      <c r="AD188" s="2">
        <f t="shared" ca="1" si="22"/>
        <v>45136</v>
      </c>
      <c r="AE188" s="46">
        <f t="shared" ca="1" si="23"/>
        <v>0</v>
      </c>
      <c r="AG188" s="72">
        <f t="shared" ca="1" si="27"/>
        <v>170.32835512901619</v>
      </c>
      <c r="AH188" s="72">
        <f t="shared" ca="1" si="28"/>
        <v>170.32835512901619</v>
      </c>
      <c r="AI188" s="3">
        <f t="shared" ca="1" si="29"/>
        <v>0</v>
      </c>
    </row>
    <row r="189" spans="7:35" x14ac:dyDescent="0.25">
      <c r="G189" s="3">
        <f t="shared" ca="1" si="24"/>
        <v>167</v>
      </c>
      <c r="H189" s="105">
        <f t="shared" ca="1" si="26"/>
        <v>45092</v>
      </c>
      <c r="I189" s="133">
        <f ca="1">HLOOKUP($H$4,'Met Data'!$A$2:$F$368,G189,FALSE)</f>
        <v>9.0291666666666597</v>
      </c>
      <c r="J189" s="133">
        <f ca="1">HLOOKUP($H$4,'Met Data'!$H$2:$M$368,G189,FALSE)*L189</f>
        <v>2.0499999999999998</v>
      </c>
      <c r="K189" s="106">
        <f ca="1">HLOOKUP($H$4,'Met Data'!$O$2:$T$368,G189,FALSE)</f>
        <v>0.76363291076582096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45137</v>
      </c>
      <c r="Q189">
        <f ca="1"/>
        <v>170.52137229260211</v>
      </c>
      <c r="R189">
        <f ca="1"/>
        <v>6.1742259732356503E-2</v>
      </c>
      <c r="S189">
        <f ca="1"/>
        <v>0.11628781754031337</v>
      </c>
      <c r="T189">
        <f ca="1"/>
        <v>0.20447916666666652</v>
      </c>
      <c r="U189">
        <f ca="1"/>
        <v>0</v>
      </c>
      <c r="V189">
        <f ca="1"/>
        <v>1.9014613241603799</v>
      </c>
      <c r="W189">
        <f ca="1"/>
        <v>1.73948498913931</v>
      </c>
      <c r="X189">
        <f ca="1"/>
        <v>0</v>
      </c>
      <c r="Y189">
        <f ca="1"/>
        <v>1</v>
      </c>
      <c r="Z189">
        <f ca="1"/>
        <v>0.18411576907551819</v>
      </c>
      <c r="AA189">
        <f ca="1"/>
        <v>0</v>
      </c>
      <c r="AB189">
        <f ca="1"/>
        <v>0.155813068685489</v>
      </c>
      <c r="AD189" s="2">
        <f t="shared" ca="1" si="22"/>
        <v>45137</v>
      </c>
      <c r="AE189" s="46">
        <f t="shared" ca="1" si="23"/>
        <v>0</v>
      </c>
      <c r="AG189" s="72">
        <f t="shared" ca="1" si="27"/>
        <v>170.58311455233448</v>
      </c>
      <c r="AH189" s="72">
        <f t="shared" ca="1" si="28"/>
        <v>170.58311455233448</v>
      </c>
      <c r="AI189" s="3">
        <f t="shared" ca="1" si="29"/>
        <v>0</v>
      </c>
    </row>
    <row r="190" spans="7:35" x14ac:dyDescent="0.25">
      <c r="G190" s="3">
        <f t="shared" ca="1" si="24"/>
        <v>168</v>
      </c>
      <c r="H190" s="105">
        <f t="shared" ca="1" si="26"/>
        <v>45093</v>
      </c>
      <c r="I190" s="133">
        <f ca="1">HLOOKUP($H$4,'Met Data'!$A$2:$F$368,G190,FALSE)</f>
        <v>10.125</v>
      </c>
      <c r="J190" s="133">
        <f ca="1">HLOOKUP($H$4,'Met Data'!$H$2:$M$368,G190,FALSE)*L190</f>
        <v>2.68333333333333</v>
      </c>
      <c r="K190" s="106">
        <f ca="1">HLOOKUP($H$4,'Met Data'!$O$2:$T$368,G190,FALSE)</f>
        <v>0.84633721178312304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45138</v>
      </c>
      <c r="Q190">
        <f ca="1"/>
        <v>170.78409398380884</v>
      </c>
      <c r="R190">
        <f ca="1"/>
        <v>6.8221764382836406E-2</v>
      </c>
      <c r="S190">
        <f ca="1"/>
        <v>0.11219345558957546</v>
      </c>
      <c r="T190">
        <f ca="1"/>
        <v>0.21875</v>
      </c>
      <c r="U190">
        <f ca="1"/>
        <v>0</v>
      </c>
      <c r="V190">
        <f ca="1"/>
        <v>1.9696830885432099</v>
      </c>
      <c r="W190">
        <f ca="1"/>
        <v>1.8018952698895301</v>
      </c>
      <c r="X190">
        <f ca="1"/>
        <v>0</v>
      </c>
      <c r="Y190">
        <f ca="1"/>
        <v>1</v>
      </c>
      <c r="Z190">
        <f ca="1"/>
        <v>1.5518108405749729</v>
      </c>
      <c r="AA190">
        <f ca="1"/>
        <v>0</v>
      </c>
      <c r="AB190">
        <f ca="1"/>
        <v>0.17169922558183701</v>
      </c>
      <c r="AD190" s="2">
        <f t="shared" ca="1" si="22"/>
        <v>45138</v>
      </c>
      <c r="AE190" s="46">
        <f t="shared" ca="1" si="23"/>
        <v>0</v>
      </c>
      <c r="AG190" s="72">
        <f t="shared" ca="1" si="27"/>
        <v>170.85231574819167</v>
      </c>
      <c r="AH190" s="72">
        <f t="shared" ca="1" si="28"/>
        <v>170.85231574819167</v>
      </c>
      <c r="AI190" s="3">
        <f t="shared" ca="1" si="29"/>
        <v>0</v>
      </c>
    </row>
    <row r="191" spans="7:35" x14ac:dyDescent="0.25">
      <c r="G191" s="3">
        <f t="shared" ca="1" si="24"/>
        <v>169</v>
      </c>
      <c r="H191" s="105">
        <f t="shared" ca="1" si="26"/>
        <v>45094</v>
      </c>
      <c r="I191" s="133">
        <f ca="1">HLOOKUP($H$4,'Met Data'!$A$2:$F$368,G191,FALSE)</f>
        <v>10.2291666666666</v>
      </c>
      <c r="J191" s="133">
        <f ca="1">HLOOKUP($H$4,'Met Data'!$H$2:$M$368,G191,FALSE)*L191</f>
        <v>2.5333333333333301</v>
      </c>
      <c r="K191" s="106">
        <f ca="1">HLOOKUP($H$4,'Met Data'!$O$2:$T$368,G191,FALSE)</f>
        <v>0.91611783655738799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45139</v>
      </c>
      <c r="Q191">
        <f ca="1"/>
        <v>171.07758268916962</v>
      </c>
      <c r="R191">
        <f ca="1"/>
        <v>8.3579750434151098E-2</v>
      </c>
      <c r="S191">
        <f ca="1"/>
        <v>0.11863095579494018</v>
      </c>
      <c r="T191">
        <f ca="1"/>
        <v>0.25843749999999999</v>
      </c>
      <c r="U191">
        <f ca="1"/>
        <v>0</v>
      </c>
      <c r="V191">
        <f ca="1"/>
        <v>2.0532628389773602</v>
      </c>
      <c r="W191">
        <f ca="1"/>
        <v>1.8783552638052201</v>
      </c>
      <c r="X191">
        <f ca="1"/>
        <v>0</v>
      </c>
      <c r="Y191">
        <f ca="1"/>
        <v>1</v>
      </c>
      <c r="Z191">
        <f ca="1"/>
        <v>4.3221233068618403</v>
      </c>
      <c r="AA191">
        <f ca="1"/>
        <v>0</v>
      </c>
      <c r="AB191">
        <f ca="1"/>
        <v>0.19209008308280801</v>
      </c>
      <c r="AD191" s="2">
        <f t="shared" ca="1" si="22"/>
        <v>45139</v>
      </c>
      <c r="AE191" s="46">
        <f t="shared" ca="1" si="23"/>
        <v>0</v>
      </c>
      <c r="AG191" s="72">
        <f t="shared" ca="1" si="27"/>
        <v>171.1611624396038</v>
      </c>
      <c r="AH191" s="72">
        <f t="shared" ca="1" si="28"/>
        <v>171.16116243960377</v>
      </c>
      <c r="AI191" s="3">
        <f t="shared" ca="1" si="29"/>
        <v>0</v>
      </c>
    </row>
    <row r="192" spans="7:35" x14ac:dyDescent="0.25">
      <c r="G192" s="3">
        <f t="shared" ca="1" si="24"/>
        <v>170</v>
      </c>
      <c r="H192" s="105">
        <f t="shared" ca="1" si="26"/>
        <v>45095</v>
      </c>
      <c r="I192" s="133">
        <f ca="1">HLOOKUP($H$4,'Met Data'!$A$2:$F$368,G192,FALSE)</f>
        <v>10.316666666666601</v>
      </c>
      <c r="J192" s="133">
        <f ca="1">HLOOKUP($H$4,'Met Data'!$H$2:$M$368,G192,FALSE)*L192</f>
        <v>5.5</v>
      </c>
      <c r="K192" s="106">
        <f ca="1">HLOOKUP($H$4,'Met Data'!$O$2:$T$368,G192,FALSE)</f>
        <v>0.749895043982166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45140</v>
      </c>
      <c r="Q192">
        <f ca="1"/>
        <v>171.35984938252005</v>
      </c>
      <c r="R192">
        <f ca="1"/>
        <v>8.9127470894206695E-2</v>
      </c>
      <c r="S192">
        <f ca="1"/>
        <v>0.10650780060825055</v>
      </c>
      <c r="T192">
        <f ca="1"/>
        <v>0.26488636363636248</v>
      </c>
      <c r="U192">
        <f ca="1"/>
        <v>0</v>
      </c>
      <c r="V192">
        <f ca="1"/>
        <v>2.14239030987157</v>
      </c>
      <c r="W192">
        <f ca="1"/>
        <v>1.9598903945862101</v>
      </c>
      <c r="X192">
        <f ca="1"/>
        <v>0</v>
      </c>
      <c r="Y192">
        <f ca="1"/>
        <v>1</v>
      </c>
      <c r="Z192">
        <f ca="1"/>
        <v>3.3334024098865314</v>
      </c>
      <c r="AA192">
        <f ca="1"/>
        <v>0</v>
      </c>
      <c r="AB192">
        <f ca="1"/>
        <v>0.21485282753572901</v>
      </c>
      <c r="AD192" s="2">
        <f t="shared" ca="1" si="22"/>
        <v>45140</v>
      </c>
      <c r="AE192" s="46">
        <f t="shared" ca="1" si="23"/>
        <v>0</v>
      </c>
      <c r="AG192" s="72">
        <f t="shared" ca="1" si="27"/>
        <v>171.44897685341422</v>
      </c>
      <c r="AH192" s="72">
        <f t="shared" ca="1" si="28"/>
        <v>171.44897685341425</v>
      </c>
      <c r="AI192" s="3">
        <f t="shared" ca="1" si="29"/>
        <v>0</v>
      </c>
    </row>
    <row r="193" spans="7:35" x14ac:dyDescent="0.25">
      <c r="G193" s="3">
        <f t="shared" ca="1" si="24"/>
        <v>171</v>
      </c>
      <c r="H193" s="105">
        <f t="shared" ca="1" si="26"/>
        <v>45096</v>
      </c>
      <c r="I193" s="133">
        <f ca="1">HLOOKUP($H$4,'Met Data'!$A$2:$F$368,G193,FALSE)</f>
        <v>10.6666666666666</v>
      </c>
      <c r="J193" s="133">
        <f ca="1">HLOOKUP($H$4,'Met Data'!$H$2:$M$368,G193,FALSE)*L193</f>
        <v>11.883333333333301</v>
      </c>
      <c r="K193" s="106">
        <f ca="1">HLOOKUP($H$4,'Met Data'!$O$2:$T$368,G193,FALSE)</f>
        <v>0.72031723210574305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45141</v>
      </c>
      <c r="Q193">
        <f ca="1"/>
        <v>171.61273657982338</v>
      </c>
      <c r="R193">
        <f ca="1"/>
        <v>8.8372167137646507E-2</v>
      </c>
      <c r="S193">
        <f ca="1"/>
        <v>8.8655197774314812E-2</v>
      </c>
      <c r="T193">
        <f ca="1"/>
        <v>0.25260416666666502</v>
      </c>
      <c r="U193">
        <f ca="1"/>
        <v>0</v>
      </c>
      <c r="V193">
        <f ca="1"/>
        <v>2.23076247700922</v>
      </c>
      <c r="W193">
        <f ca="1"/>
        <v>2.04073456230102</v>
      </c>
      <c r="X193">
        <f ca="1"/>
        <v>0</v>
      </c>
      <c r="Y193">
        <f ca="1"/>
        <v>1</v>
      </c>
      <c r="Z193">
        <f ca="1"/>
        <v>0.69150070233331462</v>
      </c>
      <c r="AA193">
        <f ca="1"/>
        <v>0</v>
      </c>
      <c r="AB193">
        <f ca="1"/>
        <v>0.23832810899241</v>
      </c>
      <c r="AD193" s="2">
        <f t="shared" ca="1" si="22"/>
        <v>45141</v>
      </c>
      <c r="AE193" s="46">
        <f t="shared" ca="1" si="23"/>
        <v>0</v>
      </c>
      <c r="AG193" s="72">
        <f t="shared" ca="1" si="27"/>
        <v>171.70110874696101</v>
      </c>
      <c r="AH193" s="72">
        <f t="shared" ca="1" si="28"/>
        <v>171.70110874696101</v>
      </c>
      <c r="AI193" s="3">
        <f t="shared" ca="1" si="29"/>
        <v>0</v>
      </c>
    </row>
    <row r="194" spans="7:35" x14ac:dyDescent="0.25">
      <c r="G194" s="3">
        <f t="shared" ca="1" si="24"/>
        <v>172</v>
      </c>
      <c r="H194" s="105">
        <f t="shared" ca="1" si="26"/>
        <v>45097</v>
      </c>
      <c r="I194" s="133">
        <f ca="1">HLOOKUP($H$4,'Met Data'!$A$2:$F$368,G194,FALSE)</f>
        <v>10.6181818181818</v>
      </c>
      <c r="J194" s="133">
        <f ca="1">HLOOKUP($H$4,'Met Data'!$H$2:$M$368,G194,FALSE)*L194</f>
        <v>9.0181818181818105</v>
      </c>
      <c r="K194" s="106">
        <f ca="1">HLOOKUP($H$4,'Met Data'!$O$2:$T$368,G194,FALSE)</f>
        <v>0.829345309973199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45142</v>
      </c>
      <c r="Q194">
        <f ca="1"/>
        <v>171.85332255199694</v>
      </c>
      <c r="R194">
        <f ca="1"/>
        <v>9.2513511810464494E-2</v>
      </c>
      <c r="S194">
        <f ca="1"/>
        <v>7.85161506507112E-2</v>
      </c>
      <c r="T194">
        <f ca="1"/>
        <v>0.2545833333333325</v>
      </c>
      <c r="U194">
        <f ca="1"/>
        <v>0</v>
      </c>
      <c r="V194">
        <f ca="1"/>
        <v>2.3232759888196801</v>
      </c>
      <c r="W194">
        <f ca="1"/>
        <v>2.1253672934757799</v>
      </c>
      <c r="X194">
        <f ca="1"/>
        <v>0</v>
      </c>
      <c r="Y194">
        <f ca="1"/>
        <v>1</v>
      </c>
      <c r="Z194">
        <f ca="1"/>
        <v>4.9531840514560344</v>
      </c>
      <c r="AA194">
        <f ca="1"/>
        <v>0</v>
      </c>
      <c r="AB194">
        <f ca="1"/>
        <v>0.26371139214209999</v>
      </c>
      <c r="AD194" s="2">
        <f t="shared" ca="1" si="22"/>
        <v>45142</v>
      </c>
      <c r="AE194" s="46">
        <f t="shared" ca="1" si="23"/>
        <v>0</v>
      </c>
      <c r="AG194" s="72">
        <f t="shared" ca="1" si="27"/>
        <v>171.94583606380741</v>
      </c>
      <c r="AH194" s="72">
        <f t="shared" ca="1" si="28"/>
        <v>171.94583606380741</v>
      </c>
      <c r="AI194" s="3">
        <f t="shared" ca="1" si="29"/>
        <v>0</v>
      </c>
    </row>
    <row r="195" spans="7:35" x14ac:dyDescent="0.25">
      <c r="G195" s="3">
        <f t="shared" ca="1" si="24"/>
        <v>173</v>
      </c>
      <c r="H195" s="105">
        <f t="shared" ca="1" si="26"/>
        <v>45098</v>
      </c>
      <c r="I195" s="133">
        <f ca="1">HLOOKUP($H$4,'Met Data'!$A$2:$F$368,G195,FALSE)</f>
        <v>10.0318181818181</v>
      </c>
      <c r="J195" s="133">
        <f ca="1">HLOOKUP($H$4,'Met Data'!$H$2:$M$368,G195,FALSE)*L195</f>
        <v>1.9090909090909001</v>
      </c>
      <c r="K195" s="106">
        <f ca="1">HLOOKUP($H$4,'Met Data'!$O$2:$T$368,G195,FALSE)</f>
        <v>0.90574236110997597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45143</v>
      </c>
      <c r="Q195">
        <f ca="1"/>
        <v>172.07159642534074</v>
      </c>
      <c r="R195">
        <f ca="1"/>
        <v>9.2126609605581097E-2</v>
      </c>
      <c r="S195">
        <f ca="1"/>
        <v>6.6129649616039773E-2</v>
      </c>
      <c r="T195">
        <f ca="1"/>
        <v>0.24427083333333324</v>
      </c>
      <c r="U195">
        <f ca="1"/>
        <v>0</v>
      </c>
      <c r="V195">
        <f ca="1"/>
        <v>2.4154025984252598</v>
      </c>
      <c r="W195">
        <f ca="1"/>
        <v>2.2096460807816301</v>
      </c>
      <c r="X195">
        <f ca="1"/>
        <v>0</v>
      </c>
      <c r="Y195">
        <f ca="1"/>
        <v>1</v>
      </c>
      <c r="Z195">
        <f ca="1"/>
        <v>1.6401048773059586</v>
      </c>
      <c r="AA195">
        <f ca="1"/>
        <v>0</v>
      </c>
      <c r="AB195">
        <f ca="1"/>
        <v>0.28963883189106998</v>
      </c>
      <c r="AD195" s="2">
        <f t="shared" ca="1" si="22"/>
        <v>45143</v>
      </c>
      <c r="AE195" s="46">
        <f t="shared" ca="1" si="23"/>
        <v>0</v>
      </c>
      <c r="AG195" s="72">
        <f t="shared" ca="1" si="27"/>
        <v>172.16372303494632</v>
      </c>
      <c r="AH195" s="72">
        <f t="shared" ca="1" si="28"/>
        <v>172.16372303494632</v>
      </c>
      <c r="AI195" s="3">
        <f t="shared" ca="1" si="29"/>
        <v>0</v>
      </c>
    </row>
    <row r="196" spans="7:35" x14ac:dyDescent="0.25">
      <c r="G196" s="3">
        <f t="shared" ca="1" si="24"/>
        <v>174</v>
      </c>
      <c r="H196" s="105">
        <f t="shared" ca="1" si="26"/>
        <v>45099</v>
      </c>
      <c r="I196" s="133">
        <f ca="1">HLOOKUP($H$4,'Met Data'!$A$2:$F$368,G196,FALSE)</f>
        <v>8.9727272727272709</v>
      </c>
      <c r="J196" s="133">
        <f ca="1">HLOOKUP($H$4,'Met Data'!$H$2:$M$368,G196,FALSE)*L196</f>
        <v>1.9636363636363601</v>
      </c>
      <c r="K196" s="106">
        <f ca="1">HLOOKUP($H$4,'Met Data'!$O$2:$T$368,G196,FALSE)</f>
        <v>0.89904843691310898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45144</v>
      </c>
      <c r="Q196">
        <f ca="1"/>
        <v>172.28099836025734</v>
      </c>
      <c r="R196">
        <f ca="1"/>
        <v>9.6600418606682698E-2</v>
      </c>
      <c r="S196">
        <f ca="1"/>
        <v>5.902318685662411E-2</v>
      </c>
      <c r="T196">
        <f ca="1"/>
        <v>0.2469791666666665</v>
      </c>
      <c r="U196">
        <f ca="1"/>
        <v>0</v>
      </c>
      <c r="V196">
        <f ca="1"/>
        <v>2.5120030170319398</v>
      </c>
      <c r="W196">
        <f ca="1"/>
        <v>2.2980175748403302</v>
      </c>
      <c r="X196">
        <f ca="1"/>
        <v>0</v>
      </c>
      <c r="Y196">
        <f ca="1"/>
        <v>1</v>
      </c>
      <c r="Z196">
        <f ca="1"/>
        <v>3.457349476681884</v>
      </c>
      <c r="AA196">
        <f ca="1"/>
        <v>0</v>
      </c>
      <c r="AB196">
        <f ca="1"/>
        <v>0.31732910764752198</v>
      </c>
      <c r="AD196" s="2">
        <f t="shared" ca="1" si="22"/>
        <v>45144</v>
      </c>
      <c r="AE196" s="46">
        <f t="shared" ca="1" si="23"/>
        <v>0</v>
      </c>
      <c r="AG196" s="72">
        <f t="shared" ca="1" si="27"/>
        <v>172.37759877886404</v>
      </c>
      <c r="AH196" s="72">
        <f t="shared" ca="1" si="28"/>
        <v>172.37759877886401</v>
      </c>
      <c r="AI196" s="3">
        <f t="shared" ca="1" si="29"/>
        <v>0</v>
      </c>
    </row>
    <row r="197" spans="7:35" x14ac:dyDescent="0.25">
      <c r="G197" s="3">
        <f t="shared" ca="1" si="24"/>
        <v>175</v>
      </c>
      <c r="H197" s="105">
        <f t="shared" ca="1" si="26"/>
        <v>45100</v>
      </c>
      <c r="I197" s="133">
        <f ca="1">HLOOKUP($H$4,'Met Data'!$A$2:$F$368,G197,FALSE)</f>
        <v>9.0227272727272698</v>
      </c>
      <c r="J197" s="133">
        <f ca="1">HLOOKUP($H$4,'Met Data'!$H$2:$M$368,G197,FALSE)*L197</f>
        <v>3.0181818181818101</v>
      </c>
      <c r="K197" s="106">
        <f ca="1">HLOOKUP($H$4,'Met Data'!$O$2:$T$368,G197,FALSE)</f>
        <v>0.82913615112138495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45145</v>
      </c>
      <c r="Q197">
        <f ca="1"/>
        <v>172.48198419811706</v>
      </c>
      <c r="R197">
        <f ca="1"/>
        <v>0.101298158710195</v>
      </c>
      <c r="S197">
        <f ca="1"/>
        <v>5.2596496569922754E-2</v>
      </c>
      <c r="T197">
        <f ca="1"/>
        <v>0.24968749999999976</v>
      </c>
      <c r="U197">
        <f ca="1"/>
        <v>0</v>
      </c>
      <c r="V197">
        <f ca="1"/>
        <v>2.6133011757421398</v>
      </c>
      <c r="W197">
        <f ca="1"/>
        <v>2.3906866311418802</v>
      </c>
      <c r="X197">
        <f ca="1"/>
        <v>0</v>
      </c>
      <c r="Y197">
        <f ca="1"/>
        <v>1</v>
      </c>
      <c r="Z197">
        <f ca="1"/>
        <v>1.0970515352017429</v>
      </c>
      <c r="AA197">
        <f ca="1"/>
        <v>0</v>
      </c>
      <c r="AB197">
        <f ca="1"/>
        <v>0.34670129185718301</v>
      </c>
      <c r="AD197" s="2">
        <f t="shared" ca="1" si="22"/>
        <v>45145</v>
      </c>
      <c r="AE197" s="46">
        <f t="shared" ca="1" si="23"/>
        <v>0</v>
      </c>
      <c r="AG197" s="72">
        <f t="shared" ca="1" si="27"/>
        <v>172.58328235682725</v>
      </c>
      <c r="AH197" s="72">
        <f t="shared" ca="1" si="28"/>
        <v>172.58328235682725</v>
      </c>
      <c r="AI197" s="3">
        <f t="shared" ca="1" si="29"/>
        <v>0</v>
      </c>
    </row>
    <row r="198" spans="7:35" x14ac:dyDescent="0.25">
      <c r="G198" s="3">
        <f t="shared" ca="1" si="24"/>
        <v>176</v>
      </c>
      <c r="H198" s="105">
        <f t="shared" ca="1" si="26"/>
        <v>45101</v>
      </c>
      <c r="I198" s="133">
        <f ca="1">HLOOKUP($H$4,'Met Data'!$A$2:$F$368,G198,FALSE)</f>
        <v>10.3590909090909</v>
      </c>
      <c r="J198" s="133">
        <f ca="1">HLOOKUP($H$4,'Met Data'!$H$2:$M$368,G198,FALSE)*L198</f>
        <v>3.7454545454545398</v>
      </c>
      <c r="K198" s="106">
        <f ca="1">HLOOKUP($H$4,'Met Data'!$O$2:$T$368,G198,FALSE)</f>
        <v>0.88746237543267503</v>
      </c>
      <c r="L198">
        <f t="shared" ref="L198:L261" ca="1" si="30">IF(H198&lt;$B$27,$J$3,$J$4)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45146</v>
      </c>
      <c r="Q198">
        <f ca="1"/>
        <v>172.66295564402191</v>
      </c>
      <c r="R198">
        <f ca="1"/>
        <v>9.9450446444599105E-2</v>
      </c>
      <c r="S198">
        <f ca="1"/>
        <v>4.3859392349443423E-2</v>
      </c>
      <c r="T198">
        <f ca="1"/>
        <v>0.23656250000000001</v>
      </c>
      <c r="U198">
        <f ca="1"/>
        <v>0</v>
      </c>
      <c r="V198">
        <f ca="1"/>
        <v>2.7127516221867398</v>
      </c>
      <c r="W198">
        <f ca="1"/>
        <v>2.4816653728893501</v>
      </c>
      <c r="X198">
        <f ca="1"/>
        <v>0</v>
      </c>
      <c r="Y198">
        <f ca="1"/>
        <v>1</v>
      </c>
      <c r="Z198">
        <f ca="1"/>
        <v>2.5087648280373429</v>
      </c>
      <c r="AA198">
        <f ca="1"/>
        <v>0</v>
      </c>
      <c r="AB198">
        <f ca="1"/>
        <v>0.37565465436290402</v>
      </c>
      <c r="AD198" s="2">
        <f t="shared" ref="AD198:AD261" ca="1" si="32">IFERROR(P198,$AD$4)</f>
        <v>45146</v>
      </c>
      <c r="AE198" s="46">
        <f t="shared" ref="AE198:AE261" ca="1" si="33">IFERROR(U198,0)</f>
        <v>0</v>
      </c>
      <c r="AG198" s="72">
        <f t="shared" ca="1" si="27"/>
        <v>172.7624060904665</v>
      </c>
      <c r="AH198" s="72">
        <f t="shared" ca="1" si="28"/>
        <v>172.7624060904665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177</v>
      </c>
      <c r="H199" s="105">
        <f t="shared" ca="1" si="26"/>
        <v>45102</v>
      </c>
      <c r="I199" s="133">
        <f ca="1">HLOOKUP($H$4,'Met Data'!$A$2:$F$368,G199,FALSE)</f>
        <v>9.5090909090909097</v>
      </c>
      <c r="J199" s="133">
        <f ca="1">HLOOKUP($H$4,'Met Data'!$H$2:$M$368,G199,FALSE)*L199</f>
        <v>3.1090909090909</v>
      </c>
      <c r="K199" s="106">
        <f ca="1">HLOOKUP($H$4,'Met Data'!$O$2:$T$368,G199,FALSE)</f>
        <v>0.97866599470650895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45147</v>
      </c>
      <c r="Q199">
        <f ca="1"/>
        <v>172.81679820794622</v>
      </c>
      <c r="R199">
        <f ca="1"/>
        <v>9.1520040584004203E-2</v>
      </c>
      <c r="S199">
        <f ca="1"/>
        <v>3.4633437841627451E-2</v>
      </c>
      <c r="T199">
        <f ca="1"/>
        <v>0.2107291666666665</v>
      </c>
      <c r="U199">
        <f ca="1"/>
        <v>0</v>
      </c>
      <c r="V199">
        <f ca="1"/>
        <v>2.80427166277074</v>
      </c>
      <c r="W199">
        <f ca="1"/>
        <v>2.5653892618680501</v>
      </c>
      <c r="X199">
        <f ca="1"/>
        <v>0</v>
      </c>
      <c r="Y199">
        <f ca="1"/>
        <v>1</v>
      </c>
      <c r="Z199">
        <f ca="1"/>
        <v>2.075974573356973</v>
      </c>
      <c r="AA199">
        <f ca="1"/>
        <v>0</v>
      </c>
      <c r="AB199">
        <f ca="1"/>
        <v>0.40222447161303099</v>
      </c>
      <c r="AD199" s="2">
        <f t="shared" ca="1" si="32"/>
        <v>45147</v>
      </c>
      <c r="AE199" s="46">
        <f t="shared" ca="1" si="33"/>
        <v>0</v>
      </c>
      <c r="AG199" s="72">
        <f t="shared" ca="1" si="27"/>
        <v>172.90831824853018</v>
      </c>
      <c r="AH199" s="72">
        <f t="shared" ca="1" si="28"/>
        <v>172.90831824853024</v>
      </c>
      <c r="AI199" s="3">
        <f t="shared" ca="1" si="29"/>
        <v>0</v>
      </c>
    </row>
    <row r="200" spans="7:35" x14ac:dyDescent="0.25">
      <c r="G200" s="3">
        <f t="shared" ca="1" si="34"/>
        <v>178</v>
      </c>
      <c r="H200" s="105">
        <f t="shared" ref="H200:H263" ca="1" si="36">H199+1</f>
        <v>45103</v>
      </c>
      <c r="I200" s="133">
        <f ca="1">HLOOKUP($H$4,'Met Data'!$A$2:$F$368,G200,FALSE)</f>
        <v>9.1272727272727199</v>
      </c>
      <c r="J200" s="133">
        <f ca="1">HLOOKUP($H$4,'Met Data'!$H$2:$M$368,G200,FALSE)*L200</f>
        <v>1.25454545454545</v>
      </c>
      <c r="K200" s="106">
        <f ca="1">HLOOKUP($H$4,'Met Data'!$O$2:$T$368,G200,FALSE)</f>
        <v>1.0040569739087299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45148</v>
      </c>
      <c r="Q200">
        <f ca="1"/>
        <v>172.95411674127467</v>
      </c>
      <c r="R200">
        <f ca="1"/>
        <v>8.7683667132895798E-2</v>
      </c>
      <c r="S200">
        <f ca="1"/>
        <v>2.8960533794675208E-2</v>
      </c>
      <c r="T200">
        <f ca="1"/>
        <v>0.1960416666666665</v>
      </c>
      <c r="U200">
        <f ca="1"/>
        <v>0</v>
      </c>
      <c r="V200">
        <f ca="1"/>
        <v>2.8919553299036398</v>
      </c>
      <c r="W200">
        <f ca="1"/>
        <v>2.64560357957851</v>
      </c>
      <c r="X200">
        <f ca="1"/>
        <v>0</v>
      </c>
      <c r="Y200">
        <f ca="1"/>
        <v>1</v>
      </c>
      <c r="Z200">
        <f ca="1"/>
        <v>9.5105913910245476E-2</v>
      </c>
      <c r="AA200">
        <f ca="1"/>
        <v>0</v>
      </c>
      <c r="AB200">
        <f ca="1"/>
        <v>0.42747249028745699</v>
      </c>
      <c r="AD200" s="2">
        <f t="shared" ca="1" si="32"/>
        <v>45148</v>
      </c>
      <c r="AE200" s="46">
        <f t="shared" ca="1" si="33"/>
        <v>0</v>
      </c>
      <c r="AG200" s="72">
        <f ca="1">Q199+S200+T200+U200</f>
        <v>173.04180040840757</v>
      </c>
      <c r="AH200" s="72">
        <f ca="1">Q200+R200+X200</f>
        <v>173.04180040840757</v>
      </c>
      <c r="AI200" s="3">
        <f ca="1">AH200-AG200</f>
        <v>0</v>
      </c>
    </row>
    <row r="201" spans="7:35" x14ac:dyDescent="0.25">
      <c r="G201" s="3">
        <f t="shared" ca="1" si="34"/>
        <v>179</v>
      </c>
      <c r="H201" s="105">
        <f t="shared" ca="1" si="36"/>
        <v>45104</v>
      </c>
      <c r="I201" s="133">
        <f ca="1">HLOOKUP($H$4,'Met Data'!$A$2:$F$368,G201,FALSE)</f>
        <v>8.7727272727272698</v>
      </c>
      <c r="J201" s="133">
        <f ca="1">HLOOKUP($H$4,'Met Data'!$H$2:$M$368,G201,FALSE)*L201</f>
        <v>2.9818181818181801</v>
      </c>
      <c r="K201" s="106">
        <f ca="1">HLOOKUP($H$4,'Met Data'!$O$2:$T$368,G201,FALSE)</f>
        <v>0.89055521132494797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45149</v>
      </c>
      <c r="Q201">
        <f ca="1"/>
        <v>173.10203005426155</v>
      </c>
      <c r="R201">
        <f ca="1"/>
        <v>0.10129205365921901</v>
      </c>
      <c r="S201">
        <f ca="1"/>
        <v>2.9413699979435784E-2</v>
      </c>
      <c r="T201">
        <f ca="1"/>
        <v>0.2197916666666665</v>
      </c>
      <c r="U201">
        <f ca="1"/>
        <v>0</v>
      </c>
      <c r="V201">
        <f ca="1"/>
        <v>2.9932473835628599</v>
      </c>
      <c r="W201">
        <f ca="1"/>
        <v>2.7382670508889801</v>
      </c>
      <c r="X201">
        <f ca="1"/>
        <v>0</v>
      </c>
      <c r="Y201">
        <f ca="1"/>
        <v>1</v>
      </c>
      <c r="Z201">
        <f ca="1"/>
        <v>3.4299187004357492</v>
      </c>
      <c r="AA201">
        <f ca="1"/>
        <v>0</v>
      </c>
      <c r="AB201">
        <f ca="1"/>
        <v>0.45622902914925201</v>
      </c>
      <c r="AD201" s="2">
        <f t="shared" ca="1" si="32"/>
        <v>45149</v>
      </c>
      <c r="AE201" s="46">
        <f t="shared" ca="1" si="33"/>
        <v>0</v>
      </c>
      <c r="AG201" s="72">
        <f ca="1">Q200+S201+T201+U201</f>
        <v>173.2033221079208</v>
      </c>
      <c r="AH201" s="72">
        <f ca="1">Q201+R201+X201</f>
        <v>173.20332210792077</v>
      </c>
      <c r="AI201" s="3">
        <f ca="1">AH201-AG201</f>
        <v>0</v>
      </c>
    </row>
    <row r="202" spans="7:35" x14ac:dyDescent="0.25">
      <c r="G202" s="3">
        <f t="shared" ca="1" si="34"/>
        <v>180</v>
      </c>
      <c r="H202" s="105">
        <f t="shared" ca="1" si="36"/>
        <v>45105</v>
      </c>
      <c r="I202" s="133">
        <f ca="1">HLOOKUP($H$4,'Met Data'!$A$2:$F$368,G202,FALSE)</f>
        <v>8.8363636363636306</v>
      </c>
      <c r="J202" s="133">
        <f ca="1">HLOOKUP($H$4,'Met Data'!$H$2:$M$368,G202,FALSE)*L202</f>
        <v>0.90909090909090895</v>
      </c>
      <c r="K202" s="106">
        <f ca="1">HLOOKUP($H$4,'Met Data'!$O$2:$T$368,G202,FALSE)</f>
        <v>0.949335994975394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45150</v>
      </c>
      <c r="Q202">
        <f ca="1"/>
        <v>173.25016830661582</v>
      </c>
      <c r="R202">
        <f ca="1"/>
        <v>0.109510945203945</v>
      </c>
      <c r="S202">
        <f ca="1"/>
        <v>2.7545030891571634E-2</v>
      </c>
      <c r="T202">
        <f ca="1"/>
        <v>0.2301041666666665</v>
      </c>
      <c r="U202">
        <f ca="1"/>
        <v>0</v>
      </c>
      <c r="V202">
        <f ca="1"/>
        <v>3.1027583287668001</v>
      </c>
      <c r="W202">
        <f ca="1"/>
        <v>2.8384492859459298</v>
      </c>
      <c r="X202">
        <f ca="1"/>
        <v>0</v>
      </c>
      <c r="Y202">
        <f ca="1"/>
        <v>1</v>
      </c>
      <c r="Z202">
        <f ca="1"/>
        <v>3.7499885056706574</v>
      </c>
      <c r="AA202">
        <f ca="1"/>
        <v>0</v>
      </c>
      <c r="AB202">
        <f ca="1"/>
        <v>0.486647426820766</v>
      </c>
      <c r="AD202" s="2">
        <f t="shared" ca="1" si="32"/>
        <v>45150</v>
      </c>
      <c r="AE202" s="46">
        <f t="shared" ca="1" si="33"/>
        <v>0</v>
      </c>
      <c r="AG202" s="72">
        <f ca="1">Q201+S202+T202+U202</f>
        <v>173.35967925181978</v>
      </c>
      <c r="AH202" s="72">
        <f ca="1">Q202+R202+X202</f>
        <v>173.35967925181976</v>
      </c>
      <c r="AI202" s="3">
        <f ca="1">AH202-AG202</f>
        <v>0</v>
      </c>
    </row>
    <row r="203" spans="7:35" x14ac:dyDescent="0.25">
      <c r="G203" s="3">
        <f t="shared" ca="1" si="34"/>
        <v>181</v>
      </c>
      <c r="H203" s="105">
        <f t="shared" ca="1" si="36"/>
        <v>45106</v>
      </c>
      <c r="I203" s="133">
        <f ca="1">HLOOKUP($H$4,'Met Data'!$A$2:$F$368,G203,FALSE)</f>
        <v>8.7136363636363594</v>
      </c>
      <c r="J203" s="133">
        <f ca="1">HLOOKUP($H$4,'Met Data'!$H$2:$M$368,G203,FALSE)*L203</f>
        <v>1.7833333333333301</v>
      </c>
      <c r="K203" s="106">
        <f ca="1">HLOOKUP($H$4,'Met Data'!$O$2:$T$368,G203,FALSE)</f>
        <v>0.92539172734817898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45151</v>
      </c>
      <c r="Q203">
        <f ca="1"/>
        <v>173.3960489399777</v>
      </c>
      <c r="R203">
        <f ca="1"/>
        <v>0.11679433659493001</v>
      </c>
      <c r="S203">
        <f ca="1"/>
        <v>2.5279136623473447E-2</v>
      </c>
      <c r="T203">
        <f ca="1"/>
        <v>0.23739583333333325</v>
      </c>
      <c r="U203">
        <f ca="1"/>
        <v>0</v>
      </c>
      <c r="V203">
        <f ca="1"/>
        <v>3.2195526653617299</v>
      </c>
      <c r="W203">
        <f ca="1"/>
        <v>2.9452944753494399</v>
      </c>
      <c r="X203">
        <f ca="1"/>
        <v>0</v>
      </c>
      <c r="Y203">
        <f ca="1"/>
        <v>1</v>
      </c>
      <c r="Z203">
        <f ca="1"/>
        <v>1.912490986225265</v>
      </c>
      <c r="AA203">
        <f ca="1"/>
        <v>0</v>
      </c>
      <c r="AB203">
        <f ca="1"/>
        <v>0.51813122485431995</v>
      </c>
      <c r="AD203" s="2">
        <f t="shared" ca="1" si="32"/>
        <v>45151</v>
      </c>
      <c r="AE203" s="46">
        <f t="shared" ca="1" si="33"/>
        <v>0</v>
      </c>
      <c r="AG203" s="72">
        <f t="shared" ref="AG203:AG266" ca="1" si="37">Q202+S203+T203+U203</f>
        <v>173.51284327657262</v>
      </c>
      <c r="AH203" s="72">
        <f t="shared" ref="AH203:AH266" ca="1" si="38">Q203+R203+X203</f>
        <v>173.51284327657262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182</v>
      </c>
      <c r="H204" s="105">
        <f t="shared" ca="1" si="36"/>
        <v>45107</v>
      </c>
      <c r="I204" s="133">
        <f ca="1">HLOOKUP($H$4,'Met Data'!$A$2:$F$368,G204,FALSE)</f>
        <v>8.5291666666666597</v>
      </c>
      <c r="J204" s="133">
        <f ca="1">HLOOKUP($H$4,'Met Data'!$H$2:$M$368,G204,FALSE)*L204</f>
        <v>2.5833333333333299</v>
      </c>
      <c r="K204" s="106">
        <f ca="1">HLOOKUP($H$4,'Met Data'!$O$2:$T$368,G204,FALSE)</f>
        <v>0.82623977006466498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45152</v>
      </c>
      <c r="Q204">
        <f ca="1"/>
        <v>173.53916079132784</v>
      </c>
      <c r="R204">
        <f ca="1"/>
        <v>0.12443421523986101</v>
      </c>
      <c r="S204">
        <f ca="1"/>
        <v>2.3066899923331118E-2</v>
      </c>
      <c r="T204">
        <f ca="1"/>
        <v>0.2444791666666665</v>
      </c>
      <c r="U204">
        <f ca="1"/>
        <v>0</v>
      </c>
      <c r="V204">
        <f ca="1"/>
        <v>3.34398688060159</v>
      </c>
      <c r="W204">
        <f ca="1"/>
        <v>3.05912873892072</v>
      </c>
      <c r="X204">
        <f ca="1"/>
        <v>0</v>
      </c>
      <c r="Y204">
        <f ca="1"/>
        <v>1</v>
      </c>
      <c r="Z204">
        <f ca="1"/>
        <v>5.5642705258588023</v>
      </c>
      <c r="AA204">
        <f ca="1"/>
        <v>0</v>
      </c>
      <c r="AB204">
        <f ca="1"/>
        <v>0.55040207188995005</v>
      </c>
      <c r="AD204" s="2">
        <f t="shared" ca="1" si="32"/>
        <v>45152</v>
      </c>
      <c r="AE204" s="46">
        <f t="shared" ca="1" si="33"/>
        <v>0</v>
      </c>
      <c r="AG204" s="72">
        <f t="shared" ca="1" si="37"/>
        <v>173.6635950065677</v>
      </c>
      <c r="AH204" s="72">
        <f t="shared" ca="1" si="38"/>
        <v>173.6635950065677</v>
      </c>
      <c r="AI204" s="3">
        <f t="shared" ca="1" si="39"/>
        <v>0</v>
      </c>
    </row>
    <row r="205" spans="7:35" x14ac:dyDescent="0.25">
      <c r="G205" s="3">
        <f t="shared" ca="1" si="34"/>
        <v>183</v>
      </c>
      <c r="H205" s="105">
        <f t="shared" ca="1" si="36"/>
        <v>45108</v>
      </c>
      <c r="I205" s="133">
        <f ca="1">HLOOKUP($H$4,'Met Data'!$A$2:$F$368,G205,FALSE)</f>
        <v>8.8208333333333293</v>
      </c>
      <c r="J205" s="133">
        <f ca="1">HLOOKUP($H$4,'Met Data'!$H$2:$M$368,G205,FALSE)*L205</f>
        <v>2.1333333333333302</v>
      </c>
      <c r="K205" s="106">
        <f ca="1">HLOOKUP($H$4,'Met Data'!$O$2:$T$368,G205,FALSE)</f>
        <v>0.80690048817841498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45153</v>
      </c>
      <c r="Q205">
        <f ca="1"/>
        <v>173.67055798305921</v>
      </c>
      <c r="R205">
        <f ca="1"/>
        <v>0.124188965374413</v>
      </c>
      <c r="S205">
        <f ca="1"/>
        <v>1.9648657105772658E-2</v>
      </c>
      <c r="T205">
        <f ca="1"/>
        <v>0.23593749999999999</v>
      </c>
      <c r="U205">
        <f ca="1"/>
        <v>0</v>
      </c>
      <c r="V205">
        <f ca="1"/>
        <v>3.4681758459760101</v>
      </c>
      <c r="W205">
        <f ca="1"/>
        <v>3.17273864428175</v>
      </c>
      <c r="X205">
        <f ca="1"/>
        <v>0</v>
      </c>
      <c r="Y205">
        <f ca="1"/>
        <v>1</v>
      </c>
      <c r="Z205">
        <f ca="1"/>
        <v>2.0422947834481704</v>
      </c>
      <c r="AA205">
        <f ca="1"/>
        <v>0</v>
      </c>
      <c r="AB205">
        <f ca="1"/>
        <v>0.58115124916386895</v>
      </c>
      <c r="AD205" s="2">
        <f t="shared" ca="1" si="32"/>
        <v>45153</v>
      </c>
      <c r="AE205" s="46">
        <f t="shared" ca="1" si="33"/>
        <v>0</v>
      </c>
      <c r="AG205" s="72">
        <f t="shared" ca="1" si="37"/>
        <v>173.79474694843361</v>
      </c>
      <c r="AH205" s="72">
        <f t="shared" ca="1" si="38"/>
        <v>173.79474694843361</v>
      </c>
      <c r="AI205" s="3">
        <f t="shared" ca="1" si="39"/>
        <v>0</v>
      </c>
    </row>
    <row r="206" spans="7:35" x14ac:dyDescent="0.25">
      <c r="G206" s="3">
        <f t="shared" ca="1" si="34"/>
        <v>184</v>
      </c>
      <c r="H206" s="105">
        <f t="shared" ca="1" si="36"/>
        <v>45109</v>
      </c>
      <c r="I206" s="133">
        <f ca="1">HLOOKUP($H$4,'Met Data'!$A$2:$F$368,G206,FALSE)</f>
        <v>8.2249999999999996</v>
      </c>
      <c r="J206" s="133">
        <f ca="1">HLOOKUP($H$4,'Met Data'!$H$2:$M$368,G206,FALSE)*L206</f>
        <v>0.83333333333333304</v>
      </c>
      <c r="K206" s="106">
        <f ca="1">HLOOKUP($H$4,'Met Data'!$O$2:$T$368,G206,FALSE)</f>
        <v>1.0149186441071101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45154</v>
      </c>
      <c r="Q206">
        <f ca="1"/>
        <v>173.79901581378638</v>
      </c>
      <c r="R206">
        <f ca="1"/>
        <v>0.131950241630857</v>
      </c>
      <c r="S206">
        <f ca="1"/>
        <v>1.7908072358026578E-2</v>
      </c>
      <c r="T206">
        <f ca="1"/>
        <v>0.24249999999999999</v>
      </c>
      <c r="U206">
        <f ca="1"/>
        <v>0</v>
      </c>
      <c r="V206">
        <f ca="1"/>
        <v>3.6001260876068599</v>
      </c>
      <c r="W206">
        <f ca="1"/>
        <v>3.2934486801440599</v>
      </c>
      <c r="X206">
        <f ca="1"/>
        <v>0</v>
      </c>
      <c r="Y206">
        <f ca="1"/>
        <v>1</v>
      </c>
      <c r="Z206">
        <f ca="1"/>
        <v>0.29841623162467101</v>
      </c>
      <c r="AA206">
        <f ca="1"/>
        <v>0</v>
      </c>
      <c r="AB206">
        <f ca="1"/>
        <v>0.61210983736617397</v>
      </c>
      <c r="AD206" s="2">
        <f t="shared" ca="1" si="32"/>
        <v>45154</v>
      </c>
      <c r="AE206" s="46">
        <f t="shared" ca="1" si="33"/>
        <v>0</v>
      </c>
      <c r="AG206" s="72">
        <f t="shared" ca="1" si="37"/>
        <v>173.93096605541726</v>
      </c>
      <c r="AH206" s="72">
        <f t="shared" ca="1" si="38"/>
        <v>173.93096605541723</v>
      </c>
      <c r="AI206" s="3">
        <f t="shared" ca="1" si="39"/>
        <v>0</v>
      </c>
    </row>
    <row r="207" spans="7:35" x14ac:dyDescent="0.25">
      <c r="G207" s="3">
        <f t="shared" ca="1" si="34"/>
        <v>185</v>
      </c>
      <c r="H207" s="105">
        <f t="shared" ca="1" si="36"/>
        <v>45110</v>
      </c>
      <c r="I207" s="133">
        <f ca="1">HLOOKUP($H$4,'Met Data'!$A$2:$F$368,G207,FALSE)</f>
        <v>8.8333333333333304</v>
      </c>
      <c r="J207" s="133">
        <f ca="1">HLOOKUP($H$4,'Met Data'!$H$2:$M$368,G207,FALSE)*L207</f>
        <v>3.5666666666666602</v>
      </c>
      <c r="K207" s="106">
        <f ca="1">HLOOKUP($H$4,'Met Data'!$O$2:$T$368,G207,FALSE)</f>
        <v>0.89125379504041602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45155</v>
      </c>
      <c r="Q207">
        <f ca="1"/>
        <v>173.91988597568832</v>
      </c>
      <c r="R207">
        <f ca="1"/>
        <v>0.13523413615376501</v>
      </c>
      <c r="S207">
        <f ca="1"/>
        <v>1.5687631389026912E-2</v>
      </c>
      <c r="T207">
        <f ca="1"/>
        <v>0.2404166666666665</v>
      </c>
      <c r="U207">
        <f ca="1"/>
        <v>0</v>
      </c>
      <c r="V207">
        <f ca="1"/>
        <v>3.73536022376063</v>
      </c>
      <c r="W207">
        <f ca="1"/>
        <v>3.4171628713661999</v>
      </c>
      <c r="X207">
        <f ca="1"/>
        <v>0</v>
      </c>
      <c r="Y207">
        <f ca="1"/>
        <v>1</v>
      </c>
      <c r="Z207">
        <f ca="1"/>
        <v>5.2286154223918544</v>
      </c>
      <c r="AA207">
        <f ca="1"/>
        <v>0</v>
      </c>
      <c r="AB207">
        <f ca="1"/>
        <v>0.64193495234509101</v>
      </c>
      <c r="AD207" s="2">
        <f t="shared" ca="1" si="32"/>
        <v>45155</v>
      </c>
      <c r="AE207" s="46">
        <f t="shared" ca="1" si="33"/>
        <v>0</v>
      </c>
      <c r="AG207" s="72">
        <f t="shared" ca="1" si="37"/>
        <v>174.05512011184209</v>
      </c>
      <c r="AH207" s="72">
        <f t="shared" ca="1" si="38"/>
        <v>174.05512011184209</v>
      </c>
      <c r="AI207" s="3">
        <f t="shared" ca="1" si="39"/>
        <v>0</v>
      </c>
    </row>
    <row r="208" spans="7:35" x14ac:dyDescent="0.25">
      <c r="G208" s="3">
        <f t="shared" ca="1" si="34"/>
        <v>186</v>
      </c>
      <c r="H208" s="105">
        <f t="shared" ca="1" si="36"/>
        <v>45111</v>
      </c>
      <c r="I208" s="133">
        <f ca="1">HLOOKUP($H$4,'Met Data'!$A$2:$F$368,G208,FALSE)</f>
        <v>8.6</v>
      </c>
      <c r="J208" s="133">
        <f ca="1">HLOOKUP($H$4,'Met Data'!$H$2:$M$368,G208,FALSE)*L208</f>
        <v>0.73333333333333295</v>
      </c>
      <c r="K208" s="106">
        <f ca="1">HLOOKUP($H$4,'Met Data'!$O$2:$T$368,G208,FALSE)</f>
        <v>0.87224086772784204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45156</v>
      </c>
      <c r="Q208">
        <f ca="1"/>
        <v>174.02527992966634</v>
      </c>
      <c r="R208">
        <f ca="1"/>
        <v>0.12818627315973399</v>
      </c>
      <c r="S208">
        <f ca="1"/>
        <v>1.2746893804451655E-2</v>
      </c>
      <c r="T208">
        <f ca="1"/>
        <v>0.22083333333333324</v>
      </c>
      <c r="U208">
        <f ca="1"/>
        <v>0</v>
      </c>
      <c r="V208">
        <f ca="1"/>
        <v>3.8635464969203599</v>
      </c>
      <c r="W208">
        <f ca="1"/>
        <v>3.5344295731086302</v>
      </c>
      <c r="X208">
        <f ca="1"/>
        <v>0</v>
      </c>
      <c r="Y208">
        <f ca="1"/>
        <v>1</v>
      </c>
      <c r="Z208">
        <f ca="1"/>
        <v>1.912020014819575</v>
      </c>
      <c r="AA208">
        <f ca="1"/>
        <v>0</v>
      </c>
      <c r="AB208">
        <f ca="1"/>
        <v>0.66840118892806</v>
      </c>
      <c r="AD208" s="2">
        <f t="shared" ca="1" si="32"/>
        <v>45156</v>
      </c>
      <c r="AE208" s="46">
        <f t="shared" ca="1" si="33"/>
        <v>0</v>
      </c>
      <c r="AG208" s="72">
        <f t="shared" ca="1" si="37"/>
        <v>174.15346620282611</v>
      </c>
      <c r="AH208" s="72">
        <f t="shared" ca="1" si="38"/>
        <v>174.15346620282608</v>
      </c>
      <c r="AI208" s="3">
        <f t="shared" ca="1" si="39"/>
        <v>0</v>
      </c>
    </row>
    <row r="209" spans="7:35" x14ac:dyDescent="0.25">
      <c r="G209" s="3">
        <f t="shared" ca="1" si="34"/>
        <v>187</v>
      </c>
      <c r="H209" s="105">
        <f t="shared" ca="1" si="36"/>
        <v>45112</v>
      </c>
      <c r="I209" s="133">
        <f ca="1">HLOOKUP($H$4,'Met Data'!$A$2:$F$368,G209,FALSE)</f>
        <v>9.4</v>
      </c>
      <c r="J209" s="133">
        <f ca="1">HLOOKUP($H$4,'Met Data'!$H$2:$M$368,G209,FALSE)*L209</f>
        <v>9.9999999999999895E-2</v>
      </c>
      <c r="K209" s="106">
        <f ca="1">HLOOKUP($H$4,'Met Data'!$O$2:$T$368,G209,FALSE)</f>
        <v>0.96939333533810901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45157</v>
      </c>
      <c r="Q209">
        <f ca="1"/>
        <v>174.13265275688082</v>
      </c>
      <c r="R209">
        <f ca="1"/>
        <v>0.141944782386415</v>
      </c>
      <c r="S209">
        <f ca="1"/>
        <v>1.2234276267568477E-2</v>
      </c>
      <c r="T209">
        <f ca="1"/>
        <v>0.23708333333333328</v>
      </c>
      <c r="U209">
        <f ca="1"/>
        <v>0</v>
      </c>
      <c r="V209">
        <f ca="1"/>
        <v>4.0054912793067796</v>
      </c>
      <c r="W209">
        <f ca="1"/>
        <v>3.6642827629213901</v>
      </c>
      <c r="X209">
        <f ca="1"/>
        <v>0</v>
      </c>
      <c r="Y209">
        <f ca="1"/>
        <v>1</v>
      </c>
      <c r="Z209">
        <f ca="1"/>
        <v>0.57240704758538641</v>
      </c>
      <c r="AA209">
        <f ca="1"/>
        <v>0</v>
      </c>
      <c r="AB209">
        <f ca="1"/>
        <v>0.69567293007120901</v>
      </c>
      <c r="AD209" s="2">
        <f t="shared" ca="1" si="32"/>
        <v>45157</v>
      </c>
      <c r="AE209" s="46">
        <f t="shared" ca="1" si="33"/>
        <v>0</v>
      </c>
      <c r="AG209" s="72">
        <f t="shared" ca="1" si="37"/>
        <v>174.27459753926726</v>
      </c>
      <c r="AH209" s="72">
        <f t="shared" ca="1" si="38"/>
        <v>174.27459753926723</v>
      </c>
      <c r="AI209" s="3">
        <f t="shared" ca="1" si="39"/>
        <v>0</v>
      </c>
    </row>
    <row r="210" spans="7:35" x14ac:dyDescent="0.25">
      <c r="G210" s="3">
        <f t="shared" ca="1" si="34"/>
        <v>188</v>
      </c>
      <c r="H210" s="105">
        <f t="shared" ca="1" si="36"/>
        <v>45113</v>
      </c>
      <c r="I210" s="133">
        <f ca="1">HLOOKUP($H$4,'Met Data'!$A$2:$F$368,G210,FALSE)</f>
        <v>9.12083333333333</v>
      </c>
      <c r="J210" s="133">
        <f ca="1">HLOOKUP($H$4,'Met Data'!$H$2:$M$368,G210,FALSE)*L210</f>
        <v>2.18333333333333</v>
      </c>
      <c r="K210" s="106">
        <f ca="1">HLOOKUP($H$4,'Met Data'!$O$2:$T$368,G210,FALSE)</f>
        <v>0.851628840058262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45158</v>
      </c>
      <c r="Q210">
        <f ca="1"/>
        <v>174.2317025570332</v>
      </c>
      <c r="R210">
        <f ca="1"/>
        <v>0.14299331293759199</v>
      </c>
      <c r="S210">
        <f ca="1"/>
        <v>1.058477975664553E-2</v>
      </c>
      <c r="T210">
        <f ca="1"/>
        <v>0.23145833333333321</v>
      </c>
      <c r="U210">
        <f ca="1"/>
        <v>0</v>
      </c>
      <c r="V210">
        <f ca="1"/>
        <v>4.1484845922443698</v>
      </c>
      <c r="W210">
        <f ca="1"/>
        <v>3.7950951640161499</v>
      </c>
      <c r="X210">
        <f ca="1"/>
        <v>0</v>
      </c>
      <c r="Y210">
        <f ca="1"/>
        <v>1</v>
      </c>
      <c r="Z210">
        <f ca="1"/>
        <v>2.2077225249515067</v>
      </c>
      <c r="AA210">
        <f ca="1"/>
        <v>0</v>
      </c>
      <c r="AB210">
        <f ca="1"/>
        <v>0.72103582287576795</v>
      </c>
      <c r="AD210" s="2">
        <f t="shared" ca="1" si="32"/>
        <v>45158</v>
      </c>
      <c r="AE210" s="46">
        <f t="shared" ca="1" si="33"/>
        <v>0</v>
      </c>
      <c r="AG210" s="72">
        <f t="shared" ca="1" si="37"/>
        <v>174.37469586997079</v>
      </c>
      <c r="AH210" s="72">
        <f t="shared" ca="1" si="38"/>
        <v>174.37469586997079</v>
      </c>
      <c r="AI210" s="3">
        <f t="shared" ca="1" si="39"/>
        <v>0</v>
      </c>
    </row>
    <row r="211" spans="7:35" x14ac:dyDescent="0.25">
      <c r="G211" s="3">
        <f t="shared" ca="1" si="34"/>
        <v>189</v>
      </c>
      <c r="H211" s="105">
        <f t="shared" ca="1" si="36"/>
        <v>45114</v>
      </c>
      <c r="I211" s="133">
        <f ca="1">HLOOKUP($H$4,'Met Data'!$A$2:$F$368,G211,FALSE)</f>
        <v>9.6583333333333297</v>
      </c>
      <c r="J211" s="133">
        <f ca="1">HLOOKUP($H$4,'Met Data'!$H$2:$M$368,G211,FALSE)*L211</f>
        <v>4.5666666666666602</v>
      </c>
      <c r="K211" s="106">
        <f ca="1">HLOOKUP($H$4,'Met Data'!$O$2:$T$368,G211,FALSE)</f>
        <v>0.80851868655974801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45159</v>
      </c>
      <c r="Q211">
        <f ca="1"/>
        <v>174.33015776189364</v>
      </c>
      <c r="R211">
        <f ca="1"/>
        <v>0.15574526895521201</v>
      </c>
      <c r="S211">
        <f ca="1"/>
        <v>9.929640482324387E-3</v>
      </c>
      <c r="T211">
        <f ca="1"/>
        <v>0.24427083333333324</v>
      </c>
      <c r="U211">
        <f ca="1"/>
        <v>0</v>
      </c>
      <c r="V211">
        <f ca="1"/>
        <v>4.3042298611995804</v>
      </c>
      <c r="W211">
        <f ca="1"/>
        <v>3.9375732433936901</v>
      </c>
      <c r="X211">
        <f ca="1"/>
        <v>0</v>
      </c>
      <c r="Y211">
        <f ca="1"/>
        <v>1</v>
      </c>
      <c r="Z211">
        <f ca="1"/>
        <v>0.66201845026684225</v>
      </c>
      <c r="AA211">
        <f ca="1"/>
        <v>0</v>
      </c>
      <c r="AB211">
        <f ca="1"/>
        <v>0.746348909506929</v>
      </c>
      <c r="AD211" s="2">
        <f t="shared" ca="1" si="32"/>
        <v>45159</v>
      </c>
      <c r="AE211" s="46">
        <f t="shared" ca="1" si="33"/>
        <v>0</v>
      </c>
      <c r="AG211" s="72">
        <f t="shared" ca="1" si="37"/>
        <v>174.48590303084885</v>
      </c>
      <c r="AH211" s="72">
        <f t="shared" ca="1" si="38"/>
        <v>174.48590303084885</v>
      </c>
      <c r="AI211" s="3">
        <f t="shared" ca="1" si="39"/>
        <v>0</v>
      </c>
    </row>
    <row r="212" spans="7:35" x14ac:dyDescent="0.25">
      <c r="G212" s="3">
        <f t="shared" ca="1" si="34"/>
        <v>190</v>
      </c>
      <c r="H212" s="105">
        <f t="shared" ca="1" si="36"/>
        <v>45115</v>
      </c>
      <c r="I212" s="133">
        <f ca="1">HLOOKUP($H$4,'Met Data'!$A$2:$F$368,G212,FALSE)</f>
        <v>8.5291666666666597</v>
      </c>
      <c r="J212" s="133">
        <f ca="1">HLOOKUP($H$4,'Met Data'!$H$2:$M$368,G212,FALSE)*L212</f>
        <v>3.7833333333333301</v>
      </c>
      <c r="K212" s="106">
        <f ca="1">HLOOKUP($H$4,'Met Data'!$O$2:$T$368,G212,FALSE)</f>
        <v>1.09493770994468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45160</v>
      </c>
      <c r="Q212">
        <f ca="1"/>
        <v>174.42007987947053</v>
      </c>
      <c r="R212">
        <f ca="1"/>
        <v>0.15663983151774599</v>
      </c>
      <c r="S212">
        <f ca="1"/>
        <v>8.5411157612958165E-3</v>
      </c>
      <c r="T212">
        <f ca="1"/>
        <v>0.23802083333333326</v>
      </c>
      <c r="U212">
        <f ca="1"/>
        <v>0</v>
      </c>
      <c r="V212">
        <f ca="1"/>
        <v>4.4608696927173304</v>
      </c>
      <c r="W212">
        <f ca="1"/>
        <v>4.0808696818562202</v>
      </c>
      <c r="X212">
        <f ca="1"/>
        <v>0</v>
      </c>
      <c r="Y212">
        <f ca="1"/>
        <v>1</v>
      </c>
      <c r="Z212">
        <f ca="1"/>
        <v>2.7903834843362318</v>
      </c>
      <c r="AA212">
        <f ca="1"/>
        <v>0</v>
      </c>
      <c r="AB212">
        <f ca="1"/>
        <v>0.76950972391212102</v>
      </c>
      <c r="AD212" s="2">
        <f t="shared" ca="1" si="32"/>
        <v>45160</v>
      </c>
      <c r="AE212" s="46">
        <f t="shared" ca="1" si="33"/>
        <v>0</v>
      </c>
      <c r="AG212" s="72">
        <f t="shared" ca="1" si="37"/>
        <v>174.57671971098827</v>
      </c>
      <c r="AH212" s="72">
        <f t="shared" ca="1" si="38"/>
        <v>174.57671971098827</v>
      </c>
      <c r="AI212" s="3">
        <f t="shared" ca="1" si="39"/>
        <v>0</v>
      </c>
    </row>
    <row r="213" spans="7:35" x14ac:dyDescent="0.25">
      <c r="G213" s="3">
        <f t="shared" ca="1" si="34"/>
        <v>191</v>
      </c>
      <c r="H213" s="105">
        <f t="shared" ca="1" si="36"/>
        <v>45116</v>
      </c>
      <c r="I213" s="133">
        <f ca="1">HLOOKUP($H$4,'Met Data'!$A$2:$F$368,G213,FALSE)</f>
        <v>8.1583333333333297</v>
      </c>
      <c r="J213" s="133">
        <f ca="1">HLOOKUP($H$4,'Met Data'!$H$2:$M$368,G213,FALSE)*L213</f>
        <v>4.18333333333333</v>
      </c>
      <c r="K213" s="106">
        <f ca="1">HLOOKUP($H$4,'Met Data'!$O$2:$T$368,G213,FALSE)</f>
        <v>0.89025740200721304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45161</v>
      </c>
      <c r="Q213">
        <f ca="1"/>
        <v>174.50460966506989</v>
      </c>
      <c r="R213">
        <f ca="1"/>
        <v>0.16256102625921401</v>
      </c>
      <c r="S213">
        <f ca="1"/>
        <v>7.6116451919126015E-3</v>
      </c>
      <c r="T213">
        <f ca="1"/>
        <v>0.23947916666666649</v>
      </c>
      <c r="U213">
        <f ca="1"/>
        <v>0</v>
      </c>
      <c r="V213">
        <f ca="1"/>
        <v>4.6234307189765396</v>
      </c>
      <c r="W213">
        <f ca="1"/>
        <v>4.2295829169896502</v>
      </c>
      <c r="X213">
        <f ca="1"/>
        <v>0</v>
      </c>
      <c r="Y213">
        <f ca="1"/>
        <v>1</v>
      </c>
      <c r="Z213">
        <f ca="1"/>
        <v>4.0593681295817419E-2</v>
      </c>
      <c r="AA213">
        <f ca="1"/>
        <v>0</v>
      </c>
      <c r="AB213">
        <f ca="1"/>
        <v>0.79127536678274701</v>
      </c>
      <c r="AD213" s="2">
        <f t="shared" ca="1" si="32"/>
        <v>45161</v>
      </c>
      <c r="AE213" s="46">
        <f t="shared" ca="1" si="33"/>
        <v>0</v>
      </c>
      <c r="AG213" s="72">
        <f t="shared" ca="1" si="37"/>
        <v>174.66717069132909</v>
      </c>
      <c r="AH213" s="72">
        <f t="shared" ca="1" si="38"/>
        <v>174.66717069132912</v>
      </c>
      <c r="AI213" s="3">
        <f t="shared" ca="1" si="39"/>
        <v>0</v>
      </c>
    </row>
    <row r="214" spans="7:35" x14ac:dyDescent="0.25">
      <c r="G214" s="3">
        <f t="shared" ca="1" si="34"/>
        <v>192</v>
      </c>
      <c r="H214" s="105">
        <f t="shared" ca="1" si="36"/>
        <v>45117</v>
      </c>
      <c r="I214" s="133">
        <f ca="1">HLOOKUP($H$4,'Met Data'!$A$2:$F$368,G214,FALSE)</f>
        <v>8.24166666666666</v>
      </c>
      <c r="J214" s="133">
        <f ca="1">HLOOKUP($H$4,'Met Data'!$H$2:$M$368,G214,FALSE)*L214</f>
        <v>2.2666666666666599</v>
      </c>
      <c r="K214" s="106">
        <f ca="1">HLOOKUP($H$4,'Met Data'!$O$2:$T$368,G214,FALSE)</f>
        <v>1.06467045295546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45162</v>
      </c>
      <c r="Q214">
        <f ca="1"/>
        <v>174.5856333409331</v>
      </c>
      <c r="R214">
        <f ca="1"/>
        <v>0.173117350560233</v>
      </c>
      <c r="S214">
        <f ca="1"/>
        <v>6.9535264234291631E-3</v>
      </c>
      <c r="T214">
        <f ca="1"/>
        <v>0.2471875</v>
      </c>
      <c r="U214">
        <f ca="1"/>
        <v>0</v>
      </c>
      <c r="V214">
        <f ca="1"/>
        <v>4.7965480695367697</v>
      </c>
      <c r="W214">
        <f ca="1"/>
        <v>4.38795323398364</v>
      </c>
      <c r="X214">
        <f ca="1"/>
        <v>0</v>
      </c>
      <c r="Y214">
        <f ca="1"/>
        <v>0.99023327623504509</v>
      </c>
      <c r="Z214">
        <f ca="1"/>
        <v>0</v>
      </c>
      <c r="AA214">
        <f ca="1"/>
        <v>0</v>
      </c>
      <c r="AB214">
        <f ca="1"/>
        <v>0.81211411486108198</v>
      </c>
      <c r="AD214" s="2">
        <f t="shared" ca="1" si="32"/>
        <v>45162</v>
      </c>
      <c r="AE214" s="46">
        <f t="shared" ca="1" si="33"/>
        <v>0</v>
      </c>
      <c r="AG214" s="72">
        <f t="shared" ca="1" si="37"/>
        <v>174.7587506914933</v>
      </c>
      <c r="AH214" s="72">
        <f t="shared" ca="1" si="38"/>
        <v>174.75875069149333</v>
      </c>
      <c r="AI214" s="3">
        <f t="shared" ca="1" si="39"/>
        <v>0</v>
      </c>
    </row>
    <row r="215" spans="7:35" x14ac:dyDescent="0.25">
      <c r="G215" s="3">
        <f t="shared" ca="1" si="34"/>
        <v>193</v>
      </c>
      <c r="H215" s="105">
        <f t="shared" ca="1" si="36"/>
        <v>45118</v>
      </c>
      <c r="I215" s="133">
        <f ca="1">HLOOKUP($H$4,'Met Data'!$A$2:$F$368,G215,FALSE)</f>
        <v>8.0333333333333297</v>
      </c>
      <c r="J215" s="133">
        <f ca="1">HLOOKUP($H$4,'Met Data'!$H$2:$M$368,G215,FALSE)*L215</f>
        <v>4.6500000000000004</v>
      </c>
      <c r="K215" s="106">
        <f ca="1">HLOOKUP($H$4,'Met Data'!$O$2:$T$368,G215,FALSE)</f>
        <v>1.03430816091664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45163</v>
      </c>
      <c r="Q215">
        <f ca="1"/>
        <v>174.6591064785714</v>
      </c>
      <c r="R215">
        <f ca="1"/>
        <v>0.1755728825334</v>
      </c>
      <c r="S215">
        <f ca="1"/>
        <v>6.0251868383918725E-3</v>
      </c>
      <c r="T215">
        <f ca="1"/>
        <v>0.24302083333333327</v>
      </c>
      <c r="U215">
        <f ca="1"/>
        <v>0</v>
      </c>
      <c r="V215">
        <f ca="1"/>
        <v>4.9721209520701697</v>
      </c>
      <c r="W215">
        <f ca="1"/>
        <v>4.5485699080049402</v>
      </c>
      <c r="X215">
        <f ca="1"/>
        <v>0</v>
      </c>
      <c r="Y215">
        <f ca="1"/>
        <v>0.9986806800528929</v>
      </c>
      <c r="Z215">
        <f ca="1"/>
        <v>0</v>
      </c>
      <c r="AA215">
        <f ca="1"/>
        <v>0</v>
      </c>
      <c r="AB215">
        <f ca="1"/>
        <v>0.83100558226063304</v>
      </c>
      <c r="AD215" s="2">
        <f t="shared" ca="1" si="32"/>
        <v>45163</v>
      </c>
      <c r="AE215" s="46">
        <f t="shared" ca="1" si="33"/>
        <v>0</v>
      </c>
      <c r="AG215" s="72">
        <f t="shared" ca="1" si="37"/>
        <v>174.83467936110483</v>
      </c>
      <c r="AH215" s="72">
        <f t="shared" ca="1" si="38"/>
        <v>174.8346793611048</v>
      </c>
      <c r="AI215" s="3">
        <f t="shared" ca="1" si="39"/>
        <v>0</v>
      </c>
    </row>
    <row r="216" spans="7:35" x14ac:dyDescent="0.25">
      <c r="G216" s="3">
        <f t="shared" ca="1" si="34"/>
        <v>194</v>
      </c>
      <c r="H216" s="105">
        <f t="shared" ca="1" si="36"/>
        <v>45119</v>
      </c>
      <c r="I216" s="133">
        <f ca="1">HLOOKUP($H$4,'Met Data'!$A$2:$F$368,G216,FALSE)</f>
        <v>8.37083333333333</v>
      </c>
      <c r="J216" s="133">
        <f ca="1">HLOOKUP($H$4,'Met Data'!$H$2:$M$368,G216,FALSE)*L216</f>
        <v>1.61666666666666</v>
      </c>
      <c r="K216" s="106">
        <f ca="1">HLOOKUP($H$4,'Met Data'!$O$2:$T$368,G216,FALSE)</f>
        <v>1.0039262064680501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45164</v>
      </c>
      <c r="Q216">
        <f ca="1"/>
        <v>174.7330394806861</v>
      </c>
      <c r="R216">
        <f ca="1"/>
        <v>0.199851251820478</v>
      </c>
      <c r="S216">
        <f ca="1"/>
        <v>5.867587268486716E-3</v>
      </c>
      <c r="T216">
        <f ca="1"/>
        <v>0.26791666666666497</v>
      </c>
      <c r="U216">
        <f ca="1"/>
        <v>0</v>
      </c>
      <c r="V216">
        <f ca="1"/>
        <v>5.1719722038906504</v>
      </c>
      <c r="W216">
        <f ca="1"/>
        <v>4.7313967939296004</v>
      </c>
      <c r="X216">
        <f ca="1"/>
        <v>0</v>
      </c>
      <c r="Y216">
        <f ca="1"/>
        <v>1</v>
      </c>
      <c r="Z216">
        <f ca="1"/>
        <v>1.4186818227551043</v>
      </c>
      <c r="AA216">
        <f ca="1"/>
        <v>0</v>
      </c>
      <c r="AB216">
        <f ca="1"/>
        <v>0.85004412034474996</v>
      </c>
      <c r="AD216" s="2">
        <f t="shared" ca="1" si="32"/>
        <v>45164</v>
      </c>
      <c r="AE216" s="46">
        <f t="shared" ca="1" si="33"/>
        <v>0</v>
      </c>
      <c r="AG216" s="72">
        <f t="shared" ca="1" si="37"/>
        <v>174.93289073250656</v>
      </c>
      <c r="AH216" s="72">
        <f t="shared" ca="1" si="38"/>
        <v>174.93289073250659</v>
      </c>
      <c r="AI216" s="3">
        <f t="shared" ca="1" si="39"/>
        <v>0</v>
      </c>
    </row>
    <row r="217" spans="7:35" x14ac:dyDescent="0.25">
      <c r="G217" s="3">
        <f t="shared" ca="1" si="34"/>
        <v>195</v>
      </c>
      <c r="H217" s="105">
        <f t="shared" ca="1" si="36"/>
        <v>45120</v>
      </c>
      <c r="I217" s="133">
        <f ca="1">HLOOKUP($H$4,'Met Data'!$A$2:$F$368,G217,FALSE)</f>
        <v>8.0916666666666597</v>
      </c>
      <c r="J217" s="133">
        <f ca="1">HLOOKUP($H$4,'Met Data'!$H$2:$M$368,G217,FALSE)*L217</f>
        <v>5.0666666666666602</v>
      </c>
      <c r="K217" s="106">
        <f ca="1">HLOOKUP($H$4,'Met Data'!$O$2:$T$368,G217,FALSE)</f>
        <v>0.87492032925951801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45165</v>
      </c>
      <c r="Q217">
        <f ca="1"/>
        <v>174.79971795347137</v>
      </c>
      <c r="R217">
        <f ca="1"/>
        <v>0.207306601005672</v>
      </c>
      <c r="S217">
        <f ca="1"/>
        <v>5.1309071242631506E-3</v>
      </c>
      <c r="T217">
        <f ca="1"/>
        <v>0.26885416666666501</v>
      </c>
      <c r="U217">
        <f ca="1"/>
        <v>0</v>
      </c>
      <c r="V217">
        <f ca="1"/>
        <v>5.3792788048963196</v>
      </c>
      <c r="W217">
        <f ca="1"/>
        <v>4.9210439437384901</v>
      </c>
      <c r="X217">
        <f ca="1"/>
        <v>0</v>
      </c>
      <c r="Y217">
        <f ca="1"/>
        <v>0.99482487192499691</v>
      </c>
      <c r="Z217">
        <f ca="1"/>
        <v>0</v>
      </c>
      <c r="AA217">
        <f ca="1"/>
        <v>0</v>
      </c>
      <c r="AB217">
        <f ca="1"/>
        <v>0.86733762548500903</v>
      </c>
      <c r="AD217" s="2">
        <f t="shared" ca="1" si="32"/>
        <v>45165</v>
      </c>
      <c r="AE217" s="46">
        <f t="shared" ca="1" si="33"/>
        <v>0</v>
      </c>
      <c r="AG217" s="72">
        <f t="shared" ca="1" si="37"/>
        <v>175.00702455447703</v>
      </c>
      <c r="AH217" s="72">
        <f t="shared" ca="1" si="38"/>
        <v>175.00702455447706</v>
      </c>
      <c r="AI217" s="3">
        <f t="shared" ca="1" si="39"/>
        <v>0</v>
      </c>
    </row>
    <row r="218" spans="7:35" x14ac:dyDescent="0.25">
      <c r="G218" s="3">
        <f t="shared" ca="1" si="34"/>
        <v>196</v>
      </c>
      <c r="H218" s="105">
        <f t="shared" ca="1" si="36"/>
        <v>45121</v>
      </c>
      <c r="I218" s="133">
        <f ca="1">HLOOKUP($H$4,'Met Data'!$A$2:$F$368,G218,FALSE)</f>
        <v>7.9156250000000004</v>
      </c>
      <c r="J218" s="133">
        <f ca="1">HLOOKUP($H$4,'Met Data'!$H$2:$M$368,G218,FALSE)*L218</f>
        <v>4.1666666666666599</v>
      </c>
      <c r="K218" s="106">
        <f ca="1">HLOOKUP($H$4,'Met Data'!$O$2:$T$368,G218,FALSE)</f>
        <v>0.80250527716076203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45166</v>
      </c>
      <c r="Q218">
        <f ca="1"/>
        <v>174.86054512989389</v>
      </c>
      <c r="R218">
        <f ca="1"/>
        <v>0.220861701687735</v>
      </c>
      <c r="S218">
        <f ca="1"/>
        <v>4.6055447769363985E-3</v>
      </c>
      <c r="T218">
        <f ca="1"/>
        <v>0.27708333333333252</v>
      </c>
      <c r="U218">
        <f ca="1"/>
        <v>0</v>
      </c>
      <c r="V218">
        <f ca="1"/>
        <v>5.6001405065840597</v>
      </c>
      <c r="W218">
        <f ca="1"/>
        <v>5.1230915004676403</v>
      </c>
      <c r="X218">
        <f ca="1"/>
        <v>0</v>
      </c>
      <c r="Y218">
        <f ca="1"/>
        <v>0.99697881680483103</v>
      </c>
      <c r="Z218">
        <f ca="1"/>
        <v>0</v>
      </c>
      <c r="AA218">
        <f ca="1"/>
        <v>0</v>
      </c>
      <c r="AB218">
        <f ca="1"/>
        <v>0.88336218679955103</v>
      </c>
      <c r="AD218" s="2">
        <f t="shared" ca="1" si="32"/>
        <v>45166</v>
      </c>
      <c r="AE218" s="46">
        <f t="shared" ca="1" si="33"/>
        <v>0</v>
      </c>
      <c r="AG218" s="72">
        <f t="shared" ca="1" si="37"/>
        <v>175.08140683158166</v>
      </c>
      <c r="AH218" s="72">
        <f t="shared" ca="1" si="38"/>
        <v>175.08140683158163</v>
      </c>
      <c r="AI218" s="3">
        <f t="shared" ca="1" si="39"/>
        <v>0</v>
      </c>
    </row>
    <row r="219" spans="7:35" x14ac:dyDescent="0.25">
      <c r="G219" s="3">
        <f t="shared" ca="1" si="34"/>
        <v>197</v>
      </c>
      <c r="H219" s="105">
        <f t="shared" ca="1" si="36"/>
        <v>45122</v>
      </c>
      <c r="I219" s="133">
        <f ca="1">HLOOKUP($H$4,'Met Data'!$A$2:$F$368,G219,FALSE)</f>
        <v>8.8590909090909093</v>
      </c>
      <c r="J219" s="133">
        <f ca="1">HLOOKUP($H$4,'Met Data'!$H$2:$M$368,G219,FALSE)*L219</f>
        <v>2.0666666666666602</v>
      </c>
      <c r="K219" s="106">
        <f ca="1">HLOOKUP($H$4,'Met Data'!$O$2:$T$368,G219,FALSE)</f>
        <v>0.97822362204517799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45167</v>
      </c>
      <c r="Q219">
        <f ca="1"/>
        <v>174.9110798667692</v>
      </c>
      <c r="R219">
        <f ca="1"/>
        <v>0.217755800313746</v>
      </c>
      <c r="S219">
        <f ca="1"/>
        <v>3.811370522388034E-3</v>
      </c>
      <c r="T219">
        <f ca="1"/>
        <v>0.26447916666666499</v>
      </c>
      <c r="U219">
        <f ca="1"/>
        <v>0</v>
      </c>
      <c r="V219">
        <f ca="1"/>
        <v>5.8178963068978096</v>
      </c>
      <c r="W219">
        <f ca="1"/>
        <v>5.3222977326065104</v>
      </c>
      <c r="X219">
        <f ca="1"/>
        <v>0</v>
      </c>
      <c r="Y219">
        <f ca="1"/>
        <v>1</v>
      </c>
      <c r="Z219">
        <f ca="1"/>
        <v>1.1480891188504643</v>
      </c>
      <c r="AA219">
        <f ca="1"/>
        <v>0</v>
      </c>
      <c r="AB219">
        <f ca="1"/>
        <v>0.89706345715138402</v>
      </c>
      <c r="AD219" s="2">
        <f t="shared" ca="1" si="32"/>
        <v>45167</v>
      </c>
      <c r="AE219" s="46">
        <f t="shared" ca="1" si="33"/>
        <v>0</v>
      </c>
      <c r="AG219" s="72">
        <f t="shared" ca="1" si="37"/>
        <v>175.12883566708294</v>
      </c>
      <c r="AH219" s="72">
        <f t="shared" ca="1" si="38"/>
        <v>175.12883566708294</v>
      </c>
      <c r="AI219" s="3">
        <f t="shared" ca="1" si="39"/>
        <v>0</v>
      </c>
    </row>
    <row r="220" spans="7:35" x14ac:dyDescent="0.25">
      <c r="G220" s="3">
        <f t="shared" ca="1" si="34"/>
        <v>198</v>
      </c>
      <c r="H220" s="105">
        <f t="shared" ca="1" si="36"/>
        <v>45123</v>
      </c>
      <c r="I220" s="133">
        <f ca="1">HLOOKUP($H$4,'Met Data'!$A$2:$F$368,G220,FALSE)</f>
        <v>8.8590909090909093</v>
      </c>
      <c r="J220" s="133">
        <f ca="1">HLOOKUP($H$4,'Met Data'!$H$2:$M$368,G220,FALSE)*L220</f>
        <v>6.0666666666666602</v>
      </c>
      <c r="K220" s="106">
        <f ca="1">HLOOKUP($H$4,'Met Data'!$O$2:$T$368,G220,FALSE)</f>
        <v>0.78802331007485205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45168</v>
      </c>
      <c r="Q220">
        <f ca="1"/>
        <v>174.9562710627207</v>
      </c>
      <c r="R220">
        <f ca="1"/>
        <v>0.236327527482357</v>
      </c>
      <c r="S220">
        <f ca="1"/>
        <v>3.4978901005394626E-3</v>
      </c>
      <c r="T220">
        <f ca="1"/>
        <v>0.2780208333333325</v>
      </c>
      <c r="U220">
        <f ca="1"/>
        <v>0</v>
      </c>
      <c r="V220">
        <f ca="1"/>
        <v>6.05422383438016</v>
      </c>
      <c r="W220">
        <f ca="1"/>
        <v>5.5384936558959303</v>
      </c>
      <c r="X220">
        <f ca="1"/>
        <v>0</v>
      </c>
      <c r="Y220">
        <f ca="1"/>
        <v>0.99823687024669172</v>
      </c>
      <c r="Z220">
        <f ca="1"/>
        <v>0</v>
      </c>
      <c r="AA220">
        <f ca="1"/>
        <v>0</v>
      </c>
      <c r="AB220">
        <f ca="1"/>
        <v>0.90991128664129906</v>
      </c>
      <c r="AD220" s="2">
        <f t="shared" ca="1" si="32"/>
        <v>45168</v>
      </c>
      <c r="AE220" s="46">
        <f t="shared" ca="1" si="33"/>
        <v>0</v>
      </c>
      <c r="AG220" s="72">
        <f t="shared" ca="1" si="37"/>
        <v>175.19259859020306</v>
      </c>
      <c r="AH220" s="72">
        <f t="shared" ca="1" si="38"/>
        <v>175.19259859020306</v>
      </c>
      <c r="AI220" s="3">
        <f t="shared" ca="1" si="39"/>
        <v>0</v>
      </c>
    </row>
    <row r="221" spans="7:35" x14ac:dyDescent="0.25">
      <c r="G221" s="3">
        <f t="shared" ca="1" si="34"/>
        <v>199</v>
      </c>
      <c r="H221" s="105">
        <f t="shared" ca="1" si="36"/>
        <v>45124</v>
      </c>
      <c r="I221" s="133">
        <f ca="1">HLOOKUP($H$4,'Met Data'!$A$2:$F$368,G221,FALSE)</f>
        <v>9.5909090909090899</v>
      </c>
      <c r="J221" s="133">
        <f ca="1">HLOOKUP($H$4,'Met Data'!$H$2:$M$368,G221,FALSE)*L221</f>
        <v>4.5999999999999996</v>
      </c>
      <c r="K221" s="106">
        <f ca="1">HLOOKUP($H$4,'Met Data'!$O$2:$T$368,G221,FALSE)</f>
        <v>0.944748845250029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45169</v>
      </c>
      <c r="Q221">
        <f ca="1"/>
        <v>174.99192153060926</v>
      </c>
      <c r="R221">
        <f ca="1"/>
        <v>0.233923507682777</v>
      </c>
      <c r="S221">
        <f ca="1"/>
        <v>2.9073089046659827E-3</v>
      </c>
      <c r="T221">
        <f ca="1"/>
        <v>0.266666666666665</v>
      </c>
      <c r="U221">
        <f ca="1"/>
        <v>0</v>
      </c>
      <c r="V221">
        <f ca="1"/>
        <v>6.2881473420629401</v>
      </c>
      <c r="W221">
        <f ca="1"/>
        <v>5.7524903462575798</v>
      </c>
      <c r="X221">
        <f ca="1"/>
        <v>0</v>
      </c>
      <c r="Y221">
        <f ca="1"/>
        <v>0.99762081061933483</v>
      </c>
      <c r="Z221">
        <f ca="1"/>
        <v>0</v>
      </c>
      <c r="AA221">
        <f ca="1"/>
        <v>0</v>
      </c>
      <c r="AB221">
        <f ca="1"/>
        <v>0.920858222278223</v>
      </c>
      <c r="AD221" s="2">
        <f t="shared" ca="1" si="32"/>
        <v>45169</v>
      </c>
      <c r="AE221" s="46">
        <f t="shared" ca="1" si="33"/>
        <v>0</v>
      </c>
      <c r="AG221" s="72">
        <f t="shared" ca="1" si="37"/>
        <v>175.22584503829202</v>
      </c>
      <c r="AH221" s="72">
        <f t="shared" ca="1" si="38"/>
        <v>175.22584503829205</v>
      </c>
      <c r="AI221" s="3">
        <f t="shared" ca="1" si="39"/>
        <v>0</v>
      </c>
    </row>
    <row r="222" spans="7:35" x14ac:dyDescent="0.25">
      <c r="G222" s="3">
        <f t="shared" ca="1" si="34"/>
        <v>200</v>
      </c>
      <c r="H222" s="105">
        <f t="shared" ca="1" si="36"/>
        <v>45125</v>
      </c>
      <c r="I222" s="133">
        <f ca="1">HLOOKUP($H$4,'Met Data'!$A$2:$F$368,G222,FALSE)</f>
        <v>8.8450000000000006</v>
      </c>
      <c r="J222" s="133">
        <f ca="1">HLOOKUP($H$4,'Met Data'!$H$2:$M$368,G222,FALSE)*L222</f>
        <v>1.1000000000000001</v>
      </c>
      <c r="K222" s="106">
        <f ca="1">HLOOKUP($H$4,'Met Data'!$O$2:$T$368,G222,FALSE)</f>
        <v>1.0240187106181899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45170</v>
      </c>
      <c r="Q222">
        <f ca="1"/>
        <v>175.01875302598182</v>
      </c>
      <c r="R222">
        <f ca="1"/>
        <v>0.22859478175110001</v>
      </c>
      <c r="S222">
        <f ca="1"/>
        <v>2.4054437903383535E-3</v>
      </c>
      <c r="T222">
        <f ca="1"/>
        <v>0.25302083333333253</v>
      </c>
      <c r="U222">
        <f ca="1"/>
        <v>0</v>
      </c>
      <c r="V222">
        <f ca="1"/>
        <v>6.5167421238140397</v>
      </c>
      <c r="W222">
        <f ca="1"/>
        <v>5.9616122391928403</v>
      </c>
      <c r="X222">
        <f ca="1"/>
        <v>0</v>
      </c>
      <c r="Y222">
        <f ca="1"/>
        <v>0.98925288101667064</v>
      </c>
      <c r="Z222">
        <f ca="1"/>
        <v>0</v>
      </c>
      <c r="AA222">
        <f ca="1"/>
        <v>0</v>
      </c>
      <c r="AB222">
        <f ca="1"/>
        <v>0.930107165045164</v>
      </c>
      <c r="AD222" s="2">
        <f t="shared" ca="1" si="32"/>
        <v>45170</v>
      </c>
      <c r="AE222" s="46">
        <f t="shared" ca="1" si="33"/>
        <v>0</v>
      </c>
      <c r="AG222" s="72">
        <f t="shared" ca="1" si="37"/>
        <v>175.24734780773292</v>
      </c>
      <c r="AH222" s="72">
        <f t="shared" ca="1" si="38"/>
        <v>175.24734780773292</v>
      </c>
      <c r="AI222" s="3">
        <f t="shared" ca="1" si="39"/>
        <v>0</v>
      </c>
    </row>
    <row r="223" spans="7:35" x14ac:dyDescent="0.25">
      <c r="G223" s="3">
        <f t="shared" ca="1" si="34"/>
        <v>201</v>
      </c>
      <c r="H223" s="105">
        <f t="shared" ca="1" si="36"/>
        <v>45126</v>
      </c>
      <c r="I223" s="133">
        <f ca="1">HLOOKUP($H$4,'Met Data'!$A$2:$F$368,G223,FALSE)</f>
        <v>8.99166666666666</v>
      </c>
      <c r="J223" s="133">
        <f ca="1">HLOOKUP($H$4,'Met Data'!$H$2:$M$368,G223,FALSE)*L223</f>
        <v>1.3499999999999901</v>
      </c>
      <c r="K223" s="106">
        <f ca="1">HLOOKUP($H$4,'Met Data'!$O$2:$T$368,G223,FALSE)</f>
        <v>1.16174529470798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45171</v>
      </c>
      <c r="Q223">
        <f ca="1"/>
        <v>175.03799364302995</v>
      </c>
      <c r="R223">
        <f ca="1"/>
        <v>0.22433948230422601</v>
      </c>
      <c r="S223">
        <f ca="1"/>
        <v>2.0175993523269243E-3</v>
      </c>
      <c r="T223">
        <f ca="1"/>
        <v>0.24156250000000001</v>
      </c>
      <c r="U223">
        <f ca="1"/>
        <v>0</v>
      </c>
      <c r="V223">
        <f ca="1"/>
        <v>6.7410816061182697</v>
      </c>
      <c r="W223">
        <f ca="1"/>
        <v>6.1668413211526296</v>
      </c>
      <c r="X223">
        <f ca="1"/>
        <v>0</v>
      </c>
      <c r="Y223">
        <f ca="1"/>
        <v>1</v>
      </c>
      <c r="Z223">
        <f ca="1"/>
        <v>0.34289820378837987</v>
      </c>
      <c r="AA223">
        <f ca="1"/>
        <v>0</v>
      </c>
      <c r="AB223">
        <f ca="1"/>
        <v>0.93799487950629201</v>
      </c>
      <c r="AD223" s="2">
        <f t="shared" ca="1" si="32"/>
        <v>45171</v>
      </c>
      <c r="AE223" s="46">
        <f t="shared" ca="1" si="33"/>
        <v>0</v>
      </c>
      <c r="AG223" s="72">
        <f t="shared" ca="1" si="37"/>
        <v>175.26233312533412</v>
      </c>
      <c r="AH223" s="72">
        <f t="shared" ca="1" si="38"/>
        <v>175.26233312533418</v>
      </c>
      <c r="AI223" s="3">
        <f t="shared" ca="1" si="39"/>
        <v>0</v>
      </c>
    </row>
    <row r="224" spans="7:35" x14ac:dyDescent="0.25">
      <c r="G224" s="3">
        <f t="shared" ca="1" si="34"/>
        <v>202</v>
      </c>
      <c r="H224" s="105">
        <f t="shared" ca="1" si="36"/>
        <v>45127</v>
      </c>
      <c r="I224" s="133">
        <f ca="1">HLOOKUP($H$4,'Met Data'!$A$2:$F$368,G224,FALSE)</f>
        <v>9.5</v>
      </c>
      <c r="J224" s="133">
        <f ca="1">HLOOKUP($H$4,'Met Data'!$H$2:$M$368,G224,FALSE)*L224</f>
        <v>2.75</v>
      </c>
      <c r="K224" s="106">
        <f ca="1">HLOOKUP($H$4,'Met Data'!$O$2:$T$368,G224,FALSE)</f>
        <v>0.94669865516537999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45172</v>
      </c>
      <c r="Q224">
        <f ca="1"/>
        <v>175.05108767052047</v>
      </c>
      <c r="R224">
        <f ca="1"/>
        <v>0.23256071918219301</v>
      </c>
      <c r="S224">
        <f ca="1"/>
        <v>1.8005800060720255E-3</v>
      </c>
      <c r="T224">
        <f ca="1"/>
        <v>0.24385416666666651</v>
      </c>
      <c r="U224">
        <f ca="1"/>
        <v>0</v>
      </c>
      <c r="V224">
        <f ca="1"/>
        <v>6.9736423253004602</v>
      </c>
      <c r="W224">
        <f ca="1"/>
        <v>6.3795913124044903</v>
      </c>
      <c r="X224">
        <f ca="1"/>
        <v>0</v>
      </c>
      <c r="Y224">
        <f ca="1"/>
        <v>0.99437511287098868</v>
      </c>
      <c r="Z224">
        <f ca="1"/>
        <v>0</v>
      </c>
      <c r="AA224">
        <f ca="1"/>
        <v>0</v>
      </c>
      <c r="AB224">
        <f ca="1"/>
        <v>0.94510815083354804</v>
      </c>
      <c r="AD224" s="2">
        <f t="shared" ca="1" si="32"/>
        <v>45172</v>
      </c>
      <c r="AE224" s="46">
        <f t="shared" ca="1" si="33"/>
        <v>0</v>
      </c>
      <c r="AG224" s="72">
        <f t="shared" ca="1" si="37"/>
        <v>175.28364838970268</v>
      </c>
      <c r="AH224" s="72">
        <f t="shared" ca="1" si="38"/>
        <v>175.28364838970268</v>
      </c>
      <c r="AI224" s="3">
        <f t="shared" ca="1" si="39"/>
        <v>0</v>
      </c>
    </row>
    <row r="225" spans="7:35" x14ac:dyDescent="0.25">
      <c r="G225" s="3">
        <f t="shared" ca="1" si="34"/>
        <v>203</v>
      </c>
      <c r="H225" s="105">
        <f t="shared" ca="1" si="36"/>
        <v>45128</v>
      </c>
      <c r="I225" s="133">
        <f ca="1">HLOOKUP($H$4,'Met Data'!$A$2:$F$368,G225,FALSE)</f>
        <v>9.8333333333333304</v>
      </c>
      <c r="J225" s="133">
        <f ca="1">HLOOKUP($H$4,'Met Data'!$H$2:$M$368,G225,FALSE)*L225</f>
        <v>3.6333333333333302</v>
      </c>
      <c r="K225" s="106">
        <f ca="1">HLOOKUP($H$4,'Met Data'!$O$2:$T$368,G225,FALSE)</f>
        <v>1.0815395194790001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45173</v>
      </c>
      <c r="Q225">
        <f ca="1"/>
        <v>175.05791518510802</v>
      </c>
      <c r="R225">
        <f ca="1"/>
        <v>0.24627021669067301</v>
      </c>
      <c r="S225">
        <f ca="1"/>
        <v>1.6393979448509853E-3</v>
      </c>
      <c r="T225">
        <f ca="1"/>
        <v>0.25145833333333251</v>
      </c>
      <c r="U225">
        <f ca="1"/>
        <v>0</v>
      </c>
      <c r="V225">
        <f ca="1"/>
        <v>7.2199125419911301</v>
      </c>
      <c r="W225">
        <f ca="1"/>
        <v>6.6048829550807797</v>
      </c>
      <c r="X225">
        <f ca="1"/>
        <v>0</v>
      </c>
      <c r="Y225">
        <f ca="1"/>
        <v>0.99979163682875827</v>
      </c>
      <c r="Z225">
        <f ca="1"/>
        <v>0</v>
      </c>
      <c r="AA225">
        <f ca="1"/>
        <v>0</v>
      </c>
      <c r="AB225">
        <f ca="1"/>
        <v>0.95163369542898701</v>
      </c>
      <c r="AD225" s="2">
        <f t="shared" ca="1" si="32"/>
        <v>45173</v>
      </c>
      <c r="AE225" s="46">
        <f t="shared" ca="1" si="33"/>
        <v>0</v>
      </c>
      <c r="AG225" s="72">
        <f t="shared" ca="1" si="37"/>
        <v>175.30418540179866</v>
      </c>
      <c r="AH225" s="72">
        <f t="shared" ca="1" si="38"/>
        <v>175.30418540179869</v>
      </c>
      <c r="AI225" s="3">
        <f t="shared" ca="1" si="39"/>
        <v>0</v>
      </c>
    </row>
    <row r="226" spans="7:35" x14ac:dyDescent="0.25">
      <c r="G226" s="3">
        <f t="shared" ca="1" si="34"/>
        <v>204</v>
      </c>
      <c r="H226" s="105">
        <f t="shared" ca="1" si="36"/>
        <v>45129</v>
      </c>
      <c r="I226" s="133">
        <f ca="1">HLOOKUP($H$4,'Met Data'!$A$2:$F$368,G226,FALSE)</f>
        <v>10.029166666666599</v>
      </c>
      <c r="J226" s="133">
        <f ca="1">HLOOKUP($H$4,'Met Data'!$H$2:$M$368,G226,FALSE)*L226</f>
        <v>4.68333333333333</v>
      </c>
      <c r="K226" s="106">
        <f ca="1">HLOOKUP($H$4,'Met Data'!$O$2:$T$368,G226,FALSE)</f>
        <v>1.0771273773513399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45174</v>
      </c>
      <c r="Q226">
        <f ca="1"/>
        <v>175.05803931289859</v>
      </c>
      <c r="R226">
        <f ca="1"/>
        <v>0.245651788551531</v>
      </c>
      <c r="S226">
        <f ca="1"/>
        <v>1.4009163421213507E-3</v>
      </c>
      <c r="T226">
        <f ca="1"/>
        <v>0.24437500000000001</v>
      </c>
      <c r="U226">
        <f ca="1"/>
        <v>0</v>
      </c>
      <c r="V226">
        <f ca="1"/>
        <v>7.4655643305426604</v>
      </c>
      <c r="W226">
        <f ca="1"/>
        <v>6.8296088505334698</v>
      </c>
      <c r="X226">
        <f ca="1"/>
        <v>0</v>
      </c>
      <c r="Y226">
        <f ca="1"/>
        <v>1</v>
      </c>
      <c r="Z226">
        <f ca="1"/>
        <v>1.6758101453160066</v>
      </c>
      <c r="AA226">
        <f ca="1"/>
        <v>0</v>
      </c>
      <c r="AB226">
        <f ca="1"/>
        <v>0.95726492502320604</v>
      </c>
      <c r="AD226" s="2">
        <f t="shared" ca="1" si="32"/>
        <v>45174</v>
      </c>
      <c r="AE226" s="46">
        <f t="shared" ca="1" si="33"/>
        <v>0</v>
      </c>
      <c r="AG226" s="72">
        <f t="shared" ca="1" si="37"/>
        <v>175.30369110145014</v>
      </c>
      <c r="AH226" s="72">
        <f t="shared" ca="1" si="38"/>
        <v>175.30369110145011</v>
      </c>
      <c r="AI226" s="3">
        <f t="shared" ca="1" si="39"/>
        <v>0</v>
      </c>
    </row>
    <row r="227" spans="7:35" x14ac:dyDescent="0.25">
      <c r="G227" s="3">
        <f t="shared" ca="1" si="34"/>
        <v>205</v>
      </c>
      <c r="H227" s="105">
        <f t="shared" ca="1" si="36"/>
        <v>45130</v>
      </c>
      <c r="I227" s="133">
        <f ca="1">HLOOKUP($H$4,'Met Data'!$A$2:$F$368,G227,FALSE)</f>
        <v>9.4250000000000007</v>
      </c>
      <c r="J227" s="133">
        <f ca="1">HLOOKUP($H$4,'Met Data'!$H$2:$M$368,G227,FALSE)*L227</f>
        <v>5.2666666666666604</v>
      </c>
      <c r="K227" s="106">
        <f ca="1">HLOOKUP($H$4,'Met Data'!$O$2:$T$368,G227,FALSE)</f>
        <v>0.87955885998233896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45175</v>
      </c>
      <c r="Q227">
        <f ca="1"/>
        <v>175.05119498408621</v>
      </c>
      <c r="R227">
        <f ca="1"/>
        <v>0.26648488310090801</v>
      </c>
      <c r="S227">
        <f ca="1"/>
        <v>1.3072209551886066E-3</v>
      </c>
      <c r="T227">
        <f ca="1"/>
        <v>0.25833333333333253</v>
      </c>
      <c r="U227">
        <f ca="1"/>
        <v>0</v>
      </c>
      <c r="V227">
        <f ca="1"/>
        <v>7.7320492136435703</v>
      </c>
      <c r="W227">
        <f ca="1"/>
        <v>7.07339316951838</v>
      </c>
      <c r="X227">
        <f ca="1"/>
        <v>0</v>
      </c>
      <c r="Y227">
        <f ca="1"/>
        <v>1</v>
      </c>
      <c r="Z227">
        <f ca="1"/>
        <v>4.4597669175513772</v>
      </c>
      <c r="AA227">
        <f ca="1"/>
        <v>0</v>
      </c>
      <c r="AB227">
        <f ca="1"/>
        <v>0.96253455259239196</v>
      </c>
      <c r="AD227" s="2">
        <f t="shared" ca="1" si="32"/>
        <v>45175</v>
      </c>
      <c r="AE227" s="46">
        <f t="shared" ca="1" si="33"/>
        <v>0</v>
      </c>
      <c r="AG227" s="72">
        <f t="shared" ca="1" si="37"/>
        <v>175.31767986718711</v>
      </c>
      <c r="AH227" s="72">
        <f t="shared" ca="1" si="38"/>
        <v>175.31767986718711</v>
      </c>
      <c r="AI227" s="3">
        <f t="shared" ca="1" si="39"/>
        <v>0</v>
      </c>
    </row>
    <row r="228" spans="7:35" x14ac:dyDescent="0.25">
      <c r="G228" s="3">
        <f t="shared" ca="1" si="34"/>
        <v>206</v>
      </c>
      <c r="H228" s="105">
        <f t="shared" ca="1" si="36"/>
        <v>45131</v>
      </c>
      <c r="I228" s="133">
        <f ca="1">HLOOKUP($H$4,'Met Data'!$A$2:$F$368,G228,FALSE)</f>
        <v>9.4</v>
      </c>
      <c r="J228" s="133">
        <f ca="1">HLOOKUP($H$4,'Met Data'!$H$2:$M$368,G228,FALSE)*L228</f>
        <v>2.0499999999999998</v>
      </c>
      <c r="K228" s="106">
        <f ca="1">HLOOKUP($H$4,'Met Data'!$O$2:$T$368,G228,FALSE)</f>
        <v>0.953998897248024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45176</v>
      </c>
      <c r="Q228">
        <f ca="1"/>
        <v>175.03643063356225</v>
      </c>
      <c r="R228">
        <f ca="1"/>
        <v>0.28522879255253297</v>
      </c>
      <c r="S228">
        <f ca="1"/>
        <v>1.193608695236449E-3</v>
      </c>
      <c r="T228">
        <f ca="1"/>
        <v>0.26927083333333252</v>
      </c>
      <c r="U228">
        <f ca="1"/>
        <v>0</v>
      </c>
      <c r="V228">
        <f ca="1"/>
        <v>8.0172780061961006</v>
      </c>
      <c r="W228">
        <f ca="1"/>
        <v>7.3343246945571803</v>
      </c>
      <c r="X228">
        <f ca="1"/>
        <v>0</v>
      </c>
      <c r="Y228">
        <f ca="1"/>
        <v>0.99485816430600404</v>
      </c>
      <c r="Z228">
        <f ca="1"/>
        <v>0</v>
      </c>
      <c r="AA228">
        <f ca="1"/>
        <v>0</v>
      </c>
      <c r="AB228">
        <f ca="1"/>
        <v>0.96736042965606595</v>
      </c>
      <c r="AD228" s="2">
        <f t="shared" ca="1" si="32"/>
        <v>45176</v>
      </c>
      <c r="AE228" s="46">
        <f t="shared" ca="1" si="33"/>
        <v>0</v>
      </c>
      <c r="AG228" s="72">
        <f t="shared" ca="1" si="37"/>
        <v>175.32165942611479</v>
      </c>
      <c r="AH228" s="72">
        <f t="shared" ca="1" si="38"/>
        <v>175.32165942611479</v>
      </c>
      <c r="AI228" s="3">
        <f t="shared" ca="1" si="39"/>
        <v>0</v>
      </c>
    </row>
    <row r="229" spans="7:35" x14ac:dyDescent="0.25">
      <c r="G229" s="3">
        <f t="shared" ca="1" si="34"/>
        <v>207</v>
      </c>
      <c r="H229" s="105">
        <f t="shared" ca="1" si="36"/>
        <v>45132</v>
      </c>
      <c r="I229" s="133">
        <f ca="1">HLOOKUP($H$4,'Met Data'!$A$2:$F$368,G229,FALSE)</f>
        <v>8.92916666666666</v>
      </c>
      <c r="J229" s="133">
        <f ca="1">HLOOKUP($H$4,'Met Data'!$H$2:$M$368,G229,FALSE)*L229</f>
        <v>1.1499999999999999</v>
      </c>
      <c r="K229" s="106">
        <f ca="1">HLOOKUP($H$4,'Met Data'!$O$2:$T$368,G229,FALSE)</f>
        <v>1.2467505566806001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45177</v>
      </c>
      <c r="Q229">
        <f ca="1"/>
        <v>175.01435675586339</v>
      </c>
      <c r="R229">
        <f ca="1"/>
        <v>0.28757388420480401</v>
      </c>
      <c r="S229">
        <f ca="1"/>
        <v>1.020839839275259E-3</v>
      </c>
      <c r="T229">
        <f ca="1"/>
        <v>0.26447916666666499</v>
      </c>
      <c r="U229">
        <f ca="1"/>
        <v>0</v>
      </c>
      <c r="V229">
        <f ca="1"/>
        <v>8.3048518904009097</v>
      </c>
      <c r="W229">
        <f ca="1"/>
        <v>7.5974015441815697</v>
      </c>
      <c r="X229">
        <f ca="1"/>
        <v>0</v>
      </c>
      <c r="Y229">
        <f ca="1"/>
        <v>0.98657697474129302</v>
      </c>
      <c r="Z229">
        <f ca="1"/>
        <v>0</v>
      </c>
      <c r="AA229">
        <f ca="1"/>
        <v>0</v>
      </c>
      <c r="AB229">
        <f ca="1"/>
        <v>0.97151275372855805</v>
      </c>
      <c r="AD229" s="2">
        <f t="shared" ca="1" si="32"/>
        <v>45177</v>
      </c>
      <c r="AE229" s="46">
        <f t="shared" ca="1" si="33"/>
        <v>0</v>
      </c>
      <c r="AG229" s="72">
        <f t="shared" ca="1" si="37"/>
        <v>175.30193064006818</v>
      </c>
      <c r="AH229" s="72">
        <f t="shared" ca="1" si="38"/>
        <v>175.30193064006821</v>
      </c>
      <c r="AI229" s="3">
        <f t="shared" ca="1" si="39"/>
        <v>0</v>
      </c>
    </row>
    <row r="230" spans="7:35" x14ac:dyDescent="0.25">
      <c r="G230" s="3">
        <f t="shared" ca="1" si="34"/>
        <v>208</v>
      </c>
      <c r="H230" s="105">
        <f t="shared" ca="1" si="36"/>
        <v>45133</v>
      </c>
      <c r="I230" s="133">
        <f ca="1">HLOOKUP($H$4,'Met Data'!$A$2:$F$368,G230,FALSE)</f>
        <v>8.7624999999999993</v>
      </c>
      <c r="J230" s="133">
        <f ca="1">HLOOKUP($H$4,'Met Data'!$H$2:$M$368,G230,FALSE)*L230</f>
        <v>0.45</v>
      </c>
      <c r="K230" s="106">
        <f ca="1">HLOOKUP($H$4,'Met Data'!$O$2:$T$368,G230,FALSE)</f>
        <v>1.3150067848265401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45178</v>
      </c>
      <c r="Q230">
        <f ca="1"/>
        <v>174.98781176758578</v>
      </c>
      <c r="R230">
        <f ca="1"/>
        <v>0.26766729545342799</v>
      </c>
      <c r="S230">
        <f ca="1"/>
        <v>8.0980717582279649E-4</v>
      </c>
      <c r="T230">
        <f ca="1"/>
        <v>0.24031250000000001</v>
      </c>
      <c r="U230">
        <f ca="1"/>
        <v>0</v>
      </c>
      <c r="V230">
        <f ca="1"/>
        <v>8.5725191858543397</v>
      </c>
      <c r="W230">
        <f ca="1"/>
        <v>7.8422675515037801</v>
      </c>
      <c r="X230">
        <f ca="1"/>
        <v>0</v>
      </c>
      <c r="Y230">
        <f ca="1"/>
        <v>1</v>
      </c>
      <c r="Z230">
        <f ca="1"/>
        <v>0.90401326325347497</v>
      </c>
      <c r="AA230">
        <f ca="1"/>
        <v>0</v>
      </c>
      <c r="AB230">
        <f ca="1"/>
        <v>0.97483773096842097</v>
      </c>
      <c r="AD230" s="2">
        <f t="shared" ca="1" si="32"/>
        <v>45178</v>
      </c>
      <c r="AE230" s="46">
        <f t="shared" ca="1" si="33"/>
        <v>0</v>
      </c>
      <c r="AG230" s="72">
        <f t="shared" ca="1" si="37"/>
        <v>175.25547906303919</v>
      </c>
      <c r="AH230" s="72">
        <f t="shared" ca="1" si="38"/>
        <v>175.25547906303922</v>
      </c>
      <c r="AI230" s="3">
        <f t="shared" ca="1" si="39"/>
        <v>0</v>
      </c>
    </row>
    <row r="231" spans="7:35" x14ac:dyDescent="0.25">
      <c r="G231" s="3">
        <f t="shared" ca="1" si="34"/>
        <v>209</v>
      </c>
      <c r="H231" s="105">
        <f t="shared" ca="1" si="36"/>
        <v>45134</v>
      </c>
      <c r="I231" s="133">
        <f ca="1">HLOOKUP($H$4,'Met Data'!$A$2:$F$368,G231,FALSE)</f>
        <v>9.3333333333333304</v>
      </c>
      <c r="J231" s="133">
        <f ca="1">HLOOKUP($H$4,'Met Data'!$H$2:$M$368,G231,FALSE)*L231</f>
        <v>2.0166666666666599</v>
      </c>
      <c r="K231" s="106">
        <f ca="1">HLOOKUP($H$4,'Met Data'!$O$2:$T$368,G231,FALSE)</f>
        <v>1.11956275252086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45179</v>
      </c>
      <c r="Q231">
        <f ca="1"/>
        <v>174.95335398133878</v>
      </c>
      <c r="R231">
        <f ca="1"/>
        <v>0.28739708274362602</v>
      </c>
      <c r="S231">
        <f ca="1"/>
        <v>7.5179649661892176E-4</v>
      </c>
      <c r="T231">
        <f ca="1"/>
        <v>0.25218750000000001</v>
      </c>
      <c r="U231">
        <f ca="1"/>
        <v>0</v>
      </c>
      <c r="V231">
        <f ca="1"/>
        <v>8.85991626859796</v>
      </c>
      <c r="W231">
        <f ca="1"/>
        <v>8.1051826605322095</v>
      </c>
      <c r="X231">
        <f ca="1"/>
        <v>0</v>
      </c>
      <c r="Y231">
        <f ca="1"/>
        <v>1</v>
      </c>
      <c r="Z231">
        <f ca="1"/>
        <v>1.7740979388042462</v>
      </c>
      <c r="AA231">
        <f ca="1"/>
        <v>0</v>
      </c>
      <c r="AB231">
        <f ca="1"/>
        <v>0.977919978968399</v>
      </c>
      <c r="AD231" s="2">
        <f t="shared" ca="1" si="32"/>
        <v>45179</v>
      </c>
      <c r="AE231" s="46">
        <f t="shared" ca="1" si="33"/>
        <v>0</v>
      </c>
      <c r="AG231" s="72">
        <f t="shared" ca="1" si="37"/>
        <v>175.24075106408239</v>
      </c>
      <c r="AH231" s="72">
        <f t="shared" ca="1" si="38"/>
        <v>175.24075106408242</v>
      </c>
      <c r="AI231" s="3">
        <f t="shared" ca="1" si="39"/>
        <v>0</v>
      </c>
    </row>
    <row r="232" spans="7:35" x14ac:dyDescent="0.25">
      <c r="G232" s="3">
        <f t="shared" ca="1" si="34"/>
        <v>210</v>
      </c>
      <c r="H232" s="105">
        <f t="shared" ca="1" si="36"/>
        <v>45135</v>
      </c>
      <c r="I232" s="133">
        <f ca="1">HLOOKUP($H$4,'Met Data'!$A$2:$F$368,G232,FALSE)</f>
        <v>8.9875000000000007</v>
      </c>
      <c r="J232" s="133">
        <f ca="1">HLOOKUP($H$4,'Met Data'!$H$2:$M$368,G232,FALSE)*L232</f>
        <v>1.2666666666666599</v>
      </c>
      <c r="K232" s="106">
        <f ca="1">HLOOKUP($H$4,'Met Data'!$O$2:$T$368,G232,FALSE)</f>
        <v>1.28515382274214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45180</v>
      </c>
      <c r="Q232">
        <f ca="1"/>
        <v>174.90972480736599</v>
      </c>
      <c r="R232">
        <f ca="1"/>
        <v>0.31036793339840202</v>
      </c>
      <c r="S232">
        <f ca="1"/>
        <v>6.9709275894918015E-4</v>
      </c>
      <c r="T232">
        <f ca="1"/>
        <v>0.26604166666666501</v>
      </c>
      <c r="U232">
        <f ca="1"/>
        <v>0</v>
      </c>
      <c r="V232">
        <f ca="1"/>
        <v>9.1702842019963597</v>
      </c>
      <c r="W232">
        <f ca="1"/>
        <v>8.3891118440485197</v>
      </c>
      <c r="X232">
        <f ca="1"/>
        <v>0</v>
      </c>
      <c r="Y232">
        <f ca="1"/>
        <v>1</v>
      </c>
      <c r="Z232">
        <f ca="1"/>
        <v>4.7596296112461971</v>
      </c>
      <c r="AA232">
        <f ca="1"/>
        <v>0</v>
      </c>
      <c r="AB232">
        <f ca="1"/>
        <v>0.98077131170037002</v>
      </c>
      <c r="AD232" s="2">
        <f t="shared" ca="1" si="32"/>
        <v>45180</v>
      </c>
      <c r="AE232" s="46">
        <f t="shared" ca="1" si="33"/>
        <v>0</v>
      </c>
      <c r="AG232" s="72">
        <f t="shared" ca="1" si="37"/>
        <v>175.22009274076439</v>
      </c>
      <c r="AH232" s="72">
        <f t="shared" ca="1" si="38"/>
        <v>175.22009274076439</v>
      </c>
      <c r="AI232" s="3">
        <f t="shared" ca="1" si="39"/>
        <v>0</v>
      </c>
    </row>
    <row r="233" spans="7:35" x14ac:dyDescent="0.25">
      <c r="G233" s="3">
        <f t="shared" ca="1" si="34"/>
        <v>211</v>
      </c>
      <c r="H233" s="105">
        <f t="shared" ca="1" si="36"/>
        <v>45136</v>
      </c>
      <c r="I233" s="133">
        <f ca="1">HLOOKUP($H$4,'Met Data'!$A$2:$F$368,G233,FALSE)</f>
        <v>9.0374999999999996</v>
      </c>
      <c r="J233" s="133">
        <f ca="1">HLOOKUP($H$4,'Met Data'!$H$2:$M$368,G233,FALSE)*L233</f>
        <v>2.7999999999999901</v>
      </c>
      <c r="K233" s="106">
        <f ca="1">HLOOKUP($H$4,'Met Data'!$O$2:$T$368,G233,FALSE)</f>
        <v>1.1959337492079301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45181</v>
      </c>
      <c r="Q233">
        <f ca="1"/>
        <v>174.85964931708583</v>
      </c>
      <c r="R233">
        <f ca="1"/>
        <v>0.312027017048706</v>
      </c>
      <c r="S233">
        <f ca="1"/>
        <v>5.97360101879839E-4</v>
      </c>
      <c r="T233">
        <f ca="1"/>
        <v>0.261354166666665</v>
      </c>
      <c r="U233">
        <f ca="1"/>
        <v>0</v>
      </c>
      <c r="V233">
        <f ca="1"/>
        <v>9.4823112190450694</v>
      </c>
      <c r="W233">
        <f ca="1"/>
        <v>8.6745587818671606</v>
      </c>
      <c r="X233">
        <f ca="1"/>
        <v>0</v>
      </c>
      <c r="Y233">
        <f ca="1"/>
        <v>1</v>
      </c>
      <c r="Z233">
        <f ca="1"/>
        <v>9.4680063959373228E-2</v>
      </c>
      <c r="AA233">
        <f ca="1"/>
        <v>0</v>
      </c>
      <c r="AB233">
        <f ca="1"/>
        <v>0.98321974484004404</v>
      </c>
      <c r="AD233" s="2">
        <f t="shared" ca="1" si="32"/>
        <v>45181</v>
      </c>
      <c r="AE233" s="46">
        <f t="shared" ca="1" si="33"/>
        <v>0</v>
      </c>
      <c r="AG233" s="72">
        <f t="shared" ca="1" si="37"/>
        <v>175.17167633413456</v>
      </c>
      <c r="AH233" s="72">
        <f t="shared" ca="1" si="38"/>
        <v>175.17167633413453</v>
      </c>
      <c r="AI233" s="3">
        <f t="shared" ca="1" si="39"/>
        <v>0</v>
      </c>
    </row>
    <row r="234" spans="7:35" x14ac:dyDescent="0.25">
      <c r="G234" s="3">
        <f t="shared" ca="1" si="34"/>
        <v>212</v>
      </c>
      <c r="H234" s="105">
        <f t="shared" ca="1" si="36"/>
        <v>45137</v>
      </c>
      <c r="I234" s="133">
        <f ca="1">HLOOKUP($H$4,'Met Data'!$A$2:$F$368,G234,FALSE)</f>
        <v>8.17916666666666</v>
      </c>
      <c r="J234" s="133">
        <f ca="1">HLOOKUP($H$4,'Met Data'!$H$2:$M$368,G234,FALSE)*L234</f>
        <v>1.55</v>
      </c>
      <c r="K234" s="106">
        <f ca="1">HLOOKUP($H$4,'Met Data'!$O$2:$T$368,G234,FALSE)</f>
        <v>1.3658842309244701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45182</v>
      </c>
      <c r="Q234">
        <f ca="1"/>
        <v>174.79806518944488</v>
      </c>
      <c r="R234">
        <f ca="1"/>
        <v>0.34256131964757602</v>
      </c>
      <c r="S234">
        <f ca="1"/>
        <v>5.6052533995637499E-4</v>
      </c>
      <c r="T234">
        <f ca="1"/>
        <v>0.28041666666666498</v>
      </c>
      <c r="U234">
        <f ca="1"/>
        <v>0</v>
      </c>
      <c r="V234">
        <f ca="1"/>
        <v>9.8248725386926505</v>
      </c>
      <c r="W234">
        <f ca="1"/>
        <v>8.9879389520632706</v>
      </c>
      <c r="X234">
        <f ca="1"/>
        <v>0</v>
      </c>
      <c r="Y234">
        <f ca="1"/>
        <v>0.99685507499290116</v>
      </c>
      <c r="Z234">
        <f ca="1"/>
        <v>0</v>
      </c>
      <c r="AA234">
        <f ca="1"/>
        <v>0</v>
      </c>
      <c r="AB234">
        <f ca="1"/>
        <v>0.98550627167038896</v>
      </c>
      <c r="AD234" s="2">
        <f t="shared" ca="1" si="32"/>
        <v>45182</v>
      </c>
      <c r="AE234" s="46">
        <f t="shared" ca="1" si="33"/>
        <v>0</v>
      </c>
      <c r="AG234" s="72">
        <f t="shared" ca="1" si="37"/>
        <v>175.14062650909244</v>
      </c>
      <c r="AH234" s="72">
        <f t="shared" ca="1" si="38"/>
        <v>175.14062650909247</v>
      </c>
      <c r="AI234" s="3">
        <f t="shared" ca="1" si="39"/>
        <v>0</v>
      </c>
    </row>
    <row r="235" spans="7:35" x14ac:dyDescent="0.25">
      <c r="G235" s="3">
        <f t="shared" ca="1" si="34"/>
        <v>213</v>
      </c>
      <c r="H235" s="105">
        <f t="shared" ca="1" si="36"/>
        <v>45138</v>
      </c>
      <c r="I235" s="133">
        <f ca="1">HLOOKUP($H$4,'Met Data'!$A$2:$F$368,G235,FALSE)</f>
        <v>8.75</v>
      </c>
      <c r="J235" s="133">
        <f ca="1">HLOOKUP($H$4,'Met Data'!$H$2:$M$368,G235,FALSE)*L235</f>
        <v>2.44999999999999</v>
      </c>
      <c r="K235" s="106">
        <f ca="1">HLOOKUP($H$4,'Met Data'!$O$2:$T$368,G235,FALSE)</f>
        <v>0.89818915942500899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45183</v>
      </c>
      <c r="Q235">
        <f ca="1"/>
        <v>174.72922658055501</v>
      </c>
      <c r="R235">
        <f ca="1"/>
        <v>0.34681864212469898</v>
      </c>
      <c r="S235">
        <f ca="1"/>
        <v>4.8003323483809026E-4</v>
      </c>
      <c r="T235">
        <f ca="1"/>
        <v>0.27750000000000002</v>
      </c>
      <c r="U235">
        <f ca="1"/>
        <v>0</v>
      </c>
      <c r="V235">
        <f ca="1"/>
        <v>10.1716911808173</v>
      </c>
      <c r="W235">
        <f ca="1"/>
        <v>9.3052137839328992</v>
      </c>
      <c r="X235">
        <f ca="1"/>
        <v>0</v>
      </c>
      <c r="Y235">
        <f ca="1"/>
        <v>1</v>
      </c>
      <c r="Z235">
        <f ca="1"/>
        <v>0.3877515152532709</v>
      </c>
      <c r="AA235">
        <f ca="1"/>
        <v>0</v>
      </c>
      <c r="AB235">
        <f ca="1"/>
        <v>0.98746605299858203</v>
      </c>
      <c r="AD235" s="2">
        <f t="shared" ca="1" si="32"/>
        <v>45183</v>
      </c>
      <c r="AE235" s="46">
        <f t="shared" ca="1" si="33"/>
        <v>0</v>
      </c>
      <c r="AG235" s="72">
        <f t="shared" ca="1" si="37"/>
        <v>175.07604522267974</v>
      </c>
      <c r="AH235" s="72">
        <f t="shared" ca="1" si="38"/>
        <v>175.07604522267971</v>
      </c>
      <c r="AI235" s="3">
        <f t="shared" ca="1" si="39"/>
        <v>0</v>
      </c>
    </row>
    <row r="236" spans="7:35" x14ac:dyDescent="0.25">
      <c r="G236" s="3">
        <f t="shared" ca="1" si="34"/>
        <v>214</v>
      </c>
      <c r="H236" s="105">
        <f t="shared" ca="1" si="36"/>
        <v>45139</v>
      </c>
      <c r="I236" s="133">
        <f ca="1">HLOOKUP($H$4,'Met Data'!$A$2:$F$368,G236,FALSE)</f>
        <v>10.3375</v>
      </c>
      <c r="J236" s="133">
        <f ca="1">HLOOKUP($H$4,'Met Data'!$H$2:$M$368,G236,FALSE)*L236</f>
        <v>5.2666666666666604</v>
      </c>
      <c r="K236" s="106">
        <f ca="1">HLOOKUP($H$4,'Met Data'!$O$2:$T$368,G236,FALSE)</f>
        <v>0.94454335980482496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45184</v>
      </c>
      <c r="Q236">
        <f ca="1"/>
        <v>174.65071003055886</v>
      </c>
      <c r="R236">
        <f ca="1"/>
        <v>0.363213628552089</v>
      </c>
      <c r="S236">
        <f ca="1"/>
        <v>4.2624522256623178E-4</v>
      </c>
      <c r="T236">
        <f ca="1"/>
        <v>0.28427083333333253</v>
      </c>
      <c r="U236">
        <f ca="1"/>
        <v>0</v>
      </c>
      <c r="V236">
        <f ca="1"/>
        <v>10.534904809369401</v>
      </c>
      <c r="W236">
        <f ca="1"/>
        <v>9.6374869922750008</v>
      </c>
      <c r="X236">
        <f ca="1"/>
        <v>0</v>
      </c>
      <c r="Y236">
        <f ca="1"/>
        <v>0.99579990684845676</v>
      </c>
      <c r="Z236">
        <f ca="1"/>
        <v>0</v>
      </c>
      <c r="AA236">
        <f ca="1"/>
        <v>0</v>
      </c>
      <c r="AB236">
        <f ca="1"/>
        <v>0.98920220086726496</v>
      </c>
      <c r="AD236" s="2">
        <f t="shared" ca="1" si="32"/>
        <v>45184</v>
      </c>
      <c r="AE236" s="46">
        <f t="shared" ca="1" si="33"/>
        <v>0</v>
      </c>
      <c r="AG236" s="72">
        <f t="shared" ca="1" si="37"/>
        <v>175.0139236591109</v>
      </c>
      <c r="AH236" s="72">
        <f t="shared" ca="1" si="38"/>
        <v>175.01392365911096</v>
      </c>
      <c r="AI236" s="3">
        <f t="shared" ca="1" si="39"/>
        <v>0</v>
      </c>
    </row>
    <row r="237" spans="7:35" x14ac:dyDescent="0.25">
      <c r="G237" s="3">
        <f t="shared" ca="1" si="34"/>
        <v>215</v>
      </c>
      <c r="H237" s="105">
        <f t="shared" ca="1" si="36"/>
        <v>45140</v>
      </c>
      <c r="I237" s="133">
        <f ca="1">HLOOKUP($H$4,'Met Data'!$A$2:$F$368,G237,FALSE)</f>
        <v>10.595454545454499</v>
      </c>
      <c r="J237" s="133">
        <f ca="1">HLOOKUP($H$4,'Met Data'!$H$2:$M$368,G237,FALSE)*L237</f>
        <v>4.4166666666666599</v>
      </c>
      <c r="K237" s="106">
        <f ca="1">HLOOKUP($H$4,'Met Data'!$O$2:$T$368,G237,FALSE)</f>
        <v>1.0832642567801201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45185</v>
      </c>
      <c r="Q237">
        <f ca="1"/>
        <v>174.56489637076973</v>
      </c>
      <c r="R237">
        <f ca="1"/>
        <v>0.36847084782179002</v>
      </c>
      <c r="S237">
        <f ca="1"/>
        <v>3.6552136602292269E-4</v>
      </c>
      <c r="T237">
        <f ca="1"/>
        <v>0.282291666666665</v>
      </c>
      <c r="U237">
        <f ca="1"/>
        <v>0</v>
      </c>
      <c r="V237">
        <f ca="1"/>
        <v>10.9033756571912</v>
      </c>
      <c r="W237">
        <f ca="1"/>
        <v>9.9745695826897496</v>
      </c>
      <c r="X237">
        <f ca="1"/>
        <v>0</v>
      </c>
      <c r="Y237">
        <f ca="1"/>
        <v>1</v>
      </c>
      <c r="Z237">
        <f ca="1"/>
        <v>0.20798934090497312</v>
      </c>
      <c r="AA237">
        <f ca="1"/>
        <v>0</v>
      </c>
      <c r="AB237">
        <f ca="1"/>
        <v>0.99069044820573005</v>
      </c>
      <c r="AD237" s="2">
        <f t="shared" ca="1" si="32"/>
        <v>45185</v>
      </c>
      <c r="AE237" s="46">
        <f t="shared" ca="1" si="33"/>
        <v>0</v>
      </c>
      <c r="AG237" s="72">
        <f t="shared" ca="1" si="37"/>
        <v>174.93336721859154</v>
      </c>
      <c r="AH237" s="72">
        <f t="shared" ca="1" si="38"/>
        <v>174.93336721859151</v>
      </c>
      <c r="AI237" s="3">
        <f t="shared" ca="1" si="39"/>
        <v>0</v>
      </c>
    </row>
    <row r="238" spans="7:35" x14ac:dyDescent="0.25">
      <c r="G238" s="3">
        <f t="shared" ca="1" si="34"/>
        <v>216</v>
      </c>
      <c r="H238" s="105">
        <f t="shared" ca="1" si="36"/>
        <v>45141</v>
      </c>
      <c r="I238" s="133">
        <f ca="1">HLOOKUP($H$4,'Met Data'!$A$2:$F$368,G238,FALSE)</f>
        <v>10.1041666666666</v>
      </c>
      <c r="J238" s="133">
        <f ca="1">HLOOKUP($H$4,'Met Data'!$H$2:$M$368,G238,FALSE)*L238</f>
        <v>2.0833333333333299</v>
      </c>
      <c r="K238" s="106">
        <f ca="1">HLOOKUP($H$4,'Met Data'!$O$2:$T$368,G238,FALSE)</f>
        <v>1.39183263100002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45186</v>
      </c>
      <c r="Q238">
        <f ca="1"/>
        <v>174.46351093695841</v>
      </c>
      <c r="R238">
        <f ca="1"/>
        <v>0.40703969622108699</v>
      </c>
      <c r="S238">
        <f ca="1"/>
        <v>3.4176240979206862E-4</v>
      </c>
      <c r="T238">
        <f ca="1"/>
        <v>0.30531249999999999</v>
      </c>
      <c r="U238">
        <f ca="1"/>
        <v>0</v>
      </c>
      <c r="V238">
        <f ca="1"/>
        <v>11.310415353412299</v>
      </c>
      <c r="W238">
        <f ca="1"/>
        <v>10.346935527010499</v>
      </c>
      <c r="X238">
        <f ca="1"/>
        <v>0</v>
      </c>
      <c r="Y238">
        <f ca="1"/>
        <v>1</v>
      </c>
      <c r="Z238">
        <f ca="1"/>
        <v>2.5617247807118559</v>
      </c>
      <c r="AA238">
        <f ca="1"/>
        <v>0</v>
      </c>
      <c r="AB238">
        <f ca="1"/>
        <v>0.99207190230820796</v>
      </c>
      <c r="AD238" s="2">
        <f t="shared" ca="1" si="32"/>
        <v>45186</v>
      </c>
      <c r="AE238" s="46">
        <f t="shared" ca="1" si="33"/>
        <v>0</v>
      </c>
      <c r="AG238" s="72">
        <f t="shared" ca="1" si="37"/>
        <v>174.87055063317953</v>
      </c>
      <c r="AH238" s="72">
        <f t="shared" ca="1" si="38"/>
        <v>174.8705506331795</v>
      </c>
      <c r="AI238" s="3">
        <f t="shared" ca="1" si="39"/>
        <v>0</v>
      </c>
    </row>
    <row r="239" spans="7:35" x14ac:dyDescent="0.25">
      <c r="G239" s="3">
        <f t="shared" ca="1" si="34"/>
        <v>217</v>
      </c>
      <c r="H239" s="105">
        <f t="shared" ca="1" si="36"/>
        <v>45142</v>
      </c>
      <c r="I239" s="133">
        <f ca="1">HLOOKUP($H$4,'Met Data'!$A$2:$F$368,G239,FALSE)</f>
        <v>10.1833333333333</v>
      </c>
      <c r="J239" s="133">
        <f ca="1">HLOOKUP($H$4,'Met Data'!$H$2:$M$368,G239,FALSE)*L239</f>
        <v>5.9833333333333298</v>
      </c>
      <c r="K239" s="106">
        <f ca="1">HLOOKUP($H$4,'Met Data'!$O$2:$T$368,G239,FALSE)</f>
        <v>1.0301492818772899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45187</v>
      </c>
      <c r="Q239">
        <f ca="1"/>
        <v>174.36152810228748</v>
      </c>
      <c r="R239">
        <f ca="1"/>
        <v>0.38600391228896302</v>
      </c>
      <c r="S239">
        <f ca="1"/>
        <v>2.7107761801682E-4</v>
      </c>
      <c r="T239">
        <f ca="1"/>
        <v>0.28375</v>
      </c>
      <c r="U239">
        <f ca="1"/>
        <v>0</v>
      </c>
      <c r="V239">
        <f ca="1"/>
        <v>11.6964192657013</v>
      </c>
      <c r="W239">
        <f ca="1"/>
        <v>10.700057624548901</v>
      </c>
      <c r="X239">
        <f ca="1"/>
        <v>0</v>
      </c>
      <c r="Y239">
        <f ca="1"/>
        <v>1</v>
      </c>
      <c r="Z239">
        <f ca="1"/>
        <v>1.9258837330422551</v>
      </c>
      <c r="AA239">
        <f ca="1"/>
        <v>0</v>
      </c>
      <c r="AB239">
        <f ca="1"/>
        <v>0.99317260387894402</v>
      </c>
      <c r="AD239" s="2">
        <f t="shared" ca="1" si="32"/>
        <v>45187</v>
      </c>
      <c r="AE239" s="46">
        <f t="shared" ca="1" si="33"/>
        <v>0</v>
      </c>
      <c r="AG239" s="72">
        <f t="shared" ca="1" si="37"/>
        <v>174.74753201457642</v>
      </c>
      <c r="AH239" s="72">
        <f t="shared" ca="1" si="38"/>
        <v>174.74753201457645</v>
      </c>
      <c r="AI239" s="3">
        <f t="shared" ca="1" si="39"/>
        <v>0</v>
      </c>
    </row>
    <row r="240" spans="7:35" x14ac:dyDescent="0.25">
      <c r="G240" s="3">
        <f t="shared" ca="1" si="34"/>
        <v>218</v>
      </c>
      <c r="H240" s="105">
        <f t="shared" ca="1" si="36"/>
        <v>45143</v>
      </c>
      <c r="I240" s="133">
        <f ca="1">HLOOKUP($H$4,'Met Data'!$A$2:$F$368,G240,FALSE)</f>
        <v>9.7708333333333304</v>
      </c>
      <c r="J240" s="133">
        <f ca="1">HLOOKUP($H$4,'Met Data'!$H$2:$M$368,G240,FALSE)*L240</f>
        <v>2.9833333333333298</v>
      </c>
      <c r="K240" s="106">
        <f ca="1">HLOOKUP($H$4,'Met Data'!$O$2:$T$368,G240,FALSE)</f>
        <v>1.3432284560273799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45188</v>
      </c>
      <c r="Q240">
        <f ca="1"/>
        <v>174.26070564321066</v>
      </c>
      <c r="R240">
        <f ca="1"/>
        <v>0.363643332575325</v>
      </c>
      <c r="S240">
        <f ca="1"/>
        <v>2.1670683182181376E-4</v>
      </c>
      <c r="T240">
        <f ca="1"/>
        <v>0.26260416666666503</v>
      </c>
      <c r="U240">
        <f ca="1"/>
        <v>0</v>
      </c>
      <c r="V240">
        <f ca="1"/>
        <v>12.0600625982766</v>
      </c>
      <c r="W240">
        <f ca="1"/>
        <v>11.0327239324975</v>
      </c>
      <c r="X240">
        <f ca="1"/>
        <v>0</v>
      </c>
      <c r="Y240">
        <f ca="1"/>
        <v>1</v>
      </c>
      <c r="Z240">
        <f ca="1"/>
        <v>6.7945774165971216</v>
      </c>
      <c r="AA240">
        <f ca="1"/>
        <v>0</v>
      </c>
      <c r="AB240">
        <f ca="1"/>
        <v>0.99405545035554399</v>
      </c>
      <c r="AD240" s="2">
        <f t="shared" ca="1" si="32"/>
        <v>45188</v>
      </c>
      <c r="AE240" s="46">
        <f t="shared" ca="1" si="33"/>
        <v>0</v>
      </c>
      <c r="AG240" s="72">
        <f t="shared" ca="1" si="37"/>
        <v>174.62434897578598</v>
      </c>
      <c r="AH240" s="72">
        <f t="shared" ca="1" si="38"/>
        <v>174.62434897578598</v>
      </c>
      <c r="AI240" s="3">
        <f t="shared" ca="1" si="39"/>
        <v>0</v>
      </c>
    </row>
    <row r="241" spans="7:35" x14ac:dyDescent="0.25">
      <c r="G241" s="3">
        <f t="shared" ca="1" si="34"/>
        <v>219</v>
      </c>
      <c r="H241" s="105">
        <f t="shared" ca="1" si="36"/>
        <v>45144</v>
      </c>
      <c r="I241" s="133">
        <f ca="1">HLOOKUP($H$4,'Met Data'!$A$2:$F$368,G241,FALSE)</f>
        <v>9.8791666666666593</v>
      </c>
      <c r="J241" s="133">
        <f ca="1">HLOOKUP($H$4,'Met Data'!$H$2:$M$368,G241,FALSE)*L241</f>
        <v>4.4833333333333298</v>
      </c>
      <c r="K241" s="106">
        <f ca="1">HLOOKUP($H$4,'Met Data'!$O$2:$T$368,G241,FALSE)</f>
        <v>1.0259838566514501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45189</v>
      </c>
      <c r="Q241">
        <f ca="1"/>
        <v>174.15513199786298</v>
      </c>
      <c r="R241">
        <f ca="1"/>
        <v>0.36544843277434702</v>
      </c>
      <c r="S241">
        <f ca="1"/>
        <v>1.872874266667965E-4</v>
      </c>
      <c r="T241">
        <f ca="1"/>
        <v>0.25968750000000002</v>
      </c>
      <c r="U241">
        <f ca="1"/>
        <v>0</v>
      </c>
      <c r="V241">
        <f ca="1"/>
        <v>12.425511031050901</v>
      </c>
      <c r="W241">
        <f ca="1"/>
        <v>11.367041572850299</v>
      </c>
      <c r="X241">
        <f ca="1"/>
        <v>0</v>
      </c>
      <c r="Y241">
        <f ca="1"/>
        <v>1</v>
      </c>
      <c r="Z241">
        <f ca="1"/>
        <v>1.7638169905054895</v>
      </c>
      <c r="AA241">
        <f ca="1"/>
        <v>0</v>
      </c>
      <c r="AB241">
        <f ca="1"/>
        <v>0.99481675643643297</v>
      </c>
      <c r="AD241" s="2">
        <f t="shared" ca="1" si="32"/>
        <v>45189</v>
      </c>
      <c r="AE241" s="46">
        <f t="shared" ca="1" si="33"/>
        <v>0</v>
      </c>
      <c r="AG241" s="72">
        <f t="shared" ca="1" si="37"/>
        <v>174.52058043063732</v>
      </c>
      <c r="AH241" s="72">
        <f t="shared" ca="1" si="38"/>
        <v>174.52058043063732</v>
      </c>
      <c r="AI241" s="3">
        <f t="shared" ca="1" si="39"/>
        <v>0</v>
      </c>
    </row>
    <row r="242" spans="7:35" x14ac:dyDescent="0.25">
      <c r="G242" s="3">
        <f t="shared" ca="1" si="34"/>
        <v>220</v>
      </c>
      <c r="H242" s="105">
        <f t="shared" ca="1" si="36"/>
        <v>45145</v>
      </c>
      <c r="I242" s="133">
        <f ca="1">HLOOKUP($H$4,'Met Data'!$A$2:$F$368,G242,FALSE)</f>
        <v>9.9874999999999901</v>
      </c>
      <c r="J242" s="133">
        <f ca="1">HLOOKUP($H$4,'Met Data'!$H$2:$M$368,G242,FALSE)*L242</f>
        <v>2.2000000000000002</v>
      </c>
      <c r="K242" s="106">
        <f ca="1">HLOOKUP($H$4,'Met Data'!$O$2:$T$368,G242,FALSE)</f>
        <v>1.1029484647982599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45190</v>
      </c>
      <c r="Q242">
        <f ca="1"/>
        <v>174.04983291682515</v>
      </c>
      <c r="R242">
        <f ca="1"/>
        <v>0.351704539924166</v>
      </c>
      <c r="S242">
        <f ca="1"/>
        <v>1.5545888635262444E-4</v>
      </c>
      <c r="T242">
        <f ca="1"/>
        <v>0.24625</v>
      </c>
      <c r="U242">
        <f ca="1"/>
        <v>0</v>
      </c>
      <c r="V242">
        <f ca="1"/>
        <v>12.7772155709751</v>
      </c>
      <c r="W242">
        <f ca="1"/>
        <v>11.688786096410601</v>
      </c>
      <c r="X242">
        <f ca="1"/>
        <v>0</v>
      </c>
      <c r="Y242">
        <f ca="1"/>
        <v>0.99716819626085473</v>
      </c>
      <c r="Z242">
        <f ca="1"/>
        <v>0</v>
      </c>
      <c r="AA242">
        <f ca="1"/>
        <v>0</v>
      </c>
      <c r="AB242">
        <f ca="1"/>
        <v>0.99544881427151199</v>
      </c>
      <c r="AD242" s="2">
        <f t="shared" ca="1" si="32"/>
        <v>45190</v>
      </c>
      <c r="AE242" s="46">
        <f t="shared" ca="1" si="33"/>
        <v>0</v>
      </c>
      <c r="AG242" s="72">
        <f t="shared" ca="1" si="37"/>
        <v>174.40153745674934</v>
      </c>
      <c r="AH242" s="72">
        <f t="shared" ca="1" si="38"/>
        <v>174.40153745674931</v>
      </c>
      <c r="AI242" s="3">
        <f t="shared" ca="1" si="39"/>
        <v>0</v>
      </c>
    </row>
    <row r="243" spans="7:35" x14ac:dyDescent="0.25">
      <c r="G243" s="3">
        <f t="shared" ca="1" si="34"/>
        <v>221</v>
      </c>
      <c r="H243" s="105">
        <f t="shared" ca="1" si="36"/>
        <v>45146</v>
      </c>
      <c r="I243" s="133">
        <f ca="1">HLOOKUP($H$4,'Met Data'!$A$2:$F$368,G243,FALSE)</f>
        <v>9.4625000000000004</v>
      </c>
      <c r="J243" s="133">
        <f ca="1">HLOOKUP($H$4,'Met Data'!$H$2:$M$368,G243,FALSE)*L243</f>
        <v>3.61666666666666</v>
      </c>
      <c r="K243" s="106">
        <f ca="1">HLOOKUP($H$4,'Met Data'!$O$2:$T$368,G243,FALSE)</f>
        <v>1.10790183862933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45191</v>
      </c>
      <c r="Q243">
        <f ca="1"/>
        <v>173.9361708162256</v>
      </c>
      <c r="R243">
        <f ca="1"/>
        <v>0.36776180869132202</v>
      </c>
      <c r="S243">
        <f ca="1"/>
        <v>1.4137475842353778E-4</v>
      </c>
      <c r="T243">
        <f ca="1"/>
        <v>0.25395833333333251</v>
      </c>
      <c r="U243">
        <f ca="1"/>
        <v>0</v>
      </c>
      <c r="V243">
        <f ca="1"/>
        <v>13.1449773796664</v>
      </c>
      <c r="W243">
        <f ca="1"/>
        <v>12.025220047324501</v>
      </c>
      <c r="X243">
        <f ca="1"/>
        <v>0</v>
      </c>
      <c r="Y243">
        <f ca="1"/>
        <v>1</v>
      </c>
      <c r="Z243">
        <f ca="1"/>
        <v>1.2794221093435425</v>
      </c>
      <c r="AA243">
        <f ca="1"/>
        <v>0</v>
      </c>
      <c r="AB243">
        <f ca="1"/>
        <v>0.99602035429567404</v>
      </c>
      <c r="AD243" s="2">
        <f t="shared" ca="1" si="32"/>
        <v>45191</v>
      </c>
      <c r="AE243" s="46">
        <f t="shared" ca="1" si="33"/>
        <v>0</v>
      </c>
      <c r="AG243" s="72">
        <f t="shared" ca="1" si="37"/>
        <v>174.30393262491691</v>
      </c>
      <c r="AH243" s="72">
        <f t="shared" ca="1" si="38"/>
        <v>174.30393262491691</v>
      </c>
      <c r="AI243" s="3">
        <f t="shared" ca="1" si="39"/>
        <v>0</v>
      </c>
    </row>
    <row r="244" spans="7:35" x14ac:dyDescent="0.25">
      <c r="G244" s="3">
        <f t="shared" ca="1" si="34"/>
        <v>222</v>
      </c>
      <c r="H244" s="105">
        <f t="shared" ca="1" si="36"/>
        <v>45147</v>
      </c>
      <c r="I244" s="133">
        <f ca="1">HLOOKUP($H$4,'Met Data'!$A$2:$F$368,G244,FALSE)</f>
        <v>8.42916666666666</v>
      </c>
      <c r="J244" s="133">
        <f ca="1">HLOOKUP($H$4,'Met Data'!$H$2:$M$368,G244,FALSE)*L244</f>
        <v>3.4</v>
      </c>
      <c r="K244" s="106">
        <f ca="1">HLOOKUP($H$4,'Met Data'!$O$2:$T$368,G244,FALSE)</f>
        <v>1.32402542664303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45192</v>
      </c>
      <c r="Q244">
        <f ca="1"/>
        <v>173.80801542020703</v>
      </c>
      <c r="R244">
        <f ca="1"/>
        <v>0.40235186461265099</v>
      </c>
      <c r="S244">
        <f ca="1"/>
        <v>1.3396859409473601E-4</v>
      </c>
      <c r="T244">
        <f ca="1"/>
        <v>0.27406249999999999</v>
      </c>
      <c r="U244">
        <f ca="1"/>
        <v>0</v>
      </c>
      <c r="V244">
        <f ca="1"/>
        <v>13.5473292442791</v>
      </c>
      <c r="W244">
        <f ca="1"/>
        <v>12.3932974938405</v>
      </c>
      <c r="X244">
        <f ca="1"/>
        <v>0</v>
      </c>
      <c r="Y244">
        <f ca="1"/>
        <v>0.9971725500268166</v>
      </c>
      <c r="Z244">
        <f ca="1"/>
        <v>0</v>
      </c>
      <c r="AA244">
        <f ca="1"/>
        <v>0</v>
      </c>
      <c r="AB244">
        <f ca="1"/>
        <v>0.99655716978622</v>
      </c>
      <c r="AD244" s="2">
        <f t="shared" ca="1" si="32"/>
        <v>45192</v>
      </c>
      <c r="AE244" s="46">
        <f t="shared" ca="1" si="33"/>
        <v>0</v>
      </c>
      <c r="AG244" s="72">
        <f t="shared" ca="1" si="37"/>
        <v>174.21036728481971</v>
      </c>
      <c r="AH244" s="72">
        <f t="shared" ca="1" si="38"/>
        <v>174.21036728481968</v>
      </c>
      <c r="AI244" s="3">
        <f t="shared" ca="1" si="39"/>
        <v>0</v>
      </c>
    </row>
    <row r="245" spans="7:35" x14ac:dyDescent="0.25">
      <c r="G245" s="3">
        <f t="shared" ca="1" si="34"/>
        <v>223</v>
      </c>
      <c r="H245" s="105">
        <f t="shared" ca="1" si="36"/>
        <v>45148</v>
      </c>
      <c r="I245" s="133">
        <f ca="1">HLOOKUP($H$4,'Met Data'!$A$2:$F$368,G245,FALSE)</f>
        <v>7.8416666666666597</v>
      </c>
      <c r="J245" s="133">
        <f ca="1">HLOOKUP($H$4,'Met Data'!$H$2:$M$368,G245,FALSE)*L245</f>
        <v>1.38333333333333</v>
      </c>
      <c r="K245" s="106">
        <f ca="1">HLOOKUP($H$4,'Met Data'!$O$2:$T$368,G245,FALSE)</f>
        <v>1.2882274194230801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45193</v>
      </c>
      <c r="Q245">
        <f ca="1"/>
        <v>173.66597644791852</v>
      </c>
      <c r="R245">
        <f ca="1"/>
        <v>0.433308402864855</v>
      </c>
      <c r="S245">
        <f ca="1"/>
        <v>1.2359724302116949E-4</v>
      </c>
      <c r="T245">
        <f ca="1"/>
        <v>0.29114583333333249</v>
      </c>
      <c r="U245">
        <f ca="1"/>
        <v>0</v>
      </c>
      <c r="V245">
        <f ca="1"/>
        <v>13.980637647143899</v>
      </c>
      <c r="W245">
        <f ca="1"/>
        <v>12.789694440165</v>
      </c>
      <c r="X245">
        <f ca="1"/>
        <v>0</v>
      </c>
      <c r="Y245">
        <f ca="1"/>
        <v>1</v>
      </c>
      <c r="Z245">
        <f ca="1"/>
        <v>3.501876892029415</v>
      </c>
      <c r="AA245">
        <f ca="1"/>
        <v>0</v>
      </c>
      <c r="AB245">
        <f ca="1"/>
        <v>0.99704858874202695</v>
      </c>
      <c r="AD245" s="2">
        <f t="shared" ca="1" si="32"/>
        <v>45193</v>
      </c>
      <c r="AE245" s="46">
        <f t="shared" ca="1" si="33"/>
        <v>0</v>
      </c>
      <c r="AG245" s="72">
        <f t="shared" ca="1" si="37"/>
        <v>174.09928485078339</v>
      </c>
      <c r="AH245" s="72">
        <f t="shared" ca="1" si="38"/>
        <v>174.09928485078339</v>
      </c>
      <c r="AI245" s="3">
        <f t="shared" ca="1" si="39"/>
        <v>0</v>
      </c>
    </row>
    <row r="246" spans="7:35" x14ac:dyDescent="0.25">
      <c r="G246" s="3">
        <f t="shared" ca="1" si="34"/>
        <v>224</v>
      </c>
      <c r="H246" s="105">
        <f t="shared" ca="1" si="36"/>
        <v>45149</v>
      </c>
      <c r="I246" s="133">
        <f ca="1">HLOOKUP($H$4,'Met Data'!$A$2:$F$368,G246,FALSE)</f>
        <v>8.7916666666666607</v>
      </c>
      <c r="J246" s="133">
        <f ca="1">HLOOKUP($H$4,'Met Data'!$H$2:$M$368,G246,FALSE)*L246</f>
        <v>4.7</v>
      </c>
      <c r="K246" s="106">
        <f ca="1">HLOOKUP($H$4,'Met Data'!$O$2:$T$368,G246,FALSE)</f>
        <v>1.2700812995642401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45194</v>
      </c>
      <c r="Q246">
        <f ca="1"/>
        <v>173.51223845085013</v>
      </c>
      <c r="R246">
        <f ca="1"/>
        <v>0.45666108218604701</v>
      </c>
      <c r="S246">
        <f ca="1"/>
        <v>1.1058511763654772E-4</v>
      </c>
      <c r="T246">
        <f ca="1"/>
        <v>0.30281249999999998</v>
      </c>
      <c r="U246">
        <f ca="1"/>
        <v>0</v>
      </c>
      <c r="V246">
        <f ca="1"/>
        <v>14.437298729329999</v>
      </c>
      <c r="W246">
        <f ca="1"/>
        <v>13.2074547634982</v>
      </c>
      <c r="X246">
        <f ca="1"/>
        <v>0</v>
      </c>
      <c r="Y246">
        <f ca="1"/>
        <v>0.99499751500178479</v>
      </c>
      <c r="Z246">
        <f ca="1"/>
        <v>0</v>
      </c>
      <c r="AA246">
        <f ca="1"/>
        <v>0</v>
      </c>
      <c r="AB246">
        <f ca="1"/>
        <v>0.99748561795235702</v>
      </c>
      <c r="AD246" s="2">
        <f t="shared" ca="1" si="32"/>
        <v>45194</v>
      </c>
      <c r="AE246" s="46">
        <f t="shared" ca="1" si="33"/>
        <v>0</v>
      </c>
      <c r="AG246" s="72">
        <f t="shared" ca="1" si="37"/>
        <v>173.96889953303614</v>
      </c>
      <c r="AH246" s="72">
        <f t="shared" ca="1" si="38"/>
        <v>173.96889953303619</v>
      </c>
      <c r="AI246" s="3">
        <f t="shared" ca="1" si="39"/>
        <v>0</v>
      </c>
    </row>
    <row r="247" spans="7:35" x14ac:dyDescent="0.25">
      <c r="G247" s="3">
        <f t="shared" ca="1" si="34"/>
        <v>225</v>
      </c>
      <c r="H247" s="105">
        <f t="shared" ca="1" si="36"/>
        <v>45150</v>
      </c>
      <c r="I247" s="133">
        <f ca="1">HLOOKUP($H$4,'Met Data'!$A$2:$F$368,G247,FALSE)</f>
        <v>9.2041666666666604</v>
      </c>
      <c r="J247" s="133">
        <f ca="1">HLOOKUP($H$4,'Met Data'!$H$2:$M$368,G247,FALSE)*L247</f>
        <v>4.9666666666666597</v>
      </c>
      <c r="K247" s="106">
        <f ca="1">HLOOKUP($H$4,'Met Data'!$O$2:$T$368,G247,FALSE)</f>
        <v>1.216678160996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45195</v>
      </c>
      <c r="Q247">
        <f ca="1"/>
        <v>173.35854331241336</v>
      </c>
      <c r="R247">
        <f ca="1"/>
        <v>0.44597383381210798</v>
      </c>
      <c r="S247">
        <f ca="1"/>
        <v>9.1195375321827244E-5</v>
      </c>
      <c r="T247">
        <f ca="1"/>
        <v>0.29218749999999999</v>
      </c>
      <c r="U247">
        <f ca="1"/>
        <v>0</v>
      </c>
      <c r="V247">
        <f ca="1"/>
        <v>14.8832725631421</v>
      </c>
      <c r="W247">
        <f ca="1"/>
        <v>13.615438233689201</v>
      </c>
      <c r="X247">
        <f ca="1"/>
        <v>0</v>
      </c>
      <c r="Y247">
        <f ca="1"/>
        <v>0.98533939584219021</v>
      </c>
      <c r="Z247">
        <f ca="1"/>
        <v>0</v>
      </c>
      <c r="AA247">
        <f ca="1"/>
        <v>0</v>
      </c>
      <c r="AB247">
        <f ca="1"/>
        <v>0.99784598815315195</v>
      </c>
      <c r="AD247" s="2">
        <f t="shared" ca="1" si="32"/>
        <v>45195</v>
      </c>
      <c r="AE247" s="46">
        <f t="shared" ca="1" si="33"/>
        <v>0</v>
      </c>
      <c r="AG247" s="72">
        <f t="shared" ca="1" si="37"/>
        <v>173.80451714622546</v>
      </c>
      <c r="AH247" s="72">
        <f t="shared" ca="1" si="38"/>
        <v>173.80451714622546</v>
      </c>
      <c r="AI247" s="3">
        <f t="shared" ca="1" si="39"/>
        <v>0</v>
      </c>
    </row>
    <row r="248" spans="7:35" x14ac:dyDescent="0.25">
      <c r="G248" s="3">
        <f t="shared" ca="1" si="34"/>
        <v>226</v>
      </c>
      <c r="H248" s="105">
        <f t="shared" ca="1" si="36"/>
        <v>45151</v>
      </c>
      <c r="I248" s="133">
        <f ca="1">HLOOKUP($H$4,'Met Data'!$A$2:$F$368,G248,FALSE)</f>
        <v>9.49583333333333</v>
      </c>
      <c r="J248" s="133">
        <f ca="1">HLOOKUP($H$4,'Met Data'!$H$2:$M$368,G248,FALSE)*L248</f>
        <v>3.11666666666666</v>
      </c>
      <c r="K248" s="106">
        <f ca="1">HLOOKUP($H$4,'Met Data'!$O$2:$T$368,G248,FALSE)</f>
        <v>1.2041756804414001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45196</v>
      </c>
      <c r="Q248">
        <f ca="1"/>
        <v>173.19502079073223</v>
      </c>
      <c r="R248">
        <f ca="1"/>
        <v>0.46495755334345601</v>
      </c>
      <c r="S248">
        <f ca="1"/>
        <v>8.0864995664170025E-5</v>
      </c>
      <c r="T248">
        <f ca="1"/>
        <v>0.30135416666666504</v>
      </c>
      <c r="U248">
        <f ca="1"/>
        <v>0</v>
      </c>
      <c r="V248">
        <f ca="1"/>
        <v>15.3482301164855</v>
      </c>
      <c r="W248">
        <f ca="1"/>
        <v>14.0407882917479</v>
      </c>
      <c r="X248">
        <f ca="1"/>
        <v>0</v>
      </c>
      <c r="Y248">
        <f ca="1"/>
        <v>0.97368593697551664</v>
      </c>
      <c r="Z248">
        <f ca="1"/>
        <v>0</v>
      </c>
      <c r="AA248">
        <f ca="1"/>
        <v>0</v>
      </c>
      <c r="AB248">
        <f ca="1"/>
        <v>0.99816374208634695</v>
      </c>
      <c r="AD248" s="2">
        <f t="shared" ca="1" si="32"/>
        <v>45196</v>
      </c>
      <c r="AE248" s="46">
        <f t="shared" ca="1" si="33"/>
        <v>0</v>
      </c>
      <c r="AG248" s="72">
        <f t="shared" ca="1" si="37"/>
        <v>173.65997834407568</v>
      </c>
      <c r="AH248" s="72">
        <f t="shared" ca="1" si="38"/>
        <v>173.65997834407568</v>
      </c>
      <c r="AI248" s="3">
        <f t="shared" ca="1" si="39"/>
        <v>0</v>
      </c>
    </row>
    <row r="249" spans="7:35" x14ac:dyDescent="0.25">
      <c r="G249" s="3">
        <f t="shared" ca="1" si="34"/>
        <v>227</v>
      </c>
      <c r="H249" s="105">
        <f t="shared" ca="1" si="36"/>
        <v>45152</v>
      </c>
      <c r="I249" s="133">
        <f ca="1">HLOOKUP($H$4,'Met Data'!$A$2:$F$368,G249,FALSE)</f>
        <v>9.7791666666666597</v>
      </c>
      <c r="J249" s="133">
        <f ca="1">HLOOKUP($H$4,'Met Data'!$H$2:$M$368,G249,FALSE)*L249</f>
        <v>6.7</v>
      </c>
      <c r="K249" s="106">
        <f ca="1">HLOOKUP($H$4,'Met Data'!$O$2:$T$368,G249,FALSE)</f>
        <v>1.1357294741412001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45197</v>
      </c>
      <c r="Q249">
        <f ca="1"/>
        <v>173.02306265382109</v>
      </c>
      <c r="R249">
        <f ca="1"/>
        <v>0.48025804942615302</v>
      </c>
      <c r="S249">
        <f ca="1"/>
        <v>7.0745848354078272E-5</v>
      </c>
      <c r="T249">
        <f ca="1"/>
        <v>0.308229166666665</v>
      </c>
      <c r="U249">
        <f ca="1"/>
        <v>0</v>
      </c>
      <c r="V249">
        <f ca="1"/>
        <v>15.8284881659117</v>
      </c>
      <c r="W249">
        <f ca="1"/>
        <v>14.480135470297</v>
      </c>
      <c r="X249">
        <f ca="1"/>
        <v>0</v>
      </c>
      <c r="Y249">
        <f ca="1"/>
        <v>0.9988287172277428</v>
      </c>
      <c r="Z249">
        <f ca="1"/>
        <v>0</v>
      </c>
      <c r="AA249">
        <f ca="1"/>
        <v>0</v>
      </c>
      <c r="AB249">
        <f ca="1"/>
        <v>0.99844038689222503</v>
      </c>
      <c r="AD249" s="2">
        <f t="shared" ca="1" si="32"/>
        <v>45197</v>
      </c>
      <c r="AE249" s="46">
        <f t="shared" ca="1" si="33"/>
        <v>0</v>
      </c>
      <c r="AG249" s="72">
        <f t="shared" ca="1" si="37"/>
        <v>173.50332070324725</v>
      </c>
      <c r="AH249" s="72">
        <f t="shared" ca="1" si="38"/>
        <v>173.50332070324723</v>
      </c>
      <c r="AI249" s="3">
        <f t="shared" ca="1" si="39"/>
        <v>0</v>
      </c>
    </row>
    <row r="250" spans="7:35" x14ac:dyDescent="0.25">
      <c r="G250" s="3">
        <f t="shared" ca="1" si="34"/>
        <v>228</v>
      </c>
      <c r="H250" s="105">
        <f t="shared" ca="1" si="36"/>
        <v>45153</v>
      </c>
      <c r="I250" s="133">
        <f ca="1">HLOOKUP($H$4,'Met Data'!$A$2:$F$368,G250,FALSE)</f>
        <v>9.4375</v>
      </c>
      <c r="J250" s="133">
        <f ca="1">HLOOKUP($H$4,'Met Data'!$H$2:$M$368,G250,FALSE)*L250</f>
        <v>3.2833333333333301</v>
      </c>
      <c r="K250" s="106">
        <f ca="1">HLOOKUP($H$4,'Met Data'!$O$2:$T$368,G250,FALSE)</f>
        <v>1.2410385498851699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45198</v>
      </c>
      <c r="Q250">
        <f ca="1"/>
        <v>172.84230615988923</v>
      </c>
      <c r="R250">
        <f ca="1"/>
        <v>0.49706834153046298</v>
      </c>
      <c r="S250">
        <f ca="1"/>
        <v>6.1847598605448365E-5</v>
      </c>
      <c r="T250">
        <f ca="1"/>
        <v>0.31625000000000003</v>
      </c>
      <c r="U250">
        <f ca="1"/>
        <v>0</v>
      </c>
      <c r="V250">
        <f ca="1"/>
        <v>16.325556507442201</v>
      </c>
      <c r="W250">
        <f ca="1"/>
        <v>14.934860953104501</v>
      </c>
      <c r="X250">
        <f ca="1"/>
        <v>0</v>
      </c>
      <c r="Y250">
        <f ca="1"/>
        <v>0.99752245100180637</v>
      </c>
      <c r="Z250">
        <f ca="1"/>
        <v>0</v>
      </c>
      <c r="AA250">
        <f ca="1"/>
        <v>0</v>
      </c>
      <c r="AB250">
        <f ca="1"/>
        <v>0.99868102722318397</v>
      </c>
      <c r="AD250" s="2">
        <f t="shared" ca="1" si="32"/>
        <v>45198</v>
      </c>
      <c r="AE250" s="46">
        <f t="shared" ca="1" si="33"/>
        <v>0</v>
      </c>
      <c r="AG250" s="72">
        <f t="shared" ca="1" si="37"/>
        <v>173.33937450141968</v>
      </c>
      <c r="AH250" s="72">
        <f t="shared" ca="1" si="38"/>
        <v>173.33937450141968</v>
      </c>
      <c r="AI250" s="3">
        <f t="shared" ca="1" si="39"/>
        <v>0</v>
      </c>
    </row>
    <row r="251" spans="7:35" x14ac:dyDescent="0.25">
      <c r="G251" s="3">
        <f t="shared" ca="1" si="34"/>
        <v>229</v>
      </c>
      <c r="H251" s="105">
        <f t="shared" ca="1" si="36"/>
        <v>45154</v>
      </c>
      <c r="I251" s="133">
        <f ca="1">HLOOKUP($H$4,'Met Data'!$A$2:$F$368,G251,FALSE)</f>
        <v>9.6999999999999993</v>
      </c>
      <c r="J251" s="133">
        <f ca="1">HLOOKUP($H$4,'Met Data'!$H$2:$M$368,G251,FALSE)*L251</f>
        <v>1.5999999999999901</v>
      </c>
      <c r="K251" s="106">
        <f ca="1">HLOOKUP($H$4,'Met Data'!$O$2:$T$368,G251,FALSE)</f>
        <v>1.30158376837533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45199</v>
      </c>
      <c r="Q251">
        <f ca="1"/>
        <v>172.65973362185829</v>
      </c>
      <c r="R251">
        <f ca="1"/>
        <v>0.49564529484747799</v>
      </c>
      <c r="S251">
        <f ca="1"/>
        <v>5.1923483226979316E-5</v>
      </c>
      <c r="T251">
        <f ca="1"/>
        <v>0.31302083333333253</v>
      </c>
      <c r="U251">
        <f ca="1"/>
        <v>0</v>
      </c>
      <c r="V251">
        <f ca="1"/>
        <v>16.8212018022896</v>
      </c>
      <c r="W251">
        <f ca="1"/>
        <v>15.388284611724201</v>
      </c>
      <c r="X251">
        <f ca="1"/>
        <v>0</v>
      </c>
      <c r="Y251">
        <f ca="1"/>
        <v>1</v>
      </c>
      <c r="Z251">
        <f ca="1"/>
        <v>2.8727756946682774</v>
      </c>
      <c r="AA251">
        <f ca="1"/>
        <v>0</v>
      </c>
      <c r="AB251">
        <f ca="1"/>
        <v>0.99888266853756602</v>
      </c>
      <c r="AD251" s="2">
        <f t="shared" ca="1" si="32"/>
        <v>45199</v>
      </c>
      <c r="AE251" s="46">
        <f t="shared" ca="1" si="33"/>
        <v>0</v>
      </c>
      <c r="AG251" s="72">
        <f t="shared" ca="1" si="37"/>
        <v>173.15537891670579</v>
      </c>
      <c r="AH251" s="72">
        <f t="shared" ca="1" si="38"/>
        <v>173.15537891670579</v>
      </c>
      <c r="AI251" s="3">
        <f t="shared" ca="1" si="39"/>
        <v>0</v>
      </c>
    </row>
    <row r="252" spans="7:35" x14ac:dyDescent="0.25">
      <c r="G252" s="3">
        <f t="shared" ca="1" si="34"/>
        <v>230</v>
      </c>
      <c r="H252" s="105">
        <f t="shared" ca="1" si="36"/>
        <v>45155</v>
      </c>
      <c r="I252" s="133">
        <f ca="1">HLOOKUP($H$4,'Met Data'!$A$2:$F$368,G252,FALSE)</f>
        <v>9.61666666666666</v>
      </c>
      <c r="J252" s="133">
        <f ca="1">HLOOKUP($H$4,'Met Data'!$H$2:$M$368,G252,FALSE)*L252</f>
        <v>6.5999999999999899</v>
      </c>
      <c r="K252" s="106">
        <f ca="1">HLOOKUP($H$4,'Met Data'!$O$2:$T$368,G252,FALSE)</f>
        <v>1.3713845776081399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45200</v>
      </c>
      <c r="Q252">
        <f ca="1"/>
        <v>172.48717525831225</v>
      </c>
      <c r="R252">
        <f ca="1"/>
        <v>0.46384941680918201</v>
      </c>
      <c r="S252">
        <f ca="1"/>
        <v>4.1053263135595265E-5</v>
      </c>
      <c r="T252">
        <f ca="1"/>
        <v>0.29125000000000001</v>
      </c>
      <c r="U252">
        <f ca="1"/>
        <v>0</v>
      </c>
      <c r="V252">
        <f ca="1"/>
        <v>17.285051219098801</v>
      </c>
      <c r="W252">
        <f ca="1"/>
        <v>15.812620930064501</v>
      </c>
      <c r="X252">
        <f ca="1"/>
        <v>0</v>
      </c>
      <c r="Y252">
        <f ca="1"/>
        <v>0.99902208054655905</v>
      </c>
      <c r="Z252">
        <f ca="1"/>
        <v>0</v>
      </c>
      <c r="AA252">
        <f ca="1"/>
        <v>0</v>
      </c>
      <c r="AB252">
        <f ca="1"/>
        <v>0.99904252479425604</v>
      </c>
      <c r="AD252" s="2">
        <f t="shared" ca="1" si="32"/>
        <v>45200</v>
      </c>
      <c r="AE252" s="46">
        <f t="shared" ca="1" si="33"/>
        <v>0</v>
      </c>
      <c r="AG252" s="72">
        <f t="shared" ca="1" si="37"/>
        <v>172.95102467512143</v>
      </c>
      <c r="AH252" s="72">
        <f t="shared" ca="1" si="38"/>
        <v>172.95102467512143</v>
      </c>
      <c r="AI252" s="3">
        <f t="shared" ca="1" si="39"/>
        <v>0</v>
      </c>
    </row>
    <row r="253" spans="7:35" x14ac:dyDescent="0.25">
      <c r="G253" s="3">
        <f t="shared" ca="1" si="34"/>
        <v>231</v>
      </c>
      <c r="H253" s="105">
        <f t="shared" ca="1" si="36"/>
        <v>45156</v>
      </c>
      <c r="I253" s="133">
        <f ca="1">HLOOKUP($H$4,'Met Data'!$A$2:$F$368,G253,FALSE)</f>
        <v>8.8333333333333304</v>
      </c>
      <c r="J253" s="133">
        <f ca="1">HLOOKUP($H$4,'Met Data'!$H$2:$M$368,G253,FALSE)*L253</f>
        <v>3.3</v>
      </c>
      <c r="K253" s="106">
        <f ca="1">HLOOKUP($H$4,'Met Data'!$O$2:$T$368,G253,FALSE)</f>
        <v>1.38797998518043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45201</v>
      </c>
      <c r="Q253">
        <f ca="1"/>
        <v>172.30707318292139</v>
      </c>
      <c r="R253">
        <f ca="1"/>
        <v>0.48055516753136701</v>
      </c>
      <c r="S253">
        <f ca="1"/>
        <v>3.6425473848928754E-5</v>
      </c>
      <c r="T253">
        <f ca="1"/>
        <v>0.300416666666665</v>
      </c>
      <c r="U253">
        <f ca="1"/>
        <v>0</v>
      </c>
      <c r="V253">
        <f ca="1"/>
        <v>17.7656063866302</v>
      </c>
      <c r="W253">
        <f ca="1"/>
        <v>16.252239916657999</v>
      </c>
      <c r="X253">
        <f ca="1"/>
        <v>0</v>
      </c>
      <c r="Y253">
        <f ca="1"/>
        <v>1</v>
      </c>
      <c r="Z253">
        <f ca="1"/>
        <v>4.6082102738083108E-2</v>
      </c>
      <c r="AA253">
        <f ca="1"/>
        <v>0</v>
      </c>
      <c r="AB253">
        <f ca="1"/>
        <v>0.99918350749683904</v>
      </c>
      <c r="AD253" s="2">
        <f t="shared" ca="1" si="32"/>
        <v>45201</v>
      </c>
      <c r="AE253" s="46">
        <f t="shared" ca="1" si="33"/>
        <v>0</v>
      </c>
      <c r="AG253" s="72">
        <f t="shared" ca="1" si="37"/>
        <v>172.78762835045276</v>
      </c>
      <c r="AH253" s="72">
        <f t="shared" ca="1" si="38"/>
        <v>172.78762835045276</v>
      </c>
      <c r="AI253" s="3">
        <f t="shared" ca="1" si="39"/>
        <v>0</v>
      </c>
    </row>
    <row r="254" spans="7:35" x14ac:dyDescent="0.25">
      <c r="G254" s="3">
        <f t="shared" ca="1" si="34"/>
        <v>232</v>
      </c>
      <c r="H254" s="105">
        <f t="shared" ca="1" si="36"/>
        <v>45157</v>
      </c>
      <c r="I254" s="133">
        <f ca="1">HLOOKUP($H$4,'Met Data'!$A$2:$F$368,G254,FALSE)</f>
        <v>9.4833333333333307</v>
      </c>
      <c r="J254" s="133">
        <f ca="1">HLOOKUP($H$4,'Met Data'!$H$2:$M$368,G254,FALSE)*L254</f>
        <v>2.1333333333333302</v>
      </c>
      <c r="K254" s="106">
        <f ca="1">HLOOKUP($H$4,'Met Data'!$O$2:$T$368,G254,FALSE)</f>
        <v>1.56092628574794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45202</v>
      </c>
      <c r="Q254">
        <f ca="1"/>
        <v>172.11140715614556</v>
      </c>
      <c r="R254">
        <f ca="1"/>
        <v>0.51924126594289199</v>
      </c>
      <c r="S254">
        <f ca="1"/>
        <v>3.3572500393498843E-5</v>
      </c>
      <c r="T254">
        <f ca="1"/>
        <v>0.32354166666666501</v>
      </c>
      <c r="U254">
        <f ca="1"/>
        <v>0</v>
      </c>
      <c r="V254">
        <f ca="1"/>
        <v>18.284847652573099</v>
      </c>
      <c r="W254">
        <f ca="1"/>
        <v>16.727249519205699</v>
      </c>
      <c r="X254">
        <f ca="1"/>
        <v>0</v>
      </c>
      <c r="Y254">
        <f ca="1"/>
        <v>1</v>
      </c>
      <c r="Z254">
        <f ca="1"/>
        <v>1.6390791116568835</v>
      </c>
      <c r="AA254">
        <f ca="1"/>
        <v>0</v>
      </c>
      <c r="AB254">
        <f ca="1"/>
        <v>0.99931223203469899</v>
      </c>
      <c r="AD254" s="2">
        <f t="shared" ca="1" si="32"/>
        <v>45202</v>
      </c>
      <c r="AE254" s="46">
        <f t="shared" ca="1" si="33"/>
        <v>0</v>
      </c>
      <c r="AG254" s="72">
        <f t="shared" ca="1" si="37"/>
        <v>172.63064842208846</v>
      </c>
      <c r="AH254" s="72">
        <f t="shared" ca="1" si="38"/>
        <v>172.63064842208846</v>
      </c>
      <c r="AI254" s="3">
        <f t="shared" ca="1" si="39"/>
        <v>0</v>
      </c>
    </row>
    <row r="255" spans="7:35" x14ac:dyDescent="0.25">
      <c r="G255" s="3">
        <f t="shared" ca="1" si="34"/>
        <v>233</v>
      </c>
      <c r="H255" s="105">
        <f t="shared" ca="1" si="36"/>
        <v>45158</v>
      </c>
      <c r="I255" s="133">
        <f ca="1">HLOOKUP($H$4,'Met Data'!$A$2:$F$368,G255,FALSE)</f>
        <v>9.2583333333333293</v>
      </c>
      <c r="J255" s="133">
        <f ca="1">HLOOKUP($H$4,'Met Data'!$H$2:$M$368,G255,FALSE)*L255</f>
        <v>3.65</v>
      </c>
      <c r="K255" s="106">
        <f ca="1">HLOOKUP($H$4,'Met Data'!$O$2:$T$368,G255,FALSE)</f>
        <v>1.4422774750484899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45203</v>
      </c>
      <c r="Q255">
        <f ca="1"/>
        <v>171.92982520905736</v>
      </c>
      <c r="R255">
        <f ca="1"/>
        <v>0.48035813276949202</v>
      </c>
      <c r="S255">
        <f ca="1"/>
        <v>2.6185681269893951E-5</v>
      </c>
      <c r="T255">
        <f ca="1"/>
        <v>0.29875000000000002</v>
      </c>
      <c r="U255">
        <f ca="1"/>
        <v>0</v>
      </c>
      <c r="V255">
        <f ca="1"/>
        <v>18.765205785342602</v>
      </c>
      <c r="W255">
        <f ca="1"/>
        <v>17.1666882554801</v>
      </c>
      <c r="X255">
        <f ca="1"/>
        <v>0</v>
      </c>
      <c r="Y255">
        <f ca="1"/>
        <v>0.99090143984120871</v>
      </c>
      <c r="Z255">
        <f ca="1"/>
        <v>0</v>
      </c>
      <c r="AA255">
        <f ca="1"/>
        <v>0</v>
      </c>
      <c r="AB255">
        <f ca="1"/>
        <v>0.99941300657832899</v>
      </c>
      <c r="AD255" s="2">
        <f t="shared" ca="1" si="32"/>
        <v>45203</v>
      </c>
      <c r="AE255" s="46">
        <f t="shared" ca="1" si="33"/>
        <v>0</v>
      </c>
      <c r="AG255" s="72">
        <f t="shared" ca="1" si="37"/>
        <v>172.41018334182684</v>
      </c>
      <c r="AH255" s="72">
        <f t="shared" ca="1" si="38"/>
        <v>172.41018334182684</v>
      </c>
      <c r="AI255" s="3">
        <f t="shared" ca="1" si="39"/>
        <v>0</v>
      </c>
    </row>
    <row r="256" spans="7:35" x14ac:dyDescent="0.25">
      <c r="G256" s="3">
        <f t="shared" ca="1" si="34"/>
        <v>234</v>
      </c>
      <c r="H256" s="105">
        <f t="shared" ca="1" si="36"/>
        <v>45159</v>
      </c>
      <c r="I256" s="133">
        <f ca="1">HLOOKUP($H$4,'Met Data'!$A$2:$F$368,G256,FALSE)</f>
        <v>9.7708333333333304</v>
      </c>
      <c r="J256" s="133">
        <f ca="1">HLOOKUP($H$4,'Met Data'!$H$2:$M$368,G256,FALSE)*L256</f>
        <v>2.36666666666666</v>
      </c>
      <c r="K256" s="106">
        <f ca="1">HLOOKUP($H$4,'Met Data'!$O$2:$T$368,G256,FALSE)</f>
        <v>1.70464821639982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45204</v>
      </c>
      <c r="Q256">
        <f ca="1"/>
        <v>171.74882895621971</v>
      </c>
      <c r="R256">
        <f ca="1"/>
        <v>0.478414415152425</v>
      </c>
      <c r="S256">
        <f ca="1"/>
        <v>2.2328981455328999E-5</v>
      </c>
      <c r="T256">
        <f ca="1"/>
        <v>0.29739583333333253</v>
      </c>
      <c r="U256">
        <f ca="1"/>
        <v>0</v>
      </c>
      <c r="V256">
        <f ca="1"/>
        <v>19.243620200494998</v>
      </c>
      <c r="W256">
        <f ca="1"/>
        <v>17.604348850082499</v>
      </c>
      <c r="X256">
        <f ca="1"/>
        <v>0</v>
      </c>
      <c r="Y256">
        <f ca="1"/>
        <v>0.98967147471535521</v>
      </c>
      <c r="Z256">
        <f ca="1"/>
        <v>0</v>
      </c>
      <c r="AA256">
        <f ca="1"/>
        <v>0</v>
      </c>
      <c r="AB256">
        <f ca="1"/>
        <v>0.99949866266929899</v>
      </c>
      <c r="AD256" s="2">
        <f t="shared" ca="1" si="32"/>
        <v>45204</v>
      </c>
      <c r="AE256" s="46">
        <f t="shared" ca="1" si="33"/>
        <v>0</v>
      </c>
      <c r="AG256" s="72">
        <f t="shared" ca="1" si="37"/>
        <v>172.22724337137214</v>
      </c>
      <c r="AH256" s="72">
        <f t="shared" ca="1" si="38"/>
        <v>172.22724337137214</v>
      </c>
      <c r="AI256" s="3">
        <f t="shared" ca="1" si="39"/>
        <v>0</v>
      </c>
    </row>
    <row r="257" spans="7:35" x14ac:dyDescent="0.25">
      <c r="G257" s="3">
        <f t="shared" ca="1" si="34"/>
        <v>235</v>
      </c>
      <c r="H257" s="105">
        <f t="shared" ca="1" si="36"/>
        <v>45160</v>
      </c>
      <c r="I257" s="133">
        <f ca="1">HLOOKUP($H$4,'Met Data'!$A$2:$F$368,G257,FALSE)</f>
        <v>9.5208333333333304</v>
      </c>
      <c r="J257" s="133">
        <f ca="1">HLOOKUP($H$4,'Met Data'!$H$2:$M$368,G257,FALSE)*L257</f>
        <v>4.4666666666666597</v>
      </c>
      <c r="K257" s="106">
        <f ca="1">HLOOKUP($H$4,'Met Data'!$O$2:$T$368,G257,FALSE)</f>
        <v>1.6762831823304301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45205</v>
      </c>
      <c r="Q257">
        <f ca="1"/>
        <v>171.56915399007835</v>
      </c>
      <c r="R257">
        <f ca="1"/>
        <v>0.475527340425622</v>
      </c>
      <c r="S257">
        <f ca="1"/>
        <v>1.9040950949677575E-5</v>
      </c>
      <c r="T257">
        <f ca="1"/>
        <v>0.2958333333333325</v>
      </c>
      <c r="U257">
        <f ca="1"/>
        <v>0</v>
      </c>
      <c r="V257">
        <f ca="1"/>
        <v>19.719147540920599</v>
      </c>
      <c r="W257">
        <f ca="1"/>
        <v>18.0393683059533</v>
      </c>
      <c r="X257">
        <f ca="1"/>
        <v>0</v>
      </c>
      <c r="Y257">
        <f ca="1"/>
        <v>0.98060129378080407</v>
      </c>
      <c r="Z257">
        <f ca="1"/>
        <v>0</v>
      </c>
      <c r="AA257">
        <f ca="1"/>
        <v>0</v>
      </c>
      <c r="AB257">
        <f ca="1"/>
        <v>0.99957146985682199</v>
      </c>
      <c r="AD257" s="2">
        <f t="shared" ca="1" si="32"/>
        <v>45205</v>
      </c>
      <c r="AE257" s="46">
        <f t="shared" ca="1" si="33"/>
        <v>0</v>
      </c>
      <c r="AG257" s="72">
        <f t="shared" ca="1" si="37"/>
        <v>172.04468133050398</v>
      </c>
      <c r="AH257" s="72">
        <f t="shared" ca="1" si="38"/>
        <v>172.04468133050398</v>
      </c>
      <c r="AI257" s="3">
        <f t="shared" ca="1" si="39"/>
        <v>0</v>
      </c>
    </row>
    <row r="258" spans="7:35" x14ac:dyDescent="0.25">
      <c r="G258" s="3">
        <f t="shared" ca="1" si="34"/>
        <v>236</v>
      </c>
      <c r="H258" s="105">
        <f t="shared" ca="1" si="36"/>
        <v>45161</v>
      </c>
      <c r="I258" s="133">
        <f ca="1">HLOOKUP($H$4,'Met Data'!$A$2:$F$368,G258,FALSE)</f>
        <v>9.5791666666666604</v>
      </c>
      <c r="J258" s="133">
        <f ca="1">HLOOKUP($H$4,'Met Data'!$H$2:$M$368,G258,FALSE)*L258</f>
        <v>1.4833333333333301</v>
      </c>
      <c r="K258" s="106">
        <f ca="1">HLOOKUP($H$4,'Met Data'!$O$2:$T$368,G258,FALSE)</f>
        <v>1.44273965203753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45206</v>
      </c>
      <c r="Q258">
        <f ca="1"/>
        <v>171.38593547517053</v>
      </c>
      <c r="R258">
        <f ca="1"/>
        <v>0.48656859955795501</v>
      </c>
      <c r="S258">
        <f ca="1"/>
        <v>1.6751316825340017E-5</v>
      </c>
      <c r="T258">
        <f ca="1"/>
        <v>0.30333333333333251</v>
      </c>
      <c r="U258">
        <f ca="1"/>
        <v>0</v>
      </c>
      <c r="V258">
        <f ca="1"/>
        <v>20.2057161404786</v>
      </c>
      <c r="W258">
        <f ca="1"/>
        <v>18.4844884692526</v>
      </c>
      <c r="X258">
        <f ca="1"/>
        <v>0</v>
      </c>
      <c r="Y258">
        <f ca="1"/>
        <v>0.97232697211699204</v>
      </c>
      <c r="Z258">
        <f ca="1"/>
        <v>0</v>
      </c>
      <c r="AA258">
        <f ca="1"/>
        <v>0</v>
      </c>
      <c r="AB258">
        <f ca="1"/>
        <v>0.99963516186208701</v>
      </c>
      <c r="AD258" s="2">
        <f t="shared" ca="1" si="32"/>
        <v>45206</v>
      </c>
      <c r="AE258" s="46">
        <f t="shared" ca="1" si="33"/>
        <v>0</v>
      </c>
      <c r="AG258" s="72">
        <f t="shared" ca="1" si="37"/>
        <v>171.87250407472851</v>
      </c>
      <c r="AH258" s="72">
        <f t="shared" ca="1" si="38"/>
        <v>171.87250407472848</v>
      </c>
      <c r="AI258" s="3">
        <f t="shared" ca="1" si="39"/>
        <v>0</v>
      </c>
    </row>
    <row r="259" spans="7:35" x14ac:dyDescent="0.25">
      <c r="G259" s="3">
        <f t="shared" ca="1" si="34"/>
        <v>237</v>
      </c>
      <c r="H259" s="105">
        <f t="shared" ca="1" si="36"/>
        <v>45162</v>
      </c>
      <c r="I259" s="133">
        <f ca="1">HLOOKUP($H$4,'Met Data'!$A$2:$F$368,G259,FALSE)</f>
        <v>9.8874999999999993</v>
      </c>
      <c r="J259" s="133">
        <f ca="1">HLOOKUP($H$4,'Met Data'!$H$2:$M$368,G259,FALSE)*L259</f>
        <v>0.56666666666666599</v>
      </c>
      <c r="K259" s="106">
        <f ca="1">HLOOKUP($H$4,'Met Data'!$O$2:$T$368,G259,FALSE)</f>
        <v>1.7386735184612501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45207</v>
      </c>
      <c r="Q259">
        <f ca="1"/>
        <v>171.20828181793331</v>
      </c>
      <c r="R259">
        <f ca="1"/>
        <v>0.47443849325398402</v>
      </c>
      <c r="S259">
        <f ca="1"/>
        <v>1.4002683446868265E-5</v>
      </c>
      <c r="T259">
        <f ca="1"/>
        <v>0.29677083333333248</v>
      </c>
      <c r="U259">
        <f ca="1"/>
        <v>0</v>
      </c>
      <c r="V259">
        <f ca="1"/>
        <v>20.680154633732599</v>
      </c>
      <c r="W259">
        <f ca="1"/>
        <v>18.918511831599801</v>
      </c>
      <c r="X259">
        <f ca="1"/>
        <v>0</v>
      </c>
      <c r="Y259">
        <f ca="1"/>
        <v>0.98974440428965538</v>
      </c>
      <c r="Z259">
        <f ca="1"/>
        <v>0</v>
      </c>
      <c r="AA259">
        <f ca="1"/>
        <v>0</v>
      </c>
      <c r="AB259">
        <f ca="1"/>
        <v>0.99968830706978196</v>
      </c>
      <c r="AD259" s="2">
        <f t="shared" ca="1" si="32"/>
        <v>45207</v>
      </c>
      <c r="AE259" s="46">
        <f t="shared" ca="1" si="33"/>
        <v>0</v>
      </c>
      <c r="AG259" s="72">
        <f t="shared" ca="1" si="37"/>
        <v>171.68272031118732</v>
      </c>
      <c r="AH259" s="72">
        <f t="shared" ca="1" si="38"/>
        <v>171.6827203111873</v>
      </c>
      <c r="AI259" s="3">
        <f t="shared" ca="1" si="39"/>
        <v>0</v>
      </c>
    </row>
    <row r="260" spans="7:35" x14ac:dyDescent="0.25">
      <c r="G260" s="3">
        <f t="shared" ca="1" si="34"/>
        <v>238</v>
      </c>
      <c r="H260" s="105">
        <f t="shared" ca="1" si="36"/>
        <v>45163</v>
      </c>
      <c r="I260" s="133">
        <f ca="1">HLOOKUP($H$4,'Met Data'!$A$2:$F$368,G260,FALSE)</f>
        <v>9.7208333333333297</v>
      </c>
      <c r="J260" s="133">
        <f ca="1">HLOOKUP($H$4,'Met Data'!$H$2:$M$368,G260,FALSE)*L260</f>
        <v>2.4666666666666601</v>
      </c>
      <c r="K260" s="106">
        <f ca="1">HLOOKUP($H$4,'Met Data'!$O$2:$T$368,G260,FALSE)</f>
        <v>1.45538034550647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45208</v>
      </c>
      <c r="Q260">
        <f ca="1"/>
        <v>171.03782197615595</v>
      </c>
      <c r="R260">
        <f ca="1"/>
        <v>0.458700670830616</v>
      </c>
      <c r="S260">
        <f ca="1"/>
        <v>1.1662386554000614E-5</v>
      </c>
      <c r="T260">
        <f ca="1"/>
        <v>0.28822916666666498</v>
      </c>
      <c r="U260">
        <f ca="1"/>
        <v>0</v>
      </c>
      <c r="V260">
        <f ca="1"/>
        <v>21.138855304563201</v>
      </c>
      <c r="W260">
        <f ca="1"/>
        <v>19.338138000841099</v>
      </c>
      <c r="X260">
        <f ca="1"/>
        <v>0</v>
      </c>
      <c r="Y260">
        <f ca="1"/>
        <v>0.98891128576862541</v>
      </c>
      <c r="Z260">
        <f ca="1"/>
        <v>0</v>
      </c>
      <c r="AA260">
        <f ca="1"/>
        <v>0</v>
      </c>
      <c r="AB260">
        <f ca="1"/>
        <v>0.99973250333579899</v>
      </c>
      <c r="AD260" s="2">
        <f t="shared" ca="1" si="32"/>
        <v>45208</v>
      </c>
      <c r="AE260" s="46">
        <f t="shared" ca="1" si="33"/>
        <v>0</v>
      </c>
      <c r="AG260" s="72">
        <f t="shared" ca="1" si="37"/>
        <v>171.49652264698653</v>
      </c>
      <c r="AH260" s="72">
        <f t="shared" ca="1" si="38"/>
        <v>171.49652264698656</v>
      </c>
      <c r="AI260" s="3">
        <f t="shared" ca="1" si="39"/>
        <v>0</v>
      </c>
    </row>
    <row r="261" spans="7:35" x14ac:dyDescent="0.25">
      <c r="G261" s="3">
        <f t="shared" ca="1" si="34"/>
        <v>239</v>
      </c>
      <c r="H261" s="105">
        <f t="shared" ca="1" si="36"/>
        <v>45164</v>
      </c>
      <c r="I261" s="133">
        <f ca="1">HLOOKUP($H$4,'Met Data'!$A$2:$F$368,G261,FALSE)</f>
        <v>10.716666666666599</v>
      </c>
      <c r="J261" s="133">
        <f ca="1">HLOOKUP($H$4,'Met Data'!$H$2:$M$368,G261,FALSE)*L261</f>
        <v>3.0666666666666602</v>
      </c>
      <c r="K261" s="106">
        <f ca="1">HLOOKUP($H$4,'Met Data'!$O$2:$T$368,G261,FALSE)</f>
        <v>1.4899612238642299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45209</v>
      </c>
      <c r="Q261">
        <f ca="1"/>
        <v>170.87301705535435</v>
      </c>
      <c r="R261">
        <f ca="1"/>
        <v>0.44773145114724899</v>
      </c>
      <c r="S261">
        <f ca="1"/>
        <v>9.8636790157121742E-6</v>
      </c>
      <c r="T261">
        <f ca="1"/>
        <v>0.28291666666666504</v>
      </c>
      <c r="U261">
        <f ca="1"/>
        <v>0</v>
      </c>
      <c r="V261">
        <f ca="1"/>
        <v>21.5865867557104</v>
      </c>
      <c r="W261">
        <f ca="1"/>
        <v>19.747729365409199</v>
      </c>
      <c r="X261">
        <f ca="1"/>
        <v>0</v>
      </c>
      <c r="Y261">
        <f ca="1"/>
        <v>0.99233417882175834</v>
      </c>
      <c r="Z261">
        <f ca="1"/>
        <v>0</v>
      </c>
      <c r="AA261">
        <f ca="1"/>
        <v>0</v>
      </c>
      <c r="AB261">
        <f ca="1"/>
        <v>0.99976978630790203</v>
      </c>
      <c r="AD261" s="2">
        <f t="shared" ca="1" si="32"/>
        <v>45209</v>
      </c>
      <c r="AE261" s="46">
        <f t="shared" ca="1" si="33"/>
        <v>0</v>
      </c>
      <c r="AG261" s="72">
        <f t="shared" ca="1" si="37"/>
        <v>171.32074850650164</v>
      </c>
      <c r="AH261" s="72">
        <f t="shared" ca="1" si="38"/>
        <v>171.32074850650162</v>
      </c>
      <c r="AI261" s="3">
        <f t="shared" ca="1" si="39"/>
        <v>0</v>
      </c>
    </row>
    <row r="262" spans="7:35" x14ac:dyDescent="0.25">
      <c r="G262" s="3">
        <f t="shared" ca="1" si="34"/>
        <v>240</v>
      </c>
      <c r="H262" s="105">
        <f t="shared" ca="1" si="36"/>
        <v>45165</v>
      </c>
      <c r="I262" s="133">
        <f ca="1">HLOOKUP($H$4,'Met Data'!$A$2:$F$368,G262,FALSE)</f>
        <v>10.754166666666601</v>
      </c>
      <c r="J262" s="133">
        <f ca="1">HLOOKUP($H$4,'Met Data'!$H$2:$M$368,G262,FALSE)*L262</f>
        <v>1.0333333333333301</v>
      </c>
      <c r="K262" s="106">
        <f ca="1">HLOOKUP($H$4,'Met Data'!$O$2:$T$368,G262,FALSE)</f>
        <v>1.6543487023337</v>
      </c>
      <c r="L262">
        <f t="shared" ref="L262:L325" ca="1" si="40">IF(H262&lt;$B$27,$J$3,$J$4)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45210</v>
      </c>
      <c r="Q262">
        <f ca="1"/>
        <v>170.69493827233231</v>
      </c>
      <c r="R262">
        <f ca="1"/>
        <v>0.489754840108723</v>
      </c>
      <c r="S262">
        <f ca="1"/>
        <v>9.390419987073783E-6</v>
      </c>
      <c r="T262">
        <f ca="1"/>
        <v>0.31166666666666498</v>
      </c>
      <c r="U262">
        <f ca="1"/>
        <v>0</v>
      </c>
      <c r="V262">
        <f ca="1"/>
        <v>22.076341595819201</v>
      </c>
      <c r="W262">
        <f ca="1"/>
        <v>20.195764348767899</v>
      </c>
      <c r="X262">
        <f ca="1"/>
        <v>0</v>
      </c>
      <c r="Y262">
        <f ca="1"/>
        <v>1</v>
      </c>
      <c r="Z262">
        <f ca="1"/>
        <v>0.16608308679741413</v>
      </c>
      <c r="AA262">
        <f ca="1"/>
        <v>0</v>
      </c>
      <c r="AB262">
        <f ca="1"/>
        <v>0.99980487316431499</v>
      </c>
      <c r="AD262" s="2">
        <f t="shared" ref="AD262:AD325" ca="1" si="42">IFERROR(P262,$AD$4)</f>
        <v>45210</v>
      </c>
      <c r="AE262" s="46">
        <f t="shared" ref="AE262:AE325" ca="1" si="43">IFERROR(U262,0)</f>
        <v>0</v>
      </c>
      <c r="AG262" s="72">
        <f t="shared" ca="1" si="37"/>
        <v>171.18469311244101</v>
      </c>
      <c r="AH262" s="72">
        <f t="shared" ca="1" si="38"/>
        <v>171.18469311244104</v>
      </c>
      <c r="AI262" s="3">
        <f t="shared" ca="1" si="39"/>
        <v>0</v>
      </c>
    </row>
    <row r="263" spans="7:35" x14ac:dyDescent="0.25">
      <c r="G263" s="3">
        <f t="shared" ref="G263:G326" ca="1" si="44">H263-DATE(YEAR(H263),1,0)+1</f>
        <v>241</v>
      </c>
      <c r="H263" s="105">
        <f t="shared" ca="1" si="36"/>
        <v>45166</v>
      </c>
      <c r="I263" s="133">
        <f ca="1">HLOOKUP($H$4,'Met Data'!$A$2:$F$368,G263,FALSE)</f>
        <v>11.0833333333333</v>
      </c>
      <c r="J263" s="133">
        <f ca="1">HLOOKUP($H$4,'Met Data'!$H$2:$M$368,G263,FALSE)*L263</f>
        <v>1.9</v>
      </c>
      <c r="K263" s="106">
        <f ca="1">HLOOKUP($H$4,'Met Data'!$O$2:$T$368,G263,FALSE)</f>
        <v>1.6425180639822501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45211</v>
      </c>
      <c r="Q263">
        <f ca="1"/>
        <v>170.51974365382378</v>
      </c>
      <c r="R263">
        <f ca="1"/>
        <v>0.48936933484407102</v>
      </c>
      <c r="S263">
        <f ca="1"/>
        <v>8.0496688775183129E-6</v>
      </c>
      <c r="T263">
        <f ca="1"/>
        <v>0.31416666666666504</v>
      </c>
      <c r="U263">
        <f ca="1"/>
        <v>0</v>
      </c>
      <c r="V263">
        <f ca="1"/>
        <v>22.565710930663201</v>
      </c>
      <c r="W263">
        <f ca="1"/>
        <v>20.643446666199299</v>
      </c>
      <c r="X263">
        <f ca="1"/>
        <v>0</v>
      </c>
      <c r="Y263">
        <f ca="1"/>
        <v>0.9934390802860078</v>
      </c>
      <c r="Z263">
        <f ca="1"/>
        <v>0</v>
      </c>
      <c r="AA263">
        <f ca="1"/>
        <v>0</v>
      </c>
      <c r="AB263">
        <f ca="1"/>
        <v>0.99983483255363104</v>
      </c>
      <c r="AD263" s="2">
        <f t="shared" ca="1" si="42"/>
        <v>45211</v>
      </c>
      <c r="AE263" s="46">
        <f t="shared" ca="1" si="43"/>
        <v>0</v>
      </c>
      <c r="AG263" s="72">
        <f t="shared" ca="1" si="37"/>
        <v>171.00911298866785</v>
      </c>
      <c r="AH263" s="72">
        <f t="shared" ca="1" si="38"/>
        <v>171.00911298866785</v>
      </c>
      <c r="AI263" s="3">
        <f t="shared" ca="1" si="39"/>
        <v>0</v>
      </c>
    </row>
    <row r="264" spans="7:35" x14ac:dyDescent="0.25">
      <c r="G264" s="3">
        <f t="shared" ca="1" si="44"/>
        <v>242</v>
      </c>
      <c r="H264" s="105">
        <f t="shared" ref="H264:H327" ca="1" si="46">H263+1</f>
        <v>45167</v>
      </c>
      <c r="I264" s="133">
        <f ca="1">HLOOKUP($H$4,'Met Data'!$A$2:$F$368,G264,FALSE)</f>
        <v>10.5791666666666</v>
      </c>
      <c r="J264" s="133">
        <f ca="1">HLOOKUP($H$4,'Met Data'!$H$2:$M$368,G264,FALSE)*L264</f>
        <v>3.0166666666666599</v>
      </c>
      <c r="K264" s="106">
        <f ca="1">HLOOKUP($H$4,'Met Data'!$O$2:$T$368,G264,FALSE)</f>
        <v>1.5065040723285099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45212</v>
      </c>
      <c r="Q264">
        <f ca="1"/>
        <v>170.35528819140336</v>
      </c>
      <c r="R264">
        <f ca="1"/>
        <v>0.46779539581603302</v>
      </c>
      <c r="S264">
        <f ca="1"/>
        <v>6.6000623000717248E-6</v>
      </c>
      <c r="T264">
        <f ca="1"/>
        <v>0.30333333333333251</v>
      </c>
      <c r="U264">
        <f ca="1"/>
        <v>0</v>
      </c>
      <c r="V264">
        <f ca="1"/>
        <v>23.033506326479301</v>
      </c>
      <c r="W264">
        <f ca="1"/>
        <v>21.071392824594</v>
      </c>
      <c r="X264">
        <f ca="1"/>
        <v>0</v>
      </c>
      <c r="Y264">
        <f ca="1"/>
        <v>0.99961300688641008</v>
      </c>
      <c r="Z264">
        <f ca="1"/>
        <v>0</v>
      </c>
      <c r="AA264">
        <f ca="1"/>
        <v>0</v>
      </c>
      <c r="AB264">
        <f ca="1"/>
        <v>0.99985938673191499</v>
      </c>
      <c r="AD264" s="2">
        <f t="shared" ca="1" si="42"/>
        <v>45212</v>
      </c>
      <c r="AE264" s="46">
        <f t="shared" ca="1" si="43"/>
        <v>0</v>
      </c>
      <c r="AG264" s="72">
        <f t="shared" ca="1" si="37"/>
        <v>170.82308358721943</v>
      </c>
      <c r="AH264" s="72">
        <f t="shared" ca="1" si="38"/>
        <v>170.8230835872194</v>
      </c>
      <c r="AI264" s="3">
        <f t="shared" ca="1" si="39"/>
        <v>0</v>
      </c>
    </row>
    <row r="265" spans="7:35" x14ac:dyDescent="0.25">
      <c r="G265" s="3">
        <f t="shared" ca="1" si="44"/>
        <v>243</v>
      </c>
      <c r="H265" s="105">
        <f t="shared" ca="1" si="46"/>
        <v>45168</v>
      </c>
      <c r="I265" s="133">
        <f ca="1">HLOOKUP($H$4,'Met Data'!$A$2:$F$368,G265,FALSE)</f>
        <v>11.1208333333333</v>
      </c>
      <c r="J265" s="133">
        <f ca="1">HLOOKUP($H$4,'Met Data'!$H$2:$M$368,G265,FALSE)*L265</f>
        <v>1.56666666666666</v>
      </c>
      <c r="K265" s="106">
        <f ca="1">HLOOKUP($H$4,'Met Data'!$O$2:$T$368,G265,FALSE)</f>
        <v>1.7782422370636499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45213</v>
      </c>
      <c r="Q265">
        <f ca="1"/>
        <v>170.18788932228901</v>
      </c>
      <c r="R265">
        <f ca="1"/>
        <v>0.48646730061936699</v>
      </c>
      <c r="S265">
        <f ca="1"/>
        <v>5.9315050003373353E-6</v>
      </c>
      <c r="T265">
        <f ca="1"/>
        <v>0.31906250000000003</v>
      </c>
      <c r="U265">
        <f ca="1"/>
        <v>0</v>
      </c>
      <c r="V265">
        <f ca="1"/>
        <v>23.519973627098601</v>
      </c>
      <c r="W265">
        <f ca="1"/>
        <v>21.5164203181236</v>
      </c>
      <c r="X265">
        <f ca="1"/>
        <v>0</v>
      </c>
      <c r="Y265">
        <f ca="1"/>
        <v>1</v>
      </c>
      <c r="Z265">
        <f ca="1"/>
        <v>1.3686939808378895</v>
      </c>
      <c r="AA265">
        <f ca="1"/>
        <v>0</v>
      </c>
      <c r="AB265">
        <f ca="1"/>
        <v>0.99988128600588699</v>
      </c>
      <c r="AD265" s="2">
        <f t="shared" ca="1" si="42"/>
        <v>45213</v>
      </c>
      <c r="AE265" s="46">
        <f t="shared" ca="1" si="43"/>
        <v>0</v>
      </c>
      <c r="AG265" s="72">
        <f t="shared" ca="1" si="37"/>
        <v>170.67435662290836</v>
      </c>
      <c r="AH265" s="72">
        <f t="shared" ca="1" si="38"/>
        <v>170.67435662290839</v>
      </c>
      <c r="AI265" s="3">
        <f t="shared" ca="1" si="39"/>
        <v>0</v>
      </c>
    </row>
    <row r="266" spans="7:35" x14ac:dyDescent="0.25">
      <c r="G266" s="3">
        <f t="shared" ca="1" si="44"/>
        <v>244</v>
      </c>
      <c r="H266" s="105">
        <f t="shared" ca="1" si="46"/>
        <v>45169</v>
      </c>
      <c r="I266" s="133">
        <f ca="1">HLOOKUP($H$4,'Met Data'!$A$2:$F$368,G266,FALSE)</f>
        <v>10.6666666666666</v>
      </c>
      <c r="J266" s="133">
        <f ca="1">HLOOKUP($H$4,'Met Data'!$H$2:$M$368,G266,FALSE)*L266</f>
        <v>1.7333333333333301</v>
      </c>
      <c r="K266" s="106">
        <f ca="1">HLOOKUP($H$4,'Met Data'!$O$2:$T$368,G266,FALSE)</f>
        <v>1.8075127039194601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45214</v>
      </c>
      <c r="Q266">
        <f ca="1"/>
        <v>170.02788920299884</v>
      </c>
      <c r="R266">
        <f ca="1"/>
        <v>0.47688010794674401</v>
      </c>
      <c r="S266">
        <f ca="1"/>
        <v>4.9886565520755843E-6</v>
      </c>
      <c r="T266">
        <f ca="1"/>
        <v>0.31687500000000002</v>
      </c>
      <c r="U266">
        <f ca="1"/>
        <v>0</v>
      </c>
      <c r="V266">
        <f ca="1"/>
        <v>23.996853735045399</v>
      </c>
      <c r="W266">
        <f ca="1"/>
        <v>21.9526773057637</v>
      </c>
      <c r="X266">
        <f ca="1"/>
        <v>0</v>
      </c>
      <c r="Y266">
        <f ca="1"/>
        <v>1</v>
      </c>
      <c r="Z266">
        <f ca="1"/>
        <v>1.835742295912155</v>
      </c>
      <c r="AA266">
        <f ca="1"/>
        <v>0</v>
      </c>
      <c r="AB266">
        <f ca="1"/>
        <v>0.99989965860140995</v>
      </c>
      <c r="AD266" s="2">
        <f t="shared" ca="1" si="42"/>
        <v>45214</v>
      </c>
      <c r="AE266" s="46">
        <f t="shared" ca="1" si="43"/>
        <v>0</v>
      </c>
      <c r="AG266" s="72">
        <f t="shared" ca="1" si="37"/>
        <v>170.50476931094556</v>
      </c>
      <c r="AH266" s="72">
        <f t="shared" ca="1" si="38"/>
        <v>170.50476931094559</v>
      </c>
      <c r="AI266" s="3">
        <f t="shared" ca="1" si="39"/>
        <v>0</v>
      </c>
    </row>
    <row r="267" spans="7:35" x14ac:dyDescent="0.25">
      <c r="G267" s="3">
        <f t="shared" ca="1" si="44"/>
        <v>245</v>
      </c>
      <c r="H267" s="105">
        <f t="shared" ca="1" si="46"/>
        <v>45170</v>
      </c>
      <c r="I267" s="133">
        <f ca="1">HLOOKUP($H$4,'Met Data'!$A$2:$F$368,G267,FALSE)</f>
        <v>10.1208333333333</v>
      </c>
      <c r="J267" s="133">
        <f ca="1">HLOOKUP($H$4,'Met Data'!$H$2:$M$368,G267,FALSE)*L267</f>
        <v>0.8</v>
      </c>
      <c r="K267" s="106">
        <f ca="1">HLOOKUP($H$4,'Met Data'!$O$2:$T$368,G267,FALSE)</f>
        <v>1.80445161149383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45215</v>
      </c>
      <c r="Q267">
        <f ca="1"/>
        <v>169.87905790017157</v>
      </c>
      <c r="R267">
        <f ca="1"/>
        <v>0.45643957562184301</v>
      </c>
      <c r="S267">
        <f ca="1"/>
        <v>4.1061279495926596E-6</v>
      </c>
      <c r="T267">
        <f ca="1"/>
        <v>0.30760416666666501</v>
      </c>
      <c r="U267">
        <f ca="1"/>
        <v>0</v>
      </c>
      <c r="V267">
        <f ca="1"/>
        <v>24.453293310667199</v>
      </c>
      <c r="W267">
        <f ca="1"/>
        <v>22.370234991610399</v>
      </c>
      <c r="X267">
        <f ca="1"/>
        <v>0</v>
      </c>
      <c r="Y267">
        <f ca="1"/>
        <v>0.98905524108303522</v>
      </c>
      <c r="Z267">
        <f ca="1"/>
        <v>0</v>
      </c>
      <c r="AA267">
        <f ca="1"/>
        <v>0</v>
      </c>
      <c r="AB267">
        <f ca="1"/>
        <v>0.99991476978132499</v>
      </c>
      <c r="AD267" s="2">
        <f t="shared" ca="1" si="42"/>
        <v>45215</v>
      </c>
      <c r="AE267" s="46">
        <f t="shared" ca="1" si="43"/>
        <v>0</v>
      </c>
      <c r="AG267" s="72">
        <f t="shared" ref="AG267:AG330" ca="1" si="47">Q266+S267+T267+U267</f>
        <v>170.33549747579346</v>
      </c>
      <c r="AH267" s="72">
        <f t="shared" ref="AH267:AH330" ca="1" si="48">Q267+R267+X267</f>
        <v>170.3354974757934</v>
      </c>
      <c r="AI267" s="3">
        <f t="shared" ref="AI267:AI330" ca="1" si="49">AH267-AG267</f>
        <v>0</v>
      </c>
    </row>
    <row r="268" spans="7:35" x14ac:dyDescent="0.25">
      <c r="G268" s="3">
        <f t="shared" ca="1" si="44"/>
        <v>246</v>
      </c>
      <c r="H268" s="105">
        <f t="shared" ca="1" si="46"/>
        <v>45171</v>
      </c>
      <c r="I268" s="133">
        <f ca="1">HLOOKUP($H$4,'Met Data'!$A$2:$F$368,G268,FALSE)</f>
        <v>9.6624999999999996</v>
      </c>
      <c r="J268" s="133">
        <f ca="1">HLOOKUP($H$4,'Met Data'!$H$2:$M$368,G268,FALSE)*L268</f>
        <v>3.0833333333333299</v>
      </c>
      <c r="K268" s="106">
        <f ca="1">HLOOKUP($H$4,'Met Data'!$O$2:$T$368,G268,FALSE)</f>
        <v>1.4517482623371101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45216</v>
      </c>
      <c r="Q268">
        <f ca="1"/>
        <v>169.72942742564339</v>
      </c>
      <c r="R268">
        <f ca="1"/>
        <v>0.47432166875708898</v>
      </c>
      <c r="S268">
        <f ca="1"/>
        <v>3.6942288784194457E-6</v>
      </c>
      <c r="T268">
        <f ca="1"/>
        <v>0.32468749999999752</v>
      </c>
      <c r="U268">
        <f ca="1"/>
        <v>0</v>
      </c>
      <c r="V268">
        <f ca="1"/>
        <v>24.927614979424298</v>
      </c>
      <c r="W268">
        <f ca="1"/>
        <v>22.804151481177001</v>
      </c>
      <c r="X268">
        <f ca="1"/>
        <v>0</v>
      </c>
      <c r="Y268">
        <f ca="1"/>
        <v>0.98987593052374367</v>
      </c>
      <c r="Z268">
        <f ca="1"/>
        <v>0</v>
      </c>
      <c r="AA268">
        <f ca="1"/>
        <v>0</v>
      </c>
      <c r="AB268">
        <f ca="1"/>
        <v>0.99992825871055002</v>
      </c>
      <c r="AD268" s="2">
        <f t="shared" ca="1" si="42"/>
        <v>45216</v>
      </c>
      <c r="AE268" s="46">
        <f t="shared" ca="1" si="43"/>
        <v>0</v>
      </c>
      <c r="AG268" s="72">
        <f t="shared" ca="1" si="47"/>
        <v>170.20374909440045</v>
      </c>
      <c r="AH268" s="72">
        <f t="shared" ca="1" si="48"/>
        <v>170.20374909440048</v>
      </c>
      <c r="AI268" s="3">
        <f t="shared" ca="1" si="49"/>
        <v>0</v>
      </c>
    </row>
    <row r="269" spans="7:35" x14ac:dyDescent="0.25">
      <c r="G269" s="3">
        <f t="shared" ca="1" si="44"/>
        <v>247</v>
      </c>
      <c r="H269" s="105">
        <f t="shared" ca="1" si="46"/>
        <v>45172</v>
      </c>
      <c r="I269" s="133">
        <f ca="1">HLOOKUP($H$4,'Met Data'!$A$2:$F$368,G269,FALSE)</f>
        <v>9.7541666666666593</v>
      </c>
      <c r="J269" s="133">
        <f ca="1">HLOOKUP($H$4,'Met Data'!$H$2:$M$368,G269,FALSE)*L269</f>
        <v>1.0833333333333299</v>
      </c>
      <c r="K269" s="106">
        <f ca="1">HLOOKUP($H$4,'Met Data'!$O$2:$T$368,G269,FALSE)</f>
        <v>1.75831978881469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45217</v>
      </c>
      <c r="Q269">
        <f ca="1"/>
        <v>169.59057598625185</v>
      </c>
      <c r="R269">
        <f ca="1"/>
        <v>0.45739616551342299</v>
      </c>
      <c r="S269">
        <f ca="1"/>
        <v>3.0594552309916559E-6</v>
      </c>
      <c r="T269">
        <f ca="1"/>
        <v>0.318541666666665</v>
      </c>
      <c r="U269">
        <f ca="1"/>
        <v>0</v>
      </c>
      <c r="V269">
        <f ca="1"/>
        <v>25.3850111449377</v>
      </c>
      <c r="W269">
        <f ca="1"/>
        <v>23.2225842696282</v>
      </c>
      <c r="X269">
        <f ca="1"/>
        <v>0</v>
      </c>
      <c r="Y269">
        <f ca="1"/>
        <v>0.99680946583192531</v>
      </c>
      <c r="Z269">
        <f ca="1"/>
        <v>0</v>
      </c>
      <c r="AA269">
        <f ca="1"/>
        <v>0</v>
      </c>
      <c r="AB269">
        <f ca="1"/>
        <v>0.99993941569046796</v>
      </c>
      <c r="AD269" s="2">
        <f t="shared" ca="1" si="42"/>
        <v>45217</v>
      </c>
      <c r="AE269" s="46">
        <f t="shared" ca="1" si="43"/>
        <v>0</v>
      </c>
      <c r="AG269" s="72">
        <f t="shared" ca="1" si="47"/>
        <v>170.04797215176529</v>
      </c>
      <c r="AH269" s="72">
        <f t="shared" ca="1" si="48"/>
        <v>170.04797215176526</v>
      </c>
      <c r="AI269" s="3">
        <f t="shared" ca="1" si="49"/>
        <v>0</v>
      </c>
    </row>
    <row r="270" spans="7:35" x14ac:dyDescent="0.25">
      <c r="G270" s="3">
        <f t="shared" ca="1" si="44"/>
        <v>248</v>
      </c>
      <c r="H270" s="105">
        <f t="shared" ca="1" si="46"/>
        <v>45173</v>
      </c>
      <c r="I270" s="133">
        <f ca="1">HLOOKUP($H$4,'Met Data'!$A$2:$F$368,G270,FALSE)</f>
        <v>10.0583333333333</v>
      </c>
      <c r="J270" s="133">
        <f ca="1">HLOOKUP($H$4,'Met Data'!$H$2:$M$368,G270,FALSE)*L270</f>
        <v>2.44999999999999</v>
      </c>
      <c r="K270" s="106">
        <f ca="1">HLOOKUP($H$4,'Met Data'!$O$2:$T$368,G270,FALSE)</f>
        <v>1.8005069619965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45218</v>
      </c>
      <c r="Q270">
        <f ca="1"/>
        <v>169.46588106181025</v>
      </c>
      <c r="R270">
        <f ca="1"/>
        <v>0.42855156327481603</v>
      </c>
      <c r="S270">
        <f ca="1"/>
        <v>2.4721665869348397E-6</v>
      </c>
      <c r="T270">
        <f ca="1"/>
        <v>0.30385416666666498</v>
      </c>
      <c r="U270">
        <f ca="1"/>
        <v>0</v>
      </c>
      <c r="V270">
        <f ca="1"/>
        <v>25.813562708212501</v>
      </c>
      <c r="W270">
        <f ca="1"/>
        <v>23.614629588624101</v>
      </c>
      <c r="X270">
        <f ca="1"/>
        <v>0</v>
      </c>
      <c r="Y270">
        <f ca="1"/>
        <v>0.98105529993989227</v>
      </c>
      <c r="Z270">
        <f ca="1"/>
        <v>0</v>
      </c>
      <c r="AA270">
        <f ca="1"/>
        <v>0</v>
      </c>
      <c r="AB270">
        <f ca="1"/>
        <v>0.99994843735019501</v>
      </c>
      <c r="AD270" s="2">
        <f t="shared" ca="1" si="42"/>
        <v>45218</v>
      </c>
      <c r="AE270" s="46">
        <f t="shared" ca="1" si="43"/>
        <v>0</v>
      </c>
      <c r="AG270" s="72">
        <f t="shared" ca="1" si="47"/>
        <v>169.8944326250851</v>
      </c>
      <c r="AH270" s="72">
        <f t="shared" ca="1" si="48"/>
        <v>169.89443262508507</v>
      </c>
      <c r="AI270" s="3">
        <f t="shared" ca="1" si="49"/>
        <v>0</v>
      </c>
    </row>
    <row r="271" spans="7:35" x14ac:dyDescent="0.25">
      <c r="G271" s="3">
        <f t="shared" ca="1" si="44"/>
        <v>249</v>
      </c>
      <c r="H271" s="105">
        <f t="shared" ca="1" si="46"/>
        <v>45174</v>
      </c>
      <c r="I271" s="133">
        <f ca="1">HLOOKUP($H$4,'Met Data'!$A$2:$F$368,G271,FALSE)</f>
        <v>9.7750000000000004</v>
      </c>
      <c r="J271" s="133">
        <f ca="1">HLOOKUP($H$4,'Met Data'!$H$2:$M$368,G271,FALSE)*L271</f>
        <v>3.2</v>
      </c>
      <c r="K271" s="106">
        <f ca="1">HLOOKUP($H$4,'Met Data'!$O$2:$T$368,G271,FALSE)</f>
        <v>1.49919962363172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45219</v>
      </c>
      <c r="Q271">
        <f ca="1"/>
        <v>169.34437924304905</v>
      </c>
      <c r="R271">
        <f ca="1"/>
        <v>0.43817068606803</v>
      </c>
      <c r="S271">
        <f ca="1"/>
        <v>2.2006401488859805E-6</v>
      </c>
      <c r="T271">
        <f ca="1"/>
        <v>0.31666666666666504</v>
      </c>
      <c r="U271">
        <f ca="1"/>
        <v>0</v>
      </c>
      <c r="V271">
        <f ca="1"/>
        <v>26.251733394280599</v>
      </c>
      <c r="W271">
        <f ca="1"/>
        <v>24.015474623656701</v>
      </c>
      <c r="X271">
        <f ca="1"/>
        <v>0</v>
      </c>
      <c r="Y271">
        <f ca="1"/>
        <v>0.96788787775945972</v>
      </c>
      <c r="Z271">
        <f ca="1"/>
        <v>0</v>
      </c>
      <c r="AA271">
        <f ca="1"/>
        <v>0</v>
      </c>
      <c r="AB271">
        <f ca="1"/>
        <v>0.99995641300195903</v>
      </c>
      <c r="AD271" s="2">
        <f t="shared" ca="1" si="42"/>
        <v>45219</v>
      </c>
      <c r="AE271" s="46">
        <f t="shared" ca="1" si="43"/>
        <v>0</v>
      </c>
      <c r="AG271" s="72">
        <f t="shared" ca="1" si="47"/>
        <v>169.78254992911707</v>
      </c>
      <c r="AH271" s="72">
        <f t="shared" ca="1" si="48"/>
        <v>169.78254992911707</v>
      </c>
      <c r="AI271" s="3">
        <f t="shared" ca="1" si="49"/>
        <v>0</v>
      </c>
    </row>
    <row r="272" spans="7:35" x14ac:dyDescent="0.25">
      <c r="G272" s="3">
        <f t="shared" ca="1" si="44"/>
        <v>250</v>
      </c>
      <c r="H272" s="105">
        <f t="shared" ca="1" si="46"/>
        <v>45175</v>
      </c>
      <c r="I272" s="133">
        <f ca="1">HLOOKUP($H$4,'Met Data'!$A$2:$F$368,G272,FALSE)</f>
        <v>10.3333333333333</v>
      </c>
      <c r="J272" s="133">
        <f ca="1">HLOOKUP($H$4,'Met Data'!$H$2:$M$368,G272,FALSE)*L272</f>
        <v>5.93333333333333</v>
      </c>
      <c r="K272" s="106">
        <f ca="1">HLOOKUP($H$4,'Met Data'!$O$2:$T$368,G272,FALSE)</f>
        <v>1.4735664157819599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45220</v>
      </c>
      <c r="Q272">
        <f ca="1"/>
        <v>169.23335704510055</v>
      </c>
      <c r="R272">
        <f ca="1"/>
        <v>0.42331570497577398</v>
      </c>
      <c r="S272">
        <f ca="1"/>
        <v>1.8403606095636277E-6</v>
      </c>
      <c r="T272">
        <f ca="1"/>
        <v>0.31229166666666502</v>
      </c>
      <c r="U272">
        <f ca="1"/>
        <v>0</v>
      </c>
      <c r="V272">
        <f ca="1"/>
        <v>26.675049099256299</v>
      </c>
      <c r="W272">
        <f ca="1"/>
        <v>24.402730101912301</v>
      </c>
      <c r="X272">
        <f ca="1"/>
        <v>0</v>
      </c>
      <c r="Y272">
        <f ca="1"/>
        <v>0.9531311846215933</v>
      </c>
      <c r="Z272">
        <f ca="1"/>
        <v>0</v>
      </c>
      <c r="AA272">
        <f ca="1"/>
        <v>0</v>
      </c>
      <c r="AB272">
        <f ca="1"/>
        <v>0.99996306939540802</v>
      </c>
      <c r="AD272" s="2">
        <f t="shared" ca="1" si="42"/>
        <v>45220</v>
      </c>
      <c r="AE272" s="46">
        <f t="shared" ca="1" si="43"/>
        <v>0</v>
      </c>
      <c r="AG272" s="72">
        <f t="shared" ca="1" si="47"/>
        <v>169.6566727500763</v>
      </c>
      <c r="AH272" s="72">
        <f t="shared" ca="1" si="48"/>
        <v>169.65667275007632</v>
      </c>
      <c r="AI272" s="3">
        <f t="shared" ca="1" si="49"/>
        <v>0</v>
      </c>
    </row>
    <row r="273" spans="7:35" x14ac:dyDescent="0.25">
      <c r="G273" s="3">
        <f t="shared" ca="1" si="44"/>
        <v>251</v>
      </c>
      <c r="H273" s="105">
        <f t="shared" ca="1" si="46"/>
        <v>45176</v>
      </c>
      <c r="I273" s="133">
        <f ca="1">HLOOKUP($H$4,'Met Data'!$A$2:$F$368,G273,FALSE)</f>
        <v>10.7708333333333</v>
      </c>
      <c r="J273" s="133">
        <f ca="1">HLOOKUP($H$4,'Met Data'!$H$2:$M$368,G273,FALSE)*L273</f>
        <v>1.2</v>
      </c>
      <c r="K273" s="106">
        <f ca="1">HLOOKUP($H$4,'Met Data'!$O$2:$T$368,G273,FALSE)</f>
        <v>1.8170202832795099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45221</v>
      </c>
      <c r="Q273">
        <f ca="1"/>
        <v>169.12801923828926</v>
      </c>
      <c r="R273">
        <f ca="1"/>
        <v>0.42846442557372899</v>
      </c>
      <c r="S273">
        <f ca="1"/>
        <v>1.6187624079711586E-6</v>
      </c>
      <c r="T273">
        <f ca="1"/>
        <v>0.323125</v>
      </c>
      <c r="U273">
        <f ca="1"/>
        <v>0</v>
      </c>
      <c r="V273">
        <f ca="1"/>
        <v>27.103513524830099</v>
      </c>
      <c r="W273">
        <f ca="1"/>
        <v>24.794695706048199</v>
      </c>
      <c r="X273">
        <f ca="1"/>
        <v>0</v>
      </c>
      <c r="Y273">
        <f ca="1"/>
        <v>0.96477972313050731</v>
      </c>
      <c r="Z273">
        <f ca="1"/>
        <v>0</v>
      </c>
      <c r="AA273">
        <f ca="1"/>
        <v>0</v>
      </c>
      <c r="AB273">
        <f ca="1"/>
        <v>0.99996888865627498</v>
      </c>
      <c r="AD273" s="2">
        <f t="shared" ca="1" si="42"/>
        <v>45221</v>
      </c>
      <c r="AE273" s="46">
        <f t="shared" ca="1" si="43"/>
        <v>0</v>
      </c>
      <c r="AG273" s="72">
        <f t="shared" ca="1" si="47"/>
        <v>169.55648366386296</v>
      </c>
      <c r="AH273" s="72">
        <f t="shared" ca="1" si="48"/>
        <v>169.55648366386299</v>
      </c>
      <c r="AI273" s="3">
        <f t="shared" ca="1" si="49"/>
        <v>0</v>
      </c>
    </row>
    <row r="274" spans="7:35" x14ac:dyDescent="0.25">
      <c r="G274" s="3">
        <f t="shared" ca="1" si="44"/>
        <v>252</v>
      </c>
      <c r="H274" s="105">
        <f t="shared" ca="1" si="46"/>
        <v>45177</v>
      </c>
      <c r="I274" s="133">
        <f ca="1">HLOOKUP($H$4,'Met Data'!$A$2:$F$368,G274,FALSE)</f>
        <v>10.5791666666666</v>
      </c>
      <c r="J274" s="133">
        <f ca="1">HLOOKUP($H$4,'Met Data'!$H$2:$M$368,G274,FALSE)*L274</f>
        <v>0.88333333333333297</v>
      </c>
      <c r="K274" s="106">
        <f ca="1">HLOOKUP($H$4,'Met Data'!$O$2:$T$368,G274,FALSE)</f>
        <v>1.8773510693625799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45222</v>
      </c>
      <c r="Q274">
        <f ca="1"/>
        <v>169.03755445774968</v>
      </c>
      <c r="R274">
        <f ca="1"/>
        <v>0.39619524126717898</v>
      </c>
      <c r="S274">
        <f ca="1"/>
        <v>1.2940609517028725E-6</v>
      </c>
      <c r="T274">
        <f ca="1"/>
        <v>0.305729166666665</v>
      </c>
      <c r="U274">
        <f ca="1"/>
        <v>0</v>
      </c>
      <c r="V274">
        <f ca="1"/>
        <v>27.4997087660972</v>
      </c>
      <c r="W274">
        <f ca="1"/>
        <v>25.157140982318602</v>
      </c>
      <c r="X274">
        <f ca="1"/>
        <v>0</v>
      </c>
      <c r="Y274">
        <f ca="1"/>
        <v>0.96576502274334197</v>
      </c>
      <c r="Z274">
        <f ca="1"/>
        <v>0</v>
      </c>
      <c r="AA274">
        <f ca="1"/>
        <v>0</v>
      </c>
      <c r="AB274">
        <f ca="1"/>
        <v>0.999973547921027</v>
      </c>
      <c r="AD274" s="2">
        <f t="shared" ca="1" si="42"/>
        <v>45222</v>
      </c>
      <c r="AE274" s="46">
        <f t="shared" ca="1" si="43"/>
        <v>0</v>
      </c>
      <c r="AG274" s="72">
        <f t="shared" ca="1" si="47"/>
        <v>169.43374969901686</v>
      </c>
      <c r="AH274" s="72">
        <f t="shared" ca="1" si="48"/>
        <v>169.43374969901686</v>
      </c>
      <c r="AI274" s="3">
        <f t="shared" ca="1" si="49"/>
        <v>0</v>
      </c>
    </row>
    <row r="275" spans="7:35" x14ac:dyDescent="0.25">
      <c r="G275" s="3">
        <f t="shared" ca="1" si="44"/>
        <v>253</v>
      </c>
      <c r="H275" s="105">
        <f t="shared" ca="1" si="46"/>
        <v>45178</v>
      </c>
      <c r="I275" s="133">
        <f ca="1">HLOOKUP($H$4,'Met Data'!$A$2:$F$368,G275,FALSE)</f>
        <v>9.6125000000000007</v>
      </c>
      <c r="J275" s="133">
        <f ca="1">HLOOKUP($H$4,'Met Data'!$H$2:$M$368,G275,FALSE)*L275</f>
        <v>4.36666666666666</v>
      </c>
      <c r="K275" s="106">
        <f ca="1">HLOOKUP($H$4,'Met Data'!$O$2:$T$368,G275,FALSE)</f>
        <v>1.8525160666589899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45223</v>
      </c>
      <c r="Q275">
        <f ca="1"/>
        <v>168.95600338783879</v>
      </c>
      <c r="R275">
        <f ca="1"/>
        <v>0.38832301116376999</v>
      </c>
      <c r="S275">
        <f ca="1"/>
        <v>1.1079195428395953E-6</v>
      </c>
      <c r="T275">
        <f ca="1"/>
        <v>0.30677083333333249</v>
      </c>
      <c r="U275">
        <f ca="1"/>
        <v>0</v>
      </c>
      <c r="V275">
        <f ca="1"/>
        <v>27.888031777260998</v>
      </c>
      <c r="W275">
        <f ca="1"/>
        <v>25.512384625864701</v>
      </c>
      <c r="X275">
        <f ca="1"/>
        <v>0</v>
      </c>
      <c r="Y275">
        <f ca="1"/>
        <v>0.94825644716508428</v>
      </c>
      <c r="Z275">
        <f ca="1"/>
        <v>0</v>
      </c>
      <c r="AA275">
        <f ca="1"/>
        <v>0</v>
      </c>
      <c r="AB275">
        <f ca="1"/>
        <v>0.99997752185424205</v>
      </c>
      <c r="AD275" s="2">
        <f t="shared" ca="1" si="42"/>
        <v>45223</v>
      </c>
      <c r="AE275" s="46">
        <f t="shared" ca="1" si="43"/>
        <v>0</v>
      </c>
      <c r="AG275" s="72">
        <f t="shared" ca="1" si="47"/>
        <v>169.34432639900254</v>
      </c>
      <c r="AH275" s="72">
        <f t="shared" ca="1" si="48"/>
        <v>169.34432639900257</v>
      </c>
      <c r="AI275" s="3">
        <f t="shared" ca="1" si="49"/>
        <v>0</v>
      </c>
    </row>
    <row r="276" spans="7:35" x14ac:dyDescent="0.25">
      <c r="G276" s="3">
        <f t="shared" ca="1" si="44"/>
        <v>254</v>
      </c>
      <c r="H276" s="105">
        <f t="shared" ca="1" si="46"/>
        <v>45179</v>
      </c>
      <c r="I276" s="133">
        <f ca="1">HLOOKUP($H$4,'Met Data'!$A$2:$F$368,G276,FALSE)</f>
        <v>10.0875</v>
      </c>
      <c r="J276" s="133">
        <f ca="1">HLOOKUP($H$4,'Met Data'!$H$2:$M$368,G276,FALSE)*L276</f>
        <v>3.44999999999999</v>
      </c>
      <c r="K276" s="106">
        <f ca="1">HLOOKUP($H$4,'Met Data'!$O$2:$T$368,G276,FALSE)</f>
        <v>1.67590206119575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45224</v>
      </c>
      <c r="Q276">
        <f ca="1"/>
        <v>168.88066598436987</v>
      </c>
      <c r="R276">
        <f ca="1"/>
        <v>0.39679672681452899</v>
      </c>
      <c r="S276">
        <f ca="1"/>
        <v>9.9001226214697891E-7</v>
      </c>
      <c r="T276">
        <f ca="1"/>
        <v>0.32145833333333251</v>
      </c>
      <c r="U276">
        <f ca="1"/>
        <v>0</v>
      </c>
      <c r="V276">
        <f ca="1"/>
        <v>28.284828504075499</v>
      </c>
      <c r="W276">
        <f ca="1"/>
        <v>25.8753801500247</v>
      </c>
      <c r="X276">
        <f ca="1"/>
        <v>0</v>
      </c>
      <c r="Y276">
        <f ca="1"/>
        <v>0.9344986428525176</v>
      </c>
      <c r="Z276">
        <f ca="1"/>
        <v>0</v>
      </c>
      <c r="AA276">
        <f ca="1"/>
        <v>0</v>
      </c>
      <c r="AB276">
        <f ca="1"/>
        <v>0.99998104708771895</v>
      </c>
      <c r="AD276" s="2">
        <f t="shared" ca="1" si="42"/>
        <v>45224</v>
      </c>
      <c r="AE276" s="46">
        <f t="shared" ca="1" si="43"/>
        <v>0</v>
      </c>
      <c r="AG276" s="72">
        <f t="shared" ca="1" si="47"/>
        <v>169.2774627111844</v>
      </c>
      <c r="AH276" s="72">
        <f t="shared" ca="1" si="48"/>
        <v>169.2774627111844</v>
      </c>
      <c r="AI276" s="3">
        <f t="shared" ca="1" si="49"/>
        <v>0</v>
      </c>
    </row>
    <row r="277" spans="7:35" x14ac:dyDescent="0.25">
      <c r="G277" s="3">
        <f t="shared" ca="1" si="44"/>
        <v>255</v>
      </c>
      <c r="H277" s="105">
        <f t="shared" ca="1" si="46"/>
        <v>45180</v>
      </c>
      <c r="I277" s="133">
        <f ca="1">HLOOKUP($H$4,'Met Data'!$A$2:$F$368,G277,FALSE)</f>
        <v>10.6416666666666</v>
      </c>
      <c r="J277" s="133">
        <f ca="1">HLOOKUP($H$4,'Met Data'!$H$2:$M$368,G277,FALSE)*L277</f>
        <v>6.4666666666666597</v>
      </c>
      <c r="K277" s="106">
        <f ca="1">HLOOKUP($H$4,'Met Data'!$O$2:$T$368,G277,FALSE)</f>
        <v>1.7070370554204599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45225</v>
      </c>
      <c r="Q277">
        <f ca="1"/>
        <v>168.81166368383032</v>
      </c>
      <c r="R277">
        <f ca="1"/>
        <v>0.41327403054248901</v>
      </c>
      <c r="S277">
        <f ca="1"/>
        <v>8.9666960083373313E-7</v>
      </c>
      <c r="T277">
        <f ca="1"/>
        <v>0.34427083333333253</v>
      </c>
      <c r="U277">
        <f ca="1"/>
        <v>0</v>
      </c>
      <c r="V277">
        <f ca="1"/>
        <v>28.698102534617998</v>
      </c>
      <c r="W277">
        <f ca="1"/>
        <v>26.2534493557432</v>
      </c>
      <c r="X277">
        <f ca="1"/>
        <v>0</v>
      </c>
      <c r="Y277">
        <f ca="1"/>
        <v>0.93952556056958136</v>
      </c>
      <c r="Z277">
        <f ca="1"/>
        <v>0</v>
      </c>
      <c r="AA277">
        <f ca="1"/>
        <v>0</v>
      </c>
      <c r="AB277">
        <f ca="1"/>
        <v>0.99998421176071395</v>
      </c>
      <c r="AD277" s="2">
        <f t="shared" ca="1" si="42"/>
        <v>45225</v>
      </c>
      <c r="AE277" s="46">
        <f t="shared" ca="1" si="43"/>
        <v>0</v>
      </c>
      <c r="AG277" s="72">
        <f t="shared" ca="1" si="47"/>
        <v>169.2249377143728</v>
      </c>
      <c r="AH277" s="72">
        <f t="shared" ca="1" si="48"/>
        <v>169.2249377143728</v>
      </c>
      <c r="AI277" s="3">
        <f t="shared" ca="1" si="49"/>
        <v>0</v>
      </c>
    </row>
    <row r="278" spans="7:35" x14ac:dyDescent="0.25">
      <c r="G278" s="3">
        <f t="shared" ca="1" si="44"/>
        <v>256</v>
      </c>
      <c r="H278" s="105">
        <f t="shared" ca="1" si="46"/>
        <v>45181</v>
      </c>
      <c r="I278" s="133">
        <f ca="1">HLOOKUP($H$4,'Met Data'!$A$2:$F$368,G278,FALSE)</f>
        <v>10.4541666666666</v>
      </c>
      <c r="J278" s="133">
        <f ca="1">HLOOKUP($H$4,'Met Data'!$H$2:$M$368,G278,FALSE)*L278</f>
        <v>2.0166666666666599</v>
      </c>
      <c r="K278" s="106">
        <f ca="1">HLOOKUP($H$4,'Met Data'!$O$2:$T$368,G278,FALSE)</f>
        <v>1.9219866027073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45226</v>
      </c>
      <c r="Q278">
        <f ca="1"/>
        <v>168.75443336498327</v>
      </c>
      <c r="R278">
        <f ca="1"/>
        <v>0.40473107436266498</v>
      </c>
      <c r="S278">
        <f ca="1"/>
        <v>7.5551562809419308E-7</v>
      </c>
      <c r="T278">
        <f ca="1"/>
        <v>0.34749999999999753</v>
      </c>
      <c r="U278">
        <f ca="1"/>
        <v>0</v>
      </c>
      <c r="V278">
        <f ca="1"/>
        <v>29.102833608980699</v>
      </c>
      <c r="W278">
        <f ca="1"/>
        <v>26.623703338586001</v>
      </c>
      <c r="X278">
        <f ca="1"/>
        <v>0</v>
      </c>
      <c r="Y278">
        <f ca="1"/>
        <v>0.95865139669515742</v>
      </c>
      <c r="Z278">
        <f ca="1"/>
        <v>0</v>
      </c>
      <c r="AA278">
        <f ca="1"/>
        <v>0</v>
      </c>
      <c r="AB278">
        <f ca="1"/>
        <v>0.999986870535721</v>
      </c>
      <c r="AD278" s="2">
        <f t="shared" ca="1" si="42"/>
        <v>45226</v>
      </c>
      <c r="AE278" s="46">
        <f t="shared" ca="1" si="43"/>
        <v>0</v>
      </c>
      <c r="AG278" s="72">
        <f t="shared" ca="1" si="47"/>
        <v>169.15916443934594</v>
      </c>
      <c r="AH278" s="72">
        <f t="shared" ca="1" si="48"/>
        <v>169.15916443934594</v>
      </c>
      <c r="AI278" s="3">
        <f t="shared" ca="1" si="49"/>
        <v>0</v>
      </c>
    </row>
    <row r="279" spans="7:35" x14ac:dyDescent="0.25">
      <c r="G279" s="3">
        <f t="shared" ca="1" si="44"/>
        <v>257</v>
      </c>
      <c r="H279" s="105">
        <f t="shared" ca="1" si="46"/>
        <v>45182</v>
      </c>
      <c r="I279" s="133">
        <f ca="1">HLOOKUP($H$4,'Met Data'!$A$2:$F$368,G279,FALSE)</f>
        <v>11.216666666666599</v>
      </c>
      <c r="J279" s="133">
        <f ca="1">HLOOKUP($H$4,'Met Data'!$H$2:$M$368,G279,FALSE)*L279</f>
        <v>1.4833333333333301</v>
      </c>
      <c r="K279" s="106">
        <f ca="1">HLOOKUP($H$4,'Met Data'!$O$2:$T$368,G279,FALSE)</f>
        <v>1.86072433418519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45227</v>
      </c>
      <c r="Q279">
        <f ca="1"/>
        <v>168.71111759135323</v>
      </c>
      <c r="R279">
        <f ca="1"/>
        <v>0.378941381614119</v>
      </c>
      <c r="S279">
        <f ca="1"/>
        <v>6.0798408031147985E-7</v>
      </c>
      <c r="T279">
        <f ca="1"/>
        <v>0.33562500000000001</v>
      </c>
      <c r="U279">
        <f ca="1"/>
        <v>0</v>
      </c>
      <c r="V279">
        <f ca="1"/>
        <v>29.481774990594801</v>
      </c>
      <c r="W279">
        <f ca="1"/>
        <v>26.970364528432999</v>
      </c>
      <c r="X279">
        <f ca="1"/>
        <v>0</v>
      </c>
      <c r="Y279">
        <f ca="1"/>
        <v>0.98409316711326988</v>
      </c>
      <c r="Z279">
        <f ca="1"/>
        <v>0</v>
      </c>
      <c r="AA279">
        <f ca="1"/>
        <v>0</v>
      </c>
      <c r="AB279">
        <f ca="1"/>
        <v>0.99998901255023398</v>
      </c>
      <c r="AD279" s="2">
        <f t="shared" ca="1" si="42"/>
        <v>45227</v>
      </c>
      <c r="AE279" s="46">
        <f t="shared" ca="1" si="43"/>
        <v>0</v>
      </c>
      <c r="AG279" s="72">
        <f t="shared" ca="1" si="47"/>
        <v>169.09005897296734</v>
      </c>
      <c r="AH279" s="72">
        <f t="shared" ca="1" si="48"/>
        <v>169.09005897296734</v>
      </c>
      <c r="AI279" s="3">
        <f t="shared" ca="1" si="49"/>
        <v>0</v>
      </c>
    </row>
    <row r="280" spans="7:35" x14ac:dyDescent="0.25">
      <c r="G280" s="3">
        <f t="shared" ca="1" si="44"/>
        <v>258</v>
      </c>
      <c r="H280" s="105">
        <f t="shared" ca="1" si="46"/>
        <v>45183</v>
      </c>
      <c r="I280" s="133">
        <f ca="1">HLOOKUP($H$4,'Met Data'!$A$2:$F$368,G280,FALSE)</f>
        <v>11.1</v>
      </c>
      <c r="J280" s="133">
        <f ca="1">HLOOKUP($H$4,'Met Data'!$H$2:$M$368,G280,FALSE)*L280</f>
        <v>2.4166666666666599</v>
      </c>
      <c r="K280" s="106">
        <f ca="1">HLOOKUP($H$4,'Met Data'!$O$2:$T$368,G280,FALSE)</f>
        <v>1.6515892534407901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45228</v>
      </c>
      <c r="Q280">
        <f ca="1"/>
        <v>168.67860453305022</v>
      </c>
      <c r="R280">
        <f ca="1"/>
        <v>0.38157608876136001</v>
      </c>
      <c r="S280">
        <f ca="1"/>
        <v>5.3045835459513642E-7</v>
      </c>
      <c r="T280">
        <f ca="1"/>
        <v>0.3490625</v>
      </c>
      <c r="U280">
        <f ca="1"/>
        <v>0</v>
      </c>
      <c r="V280">
        <f ca="1"/>
        <v>29.8633510793562</v>
      </c>
      <c r="W280">
        <f ca="1"/>
        <v>27.319435987411001</v>
      </c>
      <c r="X280">
        <f ca="1"/>
        <v>0</v>
      </c>
      <c r="Y280">
        <f ca="1"/>
        <v>0.9913613397011094</v>
      </c>
      <c r="Z280">
        <f ca="1"/>
        <v>0</v>
      </c>
      <c r="AA280">
        <f ca="1"/>
        <v>0</v>
      </c>
      <c r="AB280">
        <f ca="1"/>
        <v>0.99999087044196999</v>
      </c>
      <c r="AD280" s="2">
        <f t="shared" ca="1" si="42"/>
        <v>45228</v>
      </c>
      <c r="AE280" s="46">
        <f t="shared" ca="1" si="43"/>
        <v>0</v>
      </c>
      <c r="AG280" s="72">
        <f t="shared" ca="1" si="47"/>
        <v>169.06018062181158</v>
      </c>
      <c r="AH280" s="72">
        <f t="shared" ca="1" si="48"/>
        <v>169.06018062181158</v>
      </c>
      <c r="AI280" s="3">
        <f t="shared" ca="1" si="49"/>
        <v>0</v>
      </c>
    </row>
    <row r="281" spans="7:35" x14ac:dyDescent="0.25">
      <c r="G281" s="3">
        <f t="shared" ca="1" si="44"/>
        <v>259</v>
      </c>
      <c r="H281" s="105">
        <f t="shared" ca="1" si="46"/>
        <v>45184</v>
      </c>
      <c r="I281" s="133">
        <f ca="1">HLOOKUP($H$4,'Met Data'!$A$2:$F$368,G281,FALSE)</f>
        <v>11.3708333333333</v>
      </c>
      <c r="J281" s="133">
        <f ca="1">HLOOKUP($H$4,'Met Data'!$H$2:$M$368,G281,FALSE)*L281</f>
        <v>1.3</v>
      </c>
      <c r="K281" s="106">
        <f ca="1">HLOOKUP($H$4,'Met Data'!$O$2:$T$368,G281,FALSE)</f>
        <v>1.8040111781852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45229</v>
      </c>
      <c r="Q281">
        <f ca="1"/>
        <v>168.65980082065431</v>
      </c>
      <c r="R281">
        <f ca="1"/>
        <v>0.344949958318651</v>
      </c>
      <c r="S281">
        <f ca="1"/>
        <v>4.1258942385920522E-7</v>
      </c>
      <c r="T281">
        <f ca="1"/>
        <v>0.32614583333333252</v>
      </c>
      <c r="U281">
        <f ca="1"/>
        <v>0</v>
      </c>
      <c r="V281">
        <f ca="1"/>
        <v>30.208301037674801</v>
      </c>
      <c r="W281">
        <f ca="1"/>
        <v>27.635001319650701</v>
      </c>
      <c r="X281">
        <f ca="1"/>
        <v>0</v>
      </c>
      <c r="Y281">
        <f ca="1"/>
        <v>0.96809981137984868</v>
      </c>
      <c r="Z281">
        <f ca="1"/>
        <v>0</v>
      </c>
      <c r="AA281">
        <f ca="1"/>
        <v>0</v>
      </c>
      <c r="AB281">
        <f ca="1"/>
        <v>0.99999232136541905</v>
      </c>
      <c r="AD281" s="2">
        <f t="shared" ca="1" si="42"/>
        <v>45229</v>
      </c>
      <c r="AE281" s="46">
        <f t="shared" ca="1" si="43"/>
        <v>0</v>
      </c>
      <c r="AG281" s="72">
        <f t="shared" ca="1" si="47"/>
        <v>169.00475077897298</v>
      </c>
      <c r="AH281" s="72">
        <f t="shared" ca="1" si="48"/>
        <v>169.00475077897298</v>
      </c>
      <c r="AI281" s="3">
        <f t="shared" ca="1" si="49"/>
        <v>0</v>
      </c>
    </row>
    <row r="282" spans="7:35" x14ac:dyDescent="0.25">
      <c r="G282" s="3">
        <f t="shared" ca="1" si="44"/>
        <v>260</v>
      </c>
      <c r="H282" s="105">
        <f t="shared" ca="1" si="46"/>
        <v>45185</v>
      </c>
      <c r="I282" s="133">
        <f ca="1">HLOOKUP($H$4,'Met Data'!$A$2:$F$368,G282,FALSE)</f>
        <v>11.2916666666666</v>
      </c>
      <c r="J282" s="133">
        <f ca="1">HLOOKUP($H$4,'Met Data'!$H$2:$M$368,G282,FALSE)*L282</f>
        <v>2.6</v>
      </c>
      <c r="K282" s="106">
        <f ca="1">HLOOKUP($H$4,'Met Data'!$O$2:$T$368,G282,FALSE)</f>
        <v>1.8880733064353601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45230</v>
      </c>
      <c r="Q282">
        <f ca="1"/>
        <v>168.65223890610309</v>
      </c>
      <c r="R282">
        <f ca="1"/>
        <v>0.32297891776839499</v>
      </c>
      <c r="S282">
        <f ca="1"/>
        <v>3.3655049762045702E-7</v>
      </c>
      <c r="T282">
        <f ca="1"/>
        <v>0.31541666666666501</v>
      </c>
      <c r="U282">
        <f ca="1"/>
        <v>0</v>
      </c>
      <c r="V282">
        <f ca="1"/>
        <v>30.5312799554432</v>
      </c>
      <c r="W282">
        <f ca="1"/>
        <v>27.930467218498102</v>
      </c>
      <c r="X282">
        <f ca="1"/>
        <v>0</v>
      </c>
      <c r="Y282">
        <f ca="1"/>
        <v>0.97047636724360664</v>
      </c>
      <c r="Z282">
        <f ca="1"/>
        <v>0</v>
      </c>
      <c r="AA282">
        <f ca="1"/>
        <v>0</v>
      </c>
      <c r="AB282">
        <f ca="1"/>
        <v>0.99999350482483895</v>
      </c>
      <c r="AD282" s="2">
        <f t="shared" ca="1" si="42"/>
        <v>45230</v>
      </c>
      <c r="AE282" s="46">
        <f t="shared" ca="1" si="43"/>
        <v>0</v>
      </c>
      <c r="AG282" s="72">
        <f t="shared" ca="1" si="47"/>
        <v>168.97521782387147</v>
      </c>
      <c r="AH282" s="72">
        <f t="shared" ca="1" si="48"/>
        <v>168.97521782387147</v>
      </c>
      <c r="AI282" s="3">
        <f t="shared" ca="1" si="49"/>
        <v>0</v>
      </c>
    </row>
    <row r="283" spans="7:35" x14ac:dyDescent="0.25">
      <c r="G283" s="3">
        <f t="shared" ca="1" si="44"/>
        <v>261</v>
      </c>
      <c r="H283" s="105">
        <f t="shared" ca="1" si="46"/>
        <v>45186</v>
      </c>
      <c r="I283" s="133">
        <f ca="1">HLOOKUP($H$4,'Met Data'!$A$2:$F$368,G283,FALSE)</f>
        <v>12.2125</v>
      </c>
      <c r="J283" s="133">
        <f ca="1">HLOOKUP($H$4,'Met Data'!$H$2:$M$368,G283,FALSE)*L283</f>
        <v>4.5999999999999996</v>
      </c>
      <c r="K283" s="106">
        <f ca="1">HLOOKUP($H$4,'Met Data'!$O$2:$T$368,G283,FALSE)</f>
        <v>2.0382752192881299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 s="46">
        <f t="shared" ca="1" si="43"/>
        <v>0</v>
      </c>
      <c r="AG283" s="72" t="e">
        <f t="shared" ca="1" si="47"/>
        <v>#N/A</v>
      </c>
      <c r="AH283" s="72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262</v>
      </c>
      <c r="H284" s="105">
        <f t="shared" ca="1" si="46"/>
        <v>45187</v>
      </c>
      <c r="I284" s="133">
        <f ca="1">HLOOKUP($H$4,'Met Data'!$A$2:$F$368,G284,FALSE)</f>
        <v>11.35</v>
      </c>
      <c r="J284" s="133">
        <f ca="1">HLOOKUP($H$4,'Met Data'!$H$2:$M$368,G284,FALSE)*L284</f>
        <v>3.93333333333333</v>
      </c>
      <c r="K284" s="106">
        <f ca="1">HLOOKUP($H$4,'Met Data'!$O$2:$T$368,G284,FALSE)</f>
        <v>2.00744960029109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 s="46">
        <f t="shared" ca="1" si="43"/>
        <v>0</v>
      </c>
      <c r="AG284" s="72" t="e">
        <f t="shared" ca="1" si="47"/>
        <v>#N/A</v>
      </c>
      <c r="AH284" s="72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263</v>
      </c>
      <c r="H285" s="105">
        <f t="shared" ca="1" si="46"/>
        <v>45188</v>
      </c>
      <c r="I285" s="133">
        <f ca="1">HLOOKUP($H$4,'Met Data'!$A$2:$F$368,G285,FALSE)</f>
        <v>10.504166666666601</v>
      </c>
      <c r="J285" s="133">
        <f ca="1">HLOOKUP($H$4,'Met Data'!$H$2:$M$368,G285,FALSE)*L285</f>
        <v>8.7333333333333307</v>
      </c>
      <c r="K285" s="106">
        <f ca="1">HLOOKUP($H$4,'Met Data'!$O$2:$T$368,G285,FALSE)</f>
        <v>1.9387559167362001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 s="46">
        <f t="shared" ca="1" si="43"/>
        <v>0</v>
      </c>
      <c r="AG285" s="72" t="e">
        <f t="shared" ca="1" si="47"/>
        <v>#N/A</v>
      </c>
      <c r="AH285" s="72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264</v>
      </c>
      <c r="H286" s="105">
        <f t="shared" ca="1" si="46"/>
        <v>45189</v>
      </c>
      <c r="I286" s="133">
        <f ca="1">HLOOKUP($H$4,'Met Data'!$A$2:$F$368,G286,FALSE)</f>
        <v>10.387499999999999</v>
      </c>
      <c r="J286" s="133">
        <f ca="1">HLOOKUP($H$4,'Met Data'!$H$2:$M$368,G286,FALSE)*L286</f>
        <v>3.85</v>
      </c>
      <c r="K286" s="106">
        <f ca="1">HLOOKUP($H$4,'Met Data'!$O$2:$T$368,G286,FALSE)</f>
        <v>2.0861830094945102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 s="46">
        <f t="shared" ca="1" si="43"/>
        <v>0</v>
      </c>
      <c r="AG286" s="72" t="e">
        <f t="shared" ca="1" si="47"/>
        <v>#N/A</v>
      </c>
      <c r="AH286" s="72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265</v>
      </c>
      <c r="H287" s="105">
        <f t="shared" ca="1" si="46"/>
        <v>45190</v>
      </c>
      <c r="I287" s="133">
        <f ca="1">HLOOKUP($H$4,'Met Data'!$A$2:$F$368,G287,FALSE)</f>
        <v>9.85</v>
      </c>
      <c r="J287" s="133">
        <f ca="1">HLOOKUP($H$4,'Met Data'!$H$2:$M$368,G287,FALSE)*L287</f>
        <v>1.7999999999999901</v>
      </c>
      <c r="K287" s="106">
        <f ca="1">HLOOKUP($H$4,'Met Data'!$O$2:$T$368,G287,FALSE)</f>
        <v>2.1398164486974101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 s="46">
        <f t="shared" ca="1" si="43"/>
        <v>0</v>
      </c>
      <c r="AG287" s="72" t="e">
        <f t="shared" ca="1" si="47"/>
        <v>#N/A</v>
      </c>
      <c r="AH287" s="72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266</v>
      </c>
      <c r="H288" s="105">
        <f t="shared" ca="1" si="46"/>
        <v>45191</v>
      </c>
      <c r="I288" s="133">
        <f ca="1">HLOOKUP($H$4,'Met Data'!$A$2:$F$368,G288,FALSE)</f>
        <v>10.158333333333299</v>
      </c>
      <c r="J288" s="133">
        <f ca="1">HLOOKUP($H$4,'Met Data'!$H$2:$M$368,G288,FALSE)*L288</f>
        <v>3.93333333333333</v>
      </c>
      <c r="K288" s="106">
        <f ca="1">HLOOKUP($H$4,'Met Data'!$O$2:$T$368,G288,FALSE)</f>
        <v>2.31412085445224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 s="46">
        <f t="shared" ca="1" si="43"/>
        <v>0</v>
      </c>
      <c r="AG288" s="72" t="e">
        <f t="shared" ca="1" si="47"/>
        <v>#N/A</v>
      </c>
      <c r="AH288" s="72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267</v>
      </c>
      <c r="H289" s="105">
        <f t="shared" ca="1" si="46"/>
        <v>45192</v>
      </c>
      <c r="I289" s="133">
        <f ca="1">HLOOKUP($H$4,'Met Data'!$A$2:$F$368,G289,FALSE)</f>
        <v>10.9625</v>
      </c>
      <c r="J289" s="133">
        <f ca="1">HLOOKUP($H$4,'Met Data'!$H$2:$M$368,G289,FALSE)*L289</f>
        <v>1.86666666666666</v>
      </c>
      <c r="K289" s="106">
        <f ca="1">HLOOKUP($H$4,'Met Data'!$O$2:$T$368,G289,FALSE)</f>
        <v>2.2059606634486699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 s="46">
        <f t="shared" ca="1" si="43"/>
        <v>0</v>
      </c>
      <c r="AG289" s="72" t="e">
        <f t="shared" ca="1" si="47"/>
        <v>#N/A</v>
      </c>
      <c r="AH289" s="72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268</v>
      </c>
      <c r="H290" s="105">
        <f t="shared" ca="1" si="46"/>
        <v>45193</v>
      </c>
      <c r="I290" s="133">
        <f ca="1">HLOOKUP($H$4,'Met Data'!$A$2:$F$368,G290,FALSE)</f>
        <v>11.6458333333333</v>
      </c>
      <c r="J290" s="133">
        <f ca="1">HLOOKUP($H$4,'Met Data'!$H$2:$M$368,G290,FALSE)*L290</f>
        <v>5.5166666666666604</v>
      </c>
      <c r="K290" s="106">
        <f ca="1">HLOOKUP($H$4,'Met Data'!$O$2:$T$368,G290,FALSE)</f>
        <v>1.6755097599300399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 s="46">
        <f t="shared" ca="1" si="43"/>
        <v>0</v>
      </c>
      <c r="AG290" s="72" t="e">
        <f t="shared" ca="1" si="47"/>
        <v>#N/A</v>
      </c>
      <c r="AH290" s="72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269</v>
      </c>
      <c r="H291" s="105">
        <f t="shared" ca="1" si="46"/>
        <v>45194</v>
      </c>
      <c r="I291" s="133">
        <f ca="1">HLOOKUP($H$4,'Met Data'!$A$2:$F$368,G291,FALSE)</f>
        <v>12.112500000000001</v>
      </c>
      <c r="J291" s="133">
        <f ca="1">HLOOKUP($H$4,'Met Data'!$H$2:$M$368,G291,FALSE)*L291</f>
        <v>1.56666666666666</v>
      </c>
      <c r="K291" s="106">
        <f ca="1">HLOOKUP($H$4,'Met Data'!$O$2:$T$368,G291,FALSE)</f>
        <v>2.1669648664524801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 s="46">
        <f t="shared" ca="1" si="43"/>
        <v>0</v>
      </c>
      <c r="AG291" s="72" t="e">
        <f t="shared" ca="1" si="47"/>
        <v>#N/A</v>
      </c>
      <c r="AH291" s="72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270</v>
      </c>
      <c r="H292" s="105">
        <f t="shared" ca="1" si="46"/>
        <v>45195</v>
      </c>
      <c r="I292" s="133">
        <f ca="1">HLOOKUP($H$4,'Met Data'!$A$2:$F$368,G292,FALSE)</f>
        <v>11.6875</v>
      </c>
      <c r="J292" s="133">
        <f ca="1">HLOOKUP($H$4,'Met Data'!$H$2:$M$368,G292,FALSE)*L292</f>
        <v>1.0833333333333299</v>
      </c>
      <c r="K292" s="106">
        <f ca="1">HLOOKUP($H$4,'Met Data'!$O$2:$T$368,G292,FALSE)</f>
        <v>2.2423317945335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 s="46">
        <f t="shared" ca="1" si="43"/>
        <v>0</v>
      </c>
      <c r="AG292" s="72" t="e">
        <f t="shared" ca="1" si="47"/>
        <v>#N/A</v>
      </c>
      <c r="AH292" s="72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271</v>
      </c>
      <c r="H293" s="105">
        <f t="shared" ca="1" si="46"/>
        <v>45196</v>
      </c>
      <c r="I293" s="133">
        <f ca="1">HLOOKUP($H$4,'Met Data'!$A$2:$F$368,G293,FALSE)</f>
        <v>12.0541666666666</v>
      </c>
      <c r="J293" s="133">
        <f ca="1">HLOOKUP($H$4,'Met Data'!$H$2:$M$368,G293,FALSE)*L293</f>
        <v>1.05</v>
      </c>
      <c r="K293" s="106">
        <f ca="1">HLOOKUP($H$4,'Met Data'!$O$2:$T$368,G293,FALSE)</f>
        <v>2.4484809787012698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 s="46">
        <f t="shared" ca="1" si="43"/>
        <v>0</v>
      </c>
      <c r="AG293" s="72" t="e">
        <f t="shared" ca="1" si="47"/>
        <v>#N/A</v>
      </c>
      <c r="AH293" s="72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272</v>
      </c>
      <c r="H294" s="105">
        <f t="shared" ca="1" si="46"/>
        <v>45197</v>
      </c>
      <c r="I294" s="133">
        <f ca="1">HLOOKUP($H$4,'Met Data'!$A$2:$F$368,G294,FALSE)</f>
        <v>12.3291666666666</v>
      </c>
      <c r="J294" s="133">
        <f ca="1">HLOOKUP($H$4,'Met Data'!$H$2:$M$368,G294,FALSE)*L294</f>
        <v>5.1499999999999897</v>
      </c>
      <c r="K294" s="106">
        <f ca="1">HLOOKUP($H$4,'Met Data'!$O$2:$T$368,G294,FALSE)</f>
        <v>2.13295390564413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 s="46">
        <f t="shared" ca="1" si="43"/>
        <v>0</v>
      </c>
      <c r="AG294" s="72" t="e">
        <f t="shared" ca="1" si="47"/>
        <v>#N/A</v>
      </c>
      <c r="AH294" s="72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273</v>
      </c>
      <c r="H295" s="105">
        <f t="shared" ca="1" si="46"/>
        <v>45198</v>
      </c>
      <c r="I295" s="133">
        <f ca="1">HLOOKUP($H$4,'Met Data'!$A$2:$F$368,G295,FALSE)</f>
        <v>12.65</v>
      </c>
      <c r="J295" s="133">
        <f ca="1">HLOOKUP($H$4,'Met Data'!$H$2:$M$368,G295,FALSE)*L295</f>
        <v>2.15</v>
      </c>
      <c r="K295" s="106">
        <f ca="1">HLOOKUP($H$4,'Met Data'!$O$2:$T$368,G295,FALSE)</f>
        <v>2.3067555107961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 s="46">
        <f t="shared" ca="1" si="43"/>
        <v>0</v>
      </c>
      <c r="AG295" s="72" t="e">
        <f t="shared" ca="1" si="47"/>
        <v>#N/A</v>
      </c>
      <c r="AH295" s="72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274</v>
      </c>
      <c r="H296" s="105">
        <f t="shared" ca="1" si="46"/>
        <v>45199</v>
      </c>
      <c r="I296" s="133">
        <f ca="1">HLOOKUP($H$4,'Met Data'!$A$2:$F$368,G296,FALSE)</f>
        <v>12.5208333333333</v>
      </c>
      <c r="J296" s="133">
        <f ca="1">HLOOKUP($H$4,'Met Data'!$H$2:$M$368,G296,FALSE)*L296</f>
        <v>5.61666666666666</v>
      </c>
      <c r="K296" s="106">
        <f ca="1">HLOOKUP($H$4,'Met Data'!$O$2:$T$368,G296,FALSE)</f>
        <v>2.4465918649770302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 s="46">
        <f t="shared" ca="1" si="43"/>
        <v>0</v>
      </c>
      <c r="AG296" s="72" t="e">
        <f t="shared" ca="1" si="47"/>
        <v>#N/A</v>
      </c>
      <c r="AH296" s="72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275</v>
      </c>
      <c r="H297" s="105">
        <f t="shared" ca="1" si="46"/>
        <v>45200</v>
      </c>
      <c r="I297" s="133">
        <f ca="1">HLOOKUP($H$4,'Met Data'!$A$2:$F$368,G297,FALSE)</f>
        <v>11.65</v>
      </c>
      <c r="J297" s="133">
        <f ca="1">HLOOKUP($H$4,'Met Data'!$H$2:$M$368,G297,FALSE)*L297</f>
        <v>2.35</v>
      </c>
      <c r="K297" s="106">
        <f ca="1">HLOOKUP($H$4,'Met Data'!$O$2:$T$368,G297,FALSE)</f>
        <v>2.46735033441291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 s="46">
        <f t="shared" ca="1" si="43"/>
        <v>0</v>
      </c>
      <c r="AG297" s="72" t="e">
        <f t="shared" ca="1" si="47"/>
        <v>#N/A</v>
      </c>
      <c r="AH297" s="72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276</v>
      </c>
      <c r="H298" s="105">
        <f t="shared" ca="1" si="46"/>
        <v>45201</v>
      </c>
      <c r="I298" s="133">
        <f ca="1">HLOOKUP($H$4,'Met Data'!$A$2:$F$368,G298,FALSE)</f>
        <v>12.0166666666666</v>
      </c>
      <c r="J298" s="133">
        <f ca="1">HLOOKUP($H$4,'Met Data'!$H$2:$M$368,G298,FALSE)*L298</f>
        <v>2.2833333333333301</v>
      </c>
      <c r="K298" s="106">
        <f ca="1">HLOOKUP($H$4,'Met Data'!$O$2:$T$368,G298,FALSE)</f>
        <v>2.1199025888480301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 s="46">
        <f t="shared" ca="1" si="43"/>
        <v>0</v>
      </c>
      <c r="AG298" s="72" t="e">
        <f t="shared" ca="1" si="47"/>
        <v>#N/A</v>
      </c>
      <c r="AH298" s="72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277</v>
      </c>
      <c r="H299" s="105">
        <f t="shared" ca="1" si="46"/>
        <v>45202</v>
      </c>
      <c r="I299" s="133">
        <f ca="1">HLOOKUP($H$4,'Met Data'!$A$2:$F$368,G299,FALSE)</f>
        <v>12.941666666666601</v>
      </c>
      <c r="J299" s="133">
        <f ca="1">HLOOKUP($H$4,'Met Data'!$H$2:$M$368,G299,FALSE)*L299</f>
        <v>4.2666666666666604</v>
      </c>
      <c r="K299" s="106">
        <f ca="1">HLOOKUP($H$4,'Met Data'!$O$2:$T$368,G299,FALSE)</f>
        <v>2.6275875550097898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 s="46">
        <f t="shared" ca="1" si="43"/>
        <v>0</v>
      </c>
      <c r="AG299" s="72" t="e">
        <f t="shared" ca="1" si="47"/>
        <v>#N/A</v>
      </c>
      <c r="AH299" s="72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278</v>
      </c>
      <c r="H300" s="105">
        <f t="shared" ca="1" si="46"/>
        <v>45203</v>
      </c>
      <c r="I300" s="133">
        <f ca="1">HLOOKUP($H$4,'Met Data'!$A$2:$F$368,G300,FALSE)</f>
        <v>11.95</v>
      </c>
      <c r="J300" s="133">
        <f ca="1">HLOOKUP($H$4,'Met Data'!$H$2:$M$368,G300,FALSE)*L300</f>
        <v>1.13333333333333</v>
      </c>
      <c r="K300" s="106">
        <f ca="1">HLOOKUP($H$4,'Met Data'!$O$2:$T$368,G300,FALSE)</f>
        <v>2.2251605523882798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 s="46">
        <f t="shared" ca="1" si="43"/>
        <v>0</v>
      </c>
      <c r="AG300" s="72" t="e">
        <f t="shared" ca="1" si="47"/>
        <v>#N/A</v>
      </c>
      <c r="AH300" s="72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279</v>
      </c>
      <c r="H301" s="105">
        <f t="shared" ca="1" si="46"/>
        <v>45204</v>
      </c>
      <c r="I301" s="133">
        <f ca="1">HLOOKUP($H$4,'Met Data'!$A$2:$F$368,G301,FALSE)</f>
        <v>11.8958333333333</v>
      </c>
      <c r="J301" s="133">
        <f ca="1">HLOOKUP($H$4,'Met Data'!$H$2:$M$368,G301,FALSE)*L301</f>
        <v>2.0666666666666602</v>
      </c>
      <c r="K301" s="106">
        <f ca="1">HLOOKUP($H$4,'Met Data'!$O$2:$T$368,G301,FALSE)</f>
        <v>2.2142725820580198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 s="46">
        <f t="shared" ca="1" si="43"/>
        <v>0</v>
      </c>
      <c r="AG301" s="72" t="e">
        <f t="shared" ca="1" si="47"/>
        <v>#N/A</v>
      </c>
      <c r="AH301" s="72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280</v>
      </c>
      <c r="H302" s="105">
        <f t="shared" ca="1" si="46"/>
        <v>45205</v>
      </c>
      <c r="I302" s="133">
        <f ca="1">HLOOKUP($H$4,'Met Data'!$A$2:$F$368,G302,FALSE)</f>
        <v>11.8333333333333</v>
      </c>
      <c r="J302" s="133">
        <f ca="1">HLOOKUP($H$4,'Met Data'!$H$2:$M$368,G302,FALSE)*L302</f>
        <v>1.43333333333333</v>
      </c>
      <c r="K302" s="106">
        <f ca="1">HLOOKUP($H$4,'Met Data'!$O$2:$T$368,G302,FALSE)</f>
        <v>2.5217662070296001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 s="46">
        <f t="shared" ca="1" si="43"/>
        <v>0</v>
      </c>
      <c r="AG302" s="72" t="e">
        <f t="shared" ca="1" si="47"/>
        <v>#N/A</v>
      </c>
      <c r="AH302" s="72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281</v>
      </c>
      <c r="H303" s="105">
        <f t="shared" ca="1" si="46"/>
        <v>45206</v>
      </c>
      <c r="I303" s="133">
        <f ca="1">HLOOKUP($H$4,'Met Data'!$A$2:$F$368,G303,FALSE)</f>
        <v>12.133333333333301</v>
      </c>
      <c r="J303" s="133">
        <f ca="1">HLOOKUP($H$4,'Met Data'!$H$2:$M$368,G303,FALSE)*L303</f>
        <v>1.5</v>
      </c>
      <c r="K303" s="106">
        <f ca="1">HLOOKUP($H$4,'Met Data'!$O$2:$T$368,G303,FALSE)</f>
        <v>2.4929362431341402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 s="46">
        <f t="shared" ca="1" si="43"/>
        <v>0</v>
      </c>
      <c r="AG303" s="72" t="e">
        <f t="shared" ca="1" si="47"/>
        <v>#N/A</v>
      </c>
      <c r="AH303" s="72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282</v>
      </c>
      <c r="H304" s="105">
        <f t="shared" ca="1" si="46"/>
        <v>45207</v>
      </c>
      <c r="I304" s="133">
        <f ca="1">HLOOKUP($H$4,'Met Data'!$A$2:$F$368,G304,FALSE)</f>
        <v>11.8708333333333</v>
      </c>
      <c r="J304" s="133">
        <f ca="1">HLOOKUP($H$4,'Met Data'!$H$2:$M$368,G304,FALSE)*L304</f>
        <v>4.18333333333333</v>
      </c>
      <c r="K304" s="106">
        <f ca="1">HLOOKUP($H$4,'Met Data'!$O$2:$T$368,G304,FALSE)</f>
        <v>2.0932595279969002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 s="46">
        <f t="shared" ca="1" si="43"/>
        <v>0</v>
      </c>
      <c r="AG304" s="72" t="e">
        <f t="shared" ca="1" si="47"/>
        <v>#N/A</v>
      </c>
      <c r="AH304" s="72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283</v>
      </c>
      <c r="H305" s="105">
        <f t="shared" ca="1" si="46"/>
        <v>45208</v>
      </c>
      <c r="I305" s="133">
        <f ca="1">HLOOKUP($H$4,'Met Data'!$A$2:$F$368,G305,FALSE)</f>
        <v>11.529166666666599</v>
      </c>
      <c r="J305" s="133">
        <f ca="1">HLOOKUP($H$4,'Met Data'!$H$2:$M$368,G305,FALSE)*L305</f>
        <v>2.2166666666666601</v>
      </c>
      <c r="K305" s="106">
        <f ca="1">HLOOKUP($H$4,'Met Data'!$O$2:$T$368,G305,FALSE)</f>
        <v>2.3166472445358202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 s="46">
        <f t="shared" ca="1" si="43"/>
        <v>0</v>
      </c>
      <c r="AG305" s="72" t="e">
        <f t="shared" ca="1" si="47"/>
        <v>#N/A</v>
      </c>
      <c r="AH305" s="72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284</v>
      </c>
      <c r="H306" s="105">
        <f t="shared" ca="1" si="46"/>
        <v>45209</v>
      </c>
      <c r="I306" s="133">
        <f ca="1">HLOOKUP($H$4,'Met Data'!$A$2:$F$368,G306,FALSE)</f>
        <v>11.316666666666601</v>
      </c>
      <c r="J306" s="133">
        <f ca="1">HLOOKUP($H$4,'Met Data'!$H$2:$M$368,G306,FALSE)*L306</f>
        <v>2.9833333333333298</v>
      </c>
      <c r="K306" s="106">
        <f ca="1">HLOOKUP($H$4,'Met Data'!$O$2:$T$368,G306,FALSE)</f>
        <v>2.57259273420483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 s="46">
        <f t="shared" ca="1" si="43"/>
        <v>0</v>
      </c>
      <c r="AG306" s="72" t="e">
        <f t="shared" ca="1" si="47"/>
        <v>#N/A</v>
      </c>
      <c r="AH306" s="72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285</v>
      </c>
      <c r="H307" s="105">
        <f t="shared" ca="1" si="46"/>
        <v>45210</v>
      </c>
      <c r="I307" s="133">
        <f ca="1">HLOOKUP($H$4,'Met Data'!$A$2:$F$368,G307,FALSE)</f>
        <v>12.466666666666599</v>
      </c>
      <c r="J307" s="133">
        <f ca="1">HLOOKUP($H$4,'Met Data'!$H$2:$M$368,G307,FALSE)*L307</f>
        <v>3.5333333333333301</v>
      </c>
      <c r="K307" s="106">
        <f ca="1">HLOOKUP($H$4,'Met Data'!$O$2:$T$368,G307,FALSE)</f>
        <v>2.44735536591925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 s="46">
        <f t="shared" ca="1" si="43"/>
        <v>0</v>
      </c>
      <c r="AG307" s="72" t="e">
        <f t="shared" ca="1" si="47"/>
        <v>#N/A</v>
      </c>
      <c r="AH307" s="72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286</v>
      </c>
      <c r="H308" s="105">
        <f t="shared" ca="1" si="46"/>
        <v>45211</v>
      </c>
      <c r="I308" s="133">
        <f ca="1">HLOOKUP($H$4,'Met Data'!$A$2:$F$368,G308,FALSE)</f>
        <v>12.566666666666601</v>
      </c>
      <c r="J308" s="133">
        <f ca="1">HLOOKUP($H$4,'Met Data'!$H$2:$M$368,G308,FALSE)*L308</f>
        <v>1.88333333333333</v>
      </c>
      <c r="K308" s="106">
        <f ca="1">HLOOKUP($H$4,'Met Data'!$O$2:$T$368,G308,FALSE)</f>
        <v>2.6706436990123898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 s="46">
        <f t="shared" ca="1" si="43"/>
        <v>0</v>
      </c>
      <c r="AG308" s="72" t="e">
        <f t="shared" ca="1" si="47"/>
        <v>#N/A</v>
      </c>
      <c r="AH308" s="72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287</v>
      </c>
      <c r="H309" s="105">
        <f t="shared" ca="1" si="46"/>
        <v>45212</v>
      </c>
      <c r="I309" s="133">
        <f ca="1">HLOOKUP($H$4,'Met Data'!$A$2:$F$368,G309,FALSE)</f>
        <v>12.133333333333301</v>
      </c>
      <c r="J309" s="133">
        <f ca="1">HLOOKUP($H$4,'Met Data'!$H$2:$M$368,G309,FALSE)*L309</f>
        <v>2.6666666666666599</v>
      </c>
      <c r="K309" s="106">
        <f ca="1">HLOOKUP($H$4,'Met Data'!$O$2:$T$368,G309,FALSE)</f>
        <v>1.9257972512671799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 s="46">
        <f t="shared" ca="1" si="43"/>
        <v>0</v>
      </c>
      <c r="AG309" s="72" t="e">
        <f t="shared" ca="1" si="47"/>
        <v>#N/A</v>
      </c>
      <c r="AH309" s="72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288</v>
      </c>
      <c r="H310" s="105">
        <f t="shared" ca="1" si="46"/>
        <v>45213</v>
      </c>
      <c r="I310" s="133">
        <f ca="1">HLOOKUP($H$4,'Met Data'!$A$2:$F$368,G310,FALSE)</f>
        <v>12.762499999999999</v>
      </c>
      <c r="J310" s="133">
        <f ca="1">HLOOKUP($H$4,'Met Data'!$H$2:$M$368,G310,FALSE)*L310</f>
        <v>3.6333333333333302</v>
      </c>
      <c r="K310" s="106">
        <f ca="1">HLOOKUP($H$4,'Met Data'!$O$2:$T$368,G310,FALSE)</f>
        <v>2.2182002807721002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 s="46">
        <f t="shared" ca="1" si="43"/>
        <v>0</v>
      </c>
      <c r="AG310" s="72" t="e">
        <f t="shared" ca="1" si="47"/>
        <v>#N/A</v>
      </c>
      <c r="AH310" s="72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289</v>
      </c>
      <c r="H311" s="105">
        <f t="shared" ca="1" si="46"/>
        <v>45214</v>
      </c>
      <c r="I311" s="133">
        <f ca="1">HLOOKUP($H$4,'Met Data'!$A$2:$F$368,G311,FALSE)</f>
        <v>12.675000000000001</v>
      </c>
      <c r="J311" s="133">
        <f ca="1">HLOOKUP($H$4,'Met Data'!$H$2:$M$368,G311,FALSE)*L311</f>
        <v>4.2166666666666597</v>
      </c>
      <c r="K311" s="106">
        <f ca="1">HLOOKUP($H$4,'Met Data'!$O$2:$T$368,G311,FALSE)</f>
        <v>2.3809243707544998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 s="46">
        <f t="shared" ca="1" si="43"/>
        <v>0</v>
      </c>
      <c r="AG311" s="72" t="e">
        <f t="shared" ca="1" si="47"/>
        <v>#N/A</v>
      </c>
      <c r="AH311" s="72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290</v>
      </c>
      <c r="H312" s="105">
        <f t="shared" ca="1" si="46"/>
        <v>45215</v>
      </c>
      <c r="I312" s="133">
        <f ca="1">HLOOKUP($H$4,'Met Data'!$A$2:$F$368,G312,FALSE)</f>
        <v>12.3041666666666</v>
      </c>
      <c r="J312" s="133">
        <f ca="1">HLOOKUP($H$4,'Met Data'!$H$2:$M$368,G312,FALSE)*L312</f>
        <v>1.4666666666666599</v>
      </c>
      <c r="K312" s="106">
        <f ca="1">HLOOKUP($H$4,'Met Data'!$O$2:$T$368,G312,FALSE)</f>
        <v>2.7800377367024298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 s="46">
        <f t="shared" ca="1" si="43"/>
        <v>0</v>
      </c>
      <c r="AG312" s="72" t="e">
        <f t="shared" ca="1" si="47"/>
        <v>#N/A</v>
      </c>
      <c r="AH312" s="72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291</v>
      </c>
      <c r="H313" s="105">
        <f t="shared" ca="1" si="46"/>
        <v>45216</v>
      </c>
      <c r="I313" s="133">
        <f ca="1">HLOOKUP($H$4,'Met Data'!$A$2:$F$368,G313,FALSE)</f>
        <v>12.987499999999899</v>
      </c>
      <c r="J313" s="133">
        <f ca="1">HLOOKUP($H$4,'Met Data'!$H$2:$M$368,G313,FALSE)*L313</f>
        <v>2.75</v>
      </c>
      <c r="K313" s="106">
        <f ca="1">HLOOKUP($H$4,'Met Data'!$O$2:$T$368,G313,FALSE)</f>
        <v>2.65151934906442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 s="46">
        <f t="shared" ca="1" si="43"/>
        <v>0</v>
      </c>
      <c r="AG313" s="72" t="e">
        <f t="shared" ca="1" si="47"/>
        <v>#N/A</v>
      </c>
      <c r="AH313" s="72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292</v>
      </c>
      <c r="H314" s="105">
        <f t="shared" ca="1" si="46"/>
        <v>45217</v>
      </c>
      <c r="I314" s="133">
        <f ca="1">HLOOKUP($H$4,'Met Data'!$A$2:$F$368,G314,FALSE)</f>
        <v>12.7416666666666</v>
      </c>
      <c r="J314" s="133">
        <f ca="1">HLOOKUP($H$4,'Met Data'!$H$2:$M$368,G314,FALSE)*L314</f>
        <v>3.0666666666666602</v>
      </c>
      <c r="K314" s="106">
        <f ca="1">HLOOKUP($H$4,'Met Data'!$O$2:$T$368,G314,FALSE)</f>
        <v>2.2346438003254501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 s="46">
        <f t="shared" ca="1" si="43"/>
        <v>0</v>
      </c>
      <c r="AG314" s="72" t="e">
        <f t="shared" ca="1" si="47"/>
        <v>#N/A</v>
      </c>
      <c r="AH314" s="72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293</v>
      </c>
      <c r="H315" s="105">
        <f t="shared" ca="1" si="46"/>
        <v>45218</v>
      </c>
      <c r="I315" s="133">
        <f ca="1">HLOOKUP($H$4,'Met Data'!$A$2:$F$368,G315,FALSE)</f>
        <v>12.154166666666599</v>
      </c>
      <c r="J315" s="133">
        <f ca="1">HLOOKUP($H$4,'Met Data'!$H$2:$M$368,G315,FALSE)*L315</f>
        <v>1.1000000000000001</v>
      </c>
      <c r="K315" s="106">
        <f ca="1">HLOOKUP($H$4,'Met Data'!$O$2:$T$368,G315,FALSE)</f>
        <v>2.9905003990183601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 s="46">
        <f t="shared" ca="1" si="43"/>
        <v>0</v>
      </c>
      <c r="AG315" s="72" t="e">
        <f t="shared" ca="1" si="47"/>
        <v>#N/A</v>
      </c>
      <c r="AH315" s="72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294</v>
      </c>
      <c r="H316" s="105">
        <f t="shared" ca="1" si="46"/>
        <v>45219</v>
      </c>
      <c r="I316" s="133">
        <f ca="1">HLOOKUP($H$4,'Met Data'!$A$2:$F$368,G316,FALSE)</f>
        <v>12.6666666666666</v>
      </c>
      <c r="J316" s="133">
        <f ca="1">HLOOKUP($H$4,'Met Data'!$H$2:$M$368,G316,FALSE)*L316</f>
        <v>1.13333333333333</v>
      </c>
      <c r="K316" s="106">
        <f ca="1">HLOOKUP($H$4,'Met Data'!$O$2:$T$368,G316,FALSE)</f>
        <v>2.7134262355768599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 s="46">
        <f t="shared" ca="1" si="43"/>
        <v>0</v>
      </c>
      <c r="AG316" s="72" t="e">
        <f t="shared" ca="1" si="47"/>
        <v>#N/A</v>
      </c>
      <c r="AH316" s="72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295</v>
      </c>
      <c r="H317" s="105">
        <f t="shared" ca="1" si="46"/>
        <v>45220</v>
      </c>
      <c r="I317" s="133">
        <f ca="1">HLOOKUP($H$4,'Met Data'!$A$2:$F$368,G317,FALSE)</f>
        <v>12.4916666666666</v>
      </c>
      <c r="J317" s="133">
        <f ca="1">HLOOKUP($H$4,'Met Data'!$H$2:$M$368,G317,FALSE)*L317</f>
        <v>0.51666666666666605</v>
      </c>
      <c r="K317" s="106">
        <f ca="1">HLOOKUP($H$4,'Met Data'!$O$2:$T$368,G317,FALSE)</f>
        <v>2.2874725559703002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 s="46">
        <f t="shared" ca="1" si="43"/>
        <v>0</v>
      </c>
      <c r="AG317" s="72" t="e">
        <f t="shared" ca="1" si="47"/>
        <v>#N/A</v>
      </c>
      <c r="AH317" s="72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296</v>
      </c>
      <c r="H318" s="105">
        <f t="shared" ca="1" si="46"/>
        <v>45221</v>
      </c>
      <c r="I318" s="133">
        <f ca="1">HLOOKUP($H$4,'Met Data'!$A$2:$F$368,G318,FALSE)</f>
        <v>12.925000000000001</v>
      </c>
      <c r="J318" s="133">
        <f ca="1">HLOOKUP($H$4,'Met Data'!$H$2:$M$368,G318,FALSE)*L318</f>
        <v>3.7166666666666601</v>
      </c>
      <c r="K318" s="106">
        <f ca="1">HLOOKUP($H$4,'Met Data'!$O$2:$T$368,G318,FALSE)</f>
        <v>2.31884542682567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 s="46">
        <f t="shared" ca="1" si="43"/>
        <v>0</v>
      </c>
      <c r="AG318" s="72" t="e">
        <f t="shared" ca="1" si="47"/>
        <v>#N/A</v>
      </c>
      <c r="AH318" s="72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297</v>
      </c>
      <c r="H319" s="105">
        <f t="shared" ca="1" si="46"/>
        <v>45222</v>
      </c>
      <c r="I319" s="133">
        <f ca="1">HLOOKUP($H$4,'Met Data'!$A$2:$F$368,G319,FALSE)</f>
        <v>12.2291666666666</v>
      </c>
      <c r="J319" s="133">
        <f ca="1">HLOOKUP($H$4,'Met Data'!$H$2:$M$368,G319,FALSE)*L319</f>
        <v>2.8333333333333299</v>
      </c>
      <c r="K319" s="106">
        <f ca="1">HLOOKUP($H$4,'Met Data'!$O$2:$T$368,G319,FALSE)</f>
        <v>2.7150999093147798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 s="46">
        <f t="shared" ca="1" si="43"/>
        <v>0</v>
      </c>
      <c r="AG319" s="72" t="e">
        <f t="shared" ca="1" si="47"/>
        <v>#N/A</v>
      </c>
      <c r="AH319" s="72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298</v>
      </c>
      <c r="H320" s="105">
        <f t="shared" ca="1" si="46"/>
        <v>45223</v>
      </c>
      <c r="I320" s="133">
        <f ca="1">HLOOKUP($H$4,'Met Data'!$A$2:$F$368,G320,FALSE)</f>
        <v>12.2708333333333</v>
      </c>
      <c r="J320" s="133">
        <f ca="1">HLOOKUP($H$4,'Met Data'!$H$2:$M$368,G320,FALSE)*L320</f>
        <v>0.85</v>
      </c>
      <c r="K320" s="106">
        <f ca="1">HLOOKUP($H$4,'Met Data'!$O$2:$T$368,G320,FALSE)</f>
        <v>2.95103134032406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 s="46">
        <f t="shared" ca="1" si="43"/>
        <v>0</v>
      </c>
      <c r="AG320" s="72" t="e">
        <f t="shared" ca="1" si="47"/>
        <v>#N/A</v>
      </c>
      <c r="AH320" s="72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299</v>
      </c>
      <c r="H321" s="105">
        <f t="shared" ca="1" si="46"/>
        <v>45224</v>
      </c>
      <c r="I321" s="133">
        <f ca="1">HLOOKUP($H$4,'Met Data'!$A$2:$F$368,G321,FALSE)</f>
        <v>12.858333333333301</v>
      </c>
      <c r="J321" s="133">
        <f ca="1">HLOOKUP($H$4,'Met Data'!$H$2:$M$368,G321,FALSE)*L321</f>
        <v>1.0333333333333301</v>
      </c>
      <c r="K321" s="106">
        <f ca="1">HLOOKUP($H$4,'Met Data'!$O$2:$T$368,G321,FALSE)</f>
        <v>2.6842724832832401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 s="46">
        <f t="shared" ca="1" si="43"/>
        <v>0</v>
      </c>
      <c r="AG321" s="72" t="e">
        <f t="shared" ca="1" si="47"/>
        <v>#N/A</v>
      </c>
      <c r="AH321" s="72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300</v>
      </c>
      <c r="H322" s="105">
        <f t="shared" ca="1" si="46"/>
        <v>45225</v>
      </c>
      <c r="I322" s="133">
        <f ca="1">HLOOKUP($H$4,'Met Data'!$A$2:$F$368,G322,FALSE)</f>
        <v>13.7708333333333</v>
      </c>
      <c r="J322" s="133">
        <f ca="1">HLOOKUP($H$4,'Met Data'!$H$2:$M$368,G322,FALSE)*L322</f>
        <v>3.5166666666666599</v>
      </c>
      <c r="K322" s="106">
        <f ca="1">HLOOKUP($H$4,'Met Data'!$O$2:$T$368,G322,FALSE)</f>
        <v>2.91343955355575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 s="46">
        <f t="shared" ca="1" si="43"/>
        <v>0</v>
      </c>
      <c r="AG322" s="72" t="e">
        <f t="shared" ca="1" si="47"/>
        <v>#N/A</v>
      </c>
      <c r="AH322" s="72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301</v>
      </c>
      <c r="H323" s="105">
        <f t="shared" ca="1" si="46"/>
        <v>45226</v>
      </c>
      <c r="I323" s="133">
        <f ca="1">HLOOKUP($H$4,'Met Data'!$A$2:$F$368,G323,FALSE)</f>
        <v>13.899999999999901</v>
      </c>
      <c r="J323" s="133">
        <f ca="1">HLOOKUP($H$4,'Met Data'!$H$2:$M$368,G323,FALSE)*L323</f>
        <v>4.75</v>
      </c>
      <c r="K323" s="106">
        <f ca="1">HLOOKUP($H$4,'Met Data'!$O$2:$T$368,G323,FALSE)</f>
        <v>2.4549016141153701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 s="46">
        <f t="shared" ca="1" si="43"/>
        <v>0</v>
      </c>
      <c r="AG323" s="72" t="e">
        <f t="shared" ca="1" si="47"/>
        <v>#N/A</v>
      </c>
      <c r="AH323" s="72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302</v>
      </c>
      <c r="H324" s="105">
        <f t="shared" ca="1" si="46"/>
        <v>45227</v>
      </c>
      <c r="I324" s="133">
        <f ca="1">HLOOKUP($H$4,'Met Data'!$A$2:$F$368,G324,FALSE)</f>
        <v>13.425000000000001</v>
      </c>
      <c r="J324" s="133">
        <f ca="1">HLOOKUP($H$4,'Met Data'!$H$2:$M$368,G324,FALSE)*L324</f>
        <v>5.6333333333333302</v>
      </c>
      <c r="K324" s="106">
        <f ca="1">HLOOKUP($H$4,'Met Data'!$O$2:$T$368,G324,FALSE)</f>
        <v>2.5803220554406501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 s="46">
        <f t="shared" ca="1" si="43"/>
        <v>0</v>
      </c>
      <c r="AG324" s="72" t="e">
        <f t="shared" ca="1" si="47"/>
        <v>#N/A</v>
      </c>
      <c r="AH324" s="72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303</v>
      </c>
      <c r="H325" s="105">
        <f t="shared" ca="1" si="46"/>
        <v>45228</v>
      </c>
      <c r="I325" s="133">
        <f ca="1">HLOOKUP($H$4,'Met Data'!$A$2:$F$368,G325,FALSE)</f>
        <v>13.9625</v>
      </c>
      <c r="J325" s="133">
        <f ca="1">HLOOKUP($H$4,'Met Data'!$H$2:$M$368,G325,FALSE)*L325</f>
        <v>3.7833333333333301</v>
      </c>
      <c r="K325" s="106">
        <f ca="1">HLOOKUP($H$4,'Met Data'!$O$2:$T$368,G325,FALSE)</f>
        <v>2.91115304555708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 s="46">
        <f t="shared" ca="1" si="43"/>
        <v>0</v>
      </c>
      <c r="AG325" s="72" t="e">
        <f t="shared" ca="1" si="47"/>
        <v>#N/A</v>
      </c>
      <c r="AH325" s="72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304</v>
      </c>
      <c r="H326" s="105">
        <f t="shared" ca="1" si="46"/>
        <v>45229</v>
      </c>
      <c r="I326" s="133">
        <f ca="1">HLOOKUP($H$4,'Met Data'!$A$2:$F$368,G326,FALSE)</f>
        <v>13.045833333333301</v>
      </c>
      <c r="J326" s="133">
        <f ca="1">HLOOKUP($H$4,'Met Data'!$H$2:$M$368,G326,FALSE)*L326</f>
        <v>0.39999999999999902</v>
      </c>
      <c r="K326" s="106">
        <f ca="1">HLOOKUP($H$4,'Met Data'!$O$2:$T$368,G326,FALSE)</f>
        <v>3.19138361024571</v>
      </c>
      <c r="L326">
        <f t="shared" ref="L326:L389" ca="1" si="50">IF(H326&lt;$B$27,$J$3,$J$4)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 s="46">
        <f t="shared" ref="AE326:AE389" ca="1" si="53">IFERROR(U326,0)</f>
        <v>0</v>
      </c>
      <c r="AG326" s="72" t="e">
        <f t="shared" ca="1" si="47"/>
        <v>#N/A</v>
      </c>
      <c r="AH326" s="72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305</v>
      </c>
      <c r="H327" s="105">
        <f t="shared" ca="1" si="46"/>
        <v>45230</v>
      </c>
      <c r="I327" s="133">
        <f ca="1">HLOOKUP($H$4,'Met Data'!$A$2:$F$368,G327,FALSE)</f>
        <v>12.6166666666666</v>
      </c>
      <c r="J327" s="133">
        <f ca="1">HLOOKUP($H$4,'Met Data'!$H$2:$M$368,G327,FALSE)*L327</f>
        <v>3.4666666666666601</v>
      </c>
      <c r="K327" s="106">
        <f ca="1">HLOOKUP($H$4,'Met Data'!$O$2:$T$368,G327,FALSE)</f>
        <v>3.1814806222099299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 s="46">
        <f t="shared" ca="1" si="53"/>
        <v>0</v>
      </c>
      <c r="AG327" s="72" t="e">
        <f t="shared" ca="1" si="47"/>
        <v>#N/A</v>
      </c>
      <c r="AH327" s="72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306</v>
      </c>
      <c r="H328" s="105">
        <f t="shared" ref="H328:H391" ca="1" si="56">H327+1</f>
        <v>45231</v>
      </c>
      <c r="I328" s="133">
        <f ca="1">HLOOKUP($H$4,'Met Data'!$A$2:$F$368,G328,FALSE)</f>
        <v>12.4791666666666</v>
      </c>
      <c r="J328" s="133">
        <f ca="1">HLOOKUP($H$4,'Met Data'!$H$2:$M$368,G328,FALSE)*L328</f>
        <v>2.68333333333333</v>
      </c>
      <c r="K328" s="106">
        <f ca="1">HLOOKUP($H$4,'Met Data'!$O$2:$T$368,G328,FALSE)</f>
        <v>3.1007141373476301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 s="46">
        <f t="shared" ca="1" si="53"/>
        <v>0</v>
      </c>
      <c r="AG328" s="72" t="e">
        <f t="shared" ca="1" si="47"/>
        <v>#N/A</v>
      </c>
      <c r="AH328" s="72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307</v>
      </c>
      <c r="H329" s="105">
        <f t="shared" ca="1" si="56"/>
        <v>45232</v>
      </c>
      <c r="I329" s="133">
        <f ca="1">HLOOKUP($H$4,'Met Data'!$A$2:$F$368,G329,FALSE)</f>
        <v>13.3125</v>
      </c>
      <c r="J329" s="133">
        <f ca="1">HLOOKUP($H$4,'Met Data'!$H$2:$M$368,G329,FALSE)*L329</f>
        <v>1.68333333333333</v>
      </c>
      <c r="K329" s="106">
        <f ca="1">HLOOKUP($H$4,'Met Data'!$O$2:$T$368,G329,FALSE)</f>
        <v>3.50405600149278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 s="46">
        <f t="shared" ca="1" si="53"/>
        <v>0</v>
      </c>
      <c r="AG329" s="72" t="e">
        <f t="shared" ca="1" si="47"/>
        <v>#N/A</v>
      </c>
      <c r="AH329" s="72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308</v>
      </c>
      <c r="H330" s="105">
        <f t="shared" ca="1" si="56"/>
        <v>45233</v>
      </c>
      <c r="I330" s="133">
        <f ca="1">HLOOKUP($H$4,'Met Data'!$A$2:$F$368,G330,FALSE)</f>
        <v>14.35</v>
      </c>
      <c r="J330" s="133">
        <f ca="1">HLOOKUP($H$4,'Met Data'!$H$2:$M$368,G330,FALSE)*L330</f>
        <v>5.1333333333333302</v>
      </c>
      <c r="K330" s="106">
        <f ca="1">HLOOKUP($H$4,'Met Data'!$O$2:$T$368,G330,FALSE)</f>
        <v>2.61745839191309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 s="46">
        <f t="shared" ca="1" si="53"/>
        <v>0</v>
      </c>
      <c r="AG330" s="72" t="e">
        <f t="shared" ca="1" si="47"/>
        <v>#N/A</v>
      </c>
      <c r="AH330" s="72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309</v>
      </c>
      <c r="H331" s="105">
        <f t="shared" ca="1" si="56"/>
        <v>45234</v>
      </c>
      <c r="I331" s="133">
        <f ca="1">HLOOKUP($H$4,'Met Data'!$A$2:$F$368,G331,FALSE)</f>
        <v>13.875</v>
      </c>
      <c r="J331" s="133">
        <f ca="1">HLOOKUP($H$4,'Met Data'!$H$2:$M$368,G331,FALSE)*L331</f>
        <v>1.86666666666666</v>
      </c>
      <c r="K331" s="106">
        <f ca="1">HLOOKUP($H$4,'Met Data'!$O$2:$T$368,G331,FALSE)</f>
        <v>2.7392607073945601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 s="46">
        <f t="shared" ca="1" si="53"/>
        <v>0</v>
      </c>
      <c r="AG331" s="72" t="e">
        <f t="shared" ref="AG331:AG394" ca="1" si="57">Q330+S331+T331+U331</f>
        <v>#N/A</v>
      </c>
      <c r="AH331" s="72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310</v>
      </c>
      <c r="H332" s="105">
        <f t="shared" ca="1" si="56"/>
        <v>45235</v>
      </c>
      <c r="I332" s="133">
        <f ca="1">HLOOKUP($H$4,'Met Data'!$A$2:$F$368,G332,FALSE)</f>
        <v>13.316666666666601</v>
      </c>
      <c r="J332" s="133">
        <f ca="1">HLOOKUP($H$4,'Met Data'!$H$2:$M$368,G332,FALSE)*L332</f>
        <v>1.13333333333333</v>
      </c>
      <c r="K332" s="106">
        <f ca="1">HLOOKUP($H$4,'Met Data'!$O$2:$T$368,G332,FALSE)</f>
        <v>3.4135545366379101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 s="46">
        <f t="shared" ca="1" si="53"/>
        <v>0</v>
      </c>
      <c r="AG332" s="72" t="e">
        <f t="shared" ca="1" si="57"/>
        <v>#N/A</v>
      </c>
      <c r="AH332" s="72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311</v>
      </c>
      <c r="H333" s="105">
        <f t="shared" ca="1" si="56"/>
        <v>45236</v>
      </c>
      <c r="I333" s="133">
        <f ca="1">HLOOKUP($H$4,'Met Data'!$A$2:$F$368,G333,FALSE)</f>
        <v>13.1454545454545</v>
      </c>
      <c r="J333" s="133">
        <f ca="1">HLOOKUP($H$4,'Met Data'!$H$2:$M$368,G333,FALSE)*L333</f>
        <v>0.472727272727272</v>
      </c>
      <c r="K333" s="106">
        <f ca="1">HLOOKUP($H$4,'Met Data'!$O$2:$T$368,G333,FALSE)</f>
        <v>3.2963131788019302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 s="46">
        <f t="shared" ca="1" si="53"/>
        <v>0</v>
      </c>
      <c r="AG333" s="72" t="e">
        <f t="shared" ca="1" si="57"/>
        <v>#N/A</v>
      </c>
      <c r="AH333" s="72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312</v>
      </c>
      <c r="H334" s="105">
        <f t="shared" ca="1" si="56"/>
        <v>45237</v>
      </c>
      <c r="I334" s="133">
        <f ca="1">HLOOKUP($H$4,'Met Data'!$A$2:$F$368,G334,FALSE)</f>
        <v>13.4166666666666</v>
      </c>
      <c r="J334" s="133">
        <f ca="1">HLOOKUP($H$4,'Met Data'!$H$2:$M$368,G334,FALSE)*L334</f>
        <v>2.35</v>
      </c>
      <c r="K334" s="106">
        <f ca="1">HLOOKUP($H$4,'Met Data'!$O$2:$T$368,G334,FALSE)</f>
        <v>3.43315852526095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 s="46">
        <f t="shared" ca="1" si="53"/>
        <v>0</v>
      </c>
      <c r="AG334" s="72" t="e">
        <f t="shared" ca="1" si="57"/>
        <v>#N/A</v>
      </c>
      <c r="AH334" s="72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313</v>
      </c>
      <c r="H335" s="105">
        <f t="shared" ca="1" si="56"/>
        <v>45238</v>
      </c>
      <c r="I335" s="133">
        <f ca="1">HLOOKUP($H$4,'Met Data'!$A$2:$F$368,G335,FALSE)</f>
        <v>13.8708333333333</v>
      </c>
      <c r="J335" s="133">
        <f ca="1">HLOOKUP($H$4,'Met Data'!$H$2:$M$368,G335,FALSE)*L335</f>
        <v>2.86666666666666</v>
      </c>
      <c r="K335" s="106">
        <f ca="1">HLOOKUP($H$4,'Met Data'!$O$2:$T$368,G335,FALSE)</f>
        <v>3.09770464623969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 s="46">
        <f t="shared" ca="1" si="53"/>
        <v>0</v>
      </c>
      <c r="AG335" s="72" t="e">
        <f t="shared" ca="1" si="57"/>
        <v>#N/A</v>
      </c>
      <c r="AH335" s="72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314</v>
      </c>
      <c r="H336" s="105">
        <f t="shared" ca="1" si="56"/>
        <v>45239</v>
      </c>
      <c r="I336" s="133">
        <f ca="1">HLOOKUP($H$4,'Met Data'!$A$2:$F$368,G336,FALSE)</f>
        <v>14.158333333333299</v>
      </c>
      <c r="J336" s="133">
        <f ca="1">HLOOKUP($H$4,'Met Data'!$H$2:$M$368,G336,FALSE)*L336</f>
        <v>3.2166666666666601</v>
      </c>
      <c r="K336" s="106">
        <f ca="1">HLOOKUP($H$4,'Met Data'!$O$2:$T$368,G336,FALSE)</f>
        <v>3.3024968395707299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 s="46">
        <f t="shared" ca="1" si="53"/>
        <v>0</v>
      </c>
      <c r="AG336" s="72" t="e">
        <f t="shared" ca="1" si="57"/>
        <v>#N/A</v>
      </c>
      <c r="AH336" s="72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315</v>
      </c>
      <c r="H337" s="105">
        <f t="shared" ca="1" si="56"/>
        <v>45240</v>
      </c>
      <c r="I337" s="133">
        <f ca="1">HLOOKUP($H$4,'Met Data'!$A$2:$F$368,G337,FALSE)</f>
        <v>13.6666666666666</v>
      </c>
      <c r="J337" s="133">
        <f ca="1">HLOOKUP($H$4,'Met Data'!$H$2:$M$368,G337,FALSE)*L337</f>
        <v>2.0499999999999998</v>
      </c>
      <c r="K337" s="106">
        <f ca="1">HLOOKUP($H$4,'Met Data'!$O$2:$T$368,G337,FALSE)</f>
        <v>2.6586912182490101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 s="46">
        <f t="shared" ca="1" si="53"/>
        <v>0</v>
      </c>
      <c r="AG337" s="72" t="e">
        <f t="shared" ca="1" si="57"/>
        <v>#N/A</v>
      </c>
      <c r="AH337" s="72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316</v>
      </c>
      <c r="H338" s="105">
        <f t="shared" ca="1" si="56"/>
        <v>45241</v>
      </c>
      <c r="I338" s="133">
        <f ca="1">HLOOKUP($H$4,'Met Data'!$A$2:$F$368,G338,FALSE)</f>
        <v>13.8958333333333</v>
      </c>
      <c r="J338" s="133">
        <f ca="1">HLOOKUP($H$4,'Met Data'!$H$2:$M$368,G338,FALSE)*L338</f>
        <v>3.94999999999999</v>
      </c>
      <c r="K338" s="106">
        <f ca="1">HLOOKUP($H$4,'Met Data'!$O$2:$T$368,G338,FALSE)</f>
        <v>2.87577977788037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 s="46">
        <f t="shared" ca="1" si="53"/>
        <v>0</v>
      </c>
      <c r="AG338" s="72" t="e">
        <f t="shared" ca="1" si="57"/>
        <v>#N/A</v>
      </c>
      <c r="AH338" s="72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317</v>
      </c>
      <c r="H339" s="105">
        <f t="shared" ca="1" si="56"/>
        <v>45242</v>
      </c>
      <c r="I339" s="133">
        <f ca="1">HLOOKUP($H$4,'Met Data'!$A$2:$F$368,G339,FALSE)</f>
        <v>13.0625</v>
      </c>
      <c r="J339" s="133">
        <f ca="1">HLOOKUP($H$4,'Met Data'!$H$2:$M$368,G339,FALSE)*L339</f>
        <v>3.0666666666666602</v>
      </c>
      <c r="K339" s="106">
        <f ca="1">HLOOKUP($H$4,'Met Data'!$O$2:$T$368,G339,FALSE)</f>
        <v>2.8947392121826798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 s="46">
        <f t="shared" ca="1" si="53"/>
        <v>0</v>
      </c>
      <c r="AG339" s="72" t="e">
        <f t="shared" ca="1" si="57"/>
        <v>#N/A</v>
      </c>
      <c r="AH339" s="72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318</v>
      </c>
      <c r="H340" s="105">
        <f t="shared" ca="1" si="56"/>
        <v>45243</v>
      </c>
      <c r="I340" s="133">
        <f ca="1">HLOOKUP($H$4,'Met Data'!$A$2:$F$368,G340,FALSE)</f>
        <v>12.55</v>
      </c>
      <c r="J340" s="133">
        <f ca="1">HLOOKUP($H$4,'Met Data'!$H$2:$M$368,G340,FALSE)*L340</f>
        <v>1.2</v>
      </c>
      <c r="K340" s="106">
        <f ca="1">HLOOKUP($H$4,'Met Data'!$O$2:$T$368,G340,FALSE)</f>
        <v>3.2727192045008802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 s="46">
        <f t="shared" ca="1" si="53"/>
        <v>0</v>
      </c>
      <c r="AG340" s="72" t="e">
        <f t="shared" ca="1" si="57"/>
        <v>#N/A</v>
      </c>
      <c r="AH340" s="72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319</v>
      </c>
      <c r="H341" s="105">
        <f t="shared" ca="1" si="56"/>
        <v>45244</v>
      </c>
      <c r="I341" s="133">
        <f ca="1">HLOOKUP($H$4,'Met Data'!$A$2:$F$368,G341,FALSE)</f>
        <v>12.591666666666599</v>
      </c>
      <c r="J341" s="133">
        <f ca="1">HLOOKUP($H$4,'Met Data'!$H$2:$M$368,G341,FALSE)*L341</f>
        <v>1.25</v>
      </c>
      <c r="K341" s="106">
        <f ca="1">HLOOKUP($H$4,'Met Data'!$O$2:$T$368,G341,FALSE)</f>
        <v>3.2542764283054399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 s="46">
        <f t="shared" ca="1" si="53"/>
        <v>0</v>
      </c>
      <c r="AG341" s="72" t="e">
        <f t="shared" ca="1" si="57"/>
        <v>#N/A</v>
      </c>
      <c r="AH341" s="72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320</v>
      </c>
      <c r="H342" s="105">
        <f t="shared" ca="1" si="56"/>
        <v>45245</v>
      </c>
      <c r="I342" s="133">
        <f ca="1">HLOOKUP($H$4,'Met Data'!$A$2:$F$368,G342,FALSE)</f>
        <v>13.462499999999901</v>
      </c>
      <c r="J342" s="133">
        <f ca="1">HLOOKUP($H$4,'Met Data'!$H$2:$M$368,G342,FALSE)*L342</f>
        <v>2.0666666666666602</v>
      </c>
      <c r="K342" s="106">
        <f ca="1">HLOOKUP($H$4,'Met Data'!$O$2:$T$368,G342,FALSE)</f>
        <v>3.39036465144653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 s="46">
        <f t="shared" ca="1" si="53"/>
        <v>0</v>
      </c>
      <c r="AG342" s="72" t="e">
        <f t="shared" ca="1" si="57"/>
        <v>#N/A</v>
      </c>
      <c r="AH342" s="72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321</v>
      </c>
      <c r="H343" s="105">
        <f t="shared" ca="1" si="56"/>
        <v>45246</v>
      </c>
      <c r="I343" s="133">
        <f ca="1">HLOOKUP($H$4,'Met Data'!$A$2:$F$368,G343,FALSE)</f>
        <v>14.7458333333333</v>
      </c>
      <c r="J343" s="133">
        <f ca="1">HLOOKUP($H$4,'Met Data'!$H$2:$M$368,G343,FALSE)*L343</f>
        <v>5.2166666666666597</v>
      </c>
      <c r="K343" s="106">
        <f ca="1">HLOOKUP($H$4,'Met Data'!$O$2:$T$368,G343,FALSE)</f>
        <v>3.3940384004400501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 s="46">
        <f t="shared" ca="1" si="53"/>
        <v>0</v>
      </c>
      <c r="AG343" s="72" t="e">
        <f t="shared" ca="1" si="57"/>
        <v>#N/A</v>
      </c>
      <c r="AH343" s="72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322</v>
      </c>
      <c r="H344" s="105">
        <f t="shared" ca="1" si="56"/>
        <v>45247</v>
      </c>
      <c r="I344" s="133">
        <f ca="1">HLOOKUP($H$4,'Met Data'!$A$2:$F$368,G344,FALSE)</f>
        <v>14.945833333333301</v>
      </c>
      <c r="J344" s="133">
        <f ca="1">HLOOKUP($H$4,'Met Data'!$H$2:$M$368,G344,FALSE)*L344</f>
        <v>5.3333333333333304</v>
      </c>
      <c r="K344" s="106">
        <f ca="1">HLOOKUP($H$4,'Met Data'!$O$2:$T$368,G344,FALSE)</f>
        <v>2.86263659321907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 s="46">
        <f t="shared" ca="1" si="53"/>
        <v>0</v>
      </c>
      <c r="AG344" s="72" t="e">
        <f t="shared" ca="1" si="57"/>
        <v>#N/A</v>
      </c>
      <c r="AH344" s="72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323</v>
      </c>
      <c r="H345" s="105">
        <f t="shared" ca="1" si="56"/>
        <v>45248</v>
      </c>
      <c r="I345" s="133">
        <f ca="1">HLOOKUP($H$4,'Met Data'!$A$2:$F$368,G345,FALSE)</f>
        <v>14.45</v>
      </c>
      <c r="J345" s="133">
        <f ca="1">HLOOKUP($H$4,'Met Data'!$H$2:$M$368,G345,FALSE)*L345</f>
        <v>6.0833333333333304</v>
      </c>
      <c r="K345" s="106">
        <f ca="1">HLOOKUP($H$4,'Met Data'!$O$2:$T$368,G345,FALSE)</f>
        <v>3.2654882571522399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 s="46">
        <f t="shared" ca="1" si="53"/>
        <v>0</v>
      </c>
      <c r="AG345" s="72" t="e">
        <f t="shared" ca="1" si="57"/>
        <v>#N/A</v>
      </c>
      <c r="AH345" s="72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324</v>
      </c>
      <c r="H346" s="105">
        <f t="shared" ca="1" si="56"/>
        <v>45249</v>
      </c>
      <c r="I346" s="133">
        <f ca="1">HLOOKUP($H$4,'Met Data'!$A$2:$F$368,G346,FALSE)</f>
        <v>13.941666666666601</v>
      </c>
      <c r="J346" s="133">
        <f ca="1">HLOOKUP($H$4,'Met Data'!$H$2:$M$368,G346,FALSE)*L346</f>
        <v>0.98333333333333295</v>
      </c>
      <c r="K346" s="106">
        <f ca="1">HLOOKUP($H$4,'Met Data'!$O$2:$T$368,G346,FALSE)</f>
        <v>3.5976260978488002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 s="46">
        <f t="shared" ca="1" si="53"/>
        <v>0</v>
      </c>
      <c r="AG346" s="72" t="e">
        <f t="shared" ca="1" si="57"/>
        <v>#N/A</v>
      </c>
      <c r="AH346" s="72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325</v>
      </c>
      <c r="H347" s="105">
        <f t="shared" ca="1" si="56"/>
        <v>45250</v>
      </c>
      <c r="I347" s="133">
        <f ca="1">HLOOKUP($H$4,'Met Data'!$A$2:$F$368,G347,FALSE)</f>
        <v>14.1208333333333</v>
      </c>
      <c r="J347" s="133">
        <f ca="1">HLOOKUP($H$4,'Met Data'!$H$2:$M$368,G347,FALSE)*L347</f>
        <v>2.36666666666666</v>
      </c>
      <c r="K347" s="106">
        <f ca="1">HLOOKUP($H$4,'Met Data'!$O$2:$T$368,G347,FALSE)</f>
        <v>3.2574752266568199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 s="46">
        <f t="shared" ca="1" si="53"/>
        <v>0</v>
      </c>
      <c r="AG347" s="72" t="e">
        <f t="shared" ca="1" si="57"/>
        <v>#N/A</v>
      </c>
      <c r="AH347" s="72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326</v>
      </c>
      <c r="H348" s="105">
        <f t="shared" ca="1" si="56"/>
        <v>45251</v>
      </c>
      <c r="I348" s="133">
        <f ca="1">HLOOKUP($H$4,'Met Data'!$A$2:$F$368,G348,FALSE)</f>
        <v>14.2</v>
      </c>
      <c r="J348" s="133">
        <f ca="1">HLOOKUP($H$4,'Met Data'!$H$2:$M$368,G348,FALSE)*L348</f>
        <v>1.4166666666666601</v>
      </c>
      <c r="K348" s="106">
        <f ca="1">HLOOKUP($H$4,'Met Data'!$O$2:$T$368,G348,FALSE)</f>
        <v>3.2248407363783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 s="46">
        <f t="shared" ca="1" si="53"/>
        <v>0</v>
      </c>
      <c r="AG348" s="72" t="e">
        <f t="shared" ca="1" si="57"/>
        <v>#N/A</v>
      </c>
      <c r="AH348" s="72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327</v>
      </c>
      <c r="H349" s="105">
        <f t="shared" ca="1" si="56"/>
        <v>45252</v>
      </c>
      <c r="I349" s="133">
        <f ca="1">HLOOKUP($H$4,'Met Data'!$A$2:$F$368,G349,FALSE)</f>
        <v>14.2916666666666</v>
      </c>
      <c r="J349" s="133">
        <f ca="1">HLOOKUP($H$4,'Met Data'!$H$2:$M$368,G349,FALSE)*L349</f>
        <v>1.2333333333333301</v>
      </c>
      <c r="K349" s="106">
        <f ca="1">HLOOKUP($H$4,'Met Data'!$O$2:$T$368,G349,FALSE)</f>
        <v>3.2303061956604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 s="46">
        <f t="shared" ca="1" si="53"/>
        <v>0</v>
      </c>
      <c r="AG349" s="72" t="e">
        <f t="shared" ca="1" si="57"/>
        <v>#N/A</v>
      </c>
      <c r="AH349" s="72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328</v>
      </c>
      <c r="H350" s="105">
        <f t="shared" ca="1" si="56"/>
        <v>45253</v>
      </c>
      <c r="I350" s="133">
        <f ca="1">HLOOKUP($H$4,'Met Data'!$A$2:$F$368,G350,FALSE)</f>
        <v>14.8666666666666</v>
      </c>
      <c r="J350" s="133">
        <f ca="1">HLOOKUP($H$4,'Met Data'!$H$2:$M$368,G350,FALSE)*L350</f>
        <v>0.21666666666666601</v>
      </c>
      <c r="K350" s="106">
        <f ca="1">HLOOKUP($H$4,'Met Data'!$O$2:$T$368,G350,FALSE)</f>
        <v>3.8851743269165699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 s="46">
        <f t="shared" ca="1" si="53"/>
        <v>0</v>
      </c>
      <c r="AG350" s="72" t="e">
        <f t="shared" ca="1" si="57"/>
        <v>#N/A</v>
      </c>
      <c r="AH350" s="72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329</v>
      </c>
      <c r="H351" s="105">
        <f t="shared" ca="1" si="56"/>
        <v>45254</v>
      </c>
      <c r="I351" s="133">
        <f ca="1">HLOOKUP($H$4,'Met Data'!$A$2:$F$368,G351,FALSE)</f>
        <v>14.875</v>
      </c>
      <c r="J351" s="133">
        <f ca="1">HLOOKUP($H$4,'Met Data'!$H$2:$M$368,G351,FALSE)*L351</f>
        <v>1.8333333333333299</v>
      </c>
      <c r="K351" s="106">
        <f ca="1">HLOOKUP($H$4,'Met Data'!$O$2:$T$368,G351,FALSE)</f>
        <v>3.3424019609463702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 s="46">
        <f t="shared" ca="1" si="53"/>
        <v>0</v>
      </c>
      <c r="AG351" s="72" t="e">
        <f t="shared" ca="1" si="57"/>
        <v>#N/A</v>
      </c>
      <c r="AH351" s="72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330</v>
      </c>
      <c r="H352" s="105">
        <f t="shared" ca="1" si="56"/>
        <v>45255</v>
      </c>
      <c r="I352" s="133">
        <f ca="1">HLOOKUP($H$4,'Met Data'!$A$2:$F$368,G352,FALSE)</f>
        <v>15.8125</v>
      </c>
      <c r="J352" s="133">
        <f ca="1">HLOOKUP($H$4,'Met Data'!$H$2:$M$368,G352,FALSE)*L352</f>
        <v>2.0166666666666599</v>
      </c>
      <c r="K352" s="106">
        <f ca="1">HLOOKUP($H$4,'Met Data'!$O$2:$T$368,G352,FALSE)</f>
        <v>3.2688322627941302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 s="46">
        <f t="shared" ca="1" si="53"/>
        <v>0</v>
      </c>
      <c r="AG352" s="72" t="e">
        <f t="shared" ca="1" si="57"/>
        <v>#N/A</v>
      </c>
      <c r="AH352" s="72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331</v>
      </c>
      <c r="H353" s="105">
        <f t="shared" ca="1" si="56"/>
        <v>45256</v>
      </c>
      <c r="I353" s="133">
        <f ca="1">HLOOKUP($H$4,'Met Data'!$A$2:$F$368,G353,FALSE)</f>
        <v>15.945833333333301</v>
      </c>
      <c r="J353" s="133">
        <f ca="1">HLOOKUP($H$4,'Met Data'!$H$2:$M$368,G353,FALSE)*L353</f>
        <v>5.8833333333333302</v>
      </c>
      <c r="K353" s="106">
        <f ca="1">HLOOKUP($H$4,'Met Data'!$O$2:$T$368,G353,FALSE)</f>
        <v>3.26798762006384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 s="46">
        <f t="shared" ca="1" si="53"/>
        <v>0</v>
      </c>
      <c r="AG353" s="72" t="e">
        <f t="shared" ca="1" si="57"/>
        <v>#N/A</v>
      </c>
      <c r="AH353" s="72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332</v>
      </c>
      <c r="H354" s="105">
        <f t="shared" ca="1" si="56"/>
        <v>45257</v>
      </c>
      <c r="I354" s="133">
        <f ca="1">HLOOKUP($H$4,'Met Data'!$A$2:$F$368,G354,FALSE)</f>
        <v>16.279166666666601</v>
      </c>
      <c r="J354" s="133">
        <f ca="1">HLOOKUP($H$4,'Met Data'!$H$2:$M$368,G354,FALSE)*L354</f>
        <v>1.4833333333333301</v>
      </c>
      <c r="K354" s="106">
        <f ca="1">HLOOKUP($H$4,'Met Data'!$O$2:$T$368,G354,FALSE)</f>
        <v>3.19082213890132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 s="46">
        <f t="shared" ca="1" si="53"/>
        <v>0</v>
      </c>
      <c r="AG354" s="72" t="e">
        <f t="shared" ca="1" si="57"/>
        <v>#N/A</v>
      </c>
      <c r="AH354" s="72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333</v>
      </c>
      <c r="H355" s="105">
        <f t="shared" ca="1" si="56"/>
        <v>45258</v>
      </c>
      <c r="I355" s="133">
        <f ca="1">HLOOKUP($H$4,'Met Data'!$A$2:$F$368,G355,FALSE)</f>
        <v>16.070833333333301</v>
      </c>
      <c r="J355" s="133">
        <f ca="1">HLOOKUP($H$4,'Met Data'!$H$2:$M$368,G355,FALSE)*L355</f>
        <v>7.43333333333333</v>
      </c>
      <c r="K355" s="106">
        <f ca="1">HLOOKUP($H$4,'Met Data'!$O$2:$T$368,G355,FALSE)</f>
        <v>3.00999975823754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 s="46">
        <f t="shared" ca="1" si="53"/>
        <v>0</v>
      </c>
      <c r="AG355" s="72" t="e">
        <f t="shared" ca="1" si="57"/>
        <v>#N/A</v>
      </c>
      <c r="AH355" s="72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334</v>
      </c>
      <c r="H356" s="105">
        <f t="shared" ca="1" si="56"/>
        <v>45259</v>
      </c>
      <c r="I356" s="133">
        <f ca="1">HLOOKUP($H$4,'Met Data'!$A$2:$F$368,G356,FALSE)</f>
        <v>15.033333333333299</v>
      </c>
      <c r="J356" s="133">
        <f ca="1">HLOOKUP($H$4,'Met Data'!$H$2:$M$368,G356,FALSE)*L356</f>
        <v>0.66666666666666596</v>
      </c>
      <c r="K356" s="106">
        <f ca="1">HLOOKUP($H$4,'Met Data'!$O$2:$T$368,G356,FALSE)</f>
        <v>4.1701433642644803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 s="46">
        <f t="shared" ca="1" si="53"/>
        <v>0</v>
      </c>
      <c r="AG356" s="72" t="e">
        <f t="shared" ca="1" si="57"/>
        <v>#N/A</v>
      </c>
      <c r="AH356" s="72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335</v>
      </c>
      <c r="H357" s="105">
        <f t="shared" ca="1" si="56"/>
        <v>45260</v>
      </c>
      <c r="I357" s="133">
        <f ca="1">HLOOKUP($H$4,'Met Data'!$A$2:$F$368,G357,FALSE)</f>
        <v>16.1166666666666</v>
      </c>
      <c r="J357" s="133">
        <f ca="1">HLOOKUP($H$4,'Met Data'!$H$2:$M$368,G357,FALSE)*L357</f>
        <v>5.2333333333333298</v>
      </c>
      <c r="K357" s="106">
        <f ca="1">HLOOKUP($H$4,'Met Data'!$O$2:$T$368,G357,FALSE)</f>
        <v>3.7664149911337801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 s="46">
        <f t="shared" ca="1" si="53"/>
        <v>0</v>
      </c>
      <c r="AG357" s="72" t="e">
        <f t="shared" ca="1" si="57"/>
        <v>#N/A</v>
      </c>
      <c r="AH357" s="72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336</v>
      </c>
      <c r="H358" s="105">
        <f t="shared" ca="1" si="56"/>
        <v>45261</v>
      </c>
      <c r="I358" s="133">
        <f ca="1">HLOOKUP($H$4,'Met Data'!$A$2:$F$368,G358,FALSE)</f>
        <v>15.887499999999999</v>
      </c>
      <c r="J358" s="133">
        <f ca="1">HLOOKUP($H$4,'Met Data'!$H$2:$M$368,G358,FALSE)*L358</f>
        <v>6.75</v>
      </c>
      <c r="K358" s="106">
        <f ca="1">HLOOKUP($H$4,'Met Data'!$O$2:$T$368,G358,FALSE)</f>
        <v>3.2490041935251899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 s="46">
        <f t="shared" ca="1" si="53"/>
        <v>0</v>
      </c>
      <c r="AG358" s="72" t="e">
        <f t="shared" ca="1" si="57"/>
        <v>#N/A</v>
      </c>
      <c r="AH358" s="72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337</v>
      </c>
      <c r="H359" s="105">
        <f t="shared" ca="1" si="56"/>
        <v>45262</v>
      </c>
      <c r="I359" s="133">
        <f ca="1">HLOOKUP($H$4,'Met Data'!$A$2:$F$368,G359,FALSE)</f>
        <v>16.1458333333333</v>
      </c>
      <c r="J359" s="133">
        <f ca="1">HLOOKUP($H$4,'Met Data'!$H$2:$M$368,G359,FALSE)*L359</f>
        <v>1.0833333333333299</v>
      </c>
      <c r="K359" s="106">
        <f ca="1">HLOOKUP($H$4,'Met Data'!$O$2:$T$368,G359,FALSE)</f>
        <v>3.8649058322152201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 s="46">
        <f t="shared" ca="1" si="53"/>
        <v>0</v>
      </c>
      <c r="AG359" s="72" t="e">
        <f t="shared" ca="1" si="57"/>
        <v>#N/A</v>
      </c>
      <c r="AH359" s="72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338</v>
      </c>
      <c r="H360" s="105">
        <f t="shared" ca="1" si="56"/>
        <v>45263</v>
      </c>
      <c r="I360" s="133">
        <f ca="1">HLOOKUP($H$4,'Met Data'!$A$2:$F$368,G360,FALSE)</f>
        <v>16.0625</v>
      </c>
      <c r="J360" s="133">
        <f ca="1">HLOOKUP($H$4,'Met Data'!$H$2:$M$368,G360,FALSE)*L360</f>
        <v>2.2666666666666599</v>
      </c>
      <c r="K360" s="106">
        <f ca="1">HLOOKUP($H$4,'Met Data'!$O$2:$T$368,G360,FALSE)</f>
        <v>3.3633315244434101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 s="46">
        <f t="shared" ca="1" si="53"/>
        <v>0</v>
      </c>
      <c r="AG360" s="72" t="e">
        <f t="shared" ca="1" si="57"/>
        <v>#N/A</v>
      </c>
      <c r="AH360" s="72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339</v>
      </c>
      <c r="H361" s="105">
        <f t="shared" ca="1" si="56"/>
        <v>45264</v>
      </c>
      <c r="I361" s="133">
        <f ca="1">HLOOKUP($H$4,'Met Data'!$A$2:$F$368,G361,FALSE)</f>
        <v>16.591666666666601</v>
      </c>
      <c r="J361" s="133">
        <f ca="1">HLOOKUP($H$4,'Met Data'!$H$2:$M$368,G361,FALSE)*L361</f>
        <v>3.0333333333333301</v>
      </c>
      <c r="K361" s="106">
        <f ca="1">HLOOKUP($H$4,'Met Data'!$O$2:$T$368,G361,FALSE)</f>
        <v>3.8332290024095501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 s="46">
        <f t="shared" ca="1" si="53"/>
        <v>0</v>
      </c>
      <c r="AG361" s="72" t="e">
        <f t="shared" ca="1" si="57"/>
        <v>#N/A</v>
      </c>
      <c r="AH361" s="72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340</v>
      </c>
      <c r="H362" s="105">
        <f t="shared" ca="1" si="56"/>
        <v>45265</v>
      </c>
      <c r="I362" s="133">
        <f ca="1">HLOOKUP($H$4,'Met Data'!$A$2:$F$368,G362,FALSE)</f>
        <v>16.441666666666599</v>
      </c>
      <c r="J362" s="133">
        <f ca="1">HLOOKUP($H$4,'Met Data'!$H$2:$M$368,G362,FALSE)*L362</f>
        <v>1.0833333333333299</v>
      </c>
      <c r="K362" s="106">
        <f ca="1">HLOOKUP($H$4,'Met Data'!$O$2:$T$368,G362,FALSE)</f>
        <v>3.3753600087216298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 s="46">
        <f t="shared" ca="1" si="53"/>
        <v>0</v>
      </c>
      <c r="AG362" s="72" t="e">
        <f t="shared" ca="1" si="57"/>
        <v>#N/A</v>
      </c>
      <c r="AH362" s="72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341</v>
      </c>
      <c r="H363" s="105">
        <f t="shared" ca="1" si="56"/>
        <v>45266</v>
      </c>
      <c r="I363" s="133">
        <f ca="1">HLOOKUP($H$4,'Met Data'!$A$2:$F$368,G363,FALSE)</f>
        <v>16.454166666666602</v>
      </c>
      <c r="J363" s="133">
        <f ca="1">HLOOKUP($H$4,'Met Data'!$H$2:$M$368,G363,FALSE)*L363</f>
        <v>2.61666666666666</v>
      </c>
      <c r="K363" s="106">
        <f ca="1">HLOOKUP($H$4,'Met Data'!$O$2:$T$368,G363,FALSE)</f>
        <v>2.8811659068389401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 s="46">
        <f t="shared" ca="1" si="53"/>
        <v>0</v>
      </c>
      <c r="AG363" s="72" t="e">
        <f t="shared" ca="1" si="57"/>
        <v>#N/A</v>
      </c>
      <c r="AH363" s="72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342</v>
      </c>
      <c r="H364" s="105">
        <f t="shared" ca="1" si="56"/>
        <v>45267</v>
      </c>
      <c r="I364" s="133">
        <f ca="1">HLOOKUP($H$4,'Met Data'!$A$2:$F$368,G364,FALSE)</f>
        <v>15.879166666666601</v>
      </c>
      <c r="J364" s="133">
        <f ca="1">HLOOKUP($H$4,'Met Data'!$H$2:$M$368,G364,FALSE)*L364</f>
        <v>3.1</v>
      </c>
      <c r="K364" s="106">
        <f ca="1">HLOOKUP($H$4,'Met Data'!$O$2:$T$368,G364,FALSE)</f>
        <v>3.4185168625157498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 s="46">
        <f t="shared" ca="1" si="53"/>
        <v>0</v>
      </c>
      <c r="AG364" s="72" t="e">
        <f t="shared" ca="1" si="57"/>
        <v>#N/A</v>
      </c>
      <c r="AH364" s="72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343</v>
      </c>
      <c r="H365" s="105">
        <f t="shared" ca="1" si="56"/>
        <v>45268</v>
      </c>
      <c r="I365" s="133">
        <f ca="1">HLOOKUP($H$4,'Met Data'!$A$2:$F$368,G365,FALSE)</f>
        <v>15.259090909090901</v>
      </c>
      <c r="J365" s="133">
        <f ca="1">HLOOKUP($H$4,'Met Data'!$H$2:$M$368,G365,FALSE)*L365</f>
        <v>6.1090909090908996</v>
      </c>
      <c r="K365" s="106">
        <f ca="1">HLOOKUP($H$4,'Met Data'!$O$2:$T$368,G365,FALSE)</f>
        <v>2.9122766026990501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 s="46">
        <f t="shared" ca="1" si="53"/>
        <v>0</v>
      </c>
      <c r="AG365" s="72" t="e">
        <f t="shared" ca="1" si="57"/>
        <v>#N/A</v>
      </c>
      <c r="AH365" s="72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344</v>
      </c>
      <c r="H366" s="105">
        <f t="shared" ca="1" si="56"/>
        <v>45269</v>
      </c>
      <c r="I366" s="133">
        <f ca="1">HLOOKUP($H$4,'Met Data'!$A$2:$F$368,G366,FALSE)</f>
        <v>15.9125</v>
      </c>
      <c r="J366" s="133">
        <f ca="1">HLOOKUP($H$4,'Met Data'!$H$2:$M$368,G366,FALSE)*L366</f>
        <v>1.7833333333333301</v>
      </c>
      <c r="K366" s="106">
        <f ca="1">HLOOKUP($H$4,'Met Data'!$O$2:$T$368,G366,FALSE)</f>
        <v>3.7124167377990198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 s="46">
        <f t="shared" ca="1" si="53"/>
        <v>0</v>
      </c>
      <c r="AG366" s="72" t="e">
        <f t="shared" ca="1" si="57"/>
        <v>#N/A</v>
      </c>
      <c r="AH366" s="72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345</v>
      </c>
      <c r="H367" s="105">
        <f t="shared" ca="1" si="56"/>
        <v>45270</v>
      </c>
      <c r="I367" s="133">
        <f ca="1">HLOOKUP($H$4,'Met Data'!$A$2:$F$368,G367,FALSE)</f>
        <v>16.720833333333299</v>
      </c>
      <c r="J367" s="133">
        <f ca="1">HLOOKUP($H$4,'Met Data'!$H$2:$M$368,G367,FALSE)*L367</f>
        <v>6.61666666666666</v>
      </c>
      <c r="K367" s="106">
        <f ca="1">HLOOKUP($H$4,'Met Data'!$O$2:$T$368,G367,FALSE)</f>
        <v>3.19412245919293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 s="46">
        <f t="shared" ca="1" si="53"/>
        <v>0</v>
      </c>
      <c r="AG367" s="72" t="e">
        <f t="shared" ca="1" si="57"/>
        <v>#N/A</v>
      </c>
      <c r="AH367" s="72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346</v>
      </c>
      <c r="H368" s="105">
        <f t="shared" ca="1" si="56"/>
        <v>45271</v>
      </c>
      <c r="I368" s="133">
        <f ca="1">HLOOKUP($H$4,'Met Data'!$A$2:$F$368,G368,FALSE)</f>
        <v>17.529166666666601</v>
      </c>
      <c r="J368" s="133">
        <f ca="1">HLOOKUP($H$4,'Met Data'!$H$2:$M$368,G368,FALSE)*L368</f>
        <v>2.0333333333333301</v>
      </c>
      <c r="K368" s="106">
        <f ca="1">HLOOKUP($H$4,'Met Data'!$O$2:$T$368,G368,FALSE)</f>
        <v>3.0664285414958901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 s="46">
        <f t="shared" ca="1" si="53"/>
        <v>0</v>
      </c>
      <c r="AG368" s="72" t="e">
        <f t="shared" ca="1" si="57"/>
        <v>#N/A</v>
      </c>
      <c r="AH368" s="72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347</v>
      </c>
      <c r="H369" s="105">
        <f t="shared" ca="1" si="56"/>
        <v>45272</v>
      </c>
      <c r="I369" s="133">
        <f ca="1">HLOOKUP($H$4,'Met Data'!$A$2:$F$368,G369,FALSE)</f>
        <v>17.004166666666599</v>
      </c>
      <c r="J369" s="133">
        <f ca="1">HLOOKUP($H$4,'Met Data'!$H$2:$M$368,G369,FALSE)*L369</f>
        <v>2.4666666666666601</v>
      </c>
      <c r="K369" s="106">
        <f ca="1">HLOOKUP($H$4,'Met Data'!$O$2:$T$368,G369,FALSE)</f>
        <v>3.6044975025694099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 s="46">
        <f t="shared" ca="1" si="53"/>
        <v>0</v>
      </c>
      <c r="AG369" s="72" t="e">
        <f t="shared" ca="1" si="57"/>
        <v>#N/A</v>
      </c>
      <c r="AH369" s="72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348</v>
      </c>
      <c r="H370" s="105">
        <f t="shared" ca="1" si="56"/>
        <v>45273</v>
      </c>
      <c r="I370" s="133">
        <f ca="1">HLOOKUP($H$4,'Met Data'!$A$2:$F$368,G370,FALSE)</f>
        <v>16.883333333333301</v>
      </c>
      <c r="J370" s="133">
        <f ca="1">HLOOKUP($H$4,'Met Data'!$H$2:$M$368,G370,FALSE)*L370</f>
        <v>1.7333333333333301</v>
      </c>
      <c r="K370" s="106">
        <f ca="1">HLOOKUP($H$4,'Met Data'!$O$2:$T$368,G370,FALSE)</f>
        <v>4.1436131117359496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 s="46">
        <f t="shared" ca="1" si="53"/>
        <v>0</v>
      </c>
      <c r="AG370" s="72" t="e">
        <f t="shared" ca="1" si="57"/>
        <v>#N/A</v>
      </c>
      <c r="AH370" s="72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349</v>
      </c>
      <c r="H371" s="105">
        <f t="shared" ca="1" si="56"/>
        <v>45274</v>
      </c>
      <c r="I371" s="133">
        <f ca="1">HLOOKUP($H$4,'Met Data'!$A$2:$F$368,G371,FALSE)</f>
        <v>16.191666666666599</v>
      </c>
      <c r="J371" s="133">
        <f ca="1">HLOOKUP($H$4,'Met Data'!$H$2:$M$368,G371,FALSE)*L371</f>
        <v>1.5333333333333301</v>
      </c>
      <c r="K371" s="106">
        <f ca="1">HLOOKUP($H$4,'Met Data'!$O$2:$T$368,G371,FALSE)</f>
        <v>3.8138486605430502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 s="46">
        <f t="shared" ca="1" si="53"/>
        <v>0</v>
      </c>
      <c r="AG371" s="72" t="e">
        <f t="shared" ca="1" si="57"/>
        <v>#N/A</v>
      </c>
      <c r="AH371" s="72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350</v>
      </c>
      <c r="H372" s="105">
        <f t="shared" ca="1" si="56"/>
        <v>45275</v>
      </c>
      <c r="I372" s="133">
        <f ca="1">HLOOKUP($H$4,'Met Data'!$A$2:$F$368,G372,FALSE)</f>
        <v>15.754166666666601</v>
      </c>
      <c r="J372" s="133">
        <f ca="1">HLOOKUP($H$4,'Met Data'!$H$2:$M$368,G372,FALSE)*L372</f>
        <v>4.9166666666666599</v>
      </c>
      <c r="K372" s="106">
        <f ca="1">HLOOKUP($H$4,'Met Data'!$O$2:$T$368,G372,FALSE)</f>
        <v>4.2245531095694204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 s="46">
        <f t="shared" ca="1" si="53"/>
        <v>0</v>
      </c>
      <c r="AG372" s="72" t="e">
        <f t="shared" ca="1" si="57"/>
        <v>#N/A</v>
      </c>
      <c r="AH372" s="72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351</v>
      </c>
      <c r="H373" s="105">
        <f t="shared" ca="1" si="56"/>
        <v>45276</v>
      </c>
      <c r="I373" s="133">
        <f ca="1">HLOOKUP($H$4,'Met Data'!$A$2:$F$368,G373,FALSE)</f>
        <v>16.766666666666602</v>
      </c>
      <c r="J373" s="133">
        <f ca="1">HLOOKUP($H$4,'Met Data'!$H$2:$M$368,G373,FALSE)*L373</f>
        <v>1.5999999999999901</v>
      </c>
      <c r="K373" s="106">
        <f ca="1">HLOOKUP($H$4,'Met Data'!$O$2:$T$368,G373,FALSE)</f>
        <v>4.0567025040665996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 s="46">
        <f t="shared" ca="1" si="53"/>
        <v>0</v>
      </c>
      <c r="AG373" s="72" t="e">
        <f t="shared" ca="1" si="57"/>
        <v>#N/A</v>
      </c>
      <c r="AH373" s="72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352</v>
      </c>
      <c r="H374" s="105">
        <f t="shared" ca="1" si="56"/>
        <v>45277</v>
      </c>
      <c r="I374" s="133">
        <f ca="1">HLOOKUP($H$4,'Met Data'!$A$2:$F$368,G374,FALSE)</f>
        <v>16.766666666666602</v>
      </c>
      <c r="J374" s="133">
        <f ca="1">HLOOKUP($H$4,'Met Data'!$H$2:$M$368,G374,FALSE)*L374</f>
        <v>4.3166666666666602</v>
      </c>
      <c r="K374" s="106">
        <f ca="1">HLOOKUP($H$4,'Met Data'!$O$2:$T$368,G374,FALSE)</f>
        <v>3.8858032497445998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 s="46">
        <f t="shared" ca="1" si="53"/>
        <v>0</v>
      </c>
      <c r="AG374" s="72" t="e">
        <f t="shared" ca="1" si="57"/>
        <v>#N/A</v>
      </c>
      <c r="AH374" s="72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353</v>
      </c>
      <c r="H375" s="105">
        <f t="shared" ca="1" si="56"/>
        <v>45278</v>
      </c>
      <c r="I375" s="133">
        <f ca="1">HLOOKUP($H$4,'Met Data'!$A$2:$F$368,G375,FALSE)</f>
        <v>17.191666666666599</v>
      </c>
      <c r="J375" s="133">
        <f ca="1">HLOOKUP($H$4,'Met Data'!$H$2:$M$368,G375,FALSE)*L375</f>
        <v>1.25</v>
      </c>
      <c r="K375" s="106">
        <f ca="1">HLOOKUP($H$4,'Met Data'!$O$2:$T$368,G375,FALSE)</f>
        <v>3.5439221574521702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 s="46">
        <f t="shared" ca="1" si="53"/>
        <v>0</v>
      </c>
      <c r="AG375" s="72" t="e">
        <f t="shared" ca="1" si="57"/>
        <v>#N/A</v>
      </c>
      <c r="AH375" s="72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354</v>
      </c>
      <c r="H376" s="105">
        <f t="shared" ca="1" si="56"/>
        <v>45279</v>
      </c>
      <c r="I376" s="133">
        <f ca="1">HLOOKUP($H$4,'Met Data'!$A$2:$F$368,G376,FALSE)</f>
        <v>16.725000000000001</v>
      </c>
      <c r="J376" s="133">
        <f ca="1">HLOOKUP($H$4,'Met Data'!$H$2:$M$368,G376,FALSE)*L376</f>
        <v>6.43333333333333</v>
      </c>
      <c r="K376" s="106">
        <f ca="1">HLOOKUP($H$4,'Met Data'!$O$2:$T$368,G376,FALSE)</f>
        <v>2.7226403112081199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 s="46">
        <f t="shared" ca="1" si="53"/>
        <v>0</v>
      </c>
      <c r="AG376" s="72" t="e">
        <f t="shared" ca="1" si="57"/>
        <v>#N/A</v>
      </c>
      <c r="AH376" s="72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355</v>
      </c>
      <c r="H377" s="105">
        <f t="shared" ca="1" si="56"/>
        <v>45280</v>
      </c>
      <c r="I377" s="133">
        <f ca="1">HLOOKUP($H$4,'Met Data'!$A$2:$F$368,G377,FALSE)</f>
        <v>15.9625</v>
      </c>
      <c r="J377" s="133">
        <f ca="1">HLOOKUP($H$4,'Met Data'!$H$2:$M$368,G377,FALSE)*L377</f>
        <v>4.3333333333333304</v>
      </c>
      <c r="K377" s="106">
        <f ca="1">HLOOKUP($H$4,'Met Data'!$O$2:$T$368,G377,FALSE)</f>
        <v>3.7253118866284498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 s="46">
        <f t="shared" ca="1" si="53"/>
        <v>0</v>
      </c>
      <c r="AG377" s="72" t="e">
        <f t="shared" ca="1" si="57"/>
        <v>#N/A</v>
      </c>
      <c r="AH377" s="72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356</v>
      </c>
      <c r="H378" s="105">
        <f t="shared" ca="1" si="56"/>
        <v>45281</v>
      </c>
      <c r="I378" s="133">
        <f ca="1">HLOOKUP($H$4,'Met Data'!$A$2:$F$368,G378,FALSE)</f>
        <v>16.074999999999999</v>
      </c>
      <c r="J378" s="133">
        <f ca="1">HLOOKUP($H$4,'Met Data'!$H$2:$M$368,G378,FALSE)*L378</f>
        <v>0.89999999999999902</v>
      </c>
      <c r="K378" s="106">
        <f ca="1">HLOOKUP($H$4,'Met Data'!$O$2:$T$368,G378,FALSE)</f>
        <v>3.69045556475041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 s="46">
        <f t="shared" ca="1" si="53"/>
        <v>0</v>
      </c>
      <c r="AG378" s="72" t="e">
        <f t="shared" ca="1" si="57"/>
        <v>#N/A</v>
      </c>
      <c r="AH378" s="72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357</v>
      </c>
      <c r="H379" s="105">
        <f t="shared" ca="1" si="56"/>
        <v>45282</v>
      </c>
      <c r="I379" s="133">
        <f ca="1">HLOOKUP($H$4,'Met Data'!$A$2:$F$368,G379,FALSE)</f>
        <v>16.1458333333333</v>
      </c>
      <c r="J379" s="133">
        <f ca="1">HLOOKUP($H$4,'Met Data'!$H$2:$M$368,G379,FALSE)*L379</f>
        <v>0.78333333333333299</v>
      </c>
      <c r="K379" s="106">
        <f ca="1">HLOOKUP($H$4,'Met Data'!$O$2:$T$368,G379,FALSE)</f>
        <v>3.66376320931905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 s="46">
        <f t="shared" ca="1" si="53"/>
        <v>0</v>
      </c>
      <c r="AG379" s="72" t="e">
        <f t="shared" ca="1" si="57"/>
        <v>#N/A</v>
      </c>
      <c r="AH379" s="72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358</v>
      </c>
      <c r="H380" s="105">
        <f t="shared" ca="1" si="56"/>
        <v>45283</v>
      </c>
      <c r="I380" s="133">
        <f ca="1">HLOOKUP($H$4,'Met Data'!$A$2:$F$368,G380,FALSE)</f>
        <v>16.820833333333301</v>
      </c>
      <c r="J380" s="133">
        <f ca="1">HLOOKUP($H$4,'Met Data'!$H$2:$M$368,G380,FALSE)*L380</f>
        <v>1.1666666666666601</v>
      </c>
      <c r="K380" s="106">
        <f ca="1">HLOOKUP($H$4,'Met Data'!$O$2:$T$368,G380,FALSE)</f>
        <v>4.2904592235930501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 s="46">
        <f t="shared" ca="1" si="53"/>
        <v>0</v>
      </c>
      <c r="AG380" s="72" t="e">
        <f t="shared" ca="1" si="57"/>
        <v>#N/A</v>
      </c>
      <c r="AH380" s="72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359</v>
      </c>
      <c r="H381" s="105">
        <f t="shared" ca="1" si="56"/>
        <v>45284</v>
      </c>
      <c r="I381" s="133">
        <f ca="1">HLOOKUP($H$4,'Met Data'!$A$2:$F$368,G381,FALSE)</f>
        <v>16.883333333333301</v>
      </c>
      <c r="J381" s="133">
        <f ca="1">HLOOKUP($H$4,'Met Data'!$H$2:$M$368,G381,FALSE)*L381</f>
        <v>4.1499999999999897</v>
      </c>
      <c r="K381" s="106">
        <f ca="1">HLOOKUP($H$4,'Met Data'!$O$2:$T$368,G381,FALSE)</f>
        <v>3.61274265774352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 s="46">
        <f t="shared" ca="1" si="53"/>
        <v>0</v>
      </c>
      <c r="AG381" s="72" t="e">
        <f t="shared" ca="1" si="57"/>
        <v>#N/A</v>
      </c>
      <c r="AH381" s="72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360</v>
      </c>
      <c r="H382" s="105">
        <f t="shared" ca="1" si="56"/>
        <v>45285</v>
      </c>
      <c r="I382" s="133">
        <f ca="1">HLOOKUP($H$4,'Met Data'!$A$2:$F$368,G382,FALSE)</f>
        <v>17.399999999999999</v>
      </c>
      <c r="J382" s="133">
        <f ca="1">HLOOKUP($H$4,'Met Data'!$H$2:$M$368,G382,FALSE)*L382</f>
        <v>5.0166666666666604</v>
      </c>
      <c r="K382" s="106">
        <f ca="1">HLOOKUP($H$4,'Met Data'!$O$2:$T$368,G382,FALSE)</f>
        <v>4.09028075025509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 s="46">
        <f t="shared" ca="1" si="53"/>
        <v>0</v>
      </c>
      <c r="AG382" s="72" t="e">
        <f t="shared" ca="1" si="57"/>
        <v>#N/A</v>
      </c>
      <c r="AH382" s="72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361</v>
      </c>
      <c r="H383" s="105">
        <f t="shared" ca="1" si="56"/>
        <v>45286</v>
      </c>
      <c r="I383" s="133">
        <f ca="1">HLOOKUP($H$4,'Met Data'!$A$2:$F$368,G383,FALSE)</f>
        <v>17.920833333333299</v>
      </c>
      <c r="J383" s="133">
        <f ca="1">HLOOKUP($H$4,'Met Data'!$H$2:$M$368,G383,FALSE)*L383</f>
        <v>0.56666666666666599</v>
      </c>
      <c r="K383" s="106">
        <f ca="1">HLOOKUP($H$4,'Met Data'!$O$2:$T$368,G383,FALSE)</f>
        <v>4.1244552423616296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 s="46">
        <f t="shared" ca="1" si="53"/>
        <v>0</v>
      </c>
      <c r="AG383" s="72" t="e">
        <f t="shared" ca="1" si="57"/>
        <v>#N/A</v>
      </c>
      <c r="AH383" s="72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362</v>
      </c>
      <c r="H384" s="105">
        <f t="shared" ca="1" si="56"/>
        <v>45287</v>
      </c>
      <c r="I384" s="133">
        <f ca="1">HLOOKUP($H$4,'Met Data'!$A$2:$F$368,G384,FALSE)</f>
        <v>17.537500000000001</v>
      </c>
      <c r="J384" s="133">
        <f ca="1">HLOOKUP($H$4,'Met Data'!$H$2:$M$368,G384,FALSE)*L384</f>
        <v>1.2833333333333301</v>
      </c>
      <c r="K384" s="106">
        <f ca="1">HLOOKUP($H$4,'Met Data'!$O$2:$T$368,G384,FALSE)</f>
        <v>4.3692883234689903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 s="46">
        <f t="shared" ca="1" si="53"/>
        <v>0</v>
      </c>
      <c r="AG384" s="72" t="e">
        <f t="shared" ca="1" si="57"/>
        <v>#N/A</v>
      </c>
      <c r="AH384" s="72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363</v>
      </c>
      <c r="H385" s="105">
        <f t="shared" ca="1" si="56"/>
        <v>45288</v>
      </c>
      <c r="I385" s="133">
        <f ca="1">HLOOKUP($H$4,'Met Data'!$A$2:$F$368,G385,FALSE)</f>
        <v>17.012499999999999</v>
      </c>
      <c r="J385" s="133">
        <f ca="1">HLOOKUP($H$4,'Met Data'!$H$2:$M$368,G385,FALSE)*L385</f>
        <v>1.5833333333333299</v>
      </c>
      <c r="K385" s="106">
        <f ca="1">HLOOKUP($H$4,'Met Data'!$O$2:$T$368,G385,FALSE)</f>
        <v>3.8686759650684999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 s="46">
        <f t="shared" ca="1" si="53"/>
        <v>0</v>
      </c>
      <c r="AG385" s="72" t="e">
        <f t="shared" ca="1" si="57"/>
        <v>#N/A</v>
      </c>
      <c r="AH385" s="72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364</v>
      </c>
      <c r="H386" s="105">
        <f t="shared" ca="1" si="56"/>
        <v>45289</v>
      </c>
      <c r="I386" s="133">
        <f ca="1">HLOOKUP($H$4,'Met Data'!$A$2:$F$368,G386,FALSE)</f>
        <v>17.1041666666666</v>
      </c>
      <c r="J386" s="133">
        <f ca="1">HLOOKUP($H$4,'Met Data'!$H$2:$M$368,G386,FALSE)*L386</f>
        <v>4.2833333333333297</v>
      </c>
      <c r="K386" s="106">
        <f ca="1">HLOOKUP($H$4,'Met Data'!$O$2:$T$368,G386,FALSE)</f>
        <v>3.65125453231978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 s="46">
        <f t="shared" ca="1" si="53"/>
        <v>0</v>
      </c>
      <c r="AG386" s="72" t="e">
        <f t="shared" ca="1" si="57"/>
        <v>#N/A</v>
      </c>
      <c r="AH386" s="72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365</v>
      </c>
      <c r="H387" s="105">
        <f t="shared" ca="1" si="56"/>
        <v>45290</v>
      </c>
      <c r="I387" s="133">
        <f ca="1">HLOOKUP($H$4,'Met Data'!$A$2:$F$368,G387,FALSE)</f>
        <v>17.0541666666666</v>
      </c>
      <c r="J387" s="133">
        <f ca="1">HLOOKUP($H$4,'Met Data'!$H$2:$M$368,G387,FALSE)*L387</f>
        <v>3.68333333333333</v>
      </c>
      <c r="K387" s="106">
        <f ca="1">HLOOKUP($H$4,'Met Data'!$O$2:$T$368,G387,FALSE)</f>
        <v>3.3111049356888498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 s="46">
        <f t="shared" ca="1" si="53"/>
        <v>0</v>
      </c>
      <c r="AG387" s="72" t="e">
        <f t="shared" ca="1" si="57"/>
        <v>#N/A</v>
      </c>
      <c r="AH387" s="72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366</v>
      </c>
      <c r="H388" s="105">
        <f t="shared" ca="1" si="56"/>
        <v>45291</v>
      </c>
      <c r="I388" s="133">
        <f ca="1">HLOOKUP($H$4,'Met Data'!$A$2:$F$368,G388,FALSE)</f>
        <v>16.6875</v>
      </c>
      <c r="J388" s="133">
        <f ca="1">HLOOKUP($H$4,'Met Data'!$H$2:$M$368,G388,FALSE)*L388</f>
        <v>4.68333333333333</v>
      </c>
      <c r="K388" s="106">
        <f ca="1">HLOOKUP($H$4,'Met Data'!$O$2:$T$368,G388,FALSE)</f>
        <v>3.7095349810249001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 s="46">
        <f t="shared" ca="1" si="53"/>
        <v>0</v>
      </c>
      <c r="AG388" s="72" t="e">
        <f t="shared" ca="1" si="57"/>
        <v>#N/A</v>
      </c>
      <c r="AH388" s="72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</v>
      </c>
      <c r="H389" s="105">
        <f t="shared" ca="1" si="56"/>
        <v>45292</v>
      </c>
      <c r="I389" s="133">
        <f ca="1">HLOOKUP($H$4,'Met Data'!$A$2:$F$368,G389,FALSE)</f>
        <v>17.908333333333299</v>
      </c>
      <c r="J389" s="133">
        <f ca="1">HLOOKUP($H$4,'Met Data'!$H$2:$M$368,G389,FALSE)*L389</f>
        <v>2.5499999999999998</v>
      </c>
      <c r="K389" s="106">
        <f ca="1">HLOOKUP($H$4,'Met Data'!$O$2:$T$368,G389,FALSE)</f>
        <v>3.6545263506553698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 s="46">
        <f t="shared" ca="1" si="53"/>
        <v>0</v>
      </c>
      <c r="AG389" s="72" t="e">
        <f t="shared" ca="1" si="57"/>
        <v>#N/A</v>
      </c>
      <c r="AH389" s="72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3</v>
      </c>
      <c r="H390" s="105">
        <f t="shared" ca="1" si="56"/>
        <v>45293</v>
      </c>
      <c r="I390" s="133">
        <f ca="1">HLOOKUP($H$4,'Met Data'!$A$2:$F$368,G390,FALSE)</f>
        <v>18.454166666666602</v>
      </c>
      <c r="J390" s="133">
        <f ca="1">HLOOKUP($H$4,'Met Data'!$H$2:$M$368,G390,FALSE)*L390</f>
        <v>2.3166666666666602</v>
      </c>
      <c r="K390" s="106">
        <f ca="1">HLOOKUP($H$4,'Met Data'!$O$2:$T$368,G390,FALSE)</f>
        <v>3.0374578661788201</v>
      </c>
      <c r="L390">
        <f t="shared" ref="L390:L453" ca="1" si="60">IF(H390&lt;$B$27,$J$3,$J$4)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 s="46">
        <f t="shared" ref="AE390:AE453" ca="1" si="63">IFERROR(U390,0)</f>
        <v>0</v>
      </c>
      <c r="AG390" s="72" t="e">
        <f t="shared" ca="1" si="57"/>
        <v>#N/A</v>
      </c>
      <c r="AH390" s="72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4</v>
      </c>
      <c r="H391" s="105">
        <f t="shared" ca="1" si="56"/>
        <v>45294</v>
      </c>
      <c r="I391" s="133">
        <f ca="1">HLOOKUP($H$4,'Met Data'!$A$2:$F$368,G391,FALSE)</f>
        <v>18.4916666666666</v>
      </c>
      <c r="J391" s="133">
        <f ca="1">HLOOKUP($H$4,'Met Data'!$H$2:$M$368,G391,FALSE)*L391</f>
        <v>6.6333333333333302</v>
      </c>
      <c r="K391" s="106">
        <f ca="1">HLOOKUP($H$4,'Met Data'!$O$2:$T$368,G391,FALSE)</f>
        <v>3.5424660833564698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 s="46">
        <f t="shared" ca="1" si="63"/>
        <v>0</v>
      </c>
      <c r="AG391" s="72" t="e">
        <f t="shared" ca="1" si="57"/>
        <v>#N/A</v>
      </c>
      <c r="AH391" s="72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5</v>
      </c>
      <c r="H392" s="105">
        <f t="shared" ref="H392:H455" ca="1" si="66">H391+1</f>
        <v>45295</v>
      </c>
      <c r="I392" s="133">
        <f ca="1">HLOOKUP($H$4,'Met Data'!$A$2:$F$368,G392,FALSE)</f>
        <v>17</v>
      </c>
      <c r="J392" s="133">
        <f ca="1">HLOOKUP($H$4,'Met Data'!$H$2:$M$368,G392,FALSE)*L392</f>
        <v>1.93333333333333</v>
      </c>
      <c r="K392" s="106">
        <f ca="1">HLOOKUP($H$4,'Met Data'!$O$2:$T$368,G392,FALSE)</f>
        <v>4.6893309655458602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 s="46">
        <f t="shared" ca="1" si="63"/>
        <v>0</v>
      </c>
      <c r="AG392" s="72" t="e">
        <f t="shared" ca="1" si="57"/>
        <v>#N/A</v>
      </c>
      <c r="AH392" s="72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6</v>
      </c>
      <c r="H393" s="105">
        <f t="shared" ca="1" si="66"/>
        <v>45296</v>
      </c>
      <c r="I393" s="133">
        <f ca="1">HLOOKUP($H$4,'Met Data'!$A$2:$F$368,G393,FALSE)</f>
        <v>16.4166666666666</v>
      </c>
      <c r="J393" s="133">
        <f ca="1">HLOOKUP($H$4,'Met Data'!$H$2:$M$368,G393,FALSE)*L393</f>
        <v>2.9833333333333298</v>
      </c>
      <c r="K393" s="106">
        <f ca="1">HLOOKUP($H$4,'Met Data'!$O$2:$T$368,G393,FALSE)</f>
        <v>4.0957861961112103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 s="46">
        <f t="shared" ca="1" si="63"/>
        <v>0</v>
      </c>
      <c r="AG393" s="72" t="e">
        <f t="shared" ca="1" si="57"/>
        <v>#N/A</v>
      </c>
      <c r="AH393" s="72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7</v>
      </c>
      <c r="H394" s="105">
        <f t="shared" ca="1" si="66"/>
        <v>45297</v>
      </c>
      <c r="I394" s="133">
        <f ca="1">HLOOKUP($H$4,'Met Data'!$A$2:$F$368,G394,FALSE)</f>
        <v>17.629166666666599</v>
      </c>
      <c r="J394" s="133">
        <f ca="1">HLOOKUP($H$4,'Met Data'!$H$2:$M$368,G394,FALSE)*L394</f>
        <v>0.43333333333333302</v>
      </c>
      <c r="K394" s="106">
        <f ca="1">HLOOKUP($H$4,'Met Data'!$O$2:$T$368,G394,FALSE)</f>
        <v>4.0765351917680999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 s="46">
        <f t="shared" ca="1" si="63"/>
        <v>0</v>
      </c>
      <c r="AG394" s="72" t="e">
        <f t="shared" ca="1" si="57"/>
        <v>#N/A</v>
      </c>
      <c r="AH394" s="72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8</v>
      </c>
      <c r="H395" s="105">
        <f t="shared" ca="1" si="66"/>
        <v>45298</v>
      </c>
      <c r="I395" s="133">
        <f ca="1">HLOOKUP($H$4,'Met Data'!$A$2:$F$368,G395,FALSE)</f>
        <v>17.004166666666599</v>
      </c>
      <c r="J395" s="133">
        <f ca="1">HLOOKUP($H$4,'Met Data'!$H$2:$M$368,G395,FALSE)*L395</f>
        <v>2.7833333333333301</v>
      </c>
      <c r="K395" s="106">
        <f ca="1">HLOOKUP($H$4,'Met Data'!$O$2:$T$368,G395,FALSE)</f>
        <v>3.5869881049730998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 s="46">
        <f t="shared" ca="1" si="63"/>
        <v>0</v>
      </c>
      <c r="AG395" s="72" t="e">
        <f t="shared" ref="AG395:AG458" ca="1" si="67">Q394+S395+T395+U395</f>
        <v>#N/A</v>
      </c>
      <c r="AH395" s="72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9</v>
      </c>
      <c r="H396" s="105">
        <f t="shared" ca="1" si="66"/>
        <v>45299</v>
      </c>
      <c r="I396" s="133">
        <f ca="1">HLOOKUP($H$4,'Met Data'!$A$2:$F$368,G396,FALSE)</f>
        <v>17.433333333333302</v>
      </c>
      <c r="J396" s="133">
        <f ca="1">HLOOKUP($H$4,'Met Data'!$H$2:$M$368,G396,FALSE)*L396</f>
        <v>2.3833333333333302</v>
      </c>
      <c r="K396" s="106">
        <f ca="1">HLOOKUP($H$4,'Met Data'!$O$2:$T$368,G396,FALSE)</f>
        <v>4.2605807421289903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 s="46">
        <f t="shared" ca="1" si="63"/>
        <v>0</v>
      </c>
      <c r="AG396" s="72" t="e">
        <f t="shared" ca="1" si="67"/>
        <v>#N/A</v>
      </c>
      <c r="AH396" s="72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10</v>
      </c>
      <c r="H397" s="105">
        <f t="shared" ca="1" si="66"/>
        <v>45300</v>
      </c>
      <c r="I397" s="133">
        <f ca="1">HLOOKUP($H$4,'Met Data'!$A$2:$F$368,G397,FALSE)</f>
        <v>17.0208333333333</v>
      </c>
      <c r="J397" s="133">
        <f ca="1">HLOOKUP($H$4,'Met Data'!$H$2:$M$368,G397,FALSE)*L397</f>
        <v>0.3</v>
      </c>
      <c r="K397" s="106">
        <f ca="1">HLOOKUP($H$4,'Met Data'!$O$2:$T$368,G397,FALSE)</f>
        <v>4.14669035003873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 s="46">
        <f t="shared" ca="1" si="63"/>
        <v>0</v>
      </c>
      <c r="AG397" s="72" t="e">
        <f t="shared" ca="1" si="67"/>
        <v>#N/A</v>
      </c>
      <c r="AH397" s="72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11</v>
      </c>
      <c r="H398" s="105">
        <f t="shared" ca="1" si="66"/>
        <v>45301</v>
      </c>
      <c r="I398" s="133">
        <f ca="1">HLOOKUP($H$4,'Met Data'!$A$2:$F$368,G398,FALSE)</f>
        <v>17.6041666666666</v>
      </c>
      <c r="J398" s="133">
        <f ca="1">HLOOKUP($H$4,'Met Data'!$H$2:$M$368,G398,FALSE)*L398</f>
        <v>0.88333333333333297</v>
      </c>
      <c r="K398" s="106">
        <f ca="1">HLOOKUP($H$4,'Met Data'!$O$2:$T$368,G398,FALSE)</f>
        <v>3.4815515936566799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 s="46">
        <f t="shared" ca="1" si="63"/>
        <v>0</v>
      </c>
      <c r="AG398" s="72" t="e">
        <f t="shared" ca="1" si="67"/>
        <v>#N/A</v>
      </c>
      <c r="AH398" s="72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12</v>
      </c>
      <c r="H399" s="105">
        <f t="shared" ca="1" si="66"/>
        <v>45302</v>
      </c>
      <c r="I399" s="133">
        <f ca="1">HLOOKUP($H$4,'Met Data'!$A$2:$F$368,G399,FALSE)</f>
        <v>17.654166666666601</v>
      </c>
      <c r="J399" s="133">
        <f ca="1">HLOOKUP($H$4,'Met Data'!$H$2:$M$368,G399,FALSE)*L399</f>
        <v>0.33333333333333298</v>
      </c>
      <c r="K399" s="106">
        <f ca="1">HLOOKUP($H$4,'Met Data'!$O$2:$T$368,G399,FALSE)</f>
        <v>4.1035718910061201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 s="46">
        <f t="shared" ca="1" si="63"/>
        <v>0</v>
      </c>
      <c r="AG399" s="72" t="e">
        <f t="shared" ca="1" si="67"/>
        <v>#N/A</v>
      </c>
      <c r="AH399" s="72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13</v>
      </c>
      <c r="H400" s="105">
        <f t="shared" ca="1" si="66"/>
        <v>45303</v>
      </c>
      <c r="I400" s="133">
        <f ca="1">HLOOKUP($H$4,'Met Data'!$A$2:$F$368,G400,FALSE)</f>
        <v>18.175000000000001</v>
      </c>
      <c r="J400" s="133">
        <f ca="1">HLOOKUP($H$4,'Met Data'!$H$2:$M$368,G400,FALSE)*L400</f>
        <v>0.96666666666666601</v>
      </c>
      <c r="K400" s="106">
        <f ca="1">HLOOKUP($H$4,'Met Data'!$O$2:$T$368,G400,FALSE)</f>
        <v>3.7942004669494902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 s="46">
        <f t="shared" ca="1" si="63"/>
        <v>0</v>
      </c>
      <c r="AG400" s="72" t="e">
        <f t="shared" ca="1" si="67"/>
        <v>#N/A</v>
      </c>
      <c r="AH400" s="72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14</v>
      </c>
      <c r="H401" s="105">
        <f t="shared" ca="1" si="66"/>
        <v>45304</v>
      </c>
      <c r="I401" s="133">
        <f ca="1">HLOOKUP($H$4,'Met Data'!$A$2:$F$368,G401,FALSE)</f>
        <v>17.883333333333301</v>
      </c>
      <c r="J401" s="133">
        <f ca="1">HLOOKUP($H$4,'Met Data'!$H$2:$M$368,G401,FALSE)*L401</f>
        <v>3.0333333333333301</v>
      </c>
      <c r="K401" s="106">
        <f ca="1">HLOOKUP($H$4,'Met Data'!$O$2:$T$368,G401,FALSE)</f>
        <v>3.9941259720520699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 s="46">
        <f t="shared" ca="1" si="63"/>
        <v>0</v>
      </c>
      <c r="AG401" s="72" t="e">
        <f t="shared" ca="1" si="67"/>
        <v>#N/A</v>
      </c>
      <c r="AH401" s="72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15</v>
      </c>
      <c r="H402" s="105">
        <f t="shared" ca="1" si="66"/>
        <v>45305</v>
      </c>
      <c r="I402" s="133">
        <f ca="1">HLOOKUP($H$4,'Met Data'!$A$2:$F$368,G402,FALSE)</f>
        <v>17.279166666666601</v>
      </c>
      <c r="J402" s="133">
        <f ca="1">HLOOKUP($H$4,'Met Data'!$H$2:$M$368,G402,FALSE)*L402</f>
        <v>2.8833333333333302</v>
      </c>
      <c r="K402" s="106">
        <f ca="1">HLOOKUP($H$4,'Met Data'!$O$2:$T$368,G402,FALSE)</f>
        <v>4.3919546564694203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 s="46">
        <f t="shared" ca="1" si="63"/>
        <v>0</v>
      </c>
      <c r="AG402" s="72" t="e">
        <f t="shared" ca="1" si="67"/>
        <v>#N/A</v>
      </c>
      <c r="AH402" s="72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16</v>
      </c>
      <c r="H403" s="105">
        <f t="shared" ca="1" si="66"/>
        <v>45306</v>
      </c>
      <c r="I403" s="133">
        <f ca="1">HLOOKUP($H$4,'Met Data'!$A$2:$F$368,G403,FALSE)</f>
        <v>17.5208333333333</v>
      </c>
      <c r="J403" s="133">
        <f ca="1">HLOOKUP($H$4,'Met Data'!$H$2:$M$368,G403,FALSE)*L403</f>
        <v>2.5833333333333299</v>
      </c>
      <c r="K403" s="106">
        <f ca="1">HLOOKUP($H$4,'Met Data'!$O$2:$T$368,G403,FALSE)</f>
        <v>4.2128718222508397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 s="46">
        <f t="shared" ca="1" si="63"/>
        <v>0</v>
      </c>
      <c r="AG403" s="72" t="e">
        <f t="shared" ca="1" si="67"/>
        <v>#N/A</v>
      </c>
      <c r="AH403" s="72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17</v>
      </c>
      <c r="H404" s="105">
        <f t="shared" ca="1" si="66"/>
        <v>45307</v>
      </c>
      <c r="I404" s="133">
        <f ca="1">HLOOKUP($H$4,'Met Data'!$A$2:$F$368,G404,FALSE)</f>
        <v>17.970833333333299</v>
      </c>
      <c r="J404" s="133">
        <f ca="1">HLOOKUP($H$4,'Met Data'!$H$2:$M$368,G404,FALSE)*L404</f>
        <v>0.266666666666666</v>
      </c>
      <c r="K404" s="106">
        <f ca="1">HLOOKUP($H$4,'Met Data'!$O$2:$T$368,G404,FALSE)</f>
        <v>4.0252286180437302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 s="46">
        <f t="shared" ca="1" si="63"/>
        <v>0</v>
      </c>
      <c r="AG404" s="72" t="e">
        <f t="shared" ca="1" si="67"/>
        <v>#N/A</v>
      </c>
      <c r="AH404" s="72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18</v>
      </c>
      <c r="H405" s="105">
        <f t="shared" ca="1" si="66"/>
        <v>45308</v>
      </c>
      <c r="I405" s="133">
        <f ca="1">HLOOKUP($H$4,'Met Data'!$A$2:$F$368,G405,FALSE)</f>
        <v>18.2708333333333</v>
      </c>
      <c r="J405" s="133">
        <f ca="1">HLOOKUP($H$4,'Met Data'!$H$2:$M$368,G405,FALSE)*L405</f>
        <v>1.81666666666666</v>
      </c>
      <c r="K405" s="106">
        <f ca="1">HLOOKUP($H$4,'Met Data'!$O$2:$T$368,G405,FALSE)</f>
        <v>4.3125410240098896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 s="46">
        <f t="shared" ca="1" si="63"/>
        <v>0</v>
      </c>
      <c r="AG405" s="72" t="e">
        <f t="shared" ca="1" si="67"/>
        <v>#N/A</v>
      </c>
      <c r="AH405" s="72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19</v>
      </c>
      <c r="H406" s="105">
        <f t="shared" ca="1" si="66"/>
        <v>45309</v>
      </c>
      <c r="I406" s="133">
        <f ca="1">HLOOKUP($H$4,'Met Data'!$A$2:$F$368,G406,FALSE)</f>
        <v>17.954166666666602</v>
      </c>
      <c r="J406" s="133">
        <f ca="1">HLOOKUP($H$4,'Met Data'!$H$2:$M$368,G406,FALSE)*L406</f>
        <v>4.1499999999999897</v>
      </c>
      <c r="K406" s="106">
        <f ca="1">HLOOKUP($H$4,'Met Data'!$O$2:$T$368,G406,FALSE)</f>
        <v>3.9046074195490301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 s="46">
        <f t="shared" ca="1" si="63"/>
        <v>0</v>
      </c>
      <c r="AG406" s="72" t="e">
        <f t="shared" ca="1" si="67"/>
        <v>#N/A</v>
      </c>
      <c r="AH406" s="72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20</v>
      </c>
      <c r="H407" s="105">
        <f t="shared" ca="1" si="66"/>
        <v>45310</v>
      </c>
      <c r="I407" s="133">
        <f ca="1">HLOOKUP($H$4,'Met Data'!$A$2:$F$368,G407,FALSE)</f>
        <v>18.454166666666602</v>
      </c>
      <c r="J407" s="133">
        <f ca="1">HLOOKUP($H$4,'Met Data'!$H$2:$M$368,G407,FALSE)*L407</f>
        <v>2.5166666666666599</v>
      </c>
      <c r="K407" s="106">
        <f ca="1">HLOOKUP($H$4,'Met Data'!$O$2:$T$368,G407,FALSE)</f>
        <v>4.0894627552594898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 s="46">
        <f t="shared" ca="1" si="63"/>
        <v>0</v>
      </c>
      <c r="AG407" s="72" t="e">
        <f t="shared" ca="1" si="67"/>
        <v>#N/A</v>
      </c>
      <c r="AH407" s="72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21</v>
      </c>
      <c r="H408" s="105">
        <f t="shared" ca="1" si="66"/>
        <v>45311</v>
      </c>
      <c r="I408" s="133">
        <f ca="1">HLOOKUP($H$4,'Met Data'!$A$2:$F$368,G408,FALSE)</f>
        <v>18.125</v>
      </c>
      <c r="J408" s="133">
        <f ca="1">HLOOKUP($H$4,'Met Data'!$H$2:$M$368,G408,FALSE)*L408</f>
        <v>3.3333333333333299</v>
      </c>
      <c r="K408" s="106">
        <f ca="1">HLOOKUP($H$4,'Met Data'!$O$2:$T$368,G408,FALSE)</f>
        <v>4.4627747616983804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 s="46">
        <f t="shared" ca="1" si="63"/>
        <v>0</v>
      </c>
      <c r="AG408" s="72" t="e">
        <f t="shared" ca="1" si="67"/>
        <v>#N/A</v>
      </c>
      <c r="AH408" s="72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22</v>
      </c>
      <c r="H409" s="105">
        <f t="shared" ca="1" si="66"/>
        <v>45312</v>
      </c>
      <c r="I409" s="133">
        <f ca="1">HLOOKUP($H$4,'Met Data'!$A$2:$F$368,G409,FALSE)</f>
        <v>17.6791666666666</v>
      </c>
      <c r="J409" s="133">
        <f ca="1">HLOOKUP($H$4,'Met Data'!$H$2:$M$368,G409,FALSE)*L409</f>
        <v>2.4</v>
      </c>
      <c r="K409" s="106">
        <f ca="1">HLOOKUP($H$4,'Met Data'!$O$2:$T$368,G409,FALSE)</f>
        <v>3.8954755691343999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 s="46">
        <f t="shared" ca="1" si="63"/>
        <v>0</v>
      </c>
      <c r="AG409" s="72" t="e">
        <f t="shared" ca="1" si="67"/>
        <v>#N/A</v>
      </c>
      <c r="AH409" s="72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23</v>
      </c>
      <c r="H410" s="105">
        <f t="shared" ca="1" si="66"/>
        <v>45313</v>
      </c>
      <c r="I410" s="133">
        <f ca="1">HLOOKUP($H$4,'Met Data'!$A$2:$F$368,G410,FALSE)</f>
        <v>17.350000000000001</v>
      </c>
      <c r="J410" s="133">
        <f ca="1">HLOOKUP($H$4,'Met Data'!$H$2:$M$368,G410,FALSE)*L410</f>
        <v>2.6333333333333302</v>
      </c>
      <c r="K410" s="106">
        <f ca="1">HLOOKUP($H$4,'Met Data'!$O$2:$T$368,G410,FALSE)</f>
        <v>3.2997711779398098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 s="46">
        <f t="shared" ca="1" si="63"/>
        <v>0</v>
      </c>
      <c r="AG410" s="72" t="e">
        <f t="shared" ca="1" si="67"/>
        <v>#N/A</v>
      </c>
      <c r="AH410" s="72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24</v>
      </c>
      <c r="H411" s="105">
        <f t="shared" ca="1" si="66"/>
        <v>45314</v>
      </c>
      <c r="I411" s="133">
        <f ca="1">HLOOKUP($H$4,'Met Data'!$A$2:$F$368,G411,FALSE)</f>
        <v>17.504166666666599</v>
      </c>
      <c r="J411" s="133">
        <f ca="1">HLOOKUP($H$4,'Met Data'!$H$2:$M$368,G411,FALSE)*L411</f>
        <v>5.5166666666666604</v>
      </c>
      <c r="K411" s="106">
        <f ca="1">HLOOKUP($H$4,'Met Data'!$O$2:$T$368,G411,FALSE)</f>
        <v>3.46570930270954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 s="46">
        <f t="shared" ca="1" si="63"/>
        <v>0</v>
      </c>
      <c r="AG411" s="72" t="e">
        <f t="shared" ca="1" si="67"/>
        <v>#N/A</v>
      </c>
      <c r="AH411" s="72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25</v>
      </c>
      <c r="H412" s="105">
        <f t="shared" ca="1" si="66"/>
        <v>45315</v>
      </c>
      <c r="I412" s="133">
        <f ca="1">HLOOKUP($H$4,'Met Data'!$A$2:$F$368,G412,FALSE)</f>
        <v>17.713636363636301</v>
      </c>
      <c r="J412" s="133">
        <f ca="1">HLOOKUP($H$4,'Met Data'!$H$2:$M$368,G412,FALSE)*L412</f>
        <v>1.3818181818181801</v>
      </c>
      <c r="K412" s="106">
        <f ca="1">HLOOKUP($H$4,'Met Data'!$O$2:$T$368,G412,FALSE)</f>
        <v>4.0186876239346203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 s="46">
        <f t="shared" ca="1" si="63"/>
        <v>0</v>
      </c>
      <c r="AG412" s="72" t="e">
        <f t="shared" ca="1" si="67"/>
        <v>#N/A</v>
      </c>
      <c r="AH412" s="72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26</v>
      </c>
      <c r="H413" s="105">
        <f t="shared" ca="1" si="66"/>
        <v>45316</v>
      </c>
      <c r="I413" s="133">
        <f ca="1">HLOOKUP($H$4,'Met Data'!$A$2:$F$368,G413,FALSE)</f>
        <v>17.8541666666666</v>
      </c>
      <c r="J413" s="133">
        <f ca="1">HLOOKUP($H$4,'Met Data'!$H$2:$M$368,G413,FALSE)*L413</f>
        <v>0.46666666666666601</v>
      </c>
      <c r="K413" s="106">
        <f ca="1">HLOOKUP($H$4,'Met Data'!$O$2:$T$368,G413,FALSE)</f>
        <v>4.1496250953293998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 s="46">
        <f t="shared" ca="1" si="63"/>
        <v>0</v>
      </c>
      <c r="AG413" s="72" t="e">
        <f t="shared" ca="1" si="67"/>
        <v>#N/A</v>
      </c>
      <c r="AH413" s="72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27</v>
      </c>
      <c r="H414" s="105">
        <f t="shared" ca="1" si="66"/>
        <v>45317</v>
      </c>
      <c r="I414" s="133">
        <f ca="1">HLOOKUP($H$4,'Met Data'!$A$2:$F$368,G414,FALSE)</f>
        <v>18.933333333333302</v>
      </c>
      <c r="J414" s="133">
        <f ca="1">HLOOKUP($H$4,'Met Data'!$H$2:$M$368,G414,FALSE)*L414</f>
        <v>1.8</v>
      </c>
      <c r="K414" s="106">
        <f ca="1">HLOOKUP($H$4,'Met Data'!$O$2:$T$368,G414,FALSE)</f>
        <v>4.1034832888531598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 s="46">
        <f t="shared" ca="1" si="63"/>
        <v>0</v>
      </c>
      <c r="AG414" s="72" t="e">
        <f t="shared" ca="1" si="67"/>
        <v>#N/A</v>
      </c>
      <c r="AH414" s="72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28</v>
      </c>
      <c r="H415" s="105">
        <f t="shared" ca="1" si="66"/>
        <v>45318</v>
      </c>
      <c r="I415" s="133">
        <f ca="1">HLOOKUP($H$4,'Met Data'!$A$2:$F$368,G415,FALSE)</f>
        <v>18.524999999999999</v>
      </c>
      <c r="J415" s="133">
        <f ca="1">HLOOKUP($H$4,'Met Data'!$H$2:$M$368,G415,FALSE)*L415</f>
        <v>4.2166666666666597</v>
      </c>
      <c r="K415" s="106">
        <f ca="1">HLOOKUP($H$4,'Met Data'!$O$2:$T$368,G415,FALSE)</f>
        <v>3.2920480795367801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 s="46">
        <f t="shared" ca="1" si="63"/>
        <v>0</v>
      </c>
      <c r="AG415" s="72" t="e">
        <f t="shared" ca="1" si="67"/>
        <v>#N/A</v>
      </c>
      <c r="AH415" s="72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29</v>
      </c>
      <c r="H416" s="105">
        <f t="shared" ca="1" si="66"/>
        <v>45319</v>
      </c>
      <c r="I416" s="133">
        <f ca="1">HLOOKUP($H$4,'Met Data'!$A$2:$F$368,G416,FALSE)</f>
        <v>18.283333333333299</v>
      </c>
      <c r="J416" s="133">
        <f ca="1">HLOOKUP($H$4,'Met Data'!$H$2:$M$368,G416,FALSE)*L416</f>
        <v>0.96666666666666601</v>
      </c>
      <c r="K416" s="106">
        <f ca="1">HLOOKUP($H$4,'Met Data'!$O$2:$T$368,G416,FALSE)</f>
        <v>3.7580315328576899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 s="46">
        <f t="shared" ca="1" si="63"/>
        <v>0</v>
      </c>
      <c r="AG416" s="72" t="e">
        <f t="shared" ca="1" si="67"/>
        <v>#N/A</v>
      </c>
      <c r="AH416" s="72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30</v>
      </c>
      <c r="H417" s="105">
        <f t="shared" ca="1" si="66"/>
        <v>45320</v>
      </c>
      <c r="I417" s="133">
        <f ca="1">HLOOKUP($H$4,'Met Data'!$A$2:$F$368,G417,FALSE)</f>
        <v>18.95</v>
      </c>
      <c r="J417" s="133">
        <f ca="1">HLOOKUP($H$4,'Met Data'!$H$2:$M$368,G417,FALSE)*L417</f>
        <v>0.233333333333333</v>
      </c>
      <c r="K417" s="106">
        <f ca="1">HLOOKUP($H$4,'Met Data'!$O$2:$T$368,G417,FALSE)</f>
        <v>4.4825712398856101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 s="46">
        <f t="shared" ca="1" si="63"/>
        <v>0</v>
      </c>
      <c r="AG417" s="72" t="e">
        <f t="shared" ca="1" si="67"/>
        <v>#N/A</v>
      </c>
      <c r="AH417" s="72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31</v>
      </c>
      <c r="H418" s="105">
        <f t="shared" ca="1" si="66"/>
        <v>45321</v>
      </c>
      <c r="I418" s="133">
        <f ca="1">HLOOKUP($H$4,'Met Data'!$A$2:$F$368,G418,FALSE)</f>
        <v>19.070833333333301</v>
      </c>
      <c r="J418" s="133">
        <f ca="1">HLOOKUP($H$4,'Met Data'!$H$2:$M$368,G418,FALSE)*L418</f>
        <v>1.45</v>
      </c>
      <c r="K418" s="106">
        <f ca="1">HLOOKUP($H$4,'Met Data'!$O$2:$T$368,G418,FALSE)</f>
        <v>4.1485395322845697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 s="46">
        <f t="shared" ca="1" si="63"/>
        <v>0</v>
      </c>
      <c r="AG418" s="72" t="e">
        <f t="shared" ca="1" si="67"/>
        <v>#N/A</v>
      </c>
      <c r="AH418" s="72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32</v>
      </c>
      <c r="H419" s="105">
        <f t="shared" ca="1" si="66"/>
        <v>45322</v>
      </c>
      <c r="I419" s="133">
        <f ca="1">HLOOKUP($H$4,'Met Data'!$A$2:$F$368,G419,FALSE)</f>
        <v>18.716666666666601</v>
      </c>
      <c r="J419" s="133">
        <f ca="1">HLOOKUP($H$4,'Met Data'!$H$2:$M$368,G419,FALSE)*L419</f>
        <v>1.6666666666666601E-2</v>
      </c>
      <c r="K419" s="106">
        <f ca="1">HLOOKUP($H$4,'Met Data'!$O$2:$T$368,G419,FALSE)</f>
        <v>3.9002627778438899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 s="46">
        <f t="shared" ca="1" si="63"/>
        <v>0</v>
      </c>
      <c r="AG419" s="72" t="e">
        <f t="shared" ca="1" si="67"/>
        <v>#N/A</v>
      </c>
      <c r="AH419" s="72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33</v>
      </c>
      <c r="H420" s="105">
        <f t="shared" ca="1" si="66"/>
        <v>45323</v>
      </c>
      <c r="I420" s="133">
        <f ca="1">HLOOKUP($H$4,'Met Data'!$A$2:$F$368,G420,FALSE)</f>
        <v>18.720833333333299</v>
      </c>
      <c r="J420" s="133">
        <f ca="1">HLOOKUP($H$4,'Met Data'!$H$2:$M$368,G420,FALSE)*L420</f>
        <v>5.1333333333333302</v>
      </c>
      <c r="K420" s="106">
        <f ca="1">HLOOKUP($H$4,'Met Data'!$O$2:$T$368,G420,FALSE)</f>
        <v>3.3425533464765702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 s="46">
        <f t="shared" ca="1" si="63"/>
        <v>0</v>
      </c>
      <c r="AG420" s="72" t="e">
        <f t="shared" ca="1" si="67"/>
        <v>#N/A</v>
      </c>
      <c r="AH420" s="72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34</v>
      </c>
      <c r="H421" s="105">
        <f t="shared" ca="1" si="66"/>
        <v>45324</v>
      </c>
      <c r="I421" s="133">
        <f ca="1">HLOOKUP($H$4,'Met Data'!$A$2:$F$368,G421,FALSE)</f>
        <v>18.558333333333302</v>
      </c>
      <c r="J421" s="133">
        <f ca="1">HLOOKUP($H$4,'Met Data'!$H$2:$M$368,G421,FALSE)*L421</f>
        <v>5.1666666666666599</v>
      </c>
      <c r="K421" s="106">
        <f ca="1">HLOOKUP($H$4,'Met Data'!$O$2:$T$368,G421,FALSE)</f>
        <v>3.37031285883524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 s="46">
        <f t="shared" ca="1" si="63"/>
        <v>0</v>
      </c>
      <c r="AG421" s="72" t="e">
        <f t="shared" ca="1" si="67"/>
        <v>#N/A</v>
      </c>
      <c r="AH421" s="72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35</v>
      </c>
      <c r="H422" s="105">
        <f t="shared" ca="1" si="66"/>
        <v>45325</v>
      </c>
      <c r="I422" s="133">
        <f ca="1">HLOOKUP($H$4,'Met Data'!$A$2:$F$368,G422,FALSE)</f>
        <v>18.841666666666601</v>
      </c>
      <c r="J422" s="133">
        <f ca="1">HLOOKUP($H$4,'Met Data'!$H$2:$M$368,G422,FALSE)*L422</f>
        <v>0.483333333333333</v>
      </c>
      <c r="K422" s="106">
        <f ca="1">HLOOKUP($H$4,'Met Data'!$O$2:$T$368,G422,FALSE)</f>
        <v>4.5373745966907704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 s="46">
        <f t="shared" ca="1" si="63"/>
        <v>0</v>
      </c>
      <c r="AG422" s="72" t="e">
        <f t="shared" ca="1" si="67"/>
        <v>#N/A</v>
      </c>
      <c r="AH422" s="72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36</v>
      </c>
      <c r="H423" s="105">
        <f t="shared" ca="1" si="66"/>
        <v>45326</v>
      </c>
      <c r="I423" s="133">
        <f ca="1">HLOOKUP($H$4,'Met Data'!$A$2:$F$368,G423,FALSE)</f>
        <v>18.441666666666599</v>
      </c>
      <c r="J423" s="133">
        <f ca="1">HLOOKUP($H$4,'Met Data'!$H$2:$M$368,G423,FALSE)*L423</f>
        <v>4.8</v>
      </c>
      <c r="K423" s="106">
        <f ca="1">HLOOKUP($H$4,'Met Data'!$O$2:$T$368,G423,FALSE)</f>
        <v>3.5125215918157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 s="46">
        <f t="shared" ca="1" si="63"/>
        <v>0</v>
      </c>
      <c r="AG423" s="72" t="e">
        <f t="shared" ca="1" si="67"/>
        <v>#N/A</v>
      </c>
      <c r="AH423" s="72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37</v>
      </c>
      <c r="H424" s="105">
        <f t="shared" ca="1" si="66"/>
        <v>45327</v>
      </c>
      <c r="I424" s="133">
        <f ca="1">HLOOKUP($H$4,'Met Data'!$A$2:$F$368,G424,FALSE)</f>
        <v>17.975000000000001</v>
      </c>
      <c r="J424" s="133">
        <f ca="1">HLOOKUP($H$4,'Met Data'!$H$2:$M$368,G424,FALSE)*L424</f>
        <v>2.0166666666666599</v>
      </c>
      <c r="K424" s="106">
        <f ca="1">HLOOKUP($H$4,'Met Data'!$O$2:$T$368,G424,FALSE)</f>
        <v>3.7922889429532498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 s="46">
        <f t="shared" ca="1" si="63"/>
        <v>0</v>
      </c>
      <c r="AG424" s="72" t="e">
        <f t="shared" ca="1" si="67"/>
        <v>#N/A</v>
      </c>
      <c r="AH424" s="72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38</v>
      </c>
      <c r="H425" s="105">
        <f t="shared" ca="1" si="66"/>
        <v>45328</v>
      </c>
      <c r="I425" s="133">
        <f ca="1">HLOOKUP($H$4,'Met Data'!$A$2:$F$368,G425,FALSE)</f>
        <v>17.383333333333301</v>
      </c>
      <c r="J425" s="133">
        <f ca="1">HLOOKUP($H$4,'Met Data'!$H$2:$M$368,G425,FALSE)*L425</f>
        <v>0.15</v>
      </c>
      <c r="K425" s="106">
        <f ca="1">HLOOKUP($H$4,'Met Data'!$O$2:$T$368,G425,FALSE)</f>
        <v>3.67022287265541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 s="46">
        <f t="shared" ca="1" si="63"/>
        <v>0</v>
      </c>
      <c r="AG425" s="72" t="e">
        <f t="shared" ca="1" si="67"/>
        <v>#N/A</v>
      </c>
      <c r="AH425" s="72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39</v>
      </c>
      <c r="H426" s="105">
        <f t="shared" ca="1" si="66"/>
        <v>45329</v>
      </c>
      <c r="I426" s="133">
        <f ca="1">HLOOKUP($H$4,'Met Data'!$A$2:$F$368,G426,FALSE)</f>
        <v>17.0416666666666</v>
      </c>
      <c r="J426" s="133">
        <f ca="1">HLOOKUP($H$4,'Met Data'!$H$2:$M$368,G426,FALSE)*L426</f>
        <v>3.0166666666666599</v>
      </c>
      <c r="K426" s="106">
        <f ca="1">HLOOKUP($H$4,'Met Data'!$O$2:$T$368,G426,FALSE)</f>
        <v>3.8754357428809398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 s="46">
        <f t="shared" ca="1" si="63"/>
        <v>0</v>
      </c>
      <c r="AG426" s="72" t="e">
        <f t="shared" ca="1" si="67"/>
        <v>#N/A</v>
      </c>
      <c r="AH426" s="72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40</v>
      </c>
      <c r="H427" s="105">
        <f t="shared" ca="1" si="66"/>
        <v>45330</v>
      </c>
      <c r="I427" s="133">
        <f ca="1">HLOOKUP($H$4,'Met Data'!$A$2:$F$368,G427,FALSE)</f>
        <v>17.483333333333299</v>
      </c>
      <c r="J427" s="133">
        <f ca="1">HLOOKUP($H$4,'Met Data'!$H$2:$M$368,G427,FALSE)*L427</f>
        <v>2.69999999999999</v>
      </c>
      <c r="K427" s="106">
        <f ca="1">HLOOKUP($H$4,'Met Data'!$O$2:$T$368,G427,FALSE)</f>
        <v>3.8024866154372199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 s="46">
        <f t="shared" ca="1" si="63"/>
        <v>0</v>
      </c>
      <c r="AG427" s="72" t="e">
        <f t="shared" ca="1" si="67"/>
        <v>#N/A</v>
      </c>
      <c r="AH427" s="72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41</v>
      </c>
      <c r="H428" s="105">
        <f t="shared" ca="1" si="66"/>
        <v>45331</v>
      </c>
      <c r="I428" s="133">
        <f ca="1">HLOOKUP($H$4,'Met Data'!$A$2:$F$368,G428,FALSE)</f>
        <v>17.5625</v>
      </c>
      <c r="J428" s="133">
        <f ca="1">HLOOKUP($H$4,'Met Data'!$H$2:$M$368,G428,FALSE)*L428</f>
        <v>0.51666666666666605</v>
      </c>
      <c r="K428" s="106">
        <f ca="1">HLOOKUP($H$4,'Met Data'!$O$2:$T$368,G428,FALSE)</f>
        <v>3.9226252937625699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 s="46">
        <f t="shared" ca="1" si="63"/>
        <v>0</v>
      </c>
      <c r="AG428" s="72" t="e">
        <f t="shared" ca="1" si="67"/>
        <v>#N/A</v>
      </c>
      <c r="AH428" s="72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42</v>
      </c>
      <c r="H429" s="105">
        <f t="shared" ca="1" si="66"/>
        <v>45332</v>
      </c>
      <c r="I429" s="133">
        <f ca="1">HLOOKUP($H$4,'Met Data'!$A$2:$F$368,G429,FALSE)</f>
        <v>17.7083333333333</v>
      </c>
      <c r="J429" s="133">
        <f ca="1">HLOOKUP($H$4,'Met Data'!$H$2:$M$368,G429,FALSE)*L429</f>
        <v>2.7333333333333298</v>
      </c>
      <c r="K429" s="106">
        <f ca="1">HLOOKUP($H$4,'Met Data'!$O$2:$T$368,G429,FALSE)</f>
        <v>3.6312925833969301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 s="46">
        <f t="shared" ca="1" si="63"/>
        <v>0</v>
      </c>
      <c r="AG429" s="72" t="e">
        <f t="shared" ca="1" si="67"/>
        <v>#N/A</v>
      </c>
      <c r="AH429" s="72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43</v>
      </c>
      <c r="H430" s="105">
        <f t="shared" ca="1" si="66"/>
        <v>45333</v>
      </c>
      <c r="I430" s="133">
        <f ca="1">HLOOKUP($H$4,'Met Data'!$A$2:$F$368,G430,FALSE)</f>
        <v>17.654166666666601</v>
      </c>
      <c r="J430" s="133">
        <f ca="1">HLOOKUP($H$4,'Met Data'!$H$2:$M$368,G430,FALSE)*L430</f>
        <v>5.3166666666666602</v>
      </c>
      <c r="K430" s="106">
        <f ca="1">HLOOKUP($H$4,'Met Data'!$O$2:$T$368,G430,FALSE)</f>
        <v>3.7825096271499201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 s="46">
        <f t="shared" ca="1" si="63"/>
        <v>0</v>
      </c>
      <c r="AG430" s="72" t="e">
        <f t="shared" ca="1" si="67"/>
        <v>#N/A</v>
      </c>
      <c r="AH430" s="72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44</v>
      </c>
      <c r="H431" s="105">
        <f t="shared" ca="1" si="66"/>
        <v>45334</v>
      </c>
      <c r="I431" s="133">
        <f ca="1">HLOOKUP($H$4,'Met Data'!$A$2:$F$368,G431,FALSE)</f>
        <v>18.245833333333302</v>
      </c>
      <c r="J431" s="133">
        <f ca="1">HLOOKUP($H$4,'Met Data'!$H$2:$M$368,G431,FALSE)*L431</f>
        <v>1.8</v>
      </c>
      <c r="K431" s="106">
        <f ca="1">HLOOKUP($H$4,'Met Data'!$O$2:$T$368,G431,FALSE)</f>
        <v>3.5345089397679601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 s="46">
        <f t="shared" ca="1" si="63"/>
        <v>0</v>
      </c>
      <c r="AG431" s="72" t="e">
        <f t="shared" ca="1" si="67"/>
        <v>#N/A</v>
      </c>
      <c r="AH431" s="72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45</v>
      </c>
      <c r="H432" s="105">
        <f t="shared" ca="1" si="66"/>
        <v>45335</v>
      </c>
      <c r="I432" s="133">
        <f ca="1">HLOOKUP($H$4,'Met Data'!$A$2:$F$368,G432,FALSE)</f>
        <v>18.674999999999901</v>
      </c>
      <c r="J432" s="133">
        <f ca="1">HLOOKUP($H$4,'Met Data'!$H$2:$M$368,G432,FALSE)*L432</f>
        <v>0.44999999999999901</v>
      </c>
      <c r="K432" s="106">
        <f ca="1">HLOOKUP($H$4,'Met Data'!$O$2:$T$368,G432,FALSE)</f>
        <v>3.2860966338213999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 s="46">
        <f t="shared" ca="1" si="63"/>
        <v>0</v>
      </c>
      <c r="AG432" s="72" t="e">
        <f t="shared" ca="1" si="67"/>
        <v>#N/A</v>
      </c>
      <c r="AH432" s="72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46</v>
      </c>
      <c r="H433" s="105">
        <f t="shared" ca="1" si="66"/>
        <v>45336</v>
      </c>
      <c r="I433" s="133">
        <f ca="1">HLOOKUP($H$4,'Met Data'!$A$2:$F$368,G433,FALSE)</f>
        <v>18.670833333333299</v>
      </c>
      <c r="J433" s="133">
        <f ca="1">HLOOKUP($H$4,'Met Data'!$H$2:$M$368,G433,FALSE)*L433</f>
        <v>1.13333333333333</v>
      </c>
      <c r="K433" s="106">
        <f ca="1">HLOOKUP($H$4,'Met Data'!$O$2:$T$368,G433,FALSE)</f>
        <v>3.8932908527116399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 s="46">
        <f t="shared" ca="1" si="63"/>
        <v>0</v>
      </c>
      <c r="AG433" s="72" t="e">
        <f t="shared" ca="1" si="67"/>
        <v>#N/A</v>
      </c>
      <c r="AH433" s="72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47</v>
      </c>
      <c r="H434" s="105">
        <f t="shared" ca="1" si="66"/>
        <v>45337</v>
      </c>
      <c r="I434" s="133">
        <f ca="1">HLOOKUP($H$4,'Met Data'!$A$2:$F$368,G434,FALSE)</f>
        <v>18.1666666666666</v>
      </c>
      <c r="J434" s="133">
        <f ca="1">HLOOKUP($H$4,'Met Data'!$H$2:$M$368,G434,FALSE)*L434</f>
        <v>1.7333333333333301</v>
      </c>
      <c r="K434" s="106">
        <f ca="1">HLOOKUP($H$4,'Met Data'!$O$2:$T$368,G434,FALSE)</f>
        <v>3.7918051722380999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 s="46">
        <f t="shared" ca="1" si="63"/>
        <v>0</v>
      </c>
      <c r="AG434" s="72" t="e">
        <f t="shared" ca="1" si="67"/>
        <v>#N/A</v>
      </c>
      <c r="AH434" s="72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48</v>
      </c>
      <c r="H435" s="105">
        <f t="shared" ca="1" si="66"/>
        <v>45338</v>
      </c>
      <c r="I435" s="133">
        <f ca="1">HLOOKUP($H$4,'Met Data'!$A$2:$F$368,G435,FALSE)</f>
        <v>17.879166666666599</v>
      </c>
      <c r="J435" s="133">
        <f ca="1">HLOOKUP($H$4,'Met Data'!$H$2:$M$368,G435,FALSE)*L435</f>
        <v>0.73333333333333295</v>
      </c>
      <c r="K435" s="106">
        <f ca="1">HLOOKUP($H$4,'Met Data'!$O$2:$T$368,G435,FALSE)</f>
        <v>3.8813294167315999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 s="46">
        <f t="shared" ca="1" si="63"/>
        <v>0</v>
      </c>
      <c r="AG435" s="72" t="e">
        <f t="shared" ca="1" si="67"/>
        <v>#N/A</v>
      </c>
      <c r="AH435" s="72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49</v>
      </c>
      <c r="H436" s="105">
        <f t="shared" ca="1" si="66"/>
        <v>45339</v>
      </c>
      <c r="I436" s="133">
        <f ca="1">HLOOKUP($H$4,'Met Data'!$A$2:$F$368,G436,FALSE)</f>
        <v>18.2083333333333</v>
      </c>
      <c r="J436" s="133">
        <f ca="1">HLOOKUP($H$4,'Met Data'!$H$2:$M$368,G436,FALSE)*L436</f>
        <v>2.8833333333333302</v>
      </c>
      <c r="K436" s="106">
        <f ca="1">HLOOKUP($H$4,'Met Data'!$O$2:$T$368,G436,FALSE)</f>
        <v>3.5062121478789399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 s="46">
        <f t="shared" ca="1" si="63"/>
        <v>0</v>
      </c>
      <c r="AG436" s="72" t="e">
        <f t="shared" ca="1" si="67"/>
        <v>#N/A</v>
      </c>
      <c r="AH436" s="72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50</v>
      </c>
      <c r="H437" s="105">
        <f t="shared" ca="1" si="66"/>
        <v>45340</v>
      </c>
      <c r="I437" s="133">
        <f ca="1">HLOOKUP($H$4,'Met Data'!$A$2:$F$368,G437,FALSE)</f>
        <v>18.529166666666601</v>
      </c>
      <c r="J437" s="133">
        <f ca="1">HLOOKUP($H$4,'Met Data'!$H$2:$M$368,G437,FALSE)*L437</f>
        <v>2.85</v>
      </c>
      <c r="K437" s="106">
        <f ca="1">HLOOKUP($H$4,'Met Data'!$O$2:$T$368,G437,FALSE)</f>
        <v>3.5342235016405201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 s="46">
        <f t="shared" ca="1" si="63"/>
        <v>0</v>
      </c>
      <c r="AG437" s="72" t="e">
        <f t="shared" ca="1" si="67"/>
        <v>#N/A</v>
      </c>
      <c r="AH437" s="72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51</v>
      </c>
      <c r="H438" s="105">
        <f t="shared" ca="1" si="66"/>
        <v>45341</v>
      </c>
      <c r="I438" s="133">
        <f ca="1">HLOOKUP($H$4,'Met Data'!$A$2:$F$368,G438,FALSE)</f>
        <v>18.925000000000001</v>
      </c>
      <c r="J438" s="133">
        <f ca="1">HLOOKUP($H$4,'Met Data'!$H$2:$M$368,G438,FALSE)*L438</f>
        <v>3.86666666666666</v>
      </c>
      <c r="K438" s="106">
        <f ca="1">HLOOKUP($H$4,'Met Data'!$O$2:$T$368,G438,FALSE)</f>
        <v>3.6338116563958698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 s="46">
        <f t="shared" ca="1" si="63"/>
        <v>0</v>
      </c>
      <c r="AG438" s="72" t="e">
        <f t="shared" ca="1" si="67"/>
        <v>#N/A</v>
      </c>
      <c r="AH438" s="72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52</v>
      </c>
      <c r="H439" s="105">
        <f t="shared" ca="1" si="66"/>
        <v>45342</v>
      </c>
      <c r="I439" s="133">
        <f ca="1">HLOOKUP($H$4,'Met Data'!$A$2:$F$368,G439,FALSE)</f>
        <v>19.195833333333301</v>
      </c>
      <c r="J439" s="133">
        <f ca="1">HLOOKUP($H$4,'Met Data'!$H$2:$M$368,G439,FALSE)*L439</f>
        <v>1.18333333333333</v>
      </c>
      <c r="K439" s="106">
        <f ca="1">HLOOKUP($H$4,'Met Data'!$O$2:$T$368,G439,FALSE)</f>
        <v>3.7477053916930299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 s="46">
        <f t="shared" ca="1" si="63"/>
        <v>0</v>
      </c>
      <c r="AG439" s="72" t="e">
        <f t="shared" ca="1" si="67"/>
        <v>#N/A</v>
      </c>
      <c r="AH439" s="72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53</v>
      </c>
      <c r="H440" s="105">
        <f t="shared" ca="1" si="66"/>
        <v>45343</v>
      </c>
      <c r="I440" s="133">
        <f ca="1">HLOOKUP($H$4,'Met Data'!$A$2:$F$368,G440,FALSE)</f>
        <v>18.945833333333301</v>
      </c>
      <c r="J440" s="133">
        <f ca="1">HLOOKUP($H$4,'Met Data'!$H$2:$M$368,G440,FALSE)*L440</f>
        <v>1.3333333333333299</v>
      </c>
      <c r="K440" s="106">
        <f ca="1">HLOOKUP($H$4,'Met Data'!$O$2:$T$368,G440,FALSE)</f>
        <v>3.7395681594102799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 s="46">
        <f t="shared" ca="1" si="63"/>
        <v>0</v>
      </c>
      <c r="AG440" s="72" t="e">
        <f t="shared" ca="1" si="67"/>
        <v>#N/A</v>
      </c>
      <c r="AH440" s="72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54</v>
      </c>
      <c r="H441" s="105">
        <f t="shared" ca="1" si="66"/>
        <v>45344</v>
      </c>
      <c r="I441" s="133">
        <f ca="1">HLOOKUP($H$4,'Met Data'!$A$2:$F$368,G441,FALSE)</f>
        <v>18.912499999999898</v>
      </c>
      <c r="J441" s="133">
        <f ca="1">HLOOKUP($H$4,'Met Data'!$H$2:$M$368,G441,FALSE)*L441</f>
        <v>6.18333333333333</v>
      </c>
      <c r="K441" s="106">
        <f ca="1">HLOOKUP($H$4,'Met Data'!$O$2:$T$368,G441,FALSE)</f>
        <v>3.0629444033618198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 s="46">
        <f t="shared" ca="1" si="63"/>
        <v>0</v>
      </c>
      <c r="AG441" s="72" t="e">
        <f t="shared" ca="1" si="67"/>
        <v>#N/A</v>
      </c>
      <c r="AH441" s="72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55</v>
      </c>
      <c r="H442" s="105">
        <f t="shared" ca="1" si="66"/>
        <v>45345</v>
      </c>
      <c r="I442" s="133">
        <f ca="1">HLOOKUP($H$4,'Met Data'!$A$2:$F$368,G442,FALSE)</f>
        <v>17.745833333333302</v>
      </c>
      <c r="J442" s="133">
        <f ca="1">HLOOKUP($H$4,'Met Data'!$H$2:$M$368,G442,FALSE)*L442</f>
        <v>0.7</v>
      </c>
      <c r="K442" s="106">
        <f ca="1">HLOOKUP($H$4,'Met Data'!$O$2:$T$368,G442,FALSE)</f>
        <v>3.7397228058893299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 s="46">
        <f t="shared" ca="1" si="63"/>
        <v>0</v>
      </c>
      <c r="AG442" s="72" t="e">
        <f t="shared" ca="1" si="67"/>
        <v>#N/A</v>
      </c>
      <c r="AH442" s="72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56</v>
      </c>
      <c r="H443" s="105">
        <f t="shared" ca="1" si="66"/>
        <v>45346</v>
      </c>
      <c r="I443" s="133">
        <f ca="1">HLOOKUP($H$4,'Met Data'!$A$2:$F$368,G443,FALSE)</f>
        <v>16.945833333333301</v>
      </c>
      <c r="J443" s="133">
        <f ca="1">HLOOKUP($H$4,'Met Data'!$H$2:$M$368,G443,FALSE)*L443</f>
        <v>1.5999999999999901</v>
      </c>
      <c r="K443" s="106">
        <f ca="1">HLOOKUP($H$4,'Met Data'!$O$2:$T$368,G443,FALSE)</f>
        <v>3.5683594386422701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 s="46">
        <f t="shared" ca="1" si="63"/>
        <v>0</v>
      </c>
      <c r="AG443" s="72" t="e">
        <f t="shared" ca="1" si="67"/>
        <v>#N/A</v>
      </c>
      <c r="AH443" s="72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57</v>
      </c>
      <c r="H444" s="105">
        <f t="shared" ca="1" si="66"/>
        <v>45347</v>
      </c>
      <c r="I444" s="133">
        <f ca="1">HLOOKUP($H$4,'Met Data'!$A$2:$F$368,G444,FALSE)</f>
        <v>17.495833333333302</v>
      </c>
      <c r="J444" s="133">
        <f ca="1">HLOOKUP($H$4,'Met Data'!$H$2:$M$368,G444,FALSE)*L444</f>
        <v>0.86666666666666603</v>
      </c>
      <c r="K444" s="106">
        <f ca="1">HLOOKUP($H$4,'Met Data'!$O$2:$T$368,G444,FALSE)</f>
        <v>3.5556810366886502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 s="46">
        <f t="shared" ca="1" si="63"/>
        <v>0</v>
      </c>
      <c r="AG444" s="72" t="e">
        <f t="shared" ca="1" si="67"/>
        <v>#N/A</v>
      </c>
      <c r="AH444" s="72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58</v>
      </c>
      <c r="H445" s="105">
        <f t="shared" ca="1" si="66"/>
        <v>45348</v>
      </c>
      <c r="I445" s="133">
        <f ca="1">HLOOKUP($H$4,'Met Data'!$A$2:$F$368,G445,FALSE)</f>
        <v>16.954166666666602</v>
      </c>
      <c r="J445" s="133">
        <f ca="1">HLOOKUP($H$4,'Met Data'!$H$2:$M$368,G445,FALSE)*L445</f>
        <v>0.93333333333333302</v>
      </c>
      <c r="K445" s="106">
        <f ca="1">HLOOKUP($H$4,'Met Data'!$O$2:$T$368,G445,FALSE)</f>
        <v>3.6102637976598602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 s="46">
        <f t="shared" ca="1" si="63"/>
        <v>0</v>
      </c>
      <c r="AG445" s="72" t="e">
        <f t="shared" ca="1" si="67"/>
        <v>#N/A</v>
      </c>
      <c r="AH445" s="72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59</v>
      </c>
      <c r="H446" s="105">
        <f t="shared" ca="1" si="66"/>
        <v>45349</v>
      </c>
      <c r="I446" s="133">
        <f ca="1">HLOOKUP($H$4,'Met Data'!$A$2:$F$368,G446,FALSE)</f>
        <v>16.829166666666602</v>
      </c>
      <c r="J446" s="133">
        <f ca="1">HLOOKUP($H$4,'Met Data'!$H$2:$M$368,G446,FALSE)*L446</f>
        <v>0.41666666666666602</v>
      </c>
      <c r="K446" s="106">
        <f ca="1">HLOOKUP($H$4,'Met Data'!$O$2:$T$368,G446,FALSE)</f>
        <v>3.6752740997587301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 s="46">
        <f t="shared" ca="1" si="63"/>
        <v>0</v>
      </c>
      <c r="AG446" s="72" t="e">
        <f t="shared" ca="1" si="67"/>
        <v>#N/A</v>
      </c>
      <c r="AH446" s="72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60</v>
      </c>
      <c r="H447" s="105">
        <f t="shared" ca="1" si="66"/>
        <v>45350</v>
      </c>
      <c r="I447" s="133">
        <f ca="1">HLOOKUP($H$4,'Met Data'!$A$2:$F$368,G447,FALSE)</f>
        <v>17.512499999999999</v>
      </c>
      <c r="J447" s="133">
        <f ca="1">HLOOKUP($H$4,'Met Data'!$H$2:$M$368,G447,FALSE)*L447</f>
        <v>0.38333333333333303</v>
      </c>
      <c r="K447" s="106">
        <f ca="1">HLOOKUP($H$4,'Met Data'!$O$2:$T$368,G447,FALSE)</f>
        <v>3.6973328494211302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 s="46">
        <f t="shared" ca="1" si="63"/>
        <v>0</v>
      </c>
      <c r="AG447" s="72" t="e">
        <f t="shared" ca="1" si="67"/>
        <v>#N/A</v>
      </c>
      <c r="AH447" s="72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61</v>
      </c>
      <c r="H448" s="105">
        <f t="shared" ca="1" si="66"/>
        <v>45351</v>
      </c>
      <c r="I448" s="133">
        <f ca="1">HLOOKUP($H$4,'Met Data'!$A$2:$F$368,G448,FALSE)</f>
        <v>17.1166666666666</v>
      </c>
      <c r="J448" s="133">
        <f ca="1">HLOOKUP($H$4,'Met Data'!$H$2:$M$368,G448,FALSE)*L448</f>
        <v>2.3166666666666602</v>
      </c>
      <c r="K448" s="106">
        <f ca="1">HLOOKUP($H$4,'Met Data'!$O$2:$T$368,G448,FALSE)</f>
        <v>3.5365052642272401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 s="46">
        <f t="shared" ca="1" si="63"/>
        <v>0</v>
      </c>
      <c r="AG448" s="72" t="e">
        <f t="shared" ca="1" si="67"/>
        <v>#N/A</v>
      </c>
      <c r="AH448" s="72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62</v>
      </c>
      <c r="H449" s="105">
        <f t="shared" ca="1" si="66"/>
        <v>45352</v>
      </c>
      <c r="I449" s="133">
        <f ca="1">HLOOKUP($H$4,'Met Data'!$A$2:$F$368,G449,FALSE)</f>
        <v>17.037500000000001</v>
      </c>
      <c r="J449" s="133">
        <f ca="1">HLOOKUP($H$4,'Met Data'!$H$2:$M$368,G449,FALSE)*L449</f>
        <v>2.18333333333333</v>
      </c>
      <c r="K449" s="106">
        <f ca="1">HLOOKUP($H$4,'Met Data'!$O$2:$T$368,G449,FALSE)</f>
        <v>3.0680063753167199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 s="46">
        <f t="shared" ca="1" si="63"/>
        <v>0</v>
      </c>
      <c r="AG449" s="72" t="e">
        <f t="shared" ca="1" si="67"/>
        <v>#N/A</v>
      </c>
      <c r="AH449" s="72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63</v>
      </c>
      <c r="H450" s="105">
        <f t="shared" ca="1" si="66"/>
        <v>45353</v>
      </c>
      <c r="I450" s="133">
        <f ca="1">HLOOKUP($H$4,'Met Data'!$A$2:$F$368,G450,FALSE)</f>
        <v>17.204166666666602</v>
      </c>
      <c r="J450" s="133">
        <f ca="1">HLOOKUP($H$4,'Met Data'!$H$2:$M$368,G450,FALSE)*L450</f>
        <v>0.61666666666666603</v>
      </c>
      <c r="K450" s="106">
        <f ca="1">HLOOKUP($H$4,'Met Data'!$O$2:$T$368,G450,FALSE)</f>
        <v>3.2161744467378801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 s="46">
        <f t="shared" ca="1" si="63"/>
        <v>0</v>
      </c>
      <c r="AG450" s="72" t="e">
        <f t="shared" ca="1" si="67"/>
        <v>#N/A</v>
      </c>
      <c r="AH450" s="72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64</v>
      </c>
      <c r="H451" s="105">
        <f t="shared" ca="1" si="66"/>
        <v>45354</v>
      </c>
      <c r="I451" s="133">
        <f ca="1">HLOOKUP($H$4,'Met Data'!$A$2:$F$368,G451,FALSE)</f>
        <v>16.720833333333299</v>
      </c>
      <c r="J451" s="133">
        <f ca="1">HLOOKUP($H$4,'Met Data'!$H$2:$M$368,G451,FALSE)*L451</f>
        <v>2.93333333333333</v>
      </c>
      <c r="K451" s="106">
        <f ca="1">HLOOKUP($H$4,'Met Data'!$O$2:$T$368,G451,FALSE)</f>
        <v>2.8476580172568502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 s="46">
        <f t="shared" ca="1" si="63"/>
        <v>0</v>
      </c>
      <c r="AG451" s="72" t="e">
        <f t="shared" ca="1" si="67"/>
        <v>#N/A</v>
      </c>
      <c r="AH451" s="72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65</v>
      </c>
      <c r="H452" s="105">
        <f t="shared" ca="1" si="66"/>
        <v>45355</v>
      </c>
      <c r="I452" s="133">
        <f ca="1">HLOOKUP($H$4,'Met Data'!$A$2:$F$368,G452,FALSE)</f>
        <v>17.05</v>
      </c>
      <c r="J452" s="133">
        <f ca="1">HLOOKUP($H$4,'Met Data'!$H$2:$M$368,G452,FALSE)*L452</f>
        <v>3.5</v>
      </c>
      <c r="K452" s="106">
        <f ca="1">HLOOKUP($H$4,'Met Data'!$O$2:$T$368,G452,FALSE)</f>
        <v>3.0856400612975601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 s="46">
        <f t="shared" ca="1" si="63"/>
        <v>0</v>
      </c>
      <c r="AG452" s="72" t="e">
        <f t="shared" ca="1" si="67"/>
        <v>#N/A</v>
      </c>
      <c r="AH452" s="72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66</v>
      </c>
      <c r="H453" s="105">
        <f t="shared" ca="1" si="66"/>
        <v>45356</v>
      </c>
      <c r="I453" s="133">
        <f ca="1">HLOOKUP($H$4,'Met Data'!$A$2:$F$368,G453,FALSE)</f>
        <v>16.5625</v>
      </c>
      <c r="J453" s="133">
        <f ca="1">HLOOKUP($H$4,'Met Data'!$H$2:$M$368,G453,FALSE)*L453</f>
        <v>1.9166666666666601</v>
      </c>
      <c r="K453" s="106">
        <f ca="1">HLOOKUP($H$4,'Met Data'!$O$2:$T$368,G453,FALSE)</f>
        <v>2.4477007585282702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 s="46">
        <f t="shared" ca="1" si="63"/>
        <v>0</v>
      </c>
      <c r="AG453" s="72" t="e">
        <f t="shared" ca="1" si="67"/>
        <v>#N/A</v>
      </c>
      <c r="AH453" s="72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67</v>
      </c>
      <c r="H454" s="105">
        <f t="shared" ca="1" si="66"/>
        <v>45357</v>
      </c>
      <c r="I454" s="133">
        <f ca="1">HLOOKUP($H$4,'Met Data'!$A$2:$F$368,G454,FALSE)</f>
        <v>16.349999999999898</v>
      </c>
      <c r="J454" s="133">
        <f ca="1">HLOOKUP($H$4,'Met Data'!$H$2:$M$368,G454,FALSE)*L454</f>
        <v>5.4</v>
      </c>
      <c r="K454" s="106">
        <f ca="1">HLOOKUP($H$4,'Met Data'!$O$2:$T$368,G454,FALSE)</f>
        <v>3.2051572713162999</v>
      </c>
      <c r="L454">
        <f t="shared" ref="L454:L495" ca="1" si="70">IF(H454&lt;$B$27,$J$3,$J$4)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 s="46">
        <f t="shared" ref="AE454:AE495" ca="1" si="73">IFERROR(U454,0)</f>
        <v>0</v>
      </c>
      <c r="AG454" s="72" t="e">
        <f t="shared" ca="1" si="67"/>
        <v>#N/A</v>
      </c>
      <c r="AH454" s="72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68</v>
      </c>
      <c r="H455" s="105">
        <f t="shared" ca="1" si="66"/>
        <v>45358</v>
      </c>
      <c r="I455" s="133">
        <f ca="1">HLOOKUP($H$4,'Met Data'!$A$2:$F$368,G455,FALSE)</f>
        <v>16.404166666666601</v>
      </c>
      <c r="J455" s="133">
        <f ca="1">HLOOKUP($H$4,'Met Data'!$H$2:$M$368,G455,FALSE)*L455</f>
        <v>1.7666666666666599</v>
      </c>
      <c r="K455" s="106">
        <f ca="1">HLOOKUP($H$4,'Met Data'!$O$2:$T$368,G455,FALSE)</f>
        <v>3.3473688975414899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 s="46">
        <f t="shared" ca="1" si="73"/>
        <v>0</v>
      </c>
      <c r="AG455" s="72" t="e">
        <f t="shared" ca="1" si="67"/>
        <v>#N/A</v>
      </c>
      <c r="AH455" s="72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69</v>
      </c>
      <c r="H456" s="105">
        <f t="shared" ref="H456:H495" ca="1" si="76">H455+1</f>
        <v>45359</v>
      </c>
      <c r="I456" s="133">
        <f ca="1">HLOOKUP($H$4,'Met Data'!$A$2:$F$368,G456,FALSE)</f>
        <v>16.174999999999901</v>
      </c>
      <c r="J456" s="133">
        <f ca="1">HLOOKUP($H$4,'Met Data'!$H$2:$M$368,G456,FALSE)*L456</f>
        <v>0.54999999999999905</v>
      </c>
      <c r="K456" s="106">
        <f ca="1">HLOOKUP($H$4,'Met Data'!$O$2:$T$368,G456,FALSE)</f>
        <v>3.3552920602916099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 s="46">
        <f t="shared" ca="1" si="73"/>
        <v>0</v>
      </c>
      <c r="AG456" s="72" t="e">
        <f t="shared" ca="1" si="67"/>
        <v>#N/A</v>
      </c>
      <c r="AH456" s="72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70</v>
      </c>
      <c r="H457" s="105">
        <f t="shared" ca="1" si="76"/>
        <v>45360</v>
      </c>
      <c r="I457" s="133">
        <f ca="1">HLOOKUP($H$4,'Met Data'!$A$2:$F$368,G457,FALSE)</f>
        <v>16.625</v>
      </c>
      <c r="J457" s="133">
        <f ca="1">HLOOKUP($H$4,'Met Data'!$H$2:$M$368,G457,FALSE)*L457</f>
        <v>2.0666666666666602</v>
      </c>
      <c r="K457" s="106">
        <f ca="1">HLOOKUP($H$4,'Met Data'!$O$2:$T$368,G457,FALSE)</f>
        <v>3.2920876744510998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 s="46">
        <f t="shared" ca="1" si="73"/>
        <v>0</v>
      </c>
      <c r="AG457" s="72" t="e">
        <f t="shared" ca="1" si="67"/>
        <v>#N/A</v>
      </c>
      <c r="AH457" s="72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71</v>
      </c>
      <c r="H458" s="105">
        <f t="shared" ca="1" si="76"/>
        <v>45361</v>
      </c>
      <c r="I458" s="133">
        <f ca="1">HLOOKUP($H$4,'Met Data'!$A$2:$F$368,G458,FALSE)</f>
        <v>16.266666666666602</v>
      </c>
      <c r="J458" s="133">
        <f ca="1">HLOOKUP($H$4,'Met Data'!$H$2:$M$368,G458,FALSE)*L458</f>
        <v>3.44999999999999</v>
      </c>
      <c r="K458" s="106">
        <f ca="1">HLOOKUP($H$4,'Met Data'!$O$2:$T$368,G458,FALSE)</f>
        <v>2.5592177640993499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 s="46">
        <f t="shared" ca="1" si="73"/>
        <v>0</v>
      </c>
      <c r="AG458" s="72" t="e">
        <f t="shared" ca="1" si="67"/>
        <v>#N/A</v>
      </c>
      <c r="AH458" s="72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72</v>
      </c>
      <c r="H459" s="105">
        <f t="shared" ca="1" si="76"/>
        <v>45362</v>
      </c>
      <c r="I459" s="133">
        <f ca="1">HLOOKUP($H$4,'Met Data'!$A$2:$F$368,G459,FALSE)</f>
        <v>16.404166666666601</v>
      </c>
      <c r="J459" s="133">
        <f ca="1">HLOOKUP($H$4,'Met Data'!$H$2:$M$368,G459,FALSE)*L459</f>
        <v>1.5833333333333299</v>
      </c>
      <c r="K459" s="106">
        <f ca="1">HLOOKUP($H$4,'Met Data'!$O$2:$T$368,G459,FALSE)</f>
        <v>2.85115032224514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 s="46">
        <f t="shared" ca="1" si="73"/>
        <v>0</v>
      </c>
      <c r="AG459" s="72" t="e">
        <f t="shared" ref="AG459:AG495" ca="1" si="77">Q458+S459+T459+U459</f>
        <v>#N/A</v>
      </c>
      <c r="AH459" s="72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73</v>
      </c>
      <c r="H460" s="105">
        <f t="shared" ca="1" si="76"/>
        <v>45363</v>
      </c>
      <c r="I460" s="133">
        <f ca="1">HLOOKUP($H$4,'Met Data'!$A$2:$F$368,G460,FALSE)</f>
        <v>15.324999999999999</v>
      </c>
      <c r="J460" s="133">
        <f ca="1">HLOOKUP($H$4,'Met Data'!$H$2:$M$368,G460,FALSE)*L460</f>
        <v>1.38333333333333</v>
      </c>
      <c r="K460" s="106">
        <f ca="1">HLOOKUP($H$4,'Met Data'!$O$2:$T$368,G460,FALSE)</f>
        <v>2.7545575054438101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 s="46">
        <f t="shared" ca="1" si="73"/>
        <v>0</v>
      </c>
      <c r="AG460" s="72" t="e">
        <f t="shared" ca="1" si="77"/>
        <v>#N/A</v>
      </c>
      <c r="AH460" s="72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74</v>
      </c>
      <c r="H461" s="105">
        <f t="shared" ca="1" si="76"/>
        <v>45364</v>
      </c>
      <c r="I461" s="133">
        <f ca="1">HLOOKUP($H$4,'Met Data'!$A$2:$F$368,G461,FALSE)</f>
        <v>15.8333333333333</v>
      </c>
      <c r="J461" s="133">
        <f ca="1">HLOOKUP($H$4,'Met Data'!$H$2:$M$368,G461,FALSE)*L461</f>
        <v>0.483333333333333</v>
      </c>
      <c r="K461" s="106">
        <f ca="1">HLOOKUP($H$4,'Met Data'!$O$2:$T$368,G461,FALSE)</f>
        <v>2.9925841251346701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 s="46">
        <f t="shared" ca="1" si="73"/>
        <v>0</v>
      </c>
      <c r="AG461" s="72" t="e">
        <f t="shared" ca="1" si="77"/>
        <v>#N/A</v>
      </c>
      <c r="AH461" s="72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75</v>
      </c>
      <c r="H462" s="105">
        <f t="shared" ca="1" si="76"/>
        <v>45365</v>
      </c>
      <c r="I462" s="133">
        <f ca="1">HLOOKUP($H$4,'Met Data'!$A$2:$F$368,G462,FALSE)</f>
        <v>16.966666666666601</v>
      </c>
      <c r="J462" s="133">
        <f ca="1">HLOOKUP($H$4,'Met Data'!$H$2:$M$368,G462,FALSE)*L462</f>
        <v>0.31666666666666599</v>
      </c>
      <c r="K462" s="106">
        <f ca="1">HLOOKUP($H$4,'Met Data'!$O$2:$T$368,G462,FALSE)</f>
        <v>2.9125814341448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 s="46">
        <f t="shared" ca="1" si="73"/>
        <v>0</v>
      </c>
      <c r="AG462" s="72" t="e">
        <f t="shared" ca="1" si="77"/>
        <v>#N/A</v>
      </c>
      <c r="AH462" s="72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76</v>
      </c>
      <c r="H463" s="105">
        <f t="shared" ca="1" si="76"/>
        <v>45366</v>
      </c>
      <c r="I463" s="133">
        <f ca="1">HLOOKUP($H$4,'Met Data'!$A$2:$F$368,G463,FALSE)</f>
        <v>17.766666666666602</v>
      </c>
      <c r="J463" s="133">
        <f ca="1">HLOOKUP($H$4,'Met Data'!$H$2:$M$368,G463,FALSE)*L463</f>
        <v>2.25</v>
      </c>
      <c r="K463" s="106">
        <f ca="1">HLOOKUP($H$4,'Met Data'!$O$2:$T$368,G463,FALSE)</f>
        <v>2.3685635659939601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 s="46">
        <f t="shared" ca="1" si="73"/>
        <v>0</v>
      </c>
      <c r="AG463" s="72" t="e">
        <f t="shared" ca="1" si="77"/>
        <v>#N/A</v>
      </c>
      <c r="AH463" s="72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77</v>
      </c>
      <c r="H464" s="105">
        <f t="shared" ca="1" si="76"/>
        <v>45367</v>
      </c>
      <c r="I464" s="133">
        <f ca="1">HLOOKUP($H$4,'Met Data'!$A$2:$F$368,G464,FALSE)</f>
        <v>16.100000000000001</v>
      </c>
      <c r="J464" s="133">
        <f ca="1">HLOOKUP($H$4,'Met Data'!$H$2:$M$368,G464,FALSE)*L464</f>
        <v>1.4</v>
      </c>
      <c r="K464" s="106">
        <f ca="1">HLOOKUP($H$4,'Met Data'!$O$2:$T$368,G464,FALSE)</f>
        <v>2.7759280674014901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 s="46">
        <f t="shared" ca="1" si="73"/>
        <v>0</v>
      </c>
      <c r="AG464" s="72" t="e">
        <f t="shared" ca="1" si="77"/>
        <v>#N/A</v>
      </c>
      <c r="AH464" s="72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78</v>
      </c>
      <c r="H465" s="105">
        <f t="shared" ca="1" si="76"/>
        <v>45368</v>
      </c>
      <c r="I465" s="133">
        <f ca="1">HLOOKUP($H$4,'Met Data'!$A$2:$F$368,G465,FALSE)</f>
        <v>15.379166666666601</v>
      </c>
      <c r="J465" s="133">
        <f ca="1">HLOOKUP($H$4,'Met Data'!$H$2:$M$368,G465,FALSE)*L465</f>
        <v>3.68333333333333</v>
      </c>
      <c r="K465" s="106">
        <f ca="1">HLOOKUP($H$4,'Met Data'!$O$2:$T$368,G465,FALSE)</f>
        <v>2.7162290778951999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 s="46">
        <f t="shared" ca="1" si="73"/>
        <v>0</v>
      </c>
      <c r="AG465" s="72" t="e">
        <f t="shared" ca="1" si="77"/>
        <v>#N/A</v>
      </c>
      <c r="AH465" s="72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79</v>
      </c>
      <c r="H466" s="105">
        <f t="shared" ca="1" si="76"/>
        <v>45369</v>
      </c>
      <c r="I466" s="133">
        <f ca="1">HLOOKUP($H$4,'Met Data'!$A$2:$F$368,G466,FALSE)</f>
        <v>15.858333333333301</v>
      </c>
      <c r="J466" s="133">
        <f ca="1">HLOOKUP($H$4,'Met Data'!$H$2:$M$368,G466,FALSE)*L466</f>
        <v>0.85</v>
      </c>
      <c r="K466" s="106">
        <f ca="1">HLOOKUP($H$4,'Met Data'!$O$2:$T$368,G466,FALSE)</f>
        <v>2.8216063312721902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 s="46">
        <f t="shared" ca="1" si="73"/>
        <v>0</v>
      </c>
      <c r="AG466" s="72" t="e">
        <f t="shared" ca="1" si="77"/>
        <v>#N/A</v>
      </c>
      <c r="AH466" s="72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80</v>
      </c>
      <c r="H467" s="105">
        <f t="shared" ca="1" si="76"/>
        <v>45370</v>
      </c>
      <c r="I467" s="133">
        <f ca="1">HLOOKUP($H$4,'Met Data'!$A$2:$F$368,G467,FALSE)</f>
        <v>16.216666666666601</v>
      </c>
      <c r="J467" s="133">
        <f ca="1">HLOOKUP($H$4,'Met Data'!$H$2:$M$368,G467,FALSE)*L467</f>
        <v>8.3333333333333301E-2</v>
      </c>
      <c r="K467" s="106">
        <f ca="1">HLOOKUP($H$4,'Met Data'!$O$2:$T$368,G467,FALSE)</f>
        <v>2.7500481593686201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 s="46">
        <f t="shared" ca="1" si="73"/>
        <v>0</v>
      </c>
      <c r="AG467" s="72" t="e">
        <f t="shared" ca="1" si="77"/>
        <v>#N/A</v>
      </c>
      <c r="AH467" s="72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81</v>
      </c>
      <c r="H468" s="105">
        <f t="shared" ca="1" si="76"/>
        <v>45371</v>
      </c>
      <c r="I468" s="133">
        <f ca="1">HLOOKUP($H$4,'Met Data'!$A$2:$F$368,G468,FALSE)</f>
        <v>16.483333333333299</v>
      </c>
      <c r="J468" s="133">
        <f ca="1">HLOOKUP($H$4,'Met Data'!$H$2:$M$368,G468,FALSE)*L468</f>
        <v>1.11666666666666</v>
      </c>
      <c r="K468" s="106">
        <f ca="1">HLOOKUP($H$4,'Met Data'!$O$2:$T$368,G468,FALSE)</f>
        <v>2.6292753041097501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 s="46">
        <f t="shared" ca="1" si="73"/>
        <v>0</v>
      </c>
      <c r="AG468" s="72" t="e">
        <f t="shared" ca="1" si="77"/>
        <v>#N/A</v>
      </c>
      <c r="AH468" s="72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82</v>
      </c>
      <c r="H469" s="105">
        <f t="shared" ca="1" si="76"/>
        <v>45372</v>
      </c>
      <c r="I469" s="133">
        <f ca="1">HLOOKUP($H$4,'Met Data'!$A$2:$F$368,G469,FALSE)</f>
        <v>16.6791666666666</v>
      </c>
      <c r="J469" s="133">
        <f ca="1">HLOOKUP($H$4,'Met Data'!$H$2:$M$368,G469,FALSE)*L469</f>
        <v>1.63333333333333</v>
      </c>
      <c r="K469" s="106">
        <f ca="1">HLOOKUP($H$4,'Met Data'!$O$2:$T$368,G469,FALSE)</f>
        <v>2.3413673129625598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 s="46">
        <f t="shared" ca="1" si="73"/>
        <v>0</v>
      </c>
      <c r="AG469" s="72" t="e">
        <f t="shared" ca="1" si="77"/>
        <v>#N/A</v>
      </c>
      <c r="AH469" s="72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83</v>
      </c>
      <c r="H470" s="105">
        <f t="shared" ca="1" si="76"/>
        <v>45373</v>
      </c>
      <c r="I470" s="133">
        <f ca="1">HLOOKUP($H$4,'Met Data'!$A$2:$F$368,G470,FALSE)</f>
        <v>16.8</v>
      </c>
      <c r="J470" s="133">
        <f ca="1">HLOOKUP($H$4,'Met Data'!$H$2:$M$368,G470,FALSE)*L470</f>
        <v>2.2833333333333301</v>
      </c>
      <c r="K470" s="106">
        <f ca="1">HLOOKUP($H$4,'Met Data'!$O$2:$T$368,G470,FALSE)</f>
        <v>2.7038604411954998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 s="46">
        <f t="shared" ca="1" si="73"/>
        <v>0</v>
      </c>
      <c r="AG470" s="72" t="e">
        <f t="shared" ca="1" si="77"/>
        <v>#N/A</v>
      </c>
      <c r="AH470" s="72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84</v>
      </c>
      <c r="H471" s="105">
        <f t="shared" ca="1" si="76"/>
        <v>45374</v>
      </c>
      <c r="I471" s="133">
        <f ca="1">HLOOKUP($H$4,'Met Data'!$A$2:$F$368,G471,FALSE)</f>
        <v>16.237500000000001</v>
      </c>
      <c r="J471" s="133">
        <f ca="1">HLOOKUP($H$4,'Met Data'!$H$2:$M$368,G471,FALSE)*L471</f>
        <v>3.7833333333333301</v>
      </c>
      <c r="K471" s="106">
        <f ca="1">HLOOKUP($H$4,'Met Data'!$O$2:$T$368,G471,FALSE)</f>
        <v>2.1387131538714801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 s="46">
        <f t="shared" ca="1" si="73"/>
        <v>0</v>
      </c>
      <c r="AG471" s="72" t="e">
        <f t="shared" ca="1" si="77"/>
        <v>#N/A</v>
      </c>
      <c r="AH471" s="72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85</v>
      </c>
      <c r="H472" s="105">
        <f t="shared" ca="1" si="76"/>
        <v>45375</v>
      </c>
      <c r="I472" s="133">
        <f ca="1">HLOOKUP($H$4,'Met Data'!$A$2:$F$368,G472,FALSE)</f>
        <v>16.875</v>
      </c>
      <c r="J472" s="133">
        <f ca="1">HLOOKUP($H$4,'Met Data'!$H$2:$M$368,G472,FALSE)*L472</f>
        <v>2.9</v>
      </c>
      <c r="K472" s="106">
        <f ca="1">HLOOKUP($H$4,'Met Data'!$O$2:$T$368,G472,FALSE)</f>
        <v>2.4308063740099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 s="46">
        <f t="shared" ca="1" si="73"/>
        <v>0</v>
      </c>
      <c r="AG472" s="72" t="e">
        <f t="shared" ca="1" si="77"/>
        <v>#N/A</v>
      </c>
      <c r="AH472" s="72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86</v>
      </c>
      <c r="H473" s="105">
        <f t="shared" ca="1" si="76"/>
        <v>45376</v>
      </c>
      <c r="I473" s="133">
        <f ca="1">HLOOKUP($H$4,'Met Data'!$A$2:$F$368,G473,FALSE)</f>
        <v>17.024999999999999</v>
      </c>
      <c r="J473" s="133">
        <f ca="1">HLOOKUP($H$4,'Met Data'!$H$2:$M$368,G473,FALSE)*L473</f>
        <v>3.7333333333333298</v>
      </c>
      <c r="K473" s="106">
        <f ca="1">HLOOKUP($H$4,'Met Data'!$O$2:$T$368,G473,FALSE)</f>
        <v>2.3866525377963699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 s="46">
        <f t="shared" ca="1" si="73"/>
        <v>0</v>
      </c>
      <c r="AG473" s="72" t="e">
        <f t="shared" ca="1" si="77"/>
        <v>#N/A</v>
      </c>
      <c r="AH473" s="72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87</v>
      </c>
      <c r="H474" s="105">
        <f t="shared" ca="1" si="76"/>
        <v>45377</v>
      </c>
      <c r="I474" s="133">
        <f ca="1">HLOOKUP($H$4,'Met Data'!$A$2:$F$368,G474,FALSE)</f>
        <v>17.3</v>
      </c>
      <c r="J474" s="133">
        <f ca="1">HLOOKUP($H$4,'Met Data'!$H$2:$M$368,G474,FALSE)*L474</f>
        <v>1.93333333333333</v>
      </c>
      <c r="K474" s="106">
        <f ca="1">HLOOKUP($H$4,'Met Data'!$O$2:$T$368,G474,FALSE)</f>
        <v>2.6501779961824399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 s="46">
        <f t="shared" ca="1" si="73"/>
        <v>0</v>
      </c>
      <c r="AG474" s="72" t="e">
        <f t="shared" ca="1" si="77"/>
        <v>#N/A</v>
      </c>
      <c r="AH474" s="72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88</v>
      </c>
      <c r="H475" s="105">
        <f t="shared" ca="1" si="76"/>
        <v>45378</v>
      </c>
      <c r="I475" s="133">
        <f ca="1">HLOOKUP($H$4,'Met Data'!$A$2:$F$368,G475,FALSE)</f>
        <v>15.983333333333301</v>
      </c>
      <c r="J475" s="133">
        <f ca="1">HLOOKUP($H$4,'Met Data'!$H$2:$M$368,G475,FALSE)*L475</f>
        <v>1.2166666666666599</v>
      </c>
      <c r="K475" s="106">
        <f ca="1">HLOOKUP($H$4,'Met Data'!$O$2:$T$368,G475,FALSE)</f>
        <v>2.2352735074469998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 s="46">
        <f t="shared" ca="1" si="73"/>
        <v>0</v>
      </c>
      <c r="AG475" s="72" t="e">
        <f t="shared" ca="1" si="77"/>
        <v>#N/A</v>
      </c>
      <c r="AH475" s="72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89</v>
      </c>
      <c r="H476" s="105">
        <f t="shared" ca="1" si="76"/>
        <v>45379</v>
      </c>
      <c r="I476" s="133">
        <f ca="1">HLOOKUP($H$4,'Met Data'!$A$2:$F$368,G476,FALSE)</f>
        <v>16.404166666666601</v>
      </c>
      <c r="J476" s="133">
        <f ca="1">HLOOKUP($H$4,'Met Data'!$H$2:$M$368,G476,FALSE)*L476</f>
        <v>2.3333333333333299</v>
      </c>
      <c r="K476" s="106">
        <f ca="1">HLOOKUP($H$4,'Met Data'!$O$2:$T$368,G476,FALSE)</f>
        <v>2.3461969045698901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 s="46">
        <f t="shared" ca="1" si="73"/>
        <v>0</v>
      </c>
      <c r="AG476" s="72" t="e">
        <f t="shared" ca="1" si="77"/>
        <v>#N/A</v>
      </c>
      <c r="AH476" s="72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90</v>
      </c>
      <c r="H477" s="105">
        <f t="shared" ca="1" si="76"/>
        <v>45380</v>
      </c>
      <c r="I477" s="133">
        <f ca="1">HLOOKUP($H$4,'Met Data'!$A$2:$F$368,G477,FALSE)</f>
        <v>16.629166666666599</v>
      </c>
      <c r="J477" s="133">
        <f ca="1">HLOOKUP($H$4,'Met Data'!$H$2:$M$368,G477,FALSE)*L477</f>
        <v>2.2333333333333298</v>
      </c>
      <c r="K477" s="106">
        <f ca="1">HLOOKUP($H$4,'Met Data'!$O$2:$T$368,G477,FALSE)</f>
        <v>2.5330458314755799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 s="46">
        <f t="shared" ca="1" si="73"/>
        <v>0</v>
      </c>
      <c r="AG477" s="72" t="e">
        <f t="shared" ca="1" si="77"/>
        <v>#N/A</v>
      </c>
      <c r="AH477" s="72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91</v>
      </c>
      <c r="H478" s="105">
        <f t="shared" ca="1" si="76"/>
        <v>45381</v>
      </c>
      <c r="I478" s="133">
        <f ca="1">HLOOKUP($H$4,'Met Data'!$A$2:$F$368,G478,FALSE)</f>
        <v>16.112499999999901</v>
      </c>
      <c r="J478" s="133">
        <f ca="1">HLOOKUP($H$4,'Met Data'!$H$2:$M$368,G478,FALSE)*L478</f>
        <v>2.0833333333333299</v>
      </c>
      <c r="K478" s="106">
        <f ca="1">HLOOKUP($H$4,'Met Data'!$O$2:$T$368,G478,FALSE)</f>
        <v>2.4661161715906501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 s="46">
        <f t="shared" ca="1" si="73"/>
        <v>0</v>
      </c>
      <c r="AG478" s="72" t="e">
        <f t="shared" ca="1" si="77"/>
        <v>#N/A</v>
      </c>
      <c r="AH478" s="72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92</v>
      </c>
      <c r="H479" s="105">
        <f t="shared" ca="1" si="76"/>
        <v>45382</v>
      </c>
      <c r="I479" s="133">
        <f ca="1">HLOOKUP($H$4,'Met Data'!$A$2:$F$368,G479,FALSE)</f>
        <v>15.862500000000001</v>
      </c>
      <c r="J479" s="133">
        <f ca="1">HLOOKUP($H$4,'Met Data'!$H$2:$M$368,G479,FALSE)*L479</f>
        <v>1.3333333333333299</v>
      </c>
      <c r="K479" s="106">
        <f ca="1">HLOOKUP($H$4,'Met Data'!$O$2:$T$368,G479,FALSE)</f>
        <v>2.3173978620084501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 s="46">
        <f t="shared" ca="1" si="73"/>
        <v>0</v>
      </c>
      <c r="AG479" s="72" t="e">
        <f t="shared" ca="1" si="77"/>
        <v>#N/A</v>
      </c>
      <c r="AH479" s="72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93</v>
      </c>
      <c r="H480" s="105">
        <f t="shared" ca="1" si="76"/>
        <v>45383</v>
      </c>
      <c r="I480" s="133">
        <f ca="1">HLOOKUP($H$4,'Met Data'!$A$2:$F$368,G480,FALSE)</f>
        <v>15.299999999999899</v>
      </c>
      <c r="J480" s="133">
        <f ca="1">HLOOKUP($H$4,'Met Data'!$H$2:$M$368,G480,FALSE)*L480</f>
        <v>0.36666666666666597</v>
      </c>
      <c r="K480" s="106">
        <f ca="1">HLOOKUP($H$4,'Met Data'!$O$2:$T$368,G480,FALSE)</f>
        <v>2.1311275850035698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 s="46">
        <f t="shared" ca="1" si="73"/>
        <v>0</v>
      </c>
      <c r="AG480" s="72" t="e">
        <f t="shared" ca="1" si="77"/>
        <v>#N/A</v>
      </c>
      <c r="AH480" s="72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94</v>
      </c>
      <c r="H481" s="105">
        <f t="shared" ca="1" si="76"/>
        <v>45384</v>
      </c>
      <c r="I481" s="133">
        <f ca="1">HLOOKUP($H$4,'Met Data'!$A$2:$F$368,G481,FALSE)</f>
        <v>16.266666666666602</v>
      </c>
      <c r="J481" s="133">
        <f ca="1">HLOOKUP($H$4,'Met Data'!$H$2:$M$368,G481,FALSE)*L481</f>
        <v>4.36666666666666</v>
      </c>
      <c r="K481" s="106">
        <f ca="1">HLOOKUP($H$4,'Met Data'!$O$2:$T$368,G481,FALSE)</f>
        <v>2.1942415542804201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 s="46">
        <f t="shared" ca="1" si="73"/>
        <v>0</v>
      </c>
      <c r="AG481" s="72" t="e">
        <f t="shared" ca="1" si="77"/>
        <v>#N/A</v>
      </c>
      <c r="AH481" s="72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95</v>
      </c>
      <c r="H482" s="105">
        <f t="shared" ca="1" si="76"/>
        <v>45385</v>
      </c>
      <c r="I482" s="133">
        <f ca="1">HLOOKUP($H$4,'Met Data'!$A$2:$F$368,G482,FALSE)</f>
        <v>16.008333333333301</v>
      </c>
      <c r="J482" s="133">
        <f ca="1">HLOOKUP($H$4,'Met Data'!$H$2:$M$368,G482,FALSE)*L482</f>
        <v>5.5833333333333304</v>
      </c>
      <c r="K482" s="106">
        <f ca="1">HLOOKUP($H$4,'Met Data'!$O$2:$T$368,G482,FALSE)</f>
        <v>2.18875214188912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 s="46">
        <f t="shared" ca="1" si="73"/>
        <v>0</v>
      </c>
      <c r="AG482" s="72" t="e">
        <f t="shared" ca="1" si="77"/>
        <v>#N/A</v>
      </c>
      <c r="AH482" s="72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96</v>
      </c>
      <c r="H483" s="105">
        <f t="shared" ca="1" si="76"/>
        <v>45386</v>
      </c>
      <c r="I483" s="133">
        <f ca="1">HLOOKUP($H$4,'Met Data'!$A$2:$F$368,G483,FALSE)</f>
        <v>14.8083333333333</v>
      </c>
      <c r="J483" s="133">
        <f ca="1">HLOOKUP($H$4,'Met Data'!$H$2:$M$368,G483,FALSE)*L483</f>
        <v>3.93333333333333</v>
      </c>
      <c r="K483" s="106">
        <f ca="1">HLOOKUP($H$4,'Met Data'!$O$2:$T$368,G483,FALSE)</f>
        <v>2.25899576438928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 s="46">
        <f t="shared" ca="1" si="73"/>
        <v>0</v>
      </c>
      <c r="AG483" s="72" t="e">
        <f t="shared" ca="1" si="77"/>
        <v>#N/A</v>
      </c>
      <c r="AH483" s="72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97</v>
      </c>
      <c r="H484" s="105">
        <f t="shared" ca="1" si="76"/>
        <v>45387</v>
      </c>
      <c r="I484" s="133">
        <f ca="1">HLOOKUP($H$4,'Met Data'!$A$2:$F$368,G484,FALSE)</f>
        <v>14.283333333333299</v>
      </c>
      <c r="J484" s="133">
        <f ca="1">HLOOKUP($H$4,'Met Data'!$H$2:$M$368,G484,FALSE)*L484</f>
        <v>1.2666666666666599</v>
      </c>
      <c r="K484" s="106">
        <f ca="1">HLOOKUP($H$4,'Met Data'!$O$2:$T$368,G484,FALSE)</f>
        <v>2.2952223200603901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 s="46">
        <f t="shared" ca="1" si="73"/>
        <v>0</v>
      </c>
      <c r="AG484" s="72" t="e">
        <f t="shared" ca="1" si="77"/>
        <v>#N/A</v>
      </c>
      <c r="AH484" s="72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98</v>
      </c>
      <c r="H485" s="105">
        <f t="shared" ca="1" si="76"/>
        <v>45388</v>
      </c>
      <c r="I485" s="133">
        <f ca="1">HLOOKUP($H$4,'Met Data'!$A$2:$F$368,G485,FALSE)</f>
        <v>13.258333333333301</v>
      </c>
      <c r="J485" s="133">
        <f ca="1">HLOOKUP($H$4,'Met Data'!$H$2:$M$368,G485,FALSE)*L485</f>
        <v>1.18333333333333</v>
      </c>
      <c r="K485" s="106">
        <f ca="1">HLOOKUP($H$4,'Met Data'!$O$2:$T$368,G485,FALSE)</f>
        <v>1.94562323949851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 s="46">
        <f t="shared" ca="1" si="73"/>
        <v>0</v>
      </c>
      <c r="AG485" s="72" t="e">
        <f t="shared" ca="1" si="77"/>
        <v>#N/A</v>
      </c>
      <c r="AH485" s="72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99</v>
      </c>
      <c r="H486" s="105">
        <f t="shared" ca="1" si="76"/>
        <v>45389</v>
      </c>
      <c r="I486" s="133">
        <f ca="1">HLOOKUP($H$4,'Met Data'!$A$2:$F$368,G486,FALSE)</f>
        <v>13.8666666666666</v>
      </c>
      <c r="J486" s="133">
        <f ca="1">HLOOKUP($H$4,'Met Data'!$H$2:$M$368,G486,FALSE)*L486</f>
        <v>4.7333333333333298</v>
      </c>
      <c r="K486" s="106">
        <f ca="1">HLOOKUP($H$4,'Met Data'!$O$2:$T$368,G486,FALSE)</f>
        <v>1.65226329552866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 s="46">
        <f t="shared" ca="1" si="73"/>
        <v>0</v>
      </c>
      <c r="AG486" s="72" t="e">
        <f t="shared" ca="1" si="77"/>
        <v>#N/A</v>
      </c>
      <c r="AH486" s="72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100</v>
      </c>
      <c r="H487" s="105">
        <f t="shared" ca="1" si="76"/>
        <v>45390</v>
      </c>
      <c r="I487" s="133">
        <f ca="1">HLOOKUP($H$4,'Met Data'!$A$2:$F$368,G487,FALSE)</f>
        <v>14.404166666666599</v>
      </c>
      <c r="J487" s="133">
        <f ca="1">HLOOKUP($H$4,'Met Data'!$H$2:$M$368,G487,FALSE)*L487</f>
        <v>4.3166666666666602</v>
      </c>
      <c r="K487" s="106">
        <f ca="1">HLOOKUP($H$4,'Met Data'!$O$2:$T$368,G487,FALSE)</f>
        <v>1.8668252234765801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 s="46">
        <f t="shared" ca="1" si="73"/>
        <v>0</v>
      </c>
      <c r="AG487" s="72" t="e">
        <f t="shared" ca="1" si="77"/>
        <v>#N/A</v>
      </c>
      <c r="AH487" s="72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101</v>
      </c>
      <c r="H488" s="105">
        <f t="shared" ca="1" si="76"/>
        <v>45391</v>
      </c>
      <c r="I488" s="133">
        <f ca="1">HLOOKUP($H$4,'Met Data'!$A$2:$F$368,G488,FALSE)</f>
        <v>14.5416666666666</v>
      </c>
      <c r="J488" s="133">
        <f ca="1">HLOOKUP($H$4,'Met Data'!$H$2:$M$368,G488,FALSE)*L488</f>
        <v>4.43333333333333</v>
      </c>
      <c r="K488" s="106">
        <f ca="1">HLOOKUP($H$4,'Met Data'!$O$2:$T$368,G488,FALSE)</f>
        <v>1.97301093095216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 s="46">
        <f t="shared" ca="1" si="73"/>
        <v>0</v>
      </c>
      <c r="AG488" s="72" t="e">
        <f t="shared" ca="1" si="77"/>
        <v>#N/A</v>
      </c>
      <c r="AH488" s="72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102</v>
      </c>
      <c r="H489" s="105">
        <f t="shared" ca="1" si="76"/>
        <v>45392</v>
      </c>
      <c r="I489" s="133">
        <f ca="1">HLOOKUP($H$4,'Met Data'!$A$2:$F$368,G489,FALSE)</f>
        <v>14.279166666666599</v>
      </c>
      <c r="J489" s="133">
        <f ca="1">HLOOKUP($H$4,'Met Data'!$H$2:$M$368,G489,FALSE)*L489</f>
        <v>1.3333333333333299</v>
      </c>
      <c r="K489" s="106">
        <f ca="1">HLOOKUP($H$4,'Met Data'!$O$2:$T$368,G489,FALSE)</f>
        <v>1.63836682585681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 s="46">
        <f t="shared" ca="1" si="73"/>
        <v>0</v>
      </c>
      <c r="AG489" s="72" t="e">
        <f t="shared" ca="1" si="77"/>
        <v>#N/A</v>
      </c>
      <c r="AH489" s="72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103</v>
      </c>
      <c r="H490" s="105">
        <f t="shared" ca="1" si="76"/>
        <v>45393</v>
      </c>
      <c r="I490" s="133">
        <f ca="1">HLOOKUP($H$4,'Met Data'!$A$2:$F$368,G490,FALSE)</f>
        <v>15.1666666666666</v>
      </c>
      <c r="J490" s="133">
        <f ca="1">HLOOKUP($H$4,'Met Data'!$H$2:$M$368,G490,FALSE)*L490</f>
        <v>3.7833333333333301</v>
      </c>
      <c r="K490" s="106">
        <f ca="1">HLOOKUP($H$4,'Met Data'!$O$2:$T$368,G490,FALSE)</f>
        <v>1.8936832301932101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 s="46">
        <f t="shared" ca="1" si="73"/>
        <v>0</v>
      </c>
      <c r="AG490" s="72" t="e">
        <f t="shared" ca="1" si="77"/>
        <v>#N/A</v>
      </c>
      <c r="AH490" s="72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104</v>
      </c>
      <c r="H491" s="105">
        <f t="shared" ca="1" si="76"/>
        <v>45394</v>
      </c>
      <c r="I491" s="133">
        <f ca="1">HLOOKUP($H$4,'Met Data'!$A$2:$F$368,G491,FALSE)</f>
        <v>14.675000000000001</v>
      </c>
      <c r="J491" s="133">
        <f ca="1">HLOOKUP($H$4,'Met Data'!$H$2:$M$368,G491,FALSE)*L491</f>
        <v>4.5166666666666604</v>
      </c>
      <c r="K491" s="106">
        <f ca="1">HLOOKUP($H$4,'Met Data'!$O$2:$T$368,G491,FALSE)</f>
        <v>1.6971366028359001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 s="46">
        <f t="shared" ca="1" si="73"/>
        <v>0</v>
      </c>
      <c r="AG491" s="72" t="e">
        <f t="shared" ca="1" si="77"/>
        <v>#N/A</v>
      </c>
      <c r="AH491" s="72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105</v>
      </c>
      <c r="H492" s="105">
        <f t="shared" ca="1" si="76"/>
        <v>45395</v>
      </c>
      <c r="I492" s="133">
        <f ca="1">HLOOKUP($H$4,'Met Data'!$A$2:$F$368,G492,FALSE)</f>
        <v>13.504166666666601</v>
      </c>
      <c r="J492" s="133">
        <f ca="1">HLOOKUP($H$4,'Met Data'!$H$2:$M$368,G492,FALSE)*L492</f>
        <v>4.5</v>
      </c>
      <c r="K492" s="106">
        <f ca="1">HLOOKUP($H$4,'Met Data'!$O$2:$T$368,G492,FALSE)</f>
        <v>1.6970685904410301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 s="46">
        <f t="shared" ca="1" si="73"/>
        <v>0</v>
      </c>
      <c r="AG492" s="72" t="e">
        <f t="shared" ca="1" si="77"/>
        <v>#N/A</v>
      </c>
      <c r="AH492" s="72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106</v>
      </c>
      <c r="H493" s="105">
        <f t="shared" ca="1" si="76"/>
        <v>45396</v>
      </c>
      <c r="I493" s="133">
        <f ca="1">HLOOKUP($H$4,'Met Data'!$A$2:$F$368,G493,FALSE)</f>
        <v>13.779166666666599</v>
      </c>
      <c r="J493" s="133">
        <f ca="1">HLOOKUP($H$4,'Met Data'!$H$2:$M$368,G493,FALSE)*L493</f>
        <v>0.9</v>
      </c>
      <c r="K493" s="106">
        <f ca="1">HLOOKUP($H$4,'Met Data'!$O$2:$T$368,G493,FALSE)</f>
        <v>2.0649391337631702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 s="46">
        <f t="shared" ca="1" si="73"/>
        <v>0</v>
      </c>
      <c r="AG493" s="72" t="e">
        <f t="shared" ca="1" si="77"/>
        <v>#N/A</v>
      </c>
      <c r="AH493" s="72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107</v>
      </c>
      <c r="H494" s="105">
        <f t="shared" ca="1" si="76"/>
        <v>45397</v>
      </c>
      <c r="I494" s="133">
        <f ca="1">HLOOKUP($H$4,'Met Data'!$A$2:$F$368,G494,FALSE)</f>
        <v>13.920833333333301</v>
      </c>
      <c r="J494" s="133">
        <f ca="1">HLOOKUP($H$4,'Met Data'!$H$2:$M$368,G494,FALSE)*L494</f>
        <v>7.6</v>
      </c>
      <c r="K494" s="106">
        <f ca="1">HLOOKUP($H$4,'Met Data'!$O$2:$T$368,G494,FALSE)</f>
        <v>1.7084212444020199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 s="46">
        <f t="shared" ca="1" si="73"/>
        <v>0</v>
      </c>
      <c r="AG494" s="72" t="e">
        <f t="shared" ca="1" si="77"/>
        <v>#N/A</v>
      </c>
      <c r="AH494" s="72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108</v>
      </c>
      <c r="H495" s="107">
        <f t="shared" ca="1" si="76"/>
        <v>45398</v>
      </c>
      <c r="I495" s="135">
        <f ca="1">HLOOKUP($H$4,'Met Data'!$A$2:$F$368,G495,FALSE)</f>
        <v>13.6416666666666</v>
      </c>
      <c r="J495" s="133">
        <f ca="1">HLOOKUP($H$4,'Met Data'!$H$2:$M$368,G495,FALSE)*L495</f>
        <v>3.44999999999999</v>
      </c>
      <c r="K495" s="108">
        <f ca="1">HLOOKUP($H$4,'Met Data'!$O$2:$T$368,G495,FALSE)</f>
        <v>1.46996077972592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 s="46">
        <f t="shared" ca="1" si="73"/>
        <v>0</v>
      </c>
      <c r="AG495" s="72" t="e">
        <f t="shared" ca="1" si="77"/>
        <v>#N/A</v>
      </c>
      <c r="AH495" s="72" t="e">
        <f t="shared" ca="1" si="78"/>
        <v>#N/A</v>
      </c>
      <c r="AI495" s="3" t="e">
        <f t="shared" ca="1" si="79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Z12" sqref="Z12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46</v>
      </c>
      <c r="B1" s="58" t="s">
        <v>45</v>
      </c>
      <c r="C1" s="58" t="s">
        <v>57</v>
      </c>
      <c r="D1" s="58" t="s">
        <v>99</v>
      </c>
      <c r="E1" s="58" t="s">
        <v>82</v>
      </c>
      <c r="F1" s="58" t="s">
        <v>81</v>
      </c>
      <c r="G1" s="58" t="s">
        <v>80</v>
      </c>
      <c r="H1" s="58" t="s">
        <v>52</v>
      </c>
      <c r="I1" s="58" t="s">
        <v>66</v>
      </c>
      <c r="J1" s="58" t="s">
        <v>11</v>
      </c>
      <c r="K1" s="58" t="s">
        <v>78</v>
      </c>
      <c r="L1" s="58" t="s">
        <v>53</v>
      </c>
      <c r="M1" s="58" t="s">
        <v>85</v>
      </c>
      <c r="N1" s="58" t="s">
        <v>65</v>
      </c>
      <c r="O1" s="58" t="s">
        <v>87</v>
      </c>
      <c r="P1" s="58" t="s">
        <v>39</v>
      </c>
      <c r="Q1" s="58" t="s">
        <v>77</v>
      </c>
      <c r="R1" s="58" t="s">
        <v>36</v>
      </c>
      <c r="S1" s="58" t="s">
        <v>42</v>
      </c>
      <c r="T1" s="58" t="s">
        <v>93</v>
      </c>
      <c r="U1" s="58" t="s">
        <v>72</v>
      </c>
      <c r="V1" s="58" t="s">
        <v>55</v>
      </c>
      <c r="W1" s="58" t="s">
        <v>6</v>
      </c>
      <c r="X1" s="58" t="s">
        <v>56</v>
      </c>
      <c r="Y1" s="58" t="s">
        <v>60</v>
      </c>
      <c r="Z1" s="58" t="s">
        <v>50</v>
      </c>
      <c r="AA1" s="58" t="s">
        <v>62</v>
      </c>
      <c r="AB1" s="58" t="s">
        <v>38</v>
      </c>
      <c r="AC1" s="58" t="s">
        <v>7</v>
      </c>
      <c r="AD1" s="58" t="s">
        <v>64</v>
      </c>
      <c r="AE1" s="58" t="s">
        <v>96</v>
      </c>
      <c r="AF1" s="58" t="s">
        <v>58</v>
      </c>
      <c r="AG1" s="58" t="s">
        <v>61</v>
      </c>
      <c r="AH1" s="58" t="s">
        <v>8</v>
      </c>
      <c r="AI1" s="58" t="s">
        <v>91</v>
      </c>
      <c r="AJ1" s="58" t="s">
        <v>68</v>
      </c>
      <c r="AK1" s="58" t="s">
        <v>41</v>
      </c>
      <c r="AL1" s="58" t="s">
        <v>63</v>
      </c>
      <c r="AM1" s="58" t="s">
        <v>89</v>
      </c>
      <c r="AN1" s="58" t="s">
        <v>47</v>
      </c>
      <c r="AO1" s="58" t="s">
        <v>67</v>
      </c>
      <c r="AP1" s="58" t="s">
        <v>79</v>
      </c>
      <c r="AQ1" s="58" t="s">
        <v>98</v>
      </c>
      <c r="AR1" s="58" t="s">
        <v>76</v>
      </c>
      <c r="AS1" s="58" t="s">
        <v>90</v>
      </c>
      <c r="AT1" s="58" t="s">
        <v>54</v>
      </c>
      <c r="AU1" s="58" t="s">
        <v>40</v>
      </c>
      <c r="AV1" s="58" t="s">
        <v>100</v>
      </c>
      <c r="AW1" s="58" t="s">
        <v>97</v>
      </c>
      <c r="AX1" s="58" t="s">
        <v>49</v>
      </c>
      <c r="AY1" s="58" t="s">
        <v>33</v>
      </c>
      <c r="AZ1" s="59" t="s">
        <v>43</v>
      </c>
      <c r="BA1" s="1"/>
    </row>
    <row r="2" spans="1:53" x14ac:dyDescent="0.25">
      <c r="A2" s="14" t="s">
        <v>34</v>
      </c>
      <c r="B2" s="28" t="s">
        <v>34</v>
      </c>
      <c r="C2" s="28" t="s">
        <v>34</v>
      </c>
      <c r="D2" s="28" t="s">
        <v>34</v>
      </c>
      <c r="E2" s="28" t="s">
        <v>83</v>
      </c>
      <c r="F2" s="28" t="s">
        <v>34</v>
      </c>
      <c r="G2" s="28" t="s">
        <v>34</v>
      </c>
      <c r="H2" s="28" t="s">
        <v>34</v>
      </c>
      <c r="I2" s="28" t="s">
        <v>34</v>
      </c>
      <c r="J2" s="28" t="s">
        <v>34</v>
      </c>
      <c r="K2" s="28" t="s">
        <v>34</v>
      </c>
      <c r="L2" s="28" t="s">
        <v>34</v>
      </c>
      <c r="M2" s="28" t="s">
        <v>34</v>
      </c>
      <c r="N2" s="28" t="s">
        <v>34</v>
      </c>
      <c r="O2" s="28" t="s">
        <v>34</v>
      </c>
      <c r="P2" s="28" t="s">
        <v>34</v>
      </c>
      <c r="Q2" s="28" t="s">
        <v>34</v>
      </c>
      <c r="R2" s="28" t="s">
        <v>34</v>
      </c>
      <c r="S2" s="28" t="s">
        <v>34</v>
      </c>
      <c r="T2" s="28" t="s">
        <v>34</v>
      </c>
      <c r="U2" s="28" t="s">
        <v>34</v>
      </c>
      <c r="V2" s="28" t="s">
        <v>34</v>
      </c>
      <c r="W2" s="28" t="s">
        <v>94</v>
      </c>
      <c r="X2" s="28" t="s">
        <v>34</v>
      </c>
      <c r="Y2" s="28" t="s">
        <v>34</v>
      </c>
      <c r="Z2" s="28" t="s">
        <v>34</v>
      </c>
      <c r="AA2" s="28" t="s">
        <v>34</v>
      </c>
      <c r="AB2" s="28" t="s">
        <v>34</v>
      </c>
      <c r="AC2" s="28" t="s">
        <v>73</v>
      </c>
      <c r="AD2" s="28" t="s">
        <v>34</v>
      </c>
      <c r="AE2" s="28" t="s">
        <v>34</v>
      </c>
      <c r="AF2" s="28" t="s">
        <v>34</v>
      </c>
      <c r="AG2" s="28" t="s">
        <v>34</v>
      </c>
      <c r="AH2" s="28" t="s">
        <v>34</v>
      </c>
      <c r="AI2" s="28" t="s">
        <v>34</v>
      </c>
      <c r="AJ2" s="28" t="s">
        <v>69</v>
      </c>
      <c r="AK2" s="28" t="s">
        <v>34</v>
      </c>
      <c r="AL2" s="28" t="s">
        <v>34</v>
      </c>
      <c r="AM2" s="28" t="s">
        <v>34</v>
      </c>
      <c r="AN2" s="28" t="s">
        <v>34</v>
      </c>
      <c r="AO2" s="28" t="s">
        <v>34</v>
      </c>
      <c r="AP2" s="28" t="s">
        <v>34</v>
      </c>
      <c r="AQ2" s="28" t="s">
        <v>34</v>
      </c>
      <c r="AR2" s="28" t="s">
        <v>34</v>
      </c>
      <c r="AS2" s="28" t="s">
        <v>34</v>
      </c>
      <c r="AT2" s="28" t="s">
        <v>34</v>
      </c>
      <c r="AU2" s="28" t="s">
        <v>34</v>
      </c>
      <c r="AV2" s="28" t="s">
        <v>34</v>
      </c>
      <c r="AW2" s="28" t="s">
        <v>34</v>
      </c>
      <c r="AX2" s="28" t="s">
        <v>34</v>
      </c>
      <c r="AY2" s="28" t="s">
        <v>34</v>
      </c>
      <c r="AZ2" s="15" t="s">
        <v>32</v>
      </c>
    </row>
    <row r="3" spans="1:53" x14ac:dyDescent="0.25">
      <c r="A3" s="14"/>
      <c r="B3" s="28"/>
      <c r="C3" s="28"/>
      <c r="D3" s="28"/>
      <c r="E3" s="28" t="s">
        <v>84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95</v>
      </c>
      <c r="X3" s="28"/>
      <c r="Y3" s="28"/>
      <c r="Z3" s="28"/>
      <c r="AA3" s="28"/>
      <c r="AB3" s="28"/>
      <c r="AC3" s="28" t="s">
        <v>74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44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75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/>
    <row r="7" spans="1:53" x14ac:dyDescent="0.25">
      <c r="A7" s="51" t="s">
        <v>32</v>
      </c>
      <c r="B7" s="52" t="s">
        <v>35</v>
      </c>
      <c r="C7" s="52" t="s">
        <v>37</v>
      </c>
      <c r="D7" s="52" t="s">
        <v>51</v>
      </c>
      <c r="E7" s="52" t="s">
        <v>59</v>
      </c>
      <c r="F7" s="52" t="s">
        <v>20</v>
      </c>
      <c r="G7" s="53" t="s">
        <v>71</v>
      </c>
      <c r="J7" s="35" t="s">
        <v>108</v>
      </c>
      <c r="L7" s="50" t="s">
        <v>109</v>
      </c>
      <c r="N7" s="47" t="s">
        <v>174</v>
      </c>
      <c r="P7" s="47" t="s">
        <v>175</v>
      </c>
      <c r="R7" s="47" t="s">
        <v>1</v>
      </c>
      <c r="U7" s="47" t="s">
        <v>3</v>
      </c>
      <c r="X7" s="129" t="s">
        <v>202</v>
      </c>
      <c r="Z7" s="129" t="s">
        <v>221</v>
      </c>
      <c r="AA7">
        <v>1.7</v>
      </c>
    </row>
    <row r="8" spans="1:53" x14ac:dyDescent="0.25">
      <c r="A8" s="54" t="s">
        <v>33</v>
      </c>
      <c r="B8" s="55" t="s">
        <v>36</v>
      </c>
      <c r="C8" s="55" t="s">
        <v>46</v>
      </c>
      <c r="D8" s="55" t="s">
        <v>45</v>
      </c>
      <c r="E8" s="55" t="s">
        <v>60</v>
      </c>
      <c r="F8" s="55" t="s">
        <v>66</v>
      </c>
      <c r="G8" s="56" t="s">
        <v>57</v>
      </c>
      <c r="J8" s="14" t="s">
        <v>20</v>
      </c>
      <c r="L8" s="48" t="s">
        <v>21</v>
      </c>
      <c r="N8" s="48" t="s">
        <v>173</v>
      </c>
      <c r="P8" s="48" t="s">
        <v>182</v>
      </c>
      <c r="R8" s="48" t="s">
        <v>2</v>
      </c>
      <c r="S8">
        <v>1000</v>
      </c>
      <c r="U8" s="48" t="s">
        <v>195</v>
      </c>
      <c r="V8">
        <v>1</v>
      </c>
      <c r="X8" s="48" t="s">
        <v>203</v>
      </c>
      <c r="Z8" s="48" t="s">
        <v>209</v>
      </c>
      <c r="AA8">
        <v>1.35</v>
      </c>
    </row>
    <row r="9" spans="1:53" ht="15.75" thickBot="1" x14ac:dyDescent="0.3">
      <c r="A9" s="14"/>
      <c r="B9" s="28"/>
      <c r="C9" s="55" t="s">
        <v>45</v>
      </c>
      <c r="D9" s="55" t="s">
        <v>57</v>
      </c>
      <c r="E9" s="55" t="s">
        <v>62</v>
      </c>
      <c r="F9" s="55" t="s">
        <v>65</v>
      </c>
      <c r="G9" s="56" t="s">
        <v>99</v>
      </c>
      <c r="J9" s="16" t="s">
        <v>22</v>
      </c>
      <c r="L9" s="48" t="s">
        <v>23</v>
      </c>
      <c r="N9" s="48" t="s">
        <v>110</v>
      </c>
      <c r="P9" s="48" t="s">
        <v>184</v>
      </c>
      <c r="R9" s="48" t="s">
        <v>111</v>
      </c>
      <c r="S9">
        <v>1</v>
      </c>
      <c r="U9" s="48" t="s">
        <v>196</v>
      </c>
      <c r="V9">
        <v>2</v>
      </c>
      <c r="X9" s="48" t="s">
        <v>205</v>
      </c>
      <c r="Z9" s="48" t="s">
        <v>208</v>
      </c>
      <c r="AA9">
        <v>1</v>
      </c>
    </row>
    <row r="10" spans="1:53" ht="15.75" thickBot="1" x14ac:dyDescent="0.3">
      <c r="A10" s="14"/>
      <c r="B10" s="28"/>
      <c r="C10" s="55" t="s">
        <v>39</v>
      </c>
      <c r="D10" s="55" t="s">
        <v>52</v>
      </c>
      <c r="E10" s="55" t="s">
        <v>61</v>
      </c>
      <c r="F10" s="55" t="s">
        <v>64</v>
      </c>
      <c r="G10" s="56" t="s">
        <v>82</v>
      </c>
      <c r="L10" s="48" t="s">
        <v>24</v>
      </c>
      <c r="N10" s="48" t="s">
        <v>112</v>
      </c>
      <c r="P10" s="49" t="s">
        <v>183</v>
      </c>
      <c r="R10" s="49" t="s">
        <v>16</v>
      </c>
      <c r="S10">
        <v>1</v>
      </c>
      <c r="U10" s="49" t="s">
        <v>197</v>
      </c>
      <c r="V10">
        <v>3</v>
      </c>
      <c r="X10" s="49" t="s">
        <v>204</v>
      </c>
      <c r="Z10" s="48" t="s">
        <v>210</v>
      </c>
      <c r="AA10">
        <v>0.65</v>
      </c>
    </row>
    <row r="11" spans="1:53" ht="15.75" thickBot="1" x14ac:dyDescent="0.3">
      <c r="A11" s="14"/>
      <c r="B11" s="28"/>
      <c r="C11" s="55" t="s">
        <v>42</v>
      </c>
      <c r="D11" s="55" t="s">
        <v>53</v>
      </c>
      <c r="E11" s="55" t="s">
        <v>41</v>
      </c>
      <c r="F11" s="55" t="s">
        <v>68</v>
      </c>
      <c r="G11" s="56" t="s">
        <v>81</v>
      </c>
      <c r="L11" s="48" t="s">
        <v>25</v>
      </c>
      <c r="N11" s="48" t="s">
        <v>113</v>
      </c>
      <c r="Z11" s="49" t="s">
        <v>222</v>
      </c>
      <c r="AA11">
        <v>0.3</v>
      </c>
    </row>
    <row r="12" spans="1:53" x14ac:dyDescent="0.25">
      <c r="A12" s="14"/>
      <c r="B12" s="28"/>
      <c r="C12" s="55" t="s">
        <v>50</v>
      </c>
      <c r="D12" s="55" t="s">
        <v>36</v>
      </c>
      <c r="E12" s="55" t="s">
        <v>43</v>
      </c>
      <c r="F12" s="55" t="s">
        <v>41</v>
      </c>
      <c r="G12" s="56" t="s">
        <v>80</v>
      </c>
      <c r="L12" s="48" t="s">
        <v>26</v>
      </c>
      <c r="N12" s="48" t="s">
        <v>157</v>
      </c>
    </row>
    <row r="13" spans="1:53" ht="15.75" thickBot="1" x14ac:dyDescent="0.3">
      <c r="A13" s="14"/>
      <c r="B13" s="28"/>
      <c r="C13" s="55" t="s">
        <v>38</v>
      </c>
      <c r="D13" s="55" t="s">
        <v>55</v>
      </c>
      <c r="E13" s="28"/>
      <c r="F13" s="55" t="s">
        <v>63</v>
      </c>
      <c r="G13" s="56" t="s">
        <v>66</v>
      </c>
      <c r="L13" s="49" t="s">
        <v>114</v>
      </c>
      <c r="N13" s="49"/>
    </row>
    <row r="14" spans="1:53" x14ac:dyDescent="0.25">
      <c r="A14" s="14"/>
      <c r="B14" s="28"/>
      <c r="C14" s="55" t="s">
        <v>41</v>
      </c>
      <c r="D14" s="55" t="s">
        <v>56</v>
      </c>
      <c r="E14" s="28"/>
      <c r="F14" s="55" t="s">
        <v>67</v>
      </c>
      <c r="G14" s="56" t="s">
        <v>11</v>
      </c>
    </row>
    <row r="15" spans="1:53" x14ac:dyDescent="0.25">
      <c r="A15" s="14"/>
      <c r="B15" s="28"/>
      <c r="C15" s="55" t="s">
        <v>47</v>
      </c>
      <c r="D15" s="55" t="s">
        <v>50</v>
      </c>
      <c r="E15" s="28"/>
      <c r="F15" s="55" t="s">
        <v>70</v>
      </c>
      <c r="G15" s="56" t="s">
        <v>78</v>
      </c>
    </row>
    <row r="16" spans="1:53" x14ac:dyDescent="0.25">
      <c r="A16" s="14"/>
      <c r="B16" s="28"/>
      <c r="C16" s="55" t="s">
        <v>40</v>
      </c>
      <c r="D16" s="55" t="s">
        <v>38</v>
      </c>
      <c r="E16" s="28"/>
      <c r="F16" s="28"/>
      <c r="G16" s="56" t="s">
        <v>85</v>
      </c>
    </row>
    <row r="17" spans="1:7" x14ac:dyDescent="0.25">
      <c r="A17" s="14"/>
      <c r="B17" s="28"/>
      <c r="C17" s="55" t="s">
        <v>49</v>
      </c>
      <c r="D17" s="55" t="s">
        <v>58</v>
      </c>
      <c r="E17" s="28"/>
      <c r="F17" s="28"/>
      <c r="G17" s="56" t="s">
        <v>87</v>
      </c>
    </row>
    <row r="18" spans="1:7" x14ac:dyDescent="0.25">
      <c r="A18" s="14"/>
      <c r="B18" s="28"/>
      <c r="C18" s="55" t="s">
        <v>43</v>
      </c>
      <c r="D18" s="55" t="s">
        <v>54</v>
      </c>
      <c r="E18" s="28"/>
      <c r="F18" s="28"/>
      <c r="G18" s="56" t="s">
        <v>77</v>
      </c>
    </row>
    <row r="19" spans="1:7" x14ac:dyDescent="0.25">
      <c r="A19" s="14"/>
      <c r="B19" s="28"/>
      <c r="C19" s="55" t="s">
        <v>48</v>
      </c>
      <c r="D19" s="55" t="s">
        <v>48</v>
      </c>
      <c r="E19" s="28"/>
      <c r="F19" s="28"/>
      <c r="G19" s="56" t="s">
        <v>93</v>
      </c>
    </row>
    <row r="20" spans="1:7" x14ac:dyDescent="0.25">
      <c r="A20" s="14"/>
      <c r="B20" s="28"/>
      <c r="C20" s="28"/>
      <c r="D20" s="28"/>
      <c r="E20" s="28"/>
      <c r="F20" s="28"/>
      <c r="G20" s="56" t="s">
        <v>72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64</v>
      </c>
    </row>
    <row r="24" spans="1:7" x14ac:dyDescent="0.25">
      <c r="A24" s="14"/>
      <c r="B24" s="28"/>
      <c r="C24" s="28"/>
      <c r="D24" s="28"/>
      <c r="E24" s="28"/>
      <c r="F24" s="28"/>
      <c r="G24" s="56" t="s">
        <v>96</v>
      </c>
    </row>
    <row r="25" spans="1:7" x14ac:dyDescent="0.25">
      <c r="A25" s="14"/>
      <c r="B25" s="28"/>
      <c r="C25" s="28"/>
      <c r="D25" s="28"/>
      <c r="E25" s="28"/>
      <c r="F25" s="28"/>
      <c r="G25" s="56" t="s">
        <v>58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91</v>
      </c>
    </row>
    <row r="28" spans="1:7" x14ac:dyDescent="0.25">
      <c r="A28" s="14"/>
      <c r="B28" s="28"/>
      <c r="C28" s="28"/>
      <c r="D28" s="28"/>
      <c r="E28" s="28"/>
      <c r="F28" s="28"/>
      <c r="G28" s="56" t="s">
        <v>63</v>
      </c>
    </row>
    <row r="29" spans="1:7" x14ac:dyDescent="0.25">
      <c r="A29" s="14"/>
      <c r="B29" s="28"/>
      <c r="C29" s="28"/>
      <c r="D29" s="28"/>
      <c r="E29" s="28"/>
      <c r="F29" s="28"/>
      <c r="G29" s="56" t="s">
        <v>89</v>
      </c>
    </row>
    <row r="30" spans="1:7" x14ac:dyDescent="0.25">
      <c r="A30" s="14"/>
      <c r="B30" s="28"/>
      <c r="C30" s="28"/>
      <c r="D30" s="28"/>
      <c r="E30" s="28"/>
      <c r="F30" s="28"/>
      <c r="G30" s="56" t="s">
        <v>79</v>
      </c>
    </row>
    <row r="31" spans="1:7" x14ac:dyDescent="0.25">
      <c r="A31" s="14"/>
      <c r="B31" s="28"/>
      <c r="C31" s="28"/>
      <c r="D31" s="28"/>
      <c r="E31" s="28"/>
      <c r="F31" s="28"/>
      <c r="G31" s="56" t="s">
        <v>98</v>
      </c>
    </row>
    <row r="32" spans="1:7" x14ac:dyDescent="0.25">
      <c r="A32" s="14"/>
      <c r="B32" s="28"/>
      <c r="C32" s="28"/>
      <c r="D32" s="28"/>
      <c r="E32" s="28"/>
      <c r="F32" s="28"/>
      <c r="G32" s="56" t="s">
        <v>76</v>
      </c>
    </row>
    <row r="33" spans="1:7" x14ac:dyDescent="0.25">
      <c r="A33" s="14"/>
      <c r="B33" s="28"/>
      <c r="C33" s="28"/>
      <c r="D33" s="28"/>
      <c r="E33" s="28"/>
      <c r="F33" s="28"/>
      <c r="G33" s="56" t="s">
        <v>90</v>
      </c>
    </row>
    <row r="34" spans="1:7" x14ac:dyDescent="0.25">
      <c r="A34" s="14"/>
      <c r="B34" s="28"/>
      <c r="C34" s="28"/>
      <c r="D34" s="28"/>
      <c r="E34" s="28"/>
      <c r="F34" s="28"/>
      <c r="G34" s="56" t="s">
        <v>100</v>
      </c>
    </row>
    <row r="35" spans="1:7" x14ac:dyDescent="0.25">
      <c r="A35" s="14"/>
      <c r="B35" s="28"/>
      <c r="C35" s="28"/>
      <c r="D35" s="28"/>
      <c r="E35" s="28"/>
      <c r="F35" s="28"/>
      <c r="G35" s="56" t="s">
        <v>97</v>
      </c>
    </row>
    <row r="36" spans="1:7" x14ac:dyDescent="0.25">
      <c r="A36" s="14"/>
      <c r="B36" s="28"/>
      <c r="C36" s="28"/>
      <c r="D36" s="28"/>
      <c r="E36" s="28"/>
      <c r="F36" s="28"/>
      <c r="G36" s="56" t="s">
        <v>88</v>
      </c>
    </row>
    <row r="37" spans="1:7" x14ac:dyDescent="0.25">
      <c r="A37" s="14"/>
      <c r="B37" s="28"/>
      <c r="C37" s="28"/>
      <c r="D37" s="28"/>
      <c r="E37" s="28"/>
      <c r="F37" s="28"/>
      <c r="G37" s="56" t="s">
        <v>86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selection activeCell="D17" sqref="D17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80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17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12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10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13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10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17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17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80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80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80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80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80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33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e">
        <v>#N/A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</row>
    <row r="78" spans="1:33" x14ac:dyDescent="0.25">
      <c r="A78" t="e">
        <v>#N/A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</row>
    <row r="79" spans="1:33" x14ac:dyDescent="0.25">
      <c r="A79" t="e">
        <v>#N/A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</row>
    <row r="80" spans="1:33" x14ac:dyDescent="0.25">
      <c r="A80" t="e">
        <v>#N/A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</row>
    <row r="81" spans="1:33" x14ac:dyDescent="0.25">
      <c r="A81" t="e">
        <v>#N/A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</row>
    <row r="82" spans="1:33" x14ac:dyDescent="0.25">
      <c r="A82" t="e">
        <v>#N/A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</row>
    <row r="83" spans="1:33" x14ac:dyDescent="0.25">
      <c r="A83" t="e">
        <v>#N/A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4" t="s">
        <v>211</v>
      </c>
      <c r="B1" s="154"/>
      <c r="C1" s="154"/>
      <c r="D1" s="154"/>
      <c r="E1" s="154"/>
      <c r="F1" s="154"/>
      <c r="H1" s="154" t="s">
        <v>212</v>
      </c>
      <c r="I1" s="154"/>
      <c r="J1" s="154"/>
      <c r="K1" s="154"/>
      <c r="L1" s="154"/>
      <c r="M1" s="154"/>
      <c r="O1" s="154" t="s">
        <v>213</v>
      </c>
      <c r="P1" s="154"/>
      <c r="Q1" s="154"/>
      <c r="R1" s="154"/>
      <c r="S1" s="154"/>
      <c r="T1" s="154"/>
      <c r="V1" s="154"/>
      <c r="W1" s="154"/>
      <c r="X1" s="154"/>
      <c r="Y1" s="154"/>
      <c r="Z1" s="154"/>
      <c r="AA1" s="154"/>
    </row>
    <row r="2" spans="1:27" x14ac:dyDescent="0.25">
      <c r="A2" t="s">
        <v>103</v>
      </c>
      <c r="B2" t="s">
        <v>104</v>
      </c>
      <c r="C2" t="s">
        <v>9</v>
      </c>
      <c r="D2" t="s">
        <v>105</v>
      </c>
      <c r="E2" t="s">
        <v>106</v>
      </c>
      <c r="F2" t="s">
        <v>10</v>
      </c>
      <c r="H2" t="s">
        <v>103</v>
      </c>
      <c r="I2" t="s">
        <v>104</v>
      </c>
      <c r="J2" t="s">
        <v>9</v>
      </c>
      <c r="K2" t="s">
        <v>105</v>
      </c>
      <c r="L2" t="s">
        <v>106</v>
      </c>
      <c r="M2" t="s">
        <v>10</v>
      </c>
      <c r="O2" t="s">
        <v>103</v>
      </c>
      <c r="P2" t="s">
        <v>104</v>
      </c>
      <c r="Q2" t="s">
        <v>9</v>
      </c>
      <c r="R2" t="s">
        <v>105</v>
      </c>
      <c r="S2" t="s">
        <v>106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136</vt:i4>
      </vt:variant>
    </vt:vector>
  </HeadingPairs>
  <TitlesOfParts>
    <vt:vector size="141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Seed</vt:lpstr>
      <vt:lpstr>Silver_beet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2023-02-13T04:06:12Z</dcterms:modified>
</cp:coreProperties>
</file>
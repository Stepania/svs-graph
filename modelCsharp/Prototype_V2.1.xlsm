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ConceptDemo"/>
    <sheet r:id="rId2" sheetId="2" name="Model Interface"/>
    <sheet r:id="rId3" sheetId="3" name="ListMembers"/>
    <sheet r:id="rId4" sheetId="4" name="CropCoefficients"/>
    <sheet r:id="rId5" sheetId="5" name="Met Data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fullCalcOnLoad="1"/>
</workbook>
</file>

<file path=xl/sharedStrings.xml><?xml version="1.0" encoding="utf-8"?>
<sst xmlns="http://schemas.openxmlformats.org/spreadsheetml/2006/main" count="6905" uniqueCount="543">
  <si>
    <t>Mean Temperature</t>
  </si>
  <si>
    <t>Rain</t>
  </si>
  <si>
    <t>PET</t>
  </si>
  <si>
    <t>DOY</t>
  </si>
  <si>
    <t>Linocln</t>
  </si>
  <si>
    <t>Pukekohe</t>
  </si>
  <si>
    <t>Hastings</t>
  </si>
  <si>
    <t>Gore</t>
  </si>
  <si>
    <t>Levin</t>
  </si>
  <si>
    <t>Index</t>
  </si>
  <si>
    <t>EndUse</t>
  </si>
  <si>
    <t>Group</t>
  </si>
  <si>
    <t>Colloquial Name</t>
  </si>
  <si>
    <t>Type</t>
  </si>
  <si>
    <t>Family</t>
  </si>
  <si>
    <t>Genus</t>
  </si>
  <si>
    <t>Specific epithet</t>
  </si>
  <si>
    <t>Sub species</t>
  </si>
  <si>
    <t>Species name</t>
  </si>
  <si>
    <t>Epithet and sub species</t>
  </si>
  <si>
    <t>Typical Establish Stage</t>
  </si>
  <si>
    <t>Typical Establish month</t>
  </si>
  <si>
    <t>Typical Harvest Stage</t>
  </si>
  <si>
    <t>Typical Harvest month</t>
  </si>
  <si>
    <t>Typical Yield</t>
  </si>
  <si>
    <t>Typical Yield Units</t>
  </si>
  <si>
    <t>Yield type</t>
  </si>
  <si>
    <t>Typical Population (/ha)</t>
  </si>
  <si>
    <t>TotalOrDry</t>
  </si>
  <si>
    <t>Typical Dressing Loss %</t>
  </si>
  <si>
    <t>Typical Field Loss %</t>
  </si>
  <si>
    <t>Typical HI</t>
  </si>
  <si>
    <t>HI Range</t>
  </si>
  <si>
    <t>Moisture %</t>
  </si>
  <si>
    <t>P Root</t>
  </si>
  <si>
    <t>Max RD</t>
  </si>
  <si>
    <t>A cover</t>
  </si>
  <si>
    <t>rCover</t>
  </si>
  <si>
    <t>Root [N]</t>
  </si>
  <si>
    <t>Stover [N]</t>
  </si>
  <si>
    <t>Product [N]</t>
  </si>
  <si>
    <t>Oat Fodder General</t>
  </si>
  <si>
    <t>Fodder</t>
  </si>
  <si>
    <t>Cereal</t>
  </si>
  <si>
    <t>Oat</t>
  </si>
  <si>
    <t>General</t>
  </si>
  <si>
    <t>Poaceae</t>
  </si>
  <si>
    <t>Avena</t>
  </si>
  <si>
    <t>sativa</t>
  </si>
  <si>
    <t>Avena sativa</t>
  </si>
  <si>
    <t>Seed</t>
  </si>
  <si>
    <t>Jul</t>
  </si>
  <si>
    <t>EarlyReproductive</t>
  </si>
  <si>
    <t>Nov</t>
  </si>
  <si>
    <t>t/ha</t>
  </si>
  <si>
    <t>Standing DM</t>
  </si>
  <si>
    <t>Dry</t>
  </si>
  <si>
    <t>Fodder beet Fodder General</t>
  </si>
  <si>
    <t>Bulb</t>
  </si>
  <si>
    <t>Fodder beet</t>
  </si>
  <si>
    <t>Amaranthaceae</t>
  </si>
  <si>
    <t>Beta</t>
  </si>
  <si>
    <t>vulgaris</t>
  </si>
  <si>
    <t>crassa</t>
  </si>
  <si>
    <t>Beta vulgaris crassa</t>
  </si>
  <si>
    <t>vulgaris crassa</t>
  </si>
  <si>
    <t>Swede Fodder General</t>
  </si>
  <si>
    <t>Swede</t>
  </si>
  <si>
    <t>Brassicaceae</t>
  </si>
  <si>
    <t>Brassica</t>
  </si>
  <si>
    <t>napus</t>
  </si>
  <si>
    <t>napobrassica</t>
  </si>
  <si>
    <t>Brassica napus napobrassica</t>
  </si>
  <si>
    <t>napus napobrassica</t>
  </si>
  <si>
    <t>LateReproductive</t>
  </si>
  <si>
    <t>Rape Fodder General</t>
  </si>
  <si>
    <t>Leafy brassica</t>
  </si>
  <si>
    <t>Rape</t>
  </si>
  <si>
    <t>Brassica napus napus</t>
  </si>
  <si>
    <t>napus napus</t>
  </si>
  <si>
    <t>Oct</t>
  </si>
  <si>
    <t>Jan</t>
  </si>
  <si>
    <t>Kale Fodder General</t>
  </si>
  <si>
    <t>Kale</t>
  </si>
  <si>
    <t>oleracea</t>
  </si>
  <si>
    <t>acephala</t>
  </si>
  <si>
    <t>Brassica oleracea acephala</t>
  </si>
  <si>
    <t>oleracea acephala</t>
  </si>
  <si>
    <t>Turnip Fodder Bulb</t>
  </si>
  <si>
    <t>Turnip</t>
  </si>
  <si>
    <t>rapa</t>
  </si>
  <si>
    <t>Brassica rapa rapa</t>
  </si>
  <si>
    <t>rapa rapa</t>
  </si>
  <si>
    <t>Dec</t>
  </si>
  <si>
    <t>Turnip Fodder Leafy</t>
  </si>
  <si>
    <t>Leafy</t>
  </si>
  <si>
    <t>rapa x napus</t>
  </si>
  <si>
    <t>Brassica rapa x napus</t>
  </si>
  <si>
    <t>Vegetative</t>
  </si>
  <si>
    <t>Mar</t>
  </si>
  <si>
    <t>Turnip Fodder General</t>
  </si>
  <si>
    <t>Barley Fodder General</t>
  </si>
  <si>
    <t>Barley</t>
  </si>
  <si>
    <t>Hordeum</t>
  </si>
  <si>
    <t>vulgure</t>
  </si>
  <si>
    <t>Hordeum vulgure</t>
  </si>
  <si>
    <t>Annual ryegrass Fodder General</t>
  </si>
  <si>
    <t>Grass</t>
  </si>
  <si>
    <t>Annual ryegrass</t>
  </si>
  <si>
    <t>Lolium</t>
  </si>
  <si>
    <t>multiflorum</t>
  </si>
  <si>
    <t>Lolium multiflorum</t>
  </si>
  <si>
    <t>Apr</t>
  </si>
  <si>
    <t>Rye corn Fodder General</t>
  </si>
  <si>
    <t>Rye corn</t>
  </si>
  <si>
    <t>Secale</t>
  </si>
  <si>
    <t>cereale</t>
  </si>
  <si>
    <t>Secale cereale</t>
  </si>
  <si>
    <t>Feb</t>
  </si>
  <si>
    <t>Sep</t>
  </si>
  <si>
    <t>Wheat Fodder General</t>
  </si>
  <si>
    <t>Wheat</t>
  </si>
  <si>
    <t>Triticum</t>
  </si>
  <si>
    <t>astevium</t>
  </si>
  <si>
    <t>Triticum astevium</t>
  </si>
  <si>
    <t>Triticale Fodder General</t>
  </si>
  <si>
    <t>Triticale</t>
  </si>
  <si>
    <t>Triticum x Secale</t>
  </si>
  <si>
    <t>Maize Fodder General</t>
  </si>
  <si>
    <t>Maize</t>
  </si>
  <si>
    <t>Zea</t>
  </si>
  <si>
    <t>mays</t>
  </si>
  <si>
    <t>Zea mays</t>
  </si>
  <si>
    <t>Oat Grain General</t>
  </si>
  <si>
    <t>Grain</t>
  </si>
  <si>
    <t>May</t>
  </si>
  <si>
    <t>Maturity</t>
  </si>
  <si>
    <t>Saleable grain</t>
  </si>
  <si>
    <t>Total</t>
  </si>
  <si>
    <t>Canola Grain General</t>
  </si>
  <si>
    <t>Oilseed</t>
  </si>
  <si>
    <t>Canola</t>
  </si>
  <si>
    <t>Hemp Grain General</t>
  </si>
  <si>
    <t>Hemp</t>
  </si>
  <si>
    <t>Cannabaceae</t>
  </si>
  <si>
    <t>Cannabis</t>
  </si>
  <si>
    <t>x</t>
  </si>
  <si>
    <t>Cannabis x</t>
  </si>
  <si>
    <t>Chickpea Grain General</t>
  </si>
  <si>
    <t>Pulse</t>
  </si>
  <si>
    <t>Chickpea</t>
  </si>
  <si>
    <t>Fabaceae</t>
  </si>
  <si>
    <t>Cicer</t>
  </si>
  <si>
    <t>arietinum</t>
  </si>
  <si>
    <t>Cicer arietinum</t>
  </si>
  <si>
    <t>Sunflower Grain General</t>
  </si>
  <si>
    <t>Sunflower</t>
  </si>
  <si>
    <t>Asteraceae</t>
  </si>
  <si>
    <t>Helianthus</t>
  </si>
  <si>
    <t>annus</t>
  </si>
  <si>
    <t>Helianthus annus</t>
  </si>
  <si>
    <t>Barley Grain General</t>
  </si>
  <si>
    <t>Lentil Grain General</t>
  </si>
  <si>
    <t>Lentil</t>
  </si>
  <si>
    <t>Lens</t>
  </si>
  <si>
    <t>culinaris</t>
  </si>
  <si>
    <t>Lens culinaris</t>
  </si>
  <si>
    <t>Linseed Grain General</t>
  </si>
  <si>
    <t>Linseed</t>
  </si>
  <si>
    <t>Linaceae</t>
  </si>
  <si>
    <t>Linum</t>
  </si>
  <si>
    <t>usitatissimum</t>
  </si>
  <si>
    <t>Linum usitatissimum</t>
  </si>
  <si>
    <t>Bean Grain General</t>
  </si>
  <si>
    <t>Bean</t>
  </si>
  <si>
    <t>Phaseolus</t>
  </si>
  <si>
    <t>Phaseolus vulgaris</t>
  </si>
  <si>
    <t>Pea Grain General</t>
  </si>
  <si>
    <t>Pea</t>
  </si>
  <si>
    <t>Pisum</t>
  </si>
  <si>
    <t>sativum</t>
  </si>
  <si>
    <t>Pisum sativum</t>
  </si>
  <si>
    <t>Wheat Grain Breed</t>
  </si>
  <si>
    <t>Breed</t>
  </si>
  <si>
    <t>Wheat Grain Feed</t>
  </si>
  <si>
    <t>Feed</t>
  </si>
  <si>
    <t>Wheat Grain General</t>
  </si>
  <si>
    <t>Maize Grain General</t>
  </si>
  <si>
    <t>Red beet Seed General</t>
  </si>
  <si>
    <t>Vegetable, root</t>
  </si>
  <si>
    <t>Red beet</t>
  </si>
  <si>
    <t>conditiva</t>
  </si>
  <si>
    <t>Beta vulgaris conditiva</t>
  </si>
  <si>
    <t>vulgaris conditiva</t>
  </si>
  <si>
    <t>Saleable seed</t>
  </si>
  <si>
    <t>Rape Seed General</t>
  </si>
  <si>
    <t>Pak choi Seed General</t>
  </si>
  <si>
    <t>Vegetable, green</t>
  </si>
  <si>
    <t>Pak choi</t>
  </si>
  <si>
    <t>chinensis</t>
  </si>
  <si>
    <t>Brassica rapa chinensis</t>
  </si>
  <si>
    <t>rapa chinensis</t>
  </si>
  <si>
    <t>Cocksfoot Seed General</t>
  </si>
  <si>
    <t>Forage</t>
  </si>
  <si>
    <t>Cocksfoot</t>
  </si>
  <si>
    <t>Dactylus</t>
  </si>
  <si>
    <t>glomerata</t>
  </si>
  <si>
    <t>Dactylus glomerata</t>
  </si>
  <si>
    <t>Carrot Seed General</t>
  </si>
  <si>
    <t>Carrot</t>
  </si>
  <si>
    <t>Apiaceae</t>
  </si>
  <si>
    <t>Daucus</t>
  </si>
  <si>
    <t>carota</t>
  </si>
  <si>
    <t>Daucus carota</t>
  </si>
  <si>
    <t>Ryegrass Seed General</t>
  </si>
  <si>
    <t>Ryegrass</t>
  </si>
  <si>
    <t>perenne</t>
  </si>
  <si>
    <t>Lolium perenne</t>
  </si>
  <si>
    <t>Radish Seed Open pollinated</t>
  </si>
  <si>
    <t>Radish</t>
  </si>
  <si>
    <t>Open pollinated</t>
  </si>
  <si>
    <t>Raphanus</t>
  </si>
  <si>
    <t>raphanistrum</t>
  </si>
  <si>
    <t>Raphanus raphanistrum sativa</t>
  </si>
  <si>
    <t>raphanistrum sativa</t>
  </si>
  <si>
    <t>White clover Seed General</t>
  </si>
  <si>
    <t>White clover</t>
  </si>
  <si>
    <t>Trifolium</t>
  </si>
  <si>
    <t>repens</t>
  </si>
  <si>
    <t>Trifolium repens</t>
  </si>
  <si>
    <t>Leek Vegetable General</t>
  </si>
  <si>
    <t>Vegetable</t>
  </si>
  <si>
    <t>Green</t>
  </si>
  <si>
    <t>Leek</t>
  </si>
  <si>
    <t>Amaryllidaceae</t>
  </si>
  <si>
    <t>Allium</t>
  </si>
  <si>
    <t>ampeloprasum</t>
  </si>
  <si>
    <t>Allium ampeloprasum</t>
  </si>
  <si>
    <t>Seedling</t>
  </si>
  <si>
    <t>Saleable product</t>
  </si>
  <si>
    <t>Onion Vegetable Brown</t>
  </si>
  <si>
    <t>Root</t>
  </si>
  <si>
    <t>Onion</t>
  </si>
  <si>
    <t>Brown</t>
  </si>
  <si>
    <t>cepa</t>
  </si>
  <si>
    <t>Allium cepa</t>
  </si>
  <si>
    <t>Onion Vegetable Red</t>
  </si>
  <si>
    <t>Red</t>
  </si>
  <si>
    <t>Onion Vegetable Shallot</t>
  </si>
  <si>
    <t>Shallot</t>
  </si>
  <si>
    <t>Onion Vegetable General</t>
  </si>
  <si>
    <t>Spring onion Vegetable General</t>
  </si>
  <si>
    <t>Spring onion</t>
  </si>
  <si>
    <t>fistulosum</t>
  </si>
  <si>
    <t>Allium fistulosum</t>
  </si>
  <si>
    <t>Garlic Vegetable General</t>
  </si>
  <si>
    <t>Garlic</t>
  </si>
  <si>
    <t>Allium sativum</t>
  </si>
  <si>
    <t>Jun</t>
  </si>
  <si>
    <t>Celery Vegetable General</t>
  </si>
  <si>
    <t>Celery</t>
  </si>
  <si>
    <t>Apium</t>
  </si>
  <si>
    <t>graveolens</t>
  </si>
  <si>
    <t>Apium graveolens</t>
  </si>
  <si>
    <t>Silver beet Vegetable General</t>
  </si>
  <si>
    <t>Silver beet</t>
  </si>
  <si>
    <t>cicla</t>
  </si>
  <si>
    <t>Beta vulgaris cicla</t>
  </si>
  <si>
    <t>vulgaris cicla</t>
  </si>
  <si>
    <t>Red beet Vegetable General</t>
  </si>
  <si>
    <t>Cauliflower Vegetable General</t>
  </si>
  <si>
    <t>Cauliflower</t>
  </si>
  <si>
    <t>botrytis</t>
  </si>
  <si>
    <t>Brassica oleracea botrytis</t>
  </si>
  <si>
    <t>oleracea botrytis</t>
  </si>
  <si>
    <t>Cabbage Vegetable General</t>
  </si>
  <si>
    <t>Cabbage</t>
  </si>
  <si>
    <t>capitata</t>
  </si>
  <si>
    <t>Brassica oleracea capitata</t>
  </si>
  <si>
    <t>oleracea capitata</t>
  </si>
  <si>
    <t>Brussel sprout  Vegetable General</t>
  </si>
  <si>
    <t>Brussel sprout</t>
  </si>
  <si>
    <t>gemmifera</t>
  </si>
  <si>
    <t>Brassica oleracea gemmifera</t>
  </si>
  <si>
    <t>oleracea gemmifera</t>
  </si>
  <si>
    <t>Broccoli Vegetable Head only</t>
  </si>
  <si>
    <t>Broccoli</t>
  </si>
  <si>
    <t>Head only</t>
  </si>
  <si>
    <t>italica</t>
  </si>
  <si>
    <t>Brassica oleracea italica</t>
  </si>
  <si>
    <t>oleracea italica</t>
  </si>
  <si>
    <t>Broccoli Vegetable General</t>
  </si>
  <si>
    <t>Pak choi Vegetable General</t>
  </si>
  <si>
    <t>Aug</t>
  </si>
  <si>
    <t>Choy sum Vegetable General</t>
  </si>
  <si>
    <t>Choy sum</t>
  </si>
  <si>
    <t>parachinensis</t>
  </si>
  <si>
    <t>Brassica rapa parachinensis</t>
  </si>
  <si>
    <t>rapa parachinensis</t>
  </si>
  <si>
    <t>Wong bok Vegetable General</t>
  </si>
  <si>
    <t>Wong bok</t>
  </si>
  <si>
    <t>pekinensis</t>
  </si>
  <si>
    <t>Brassica rapa pekinensis</t>
  </si>
  <si>
    <t>rapa pekinensis</t>
  </si>
  <si>
    <t>Coriander Vegetable General</t>
  </si>
  <si>
    <t>Coriander</t>
  </si>
  <si>
    <t>Coriandrum</t>
  </si>
  <si>
    <t>Coriandrum sativum</t>
  </si>
  <si>
    <t>Water melon Vegetable General</t>
  </si>
  <si>
    <t>Fruit</t>
  </si>
  <si>
    <t>Water melon</t>
  </si>
  <si>
    <t>Cucurbitaceae</t>
  </si>
  <si>
    <t>Cucumis</t>
  </si>
  <si>
    <t>lanatus</t>
  </si>
  <si>
    <t>Cucumis lanatus</t>
  </si>
  <si>
    <t>Rock melon Vegetable General</t>
  </si>
  <si>
    <t>Rock melon</t>
  </si>
  <si>
    <t>melo</t>
  </si>
  <si>
    <t>Cucumis melo</t>
  </si>
  <si>
    <t>Squash Vegetable General</t>
  </si>
  <si>
    <t>Squash</t>
  </si>
  <si>
    <t>Cucurbita</t>
  </si>
  <si>
    <t>argyrosperma</t>
  </si>
  <si>
    <t>Cucurbita argyrosperma</t>
  </si>
  <si>
    <t>Pumpkin Vegetable General</t>
  </si>
  <si>
    <t>Pumpkin</t>
  </si>
  <si>
    <t>pepo</t>
  </si>
  <si>
    <t>Cucurbita pepo</t>
  </si>
  <si>
    <t>Zucchini Vegetable General</t>
  </si>
  <si>
    <t>Zucchini</t>
  </si>
  <si>
    <t>Carrot Vegetable General</t>
  </si>
  <si>
    <t>Kumara Vegetable General</t>
  </si>
  <si>
    <t>Kumara</t>
  </si>
  <si>
    <t>Convolvulaceae</t>
  </si>
  <si>
    <t>Ipomoea</t>
  </si>
  <si>
    <t>batatas</t>
  </si>
  <si>
    <t>Ipomoea batatas</t>
  </si>
  <si>
    <t>Lettuce Vegetable Ice berg</t>
  </si>
  <si>
    <t>Lettuce</t>
  </si>
  <si>
    <t>Ice berg</t>
  </si>
  <si>
    <t>Lactuca</t>
  </si>
  <si>
    <t>Lactuca sativa</t>
  </si>
  <si>
    <t>Lettuce Vegetable Leafy-salad</t>
  </si>
  <si>
    <t>Leafy-salad</t>
  </si>
  <si>
    <t>Lettuce Vegetable General</t>
  </si>
  <si>
    <t>Parsnip Vegetable General</t>
  </si>
  <si>
    <t>Parsnip</t>
  </si>
  <si>
    <t>Pastinaca</t>
  </si>
  <si>
    <t>Pastinaca sativa</t>
  </si>
  <si>
    <t>Bean Vegetable General</t>
  </si>
  <si>
    <t>Pea Vegetable General</t>
  </si>
  <si>
    <t>Tomato Vegetable General</t>
  </si>
  <si>
    <t>Tomato</t>
  </si>
  <si>
    <t>Solanaceae</t>
  </si>
  <si>
    <t>Solanum</t>
  </si>
  <si>
    <t>lycopersicum</t>
  </si>
  <si>
    <t>Solanum  lycopersicum</t>
  </si>
  <si>
    <t>Potato Vegetable General</t>
  </si>
  <si>
    <t>Potato</t>
  </si>
  <si>
    <t>tuberosum</t>
  </si>
  <si>
    <t>Solanum  tuberosum</t>
  </si>
  <si>
    <t>Spinach Vegetable General</t>
  </si>
  <si>
    <t>Spinach</t>
  </si>
  <si>
    <t>Spinacia</t>
  </si>
  <si>
    <t>loeracea</t>
  </si>
  <si>
    <t>Spinacia loeracea</t>
  </si>
  <si>
    <t>Broad bean Vegetable General</t>
  </si>
  <si>
    <t>Broad bean</t>
  </si>
  <si>
    <t>Vicia</t>
  </si>
  <si>
    <t>faba</t>
  </si>
  <si>
    <t>Vicia faba</t>
  </si>
  <si>
    <t>Sweetcorn Vegetable General</t>
  </si>
  <si>
    <t>Sweetcorn</t>
  </si>
  <si>
    <t>MidReproductive</t>
  </si>
  <si>
    <t>#N/A</t>
  </si>
  <si>
    <t xml:space="preserve">Brussel sprout </t>
  </si>
  <si>
    <t>Lupin</t>
  </si>
  <si>
    <t>Mustard</t>
  </si>
  <si>
    <t>Phacelia</t>
  </si>
  <si>
    <t>Tulip</t>
  </si>
  <si>
    <t>Chinese cut</t>
  </si>
  <si>
    <t>0-15</t>
  </si>
  <si>
    <t>0-30</t>
  </si>
  <si>
    <t>Fibre</t>
  </si>
  <si>
    <t>Green_Manure</t>
  </si>
  <si>
    <t>Establish Stages</t>
  </si>
  <si>
    <t>Harvest Stages</t>
  </si>
  <si>
    <t>ResRemove</t>
  </si>
  <si>
    <t>ResIncorp</t>
  </si>
  <si>
    <t>Units</t>
  </si>
  <si>
    <t>Input level</t>
  </si>
  <si>
    <t>Irrigation</t>
  </si>
  <si>
    <t>Very Wet</t>
  </si>
  <si>
    <t>PMN</t>
  </si>
  <si>
    <t>0-15cm</t>
  </si>
  <si>
    <t>Allophanic</t>
  </si>
  <si>
    <t>None removed</t>
  </si>
  <si>
    <t>None (Surface)</t>
  </si>
  <si>
    <t>Basic</t>
  </si>
  <si>
    <t>None</t>
  </si>
  <si>
    <t>Wet</t>
  </si>
  <si>
    <t>HWEON</t>
  </si>
  <si>
    <t>0-30cm</t>
  </si>
  <si>
    <t>Baled</t>
  </si>
  <si>
    <t>Part (Cultivate)</t>
  </si>
  <si>
    <t>kg/ha</t>
  </si>
  <si>
    <t>Schedulling</t>
  </si>
  <si>
    <t>Some</t>
  </si>
  <si>
    <t>Typical</t>
  </si>
  <si>
    <t>Gley</t>
  </si>
  <si>
    <t>Burnt</t>
  </si>
  <si>
    <t>Full (Plough)</t>
  </si>
  <si>
    <t>kg/head</t>
  </si>
  <si>
    <t>Advanced</t>
  </si>
  <si>
    <t>Full</t>
  </si>
  <si>
    <t>Granular</t>
  </si>
  <si>
    <t>Grazed</t>
  </si>
  <si>
    <t>Very Dry</t>
  </si>
  <si>
    <t>Pallic</t>
  </si>
  <si>
    <t>All removed</t>
  </si>
  <si>
    <t>Recent</t>
  </si>
  <si>
    <t>Late</t>
  </si>
  <si>
    <t xml:space="preserve">Data from fact sheet "Guidelines for soil Nitrogen testing and predicting soil nitrogen supply </t>
  </si>
  <si>
    <t>Model Inputs from front sheet</t>
  </si>
  <si>
    <t>Current Crop Summary</t>
  </si>
  <si>
    <t>Mineral</t>
  </si>
  <si>
    <t>Residue</t>
  </si>
  <si>
    <t>Organic</t>
  </si>
  <si>
    <t>Fertiliser</t>
  </si>
  <si>
    <t>Export</t>
  </si>
  <si>
    <t>Losses</t>
  </si>
  <si>
    <t>Undefined</t>
  </si>
  <si>
    <t>Balance</t>
  </si>
  <si>
    <t>InitialN</t>
  </si>
  <si>
    <t>Inputs</t>
  </si>
  <si>
    <t>SoilOrder</t>
  </si>
  <si>
    <t>PrePlantRain</t>
  </si>
  <si>
    <t>Outputs</t>
  </si>
  <si>
    <t>SampleDepth</t>
  </si>
  <si>
    <t>InCropRain</t>
  </si>
  <si>
    <t>BulkDensity</t>
  </si>
  <si>
    <t>Date</t>
  </si>
  <si>
    <t>MeanT</t>
  </si>
  <si>
    <t>MeanPET</t>
  </si>
  <si>
    <t>current crop plus fallow</t>
  </si>
  <si>
    <t>current Crop</t>
  </si>
  <si>
    <t>SoilMineralN</t>
  </si>
  <si>
    <t>UptakeN</t>
  </si>
  <si>
    <t>ResidueN</t>
  </si>
  <si>
    <t>SoilOMN</t>
  </si>
  <si>
    <t>FertiliserN</t>
  </si>
  <si>
    <t>CropN</t>
  </si>
  <si>
    <t>ProductN</t>
  </si>
  <si>
    <t>LostN</t>
  </si>
  <si>
    <t>RSWC</t>
  </si>
  <si>
    <t>Drainage</t>
  </si>
  <si>
    <t>Green cover</t>
  </si>
  <si>
    <t>Dates Only</t>
  </si>
  <si>
    <t>FertOnly</t>
  </si>
  <si>
    <t>PMNtype</t>
  </si>
  <si>
    <t>Trigger</t>
  </si>
  <si>
    <t>Efficiency</t>
  </si>
  <si>
    <t>Splits</t>
  </si>
  <si>
    <t>AWC</t>
  </si>
  <si>
    <t>PriorCropNameFull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</si>
  <si>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</si>
  <si>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</si>
  <si>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</si>
  <si>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</si>
  <si>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</si>
  <si>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</si>
  <si>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</si>
  <si>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</si>
  <si>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PriorResidueRemoval</t>
  </si>
  <si>
    <t>PriorResidueIncorporation</t>
  </si>
  <si>
    <t>CurrentCropNameFull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</si>
  <si>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</si>
  <si>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</si>
  <si>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</si>
  <si>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</si>
  <si>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</si>
  <si>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</si>
  <si>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</si>
  <si>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</si>
  <si>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CurrentResidueRemoval</t>
  </si>
  <si>
    <t>CurrentResidueIncorporation</t>
  </si>
  <si>
    <t>FollowingCropNameFull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</si>
  <si>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</si>
  <si>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</si>
  <si>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</si>
  <si>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</si>
  <si>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</si>
  <si>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</si>
  <si>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</si>
  <si>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</si>
  <si>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FollowingResidueRemoval</t>
  </si>
  <si>
    <t>FollowingResidueIncorporation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</si>
  <si>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</si>
  <si>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</si>
  <si>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Current Crop Basic inputs (Essential inputs in Orange, default inputs in grey, entery user overwrites in yellow boxes)</t>
  </si>
  <si>
    <t>Nearest Location</t>
  </si>
  <si>
    <t>Rain prior to planting</t>
  </si>
  <si>
    <t>Rain during crop</t>
  </si>
  <si>
    <t>Crop</t>
  </si>
  <si>
    <t>Variety</t>
  </si>
  <si>
    <t>Full crop name</t>
  </si>
  <si>
    <t>Planting date</t>
  </si>
  <si>
    <t>Establish stage</t>
  </si>
  <si>
    <t>Harvest date</t>
  </si>
  <si>
    <t xml:space="preserve"> Harvest stage</t>
  </si>
  <si>
    <t>Population (/ha)</t>
  </si>
  <si>
    <t>Field Loss (%)</t>
  </si>
  <si>
    <t>Dressing loss (%)</t>
  </si>
  <si>
    <t>units</t>
  </si>
  <si>
    <t>Moisture Content (%)</t>
  </si>
  <si>
    <t>Residue Removal</t>
  </si>
  <si>
    <t>Additional N fertiliser required</t>
  </si>
  <si>
    <t>before</t>
  </si>
  <si>
    <t>Residue Incorporation</t>
  </si>
  <si>
    <t>Date for current crop graph</t>
  </si>
  <si>
    <t>Include soil test data and actual and planned fertiliser applictions.  Dates must be included for tests and applications</t>
  </si>
  <si>
    <t>SoilN</t>
  </si>
  <si>
    <t>SWC</t>
  </si>
  <si>
    <t>Green Cover</t>
  </si>
  <si>
    <t>PMN test result</t>
  </si>
  <si>
    <t>PMN result type</t>
  </si>
  <si>
    <t>Sample Depth (cm)</t>
  </si>
  <si>
    <t>Soil Order</t>
  </si>
  <si>
    <t>Fertiliser already applied or planned</t>
  </si>
  <si>
    <t>Nitrogen Schedule</t>
  </si>
  <si>
    <t>Amount</t>
  </si>
  <si>
    <t>Soil Mineral N Test Results</t>
  </si>
  <si>
    <t>Value</t>
  </si>
  <si>
    <t>Date fert schedulling starts on</t>
  </si>
  <si>
    <t>Prior Crop information (defaults in grey, enter user overwrites in yellow)</t>
  </si>
  <si>
    <t>Yield</t>
  </si>
  <si>
    <t>Residue Treatment</t>
  </si>
  <si>
    <t>Following Crop information (defaults in grey, enter user overwrites in yellow)</t>
  </si>
  <si>
    <t>Other Model Parameters.  These influence calculations of fertiliser requirement</t>
  </si>
  <si>
    <t>Initial soil N on first day (kg/ha)</t>
  </si>
  <si>
    <t>Trigger soil N for fert (kg/ha)</t>
  </si>
  <si>
    <t>Efficiency of fertiliser (%)</t>
  </si>
  <si>
    <t>Available Water Capacity (mm)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</si>
</sst>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3">
    <numFmt numFmtId="164" formatCode="#,##0.0000"/>
    <numFmt numFmtId="165" formatCode="#,##0.000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0"/>
      <color rgb="FF000000"/>
      <name val="Calibri"/>
      <family val="2"/>
    </font>
    <font>
      <b/>
      <sz val="16"/>
      <color rgb="FF000000"/>
      <name val="Abad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Calibri"/>
      <family val="2"/>
    </font>
    <font>
      <i/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c5e0b4"/>
      </patternFill>
    </fill>
    <fill>
      <patternFill patternType="solid">
        <fgColor rgb="FFb4c7e7"/>
      </patternFill>
    </fill>
    <fill>
      <patternFill patternType="solid">
        <fgColor rgb="FFd9d9d9"/>
      </patternFill>
    </fill>
    <fill>
      <patternFill patternType="solid">
        <fgColor rgb="FFffffff"/>
      </patternFill>
    </fill>
    <fill>
      <patternFill patternType="solid">
        <fgColor rgb="FFe2f0d9"/>
      </patternFill>
    </fill>
    <fill>
      <patternFill patternType="solid">
        <fgColor rgb="FFf4b183"/>
      </patternFill>
    </fill>
    <fill>
      <patternFill patternType="solid">
        <fgColor rgb="FFf2f2f2"/>
      </patternFill>
    </fill>
    <fill>
      <patternFill patternType="solid">
        <fgColor rgb="FFdeebf7"/>
      </patternFill>
    </fill>
    <fill>
      <patternFill patternType="solid">
        <fgColor rgb="FFe7e6e6"/>
      </patternFill>
    </fill>
    <fill>
      <patternFill patternType="solid">
        <fgColor rgb="FFfff2cc"/>
      </patternFill>
    </fill>
    <fill>
      <patternFill patternType="solid">
        <fgColor rgb="FFfbe5d6"/>
      </patternFill>
    </fill>
  </fills>
  <borders count="4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8faadc"/>
      </bottom>
      <diagonal/>
    </border>
    <border>
      <left/>
      <right/>
      <top style="medium">
        <color rgb="FF000000"/>
      </top>
      <bottom style="thin">
        <color rgb="FF8faadc"/>
      </bottom>
      <diagonal/>
    </border>
    <border>
      <left/>
      <right style="medium">
        <color rgb="FF000000"/>
      </right>
      <top style="medium">
        <color rgb="FF000000"/>
      </top>
      <bottom style="thin">
        <color rgb="FF8faad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medium">
        <color rgb="FF000000"/>
      </right>
      <top style="thin">
        <color rgb="FFc6c6c6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medium">
        <color rgb="FF000000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c6c6c6"/>
      </bottom>
      <diagonal/>
    </border>
    <border>
      <left style="medium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4">
    <xf xfId="0" numFmtId="0" borderId="0" fontId="0" fillId="0"/>
    <xf xfId="0" numFmtId="3" applyNumberFormat="1" borderId="1" applyBorder="1" fontId="1" applyFont="1" fillId="0" applyAlignment="1">
      <alignment horizontal="center"/>
    </xf>
    <xf xfId="0" numFmtId="4" applyNumberFormat="1" borderId="1" applyBorder="1" fontId="1" applyFont="1" fillId="0" applyAlignment="1">
      <alignment horizontal="center"/>
    </xf>
    <xf xfId="0" numFmtId="0" borderId="0" fontId="0" fillId="0" applyAlignment="1">
      <alignment horizontal="general"/>
    </xf>
    <xf xfId="0" numFmtId="0" borderId="1" applyBorder="1" fontId="1" applyFont="1" fillId="0" applyAlignment="1">
      <alignment horizontal="center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right"/>
    </xf>
    <xf xfId="0" numFmtId="3" applyNumberFormat="1" borderId="1" applyBorder="1" fontId="1" applyFont="1" fillId="0" applyAlignment="1">
      <alignment horizontal="right"/>
    </xf>
    <xf xfId="0" numFmtId="4" applyNumberFormat="1" borderId="1" applyBorder="1" fontId="1" applyFont="1" fillId="0" applyAlignment="1">
      <alignment horizontal="right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right"/>
    </xf>
    <xf xfId="0" numFmtId="0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0" borderId="2" applyBorder="1" fontId="2" applyFont="1" fillId="0" applyAlignment="1">
      <alignment horizontal="left"/>
    </xf>
    <xf xfId="0" numFmtId="0" borderId="3" applyBorder="1" fontId="2" applyFont="1" fillId="0" applyAlignment="1">
      <alignment horizontal="left"/>
    </xf>
    <xf xfId="0" numFmtId="3" applyNumberFormat="1" borderId="3" applyBorder="1" fontId="2" applyFont="1" fillId="0" applyAlignment="1">
      <alignment horizontal="left"/>
    </xf>
    <xf xfId="0" numFmtId="4" applyNumberFormat="1" borderId="3" applyBorder="1" fontId="2" applyFont="1" fillId="0" applyAlignment="1">
      <alignment horizontal="left"/>
    </xf>
    <xf xfId="0" numFmtId="0" borderId="4" applyBorder="1" fontId="2" applyFont="1" fillId="0" applyAlignment="1">
      <alignment horizontal="left"/>
    </xf>
    <xf xfId="0" numFmtId="0" borderId="1" applyBorder="1" fontId="2" applyFont="1" fillId="0" applyAlignment="1">
      <alignment horizontal="left"/>
    </xf>
    <xf xfId="0" numFmtId="0" borderId="5" applyBorder="1" fontId="1" applyFont="1" fillId="0" applyAlignment="1">
      <alignment horizontal="left"/>
    </xf>
    <xf xfId="0" numFmtId="0" borderId="0" fontId="0" fillId="0" applyAlignment="1">
      <alignment horizontal="left"/>
    </xf>
    <xf xfId="0" numFmtId="0" borderId="6" applyBorder="1" fontId="1" applyFont="1" fillId="0" applyAlignment="1">
      <alignment horizontal="left"/>
    </xf>
    <xf xfId="0" numFmtId="0" borderId="7" applyBorder="1" fontId="1" applyFont="1" fillId="0" applyAlignment="1">
      <alignment horizontal="left"/>
    </xf>
    <xf xfId="0" numFmtId="0" borderId="8" applyBorder="1" fontId="1" applyFont="1" fillId="0" applyAlignment="1">
      <alignment horizontal="left"/>
    </xf>
    <xf xfId="0" numFmtId="3" applyNumberFormat="1" borderId="8" applyBorder="1" fontId="1" applyFont="1" fillId="0" applyAlignment="1">
      <alignment horizontal="left"/>
    </xf>
    <xf xfId="0" numFmtId="4" applyNumberFormat="1" borderId="8" applyBorder="1" fontId="1" applyFont="1" fillId="0" applyAlignment="1">
      <alignment horizontal="left"/>
    </xf>
    <xf xfId="0" numFmtId="0" borderId="9" applyBorder="1" fontId="1" applyFont="1" fillId="0" applyAlignment="1">
      <alignment horizontal="left"/>
    </xf>
    <xf xfId="0" numFmtId="0" borderId="10" applyBorder="1" fontId="2" applyFont="1" fillId="0" applyAlignment="1">
      <alignment horizontal="left"/>
    </xf>
    <xf xfId="0" numFmtId="0" borderId="11" applyBorder="1" fontId="2" applyFont="1" fillId="0" applyAlignment="1">
      <alignment horizontal="left"/>
    </xf>
    <xf xfId="0" numFmtId="0" borderId="12" applyBorder="1" fontId="2" applyFont="1" fillId="0" applyAlignment="1">
      <alignment horizontal="left"/>
    </xf>
    <xf xfId="0" numFmtId="0" borderId="13" applyBorder="1" fontId="2" applyFont="1" fillId="0" applyAlignment="1">
      <alignment horizontal="left"/>
    </xf>
    <xf xfId="0" numFmtId="0" borderId="13" applyBorder="1" fontId="1" applyFont="1" fillId="0" applyAlignment="1">
      <alignment horizontal="left"/>
    </xf>
    <xf xfId="0" numFmtId="0" borderId="1" applyBorder="1" fontId="1" applyFont="1" fillId="0" applyAlignment="1">
      <alignment horizontal="left"/>
    </xf>
    <xf xfId="0" numFmtId="0" borderId="14" applyBorder="1" fontId="1" applyFont="1" fillId="0" applyAlignment="1">
      <alignment horizontal="left"/>
    </xf>
    <xf xfId="0" numFmtId="0" borderId="15" applyBorder="1" fontId="1" applyFont="1" fillId="0" applyAlignment="1">
      <alignment horizontal="left"/>
    </xf>
    <xf xfId="0" numFmtId="0" borderId="0" fontId="0" fillId="0" applyAlignment="1">
      <alignment horizontal="left"/>
    </xf>
    <xf xfId="0" numFmtId="0" borderId="16" applyBorder="1" fontId="3" applyFont="1" fillId="0" applyAlignment="1">
      <alignment horizontal="center"/>
    </xf>
    <xf xfId="0" numFmtId="14" applyNumberFormat="1" borderId="17" applyBorder="1" fontId="3" applyFont="1" fillId="0" applyAlignment="1">
      <alignment horizontal="center"/>
    </xf>
    <xf xfId="0" numFmtId="1" applyNumberFormat="1" borderId="0" fontId="0" fillId="0" applyAlignment="1">
      <alignment horizontal="right"/>
    </xf>
    <xf xfId="0" numFmtId="1" applyNumberFormat="1" borderId="0" fontId="0" fillId="0" applyAlignment="1">
      <alignment horizontal="general"/>
    </xf>
    <xf xfId="0" numFmtId="14" applyNumberFormat="1" borderId="3" applyBorder="1" fontId="1" applyFont="1" fillId="0" applyAlignment="1">
      <alignment horizontal="left"/>
    </xf>
    <xf xfId="0" numFmtId="4" applyNumberFormat="1" borderId="3" applyBorder="1" fontId="1" applyFont="1" fillId="0" applyAlignment="1">
      <alignment horizontal="right" wrapText="1"/>
    </xf>
    <xf xfId="0" numFmtId="4" applyNumberFormat="1" borderId="3" applyBorder="1" fontId="1" applyFont="1" fillId="0" applyAlignment="1">
      <alignment horizontal="left"/>
    </xf>
    <xf xfId="0" numFmtId="3" applyNumberFormat="1" borderId="3" applyBorder="1" fontId="1" applyFont="1" fillId="0" applyAlignment="1">
      <alignment horizontal="right" wrapText="1"/>
    </xf>
    <xf xfId="0" numFmtId="3" applyNumberFormat="1" borderId="4" applyBorder="1" fontId="1" applyFont="1" fillId="0" applyAlignment="1">
      <alignment horizontal="right" wrapText="1"/>
    </xf>
    <xf xfId="0" numFmtId="4" applyNumberFormat="1" borderId="1" applyBorder="1" fontId="1" applyFont="1" fillId="0" applyAlignment="1">
      <alignment horizontal="right" wrapText="1"/>
    </xf>
    <xf xfId="0" numFmtId="3" applyNumberFormat="1" borderId="1" applyBorder="1" fontId="1" applyFont="1" fillId="0" applyAlignment="1">
      <alignment horizontal="right" wrapText="1"/>
    </xf>
    <xf xfId="0" numFmtId="1" applyNumberFormat="1" borderId="1" applyBorder="1" fontId="1" applyFont="1" fillId="0" applyAlignment="1">
      <alignment horizontal="right" wrapText="1"/>
    </xf>
    <xf xfId="0" numFmtId="14" applyNumberFormat="1" borderId="1" applyBorder="1" fontId="1" applyFont="1" fillId="0" applyAlignment="1">
      <alignment horizontal="right" wrapText="1"/>
    </xf>
    <xf xfId="0" numFmtId="164" applyNumberFormat="1" borderId="1" applyBorder="1" fontId="1" applyFont="1" fillId="0" applyAlignment="1">
      <alignment horizontal="right" wrapText="1"/>
    </xf>
    <xf xfId="0" numFmtId="164" applyNumberFormat="1" borderId="0" fontId="0" fillId="0" applyAlignment="1">
      <alignment horizontal="general"/>
    </xf>
    <xf xfId="0" numFmtId="0" borderId="16" applyBorder="1" fontId="1" applyFont="1" fillId="0" applyAlignment="1">
      <alignment horizontal="left"/>
    </xf>
    <xf xfId="0" numFmtId="3" applyNumberFormat="1" borderId="17" applyBorder="1" fontId="1" applyFont="1" fillId="0" applyAlignment="1">
      <alignment horizontal="right"/>
    </xf>
    <xf xfId="0" numFmtId="0" borderId="18" applyBorder="1" fontId="1" applyFont="1" fillId="2" applyFill="1" applyAlignment="1">
      <alignment horizontal="center"/>
    </xf>
    <xf xfId="0" numFmtId="0" borderId="19" applyBorder="1" fontId="1" applyFont="1" fillId="2" applyFill="1" applyAlignment="1">
      <alignment horizontal="center"/>
    </xf>
    <xf xfId="0" numFmtId="16" applyNumberFormat="1" borderId="1" applyBorder="1" fontId="1" applyFont="1" fillId="0" applyAlignment="1">
      <alignment horizontal="left"/>
    </xf>
    <xf xfId="0" numFmtId="1" applyNumberFormat="1" borderId="1" applyBorder="1" fontId="1" applyFont="1" fillId="0" applyAlignment="1">
      <alignment horizontal="right"/>
    </xf>
    <xf xfId="0" numFmtId="1" applyNumberFormat="1" borderId="1" applyBorder="1" fontId="1" applyFont="1" fillId="0" applyAlignment="1">
      <alignment horizontal="left"/>
    </xf>
    <xf xfId="0" numFmtId="3" applyNumberFormat="1" borderId="6" applyBorder="1" fontId="1" applyFont="1" fillId="0" applyAlignment="1">
      <alignment horizontal="left"/>
    </xf>
    <xf xfId="0" numFmtId="14" applyNumberFormat="1" borderId="6" applyBorder="1" fontId="1" applyFont="1" fillId="0" applyAlignment="1">
      <alignment horizontal="left"/>
    </xf>
    <xf xfId="0" numFmtId="0" borderId="20" applyBorder="1" fontId="1" applyFont="1" fillId="2" applyFill="1" applyAlignment="1">
      <alignment horizontal="left"/>
    </xf>
    <xf xfId="0" numFmtId="0" borderId="21" applyBorder="1" fontId="1" applyFont="1" fillId="2" applyFill="1" applyAlignment="1">
      <alignment horizontal="left"/>
    </xf>
    <xf xfId="0" numFmtId="16" applyNumberFormat="1" borderId="8" applyBorder="1" fontId="1" applyFont="1" fillId="0" applyAlignment="1">
      <alignment horizontal="left"/>
    </xf>
    <xf xfId="0" numFmtId="1" applyNumberFormat="1" borderId="8" applyBorder="1" fontId="1" applyFont="1" fillId="0" applyAlignment="1">
      <alignment horizontal="right"/>
    </xf>
    <xf xfId="0" numFmtId="1" applyNumberFormat="1" borderId="9" applyBorder="1" fontId="1" applyFont="1" fillId="0" applyAlignment="1">
      <alignment horizontal="left"/>
    </xf>
    <xf xfId="0" numFmtId="1" applyNumberFormat="1" borderId="9" applyBorder="1" fontId="1" applyFont="1" fillId="0" applyAlignment="1">
      <alignment horizontal="right"/>
    </xf>
    <xf xfId="0" numFmtId="16" applyNumberFormat="1" borderId="18" applyBorder="1" fontId="1" applyFont="1" fillId="2" applyFill="1" applyAlignment="1">
      <alignment horizontal="left"/>
    </xf>
    <xf xfId="0" numFmtId="0" borderId="19" applyBorder="1" fontId="1" applyFont="1" fillId="2" applyFill="1" applyAlignment="1">
      <alignment horizontal="left"/>
    </xf>
    <xf xfId="0" numFmtId="14" applyNumberFormat="1" borderId="0" fontId="0" fillId="0" applyAlignment="1">
      <alignment horizontal="general"/>
    </xf>
    <xf xfId="0" numFmtId="4" applyNumberFormat="1" borderId="6" applyBorder="1" fontId="1" applyFont="1" fillId="0" applyAlignment="1">
      <alignment horizontal="right"/>
    </xf>
    <xf xfId="0" numFmtId="16" applyNumberFormat="1" borderId="22" applyBorder="1" fontId="1" applyFont="1" fillId="2" applyFill="1" applyAlignment="1">
      <alignment horizontal="left"/>
    </xf>
    <xf xfId="0" numFmtId="0" borderId="23" applyBorder="1" fontId="1" applyFont="1" fillId="2" applyFill="1" applyAlignment="1">
      <alignment horizontal="left"/>
    </xf>
    <xf xfId="0" numFmtId="1" applyNumberFormat="1" borderId="18" applyBorder="1" fontId="1" applyFont="1" fillId="3" applyFill="1" applyAlignment="1">
      <alignment horizontal="left"/>
    </xf>
    <xf xfId="0" numFmtId="4" applyNumberFormat="1" borderId="24" applyBorder="1" fontId="1" applyFont="1" fillId="3" applyFill="1" applyAlignment="1">
      <alignment horizontal="left"/>
    </xf>
    <xf xfId="0" numFmtId="4" applyNumberFormat="1" borderId="19" applyBorder="1" fontId="1" applyFont="1" fillId="3" applyFill="1" applyAlignment="1">
      <alignment horizontal="left"/>
    </xf>
    <xf xfId="0" numFmtId="4" applyNumberFormat="1" borderId="1" applyBorder="1" fontId="1" applyFont="1" fillId="0" applyAlignment="1">
      <alignment horizontal="left"/>
    </xf>
    <xf xfId="0" numFmtId="16" applyNumberFormat="1" borderId="22" applyBorder="1" fontId="1" applyFont="1" fillId="3" applyFill="1" applyAlignment="1">
      <alignment horizontal="left"/>
    </xf>
    <xf xfId="0" numFmtId="4" applyNumberFormat="1" borderId="25" applyBorder="1" fontId="1" applyFont="1" fillId="3" applyFill="1" applyAlignment="1">
      <alignment horizontal="right"/>
    </xf>
    <xf xfId="0" numFmtId="4" applyNumberFormat="1" borderId="23" applyBorder="1" fontId="1" applyFont="1" fillId="3" applyFill="1" applyAlignment="1">
      <alignment horizontal="right"/>
    </xf>
    <xf xfId="0" numFmtId="0" borderId="0" fontId="0" fillId="0" applyAlignment="1">
      <alignment horizontal="general"/>
    </xf>
    <xf xfId="0" numFmtId="14" applyNumberFormat="1" borderId="1" applyBorder="1" fontId="1" applyFont="1" fillId="0" applyAlignment="1">
      <alignment horizontal="left"/>
    </xf>
    <xf xfId="0" numFmtId="165" applyNumberFormat="1" borderId="1" applyBorder="1" fontId="1" applyFont="1" fillId="0" applyAlignment="1">
      <alignment horizontal="right"/>
    </xf>
    <xf xfId="0" numFmtId="3" applyNumberFormat="1" borderId="6" applyBorder="1" fontId="1" applyFont="1" fillId="0" applyAlignment="1">
      <alignment horizontal="right"/>
    </xf>
    <xf xfId="0" numFmtId="164" applyNumberFormat="1" borderId="1" applyBorder="1" fontId="1" applyFont="1" fillId="0" applyAlignment="1">
      <alignment horizontal="right"/>
    </xf>
    <xf xfId="0" numFmtId="16" applyNumberFormat="1" borderId="20" applyBorder="1" fontId="1" applyFont="1" fillId="2" applyFill="1" applyAlignment="1">
      <alignment horizontal="left"/>
    </xf>
    <xf xfId="0" numFmtId="0" borderId="18" applyBorder="1" fontId="1" applyFont="1" fillId="4" applyFill="1" applyAlignment="1">
      <alignment horizontal="left"/>
    </xf>
    <xf xfId="0" numFmtId="14" applyNumberFormat="1" borderId="26" applyBorder="1" fontId="1" applyFont="1" fillId="4" applyFill="1" applyAlignment="1">
      <alignment horizontal="left"/>
    </xf>
    <xf xfId="0" numFmtId="0" borderId="22" applyBorder="1" fontId="1" applyFont="1" fillId="4" applyFill="1" applyAlignment="1">
      <alignment horizontal="left"/>
    </xf>
    <xf xfId="0" numFmtId="3" applyNumberFormat="1" borderId="27" applyBorder="1" fontId="1" applyFont="1" fillId="4" applyFill="1" applyAlignment="1">
      <alignment horizontal="right"/>
    </xf>
    <xf xfId="0" numFmtId="14" applyNumberFormat="1" borderId="27" applyBorder="1" fontId="1" applyFont="1" fillId="4" applyFill="1" applyAlignment="1">
      <alignment horizontal="left"/>
    </xf>
    <xf xfId="0" numFmtId="14" applyNumberFormat="1" borderId="23" applyBorder="1" fontId="1" applyFont="1" fillId="4" applyFill="1" applyAlignment="1">
      <alignment horizontal="left"/>
    </xf>
    <xf xfId="0" numFmtId="0" borderId="18" applyBorder="1" fontId="1" applyFont="1" fillId="5" applyFill="1" applyAlignment="1">
      <alignment horizontal="left"/>
    </xf>
    <xf xfId="0" numFmtId="14" applyNumberFormat="1" borderId="4" applyBorder="1" fontId="1" applyFont="1" fillId="0" applyAlignment="1">
      <alignment horizontal="left"/>
    </xf>
    <xf xfId="0" numFmtId="0" borderId="22" applyBorder="1" fontId="1" applyFont="1" fillId="5" applyFill="1" applyAlignment="1">
      <alignment horizontal="left"/>
    </xf>
    <xf xfId="0" numFmtId="3" applyNumberFormat="1" borderId="4" applyBorder="1" fontId="1" applyFont="1" fillId="0" applyAlignment="1">
      <alignment horizontal="right"/>
    </xf>
    <xf xfId="0" numFmtId="3" applyNumberFormat="1" borderId="23" applyBorder="1" fontId="1" applyFont="1" fillId="5" applyFill="1" applyAlignment="1">
      <alignment horizontal="right"/>
    </xf>
    <xf xfId="0" numFmtId="14" applyNumberFormat="1" borderId="23" applyBorder="1" fontId="1" applyFont="1" fillId="5" applyFill="1" applyAlignment="1">
      <alignment horizontal="left"/>
    </xf>
    <xf xfId="0" numFmtId="0" borderId="20" applyBorder="1" fontId="1" applyFont="1" fillId="4" applyFill="1" applyAlignment="1">
      <alignment horizontal="left"/>
    </xf>
    <xf xfId="0" numFmtId="14" applyNumberFormat="1" borderId="28" applyBorder="1" fontId="1" applyFont="1" fillId="4" applyFill="1" applyAlignment="1">
      <alignment horizontal="left"/>
    </xf>
    <xf xfId="0" numFmtId="14" applyNumberFormat="1" borderId="9" applyBorder="1" fontId="1" applyFont="1" fillId="0" applyAlignment="1">
      <alignment horizontal="left"/>
    </xf>
    <xf xfId="0" numFmtId="3" applyNumberFormat="1" borderId="25" applyBorder="1" fontId="1" applyFont="1" fillId="3" applyFill="1" applyAlignment="1">
      <alignment horizontal="right"/>
    </xf>
    <xf xfId="0" numFmtId="14" applyNumberFormat="1" borderId="1" applyBorder="1" fontId="2" applyFont="1" fillId="0" applyAlignment="1">
      <alignment horizontal="left"/>
    </xf>
    <xf xfId="0" numFmtId="164" applyNumberFormat="1" borderId="1" applyBorder="1" fontId="1" applyFont="1" fillId="0" applyAlignment="1">
      <alignment horizontal="left"/>
    </xf>
    <xf xfId="0" numFmtId="16" applyNumberFormat="1" borderId="20" applyBorder="1" fontId="1" applyFont="1" fillId="3" applyFill="1" applyAlignment="1">
      <alignment horizontal="left"/>
    </xf>
    <xf xfId="0" numFmtId="4" applyNumberFormat="1" borderId="29" applyBorder="1" fontId="1" applyFont="1" fillId="3" applyFill="1" applyAlignment="1">
      <alignment horizontal="right"/>
    </xf>
    <xf xfId="0" numFmtId="4" applyNumberFormat="1" borderId="21" applyBorder="1" fontId="1" applyFont="1" fillId="3" applyFill="1" applyAlignment="1">
      <alignment horizontal="right"/>
    </xf>
    <xf xfId="0" numFmtId="14" applyNumberFormat="1" borderId="0" fontId="0" fillId="0" applyAlignment="1">
      <alignment horizontal="general"/>
    </xf>
    <xf xfId="0" numFmtId="1" applyNumberFormat="1" borderId="0" fontId="0" fillId="0" applyAlignment="1">
      <alignment horizontal="right"/>
    </xf>
    <xf xfId="0" numFmtId="1" applyNumberFormat="1" borderId="0" fontId="0" fillId="0" applyAlignment="1">
      <alignment horizontal="general"/>
    </xf>
    <xf xfId="0" numFmtId="164" applyNumberFormat="1" borderId="0" fontId="0" fillId="0" applyAlignment="1">
      <alignment horizontal="general"/>
    </xf>
    <xf xfId="0" numFmtId="3" applyNumberFormat="1" borderId="25" applyBorder="1" fontId="1" applyFont="1" fillId="6" applyFill="1" applyAlignment="1">
      <alignment horizontal="right"/>
    </xf>
    <xf xfId="0" numFmtId="0" borderId="25" applyBorder="1" fontId="4" applyFont="1" fillId="7" applyFill="1" applyAlignment="1">
      <alignment horizontal="center"/>
    </xf>
    <xf xfId="0" numFmtId="3" applyNumberFormat="1" borderId="30" applyBorder="1" fontId="5" applyFont="1" fillId="8" applyFill="1" applyAlignment="1">
      <alignment horizontal="center" wrapText="1"/>
    </xf>
    <xf xfId="0" numFmtId="0" borderId="31" applyBorder="1" fontId="5" applyFont="1" fillId="8" applyFill="1" applyAlignment="1">
      <alignment horizontal="center" wrapText="1"/>
    </xf>
    <xf xfId="0" numFmtId="14" applyNumberFormat="1" borderId="31" applyBorder="1" fontId="5" applyFont="1" fillId="8" applyFill="1" applyAlignment="1">
      <alignment horizontal="center" wrapText="1"/>
    </xf>
    <xf xfId="0" numFmtId="3" applyNumberFormat="1" borderId="31" applyBorder="1" fontId="5" applyFont="1" fillId="8" applyFill="1" applyAlignment="1">
      <alignment horizontal="center" wrapText="1"/>
    </xf>
    <xf xfId="0" numFmtId="0" borderId="32" applyBorder="1" fontId="5" applyFont="1" fillId="8" applyFill="1" applyAlignment="1">
      <alignment horizontal="center" wrapText="1"/>
    </xf>
    <xf xfId="0" numFmtId="0" borderId="25" applyBorder="1" fontId="1" applyFont="1" fillId="6" applyFill="1" applyAlignment="1">
      <alignment horizontal="left"/>
    </xf>
    <xf xfId="0" numFmtId="166" applyNumberFormat="1" borderId="0" fontId="0" fillId="0" applyAlignment="1">
      <alignment horizontal="general"/>
    </xf>
    <xf xfId="0" numFmtId="0" borderId="33" applyBorder="1" fontId="6" applyFont="1" fillId="8" applyFill="1" applyAlignment="1">
      <alignment horizontal="left" wrapText="1"/>
    </xf>
    <xf xfId="0" numFmtId="3" applyNumberFormat="1" borderId="34" applyBorder="1" fontId="1" applyFont="1" fillId="8" applyFill="1" applyAlignment="1">
      <alignment horizontal="center" wrapText="1"/>
    </xf>
    <xf xfId="0" numFmtId="0" borderId="35" applyBorder="1" fontId="1" applyFont="1" fillId="8" applyFill="1" applyAlignment="1">
      <alignment horizontal="center" wrapText="1"/>
    </xf>
    <xf xfId="0" numFmtId="14" applyNumberFormat="1" borderId="35" applyBorder="1" fontId="1" applyFont="1" fillId="8" applyFill="1" applyAlignment="1">
      <alignment horizontal="center" wrapText="1"/>
    </xf>
    <xf xfId="0" numFmtId="3" applyNumberFormat="1" borderId="35" applyBorder="1" fontId="1" applyFont="1" fillId="8" applyFill="1" applyAlignment="1">
      <alignment horizontal="center" wrapText="1"/>
    </xf>
    <xf xfId="0" numFmtId="0" borderId="36" applyBorder="1" fontId="1" applyFont="1" fillId="8" applyFill="1" applyAlignment="1">
      <alignment horizontal="center" wrapText="1"/>
    </xf>
    <xf xfId="0" numFmtId="166" applyNumberFormat="1" borderId="25" applyBorder="1" fontId="1" applyFont="1" fillId="6" applyFill="1" applyAlignment="1">
      <alignment horizontal="left"/>
    </xf>
    <xf xfId="0" numFmtId="0" borderId="37" applyBorder="1" fontId="2" applyFont="1" fillId="9" applyFill="1" applyAlignment="1">
      <alignment horizontal="center"/>
    </xf>
    <xf xfId="0" numFmtId="3" applyNumberFormat="1" borderId="37" applyBorder="1" fontId="2" applyFont="1" fillId="9" applyFill="1" applyAlignment="1">
      <alignment horizontal="center"/>
    </xf>
    <xf xfId="0" numFmtId="14" applyNumberFormat="1" borderId="37" applyBorder="1" fontId="2" applyFont="1" fillId="9" applyFill="1" applyAlignment="1">
      <alignment horizontal="center"/>
    </xf>
    <xf xfId="0" numFmtId="3" applyNumberFormat="1" borderId="35" applyBorder="1" fontId="2" applyFont="1" fillId="9" applyFill="1" applyAlignment="1">
      <alignment horizontal="center"/>
    </xf>
    <xf xfId="0" numFmtId="0" borderId="35" applyBorder="1" fontId="2" applyFont="1" fillId="9" applyFill="1" applyAlignment="1">
      <alignment horizontal="center"/>
    </xf>
    <xf xfId="0" numFmtId="14" applyNumberFormat="1" borderId="25" applyBorder="1" fontId="1" applyFont="1" fillId="6" applyFill="1" applyAlignment="1">
      <alignment horizontal="left"/>
    </xf>
    <xf xfId="0" numFmtId="3" applyNumberFormat="1" borderId="25" applyBorder="1" fontId="1" applyFont="1" fillId="6" applyFill="1" applyAlignment="1">
      <alignment horizontal="left"/>
    </xf>
    <xf xfId="0" numFmtId="4" applyNumberFormat="1" borderId="25" applyBorder="1" fontId="1" applyFont="1" fillId="6" applyFill="1" applyAlignment="1">
      <alignment horizontal="left"/>
    </xf>
    <xf xfId="0" numFmtId="0" borderId="25" applyBorder="1" fontId="7" applyFont="1" fillId="6" applyFill="1" applyAlignment="1">
      <alignment horizontal="right"/>
    </xf>
    <xf xfId="0" numFmtId="3" applyNumberFormat="1" borderId="38" applyBorder="1" fontId="8" applyFont="1" fillId="7" applyFill="1" applyAlignment="1">
      <alignment horizontal="left"/>
    </xf>
    <xf xfId="0" numFmtId="0" borderId="25" applyBorder="1" fontId="2" applyFont="1" fillId="6" applyFill="1" applyAlignment="1">
      <alignment horizontal="left"/>
    </xf>
    <xf xfId="0" numFmtId="14" applyNumberFormat="1" borderId="25" applyBorder="1" fontId="7" applyFont="1" fillId="6" applyFill="1" applyAlignment="1">
      <alignment horizontal="right"/>
    </xf>
    <xf xfId="0" numFmtId="3" applyNumberFormat="1" borderId="39" applyBorder="1" fontId="1" applyFont="1" fillId="10" applyFill="1" applyAlignment="1">
      <alignment horizontal="left"/>
    </xf>
    <xf xfId="0" numFmtId="0" borderId="39" applyBorder="1" fontId="1" applyFont="1" fillId="11" applyFill="1" applyAlignment="1">
      <alignment horizontal="left"/>
    </xf>
    <xf xfId="0" numFmtId="3" applyNumberFormat="1" borderId="39" applyBorder="1" fontId="8" applyFont="1" fillId="7" applyFill="1" applyAlignment="1">
      <alignment horizontal="left"/>
    </xf>
    <xf xfId="0" numFmtId="0" borderId="39" applyBorder="1" fontId="8" applyFont="1" fillId="11" applyFill="1" applyAlignment="1">
      <alignment horizontal="left"/>
    </xf>
    <xf xfId="0" numFmtId="0" borderId="25" applyBorder="1" fontId="2" applyFont="1" fillId="6" applyFill="1" applyAlignment="1">
      <alignment horizontal="right"/>
    </xf>
    <xf xfId="0" numFmtId="0" borderId="25" applyBorder="1" fontId="9" applyFont="1" fillId="6" applyFill="1" applyAlignment="1">
      <alignment horizontal="right"/>
    </xf>
    <xf xfId="0" numFmtId="3" applyNumberFormat="1" borderId="25" applyBorder="1" fontId="9" applyFont="1" fillId="6" applyFill="1" applyAlignment="1">
      <alignment horizontal="left"/>
    </xf>
    <xf xfId="0" numFmtId="14" applyNumberFormat="1" borderId="39" applyBorder="1" fontId="1" applyFont="1" fillId="10" applyFill="1" applyAlignment="1">
      <alignment horizontal="left"/>
    </xf>
    <xf xfId="0" numFmtId="14" applyNumberFormat="1" borderId="39" applyBorder="1" fontId="1" applyFont="1" fillId="11" applyFill="1" applyAlignment="1">
      <alignment horizontal="left"/>
    </xf>
    <xf xfId="0" numFmtId="14" applyNumberFormat="1" borderId="25" applyBorder="1" fontId="2" applyFont="1" fillId="6" applyFill="1" applyAlignment="1">
      <alignment horizontal="right"/>
    </xf>
    <xf xfId="0" numFmtId="3" applyNumberFormat="1" borderId="39" applyBorder="1" fontId="1" applyFont="1" fillId="11" applyFill="1" applyAlignment="1">
      <alignment horizontal="left"/>
    </xf>
    <xf xfId="0" numFmtId="0" borderId="25" applyBorder="1" fontId="2" applyFont="1" fillId="6" applyFill="1" applyAlignment="1">
      <alignment horizontal="right"/>
    </xf>
    <xf xfId="0" numFmtId="4" applyNumberFormat="1" borderId="39" applyBorder="1" fontId="1" applyFont="1" fillId="11" applyFill="1" applyAlignment="1">
      <alignment horizontal="left"/>
    </xf>
    <xf xfId="0" numFmtId="14" applyNumberFormat="1" borderId="38" applyBorder="1" fontId="1" applyFont="1" fillId="11" applyFill="1" applyAlignment="1">
      <alignment horizontal="left"/>
    </xf>
    <xf xfId="0" numFmtId="1" applyNumberFormat="1" borderId="39" applyBorder="1" fontId="1" applyFont="1" fillId="10" applyFill="1" applyAlignment="1">
      <alignment horizontal="left"/>
    </xf>
    <xf xfId="0" numFmtId="166" applyNumberFormat="1" borderId="25" applyBorder="1" fontId="9" applyFont="1" fillId="6" applyFill="1" applyAlignment="1">
      <alignment horizontal="left"/>
    </xf>
    <xf xfId="0" numFmtId="0" borderId="25" applyBorder="1" fontId="9" applyFont="1" fillId="6" applyFill="1" applyAlignment="1">
      <alignment horizontal="right"/>
    </xf>
    <xf xfId="0" numFmtId="0" borderId="37" applyBorder="1" fontId="7" applyFont="1" fillId="5" applyFill="1" applyAlignment="1">
      <alignment horizontal="right"/>
    </xf>
    <xf xfId="0" numFmtId="3" applyNumberFormat="1" borderId="37" applyBorder="1" fontId="7" applyFont="1" fillId="12" applyFill="1" applyAlignment="1">
      <alignment horizontal="center"/>
    </xf>
    <xf xfId="0" numFmtId="0" borderId="37" applyBorder="1" fontId="1" applyFont="1" fillId="12" applyFill="1" applyAlignment="1">
      <alignment horizontal="center"/>
    </xf>
    <xf xfId="0" numFmtId="14" applyNumberFormat="1" borderId="25" applyBorder="1" fontId="1" applyFont="1" fillId="6" applyFill="1" applyAlignment="1">
      <alignment horizontal="center"/>
    </xf>
    <xf xfId="0" numFmtId="3" applyNumberFormat="1" borderId="25" applyBorder="1" fontId="1" applyFont="1" fillId="6" applyFill="1" applyAlignment="1">
      <alignment horizontal="center"/>
    </xf>
    <xf xfId="0" numFmtId="4" applyNumberFormat="1" borderId="25" applyBorder="1" fontId="1" applyFont="1" fillId="6" applyFill="1" applyAlignment="1">
      <alignment horizontal="center"/>
    </xf>
    <xf xfId="0" numFmtId="14" applyNumberFormat="1" borderId="25" applyBorder="1" fontId="10" applyFont="1" fillId="6" applyFill="1" applyAlignment="1">
      <alignment horizontal="center" wrapText="1"/>
    </xf>
    <xf xfId="0" numFmtId="3" applyNumberFormat="1" borderId="25" applyBorder="1" fontId="10" applyFont="1" fillId="6" applyFill="1" applyAlignment="1">
      <alignment horizontal="center" wrapText="1"/>
    </xf>
    <xf xfId="0" numFmtId="0" borderId="25" applyBorder="1" fontId="10" applyFont="1" fillId="6" applyFill="1" applyAlignment="1">
      <alignment horizontal="center" wrapText="1"/>
    </xf>
    <xf xfId="0" numFmtId="4" applyNumberFormat="1" borderId="25" applyBorder="1" fontId="1" applyFont="1" fillId="6" applyFill="1" applyAlignment="1">
      <alignment horizontal="right"/>
    </xf>
    <xf xfId="0" numFmtId="3" applyNumberFormat="1" borderId="39" applyBorder="1" fontId="1" applyFont="1" fillId="11" applyFill="1" applyAlignment="1">
      <alignment horizontal="right"/>
    </xf>
    <xf xfId="0" numFmtId="14" applyNumberFormat="1" borderId="25" applyBorder="1" fontId="9" applyFont="1" fillId="6" applyFill="1" applyAlignment="1">
      <alignment horizontal="left"/>
    </xf>
    <xf xfId="0" numFmtId="4" applyNumberFormat="1" borderId="39" applyBorder="1" fontId="1" applyFont="1" fillId="10" applyFill="1" applyAlignment="1">
      <alignment horizontal="left"/>
    </xf>
    <xf xfId="0" numFmtId="4" applyNumberFormat="1" borderId="39" applyBorder="1" fontId="1" applyFont="1" fillId="11" applyFill="1" applyAlignment="1">
      <alignment horizontal="right"/>
    </xf>
    <xf xfId="0" numFmtId="3" applyNumberFormat="1" borderId="25" applyBorder="1" fontId="2" applyFont="1" fillId="6" applyFill="1" applyAlignment="1">
      <alignment horizontal="left"/>
    </xf>
    <xf xfId="0" numFmtId="14" applyNumberFormat="1" borderId="25" applyBorder="1" fontId="2" applyFont="1" fillId="6" applyFill="1" applyAlignment="1">
      <alignment horizontal="left"/>
    </xf>
    <xf xfId="0" numFmtId="0" borderId="40" applyBorder="1" fontId="2" applyFont="1" fillId="6" applyFill="1" applyAlignment="1">
      <alignment horizontal="center"/>
    </xf>
    <xf xfId="0" numFmtId="16" applyNumberFormat="1" borderId="41" applyBorder="1" fontId="2" applyFont="1" fillId="6" applyFill="1" applyAlignment="1">
      <alignment horizontal="center"/>
    </xf>
    <xf xfId="0" numFmtId="16" applyNumberFormat="1" borderId="25" applyBorder="1" fontId="2" applyFont="1" fillId="6" applyFill="1" applyAlignment="1">
      <alignment horizontal="center"/>
    </xf>
    <xf xfId="0" numFmtId="14" applyNumberFormat="1" borderId="40" applyBorder="1" fontId="2" applyFont="1" fillId="5" applyFill="1" applyAlignment="1">
      <alignment horizontal="center"/>
    </xf>
    <xf xfId="0" numFmtId="3" applyNumberFormat="1" borderId="41" applyBorder="1" fontId="2" applyFont="1" fillId="5" applyFill="1" applyAlignment="1">
      <alignment horizontal="center"/>
    </xf>
    <xf xfId="0" numFmtId="0" borderId="42" applyBorder="1" fontId="1" applyFont="1" fillId="6" applyFill="1" applyAlignment="1">
      <alignment horizontal="left"/>
    </xf>
    <xf xfId="0" numFmtId="3" applyNumberFormat="1" borderId="42" applyBorder="1" fontId="1" applyFont="1" fillId="6" applyFill="1" applyAlignment="1">
      <alignment horizontal="left"/>
    </xf>
    <xf xfId="0" numFmtId="14" applyNumberFormat="1" borderId="18" applyBorder="1" fontId="1" applyFont="1" fillId="5" applyFill="1" applyAlignment="1">
      <alignment horizontal="left"/>
    </xf>
    <xf xfId="0" numFmtId="3" applyNumberFormat="1" borderId="19" applyBorder="1" fontId="1" applyFont="1" fillId="5" applyFill="1" applyAlignment="1">
      <alignment horizontal="left"/>
    </xf>
    <xf xfId="0" numFmtId="14" applyNumberFormat="1" borderId="43" applyBorder="1" fontId="1" applyFont="1" fillId="11" applyFill="1" applyAlignment="1">
      <alignment horizontal="right"/>
    </xf>
    <xf xfId="0" numFmtId="3" applyNumberFormat="1" borderId="44" applyBorder="1" fontId="1" applyFont="1" fillId="11" applyFill="1" applyAlignment="1">
      <alignment horizontal="center"/>
    </xf>
    <xf xfId="0" numFmtId="14" applyNumberFormat="1" borderId="43" applyBorder="1" fontId="1" applyFont="1" fillId="6" applyFill="1" applyAlignment="1">
      <alignment horizontal="right"/>
    </xf>
    <xf xfId="0" numFmtId="3" applyNumberFormat="1" borderId="45" applyBorder="1" fontId="1" applyFont="1" fillId="6" applyFill="1" applyAlignment="1">
      <alignment horizontal="center"/>
    </xf>
    <xf xfId="0" numFmtId="0" borderId="25" applyBorder="1" fontId="1" applyFont="1" fillId="6" applyFill="1" applyAlignment="1">
      <alignment horizontal="left"/>
    </xf>
    <xf xfId="0" numFmtId="3" applyNumberFormat="1" borderId="45" applyBorder="1" fontId="1" applyFont="1" fillId="11" applyFill="1" applyAlignment="1">
      <alignment horizontal="center"/>
    </xf>
    <xf xfId="0" numFmtId="14" applyNumberFormat="1" borderId="46" applyBorder="1" fontId="1" applyFont="1" fillId="11" applyFill="1" applyAlignment="1">
      <alignment horizontal="right"/>
    </xf>
    <xf xfId="0" numFmtId="3" applyNumberFormat="1" borderId="47" applyBorder="1" fontId="1" applyFont="1" fillId="11" applyFill="1" applyAlignment="1">
      <alignment horizontal="center"/>
    </xf>
    <xf xfId="0" numFmtId="14" applyNumberFormat="1" borderId="48" applyBorder="1" fontId="1" applyFont="1" fillId="11" applyFill="1" applyAlignment="1">
      <alignment horizontal="right"/>
    </xf>
    <xf xfId="0" numFmtId="14" applyNumberFormat="1" borderId="46" applyBorder="1" fontId="1" applyFont="1" fillId="6" applyFill="1" applyAlignment="1">
      <alignment horizontal="right"/>
    </xf>
    <xf xfId="0" numFmtId="3" applyNumberFormat="1" borderId="47" applyBorder="1" fontId="1" applyFont="1" fillId="6" applyFill="1" applyAlignment="1">
      <alignment horizontal="center"/>
    </xf>
    <xf xfId="0" numFmtId="0" borderId="25" applyBorder="1" fontId="9" applyFont="1" fillId="6" applyFill="1" applyAlignment="1">
      <alignment horizontal="left"/>
    </xf>
    <xf xfId="0" numFmtId="3" applyNumberFormat="1" borderId="38" applyBorder="1" fontId="1" applyFont="1" fillId="10" applyFill="1" applyAlignment="1">
      <alignment horizontal="left"/>
    </xf>
    <xf xfId="0" numFmtId="0" borderId="38" applyBorder="1" fontId="1" applyFont="1" fillId="11" applyFill="1" applyAlignment="1">
      <alignment horizontal="left"/>
    </xf>
    <xf xfId="0" numFmtId="3" applyNumberFormat="1" borderId="38" applyBorder="1" fontId="1" applyFont="1" fillId="11" applyFill="1" applyAlignment="1">
      <alignment horizontal="left"/>
    </xf>
    <xf xfId="0" numFmtId="3" applyNumberFormat="1" borderId="25" applyBorder="1" fontId="2" applyFont="1" fillId="6" applyFill="1" applyAlignment="1">
      <alignment horizontal="right"/>
    </xf>
    <xf xfId="0" numFmtId="0" borderId="37" applyBorder="1" fontId="1" applyFont="1" fillId="9" applyFill="1" applyAlignment="1">
      <alignment horizontal="center"/>
    </xf>
    <xf xfId="0" numFmtId="3" applyNumberFormat="1" borderId="37" applyBorder="1" fontId="1" applyFont="1" fillId="9" applyFill="1" applyAlignment="1">
      <alignment horizontal="center"/>
    </xf>
    <xf xfId="0" numFmtId="14" applyNumberFormat="1" borderId="37" applyBorder="1" fontId="1" applyFont="1" fillId="9" applyFill="1" applyAlignment="1">
      <alignment horizontal="center"/>
    </xf>
    <xf xfId="0" numFmtId="4" applyNumberFormat="1" borderId="38" applyBorder="1" fontId="1" applyFont="1" fillId="11" applyFill="1" applyAlignment="1">
      <alignment horizontal="left"/>
    </xf>
    <xf xfId="0" numFmtId="166" applyNumberFormat="1" borderId="0" fontId="0" fillId="0" applyAlignment="1">
      <alignment horizontal="general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sharedStrings.xml" Type="http://schemas.openxmlformats.org/officeDocument/2006/relationships/sharedStrings" Id="rId6"/><Relationship Target="styles.xml" Type="http://schemas.openxmlformats.org/officeDocument/2006/relationships/styles" Id="rId7"/><Relationship Target="theme/theme1.xml" Type="http://schemas.openxmlformats.org/officeDocument/2006/relationships/theme" Id="rId8"/><Relationship Target="vbaProject.bin" Type="http://schemas.microsoft.com/office/2006/relationships/vbaProject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Z395"/>
  <sheetViews>
    <sheetView workbookViewId="0" tabSelected="1"/>
  </sheetViews>
  <sheetFormatPr defaultRowHeight="15" x14ac:dyDescent="0.25"/>
  <cols>
    <col min="1" max="1" style="109" width="13.576428571428572" customWidth="1" bestFit="1" hidden="1"/>
    <col min="2" max="2" style="203" width="13.576428571428572" customWidth="1" bestFit="1" hidden="1"/>
    <col min="3" max="3" style="11" width="30.14785714285714" customWidth="1" bestFit="1"/>
    <col min="4" max="4" style="14" width="26.433571428571426" customWidth="1" bestFit="1"/>
    <col min="5" max="5" style="11" width="18.433571428571426" customWidth="1" bestFit="1"/>
    <col min="6" max="6" style="109" width="20.433571428571426" customWidth="1" bestFit="1"/>
    <col min="7" max="7" style="14" width="17.433571428571426" customWidth="1" bestFit="1"/>
    <col min="8" max="8" style="11" width="17.433571428571426" customWidth="1" bestFit="1"/>
    <col min="9" max="9" style="11" width="22.576428571428572" customWidth="1" bestFit="1"/>
    <col min="10" max="10" style="11" width="22.576428571428572" customWidth="1" bestFit="1"/>
    <col min="11" max="11" style="11" width="9.147857142857141" customWidth="1" bestFit="1"/>
    <col min="12" max="12" style="11" width="9.147857142857141" customWidth="1" bestFit="1"/>
    <col min="13" max="13" style="11" width="9.147857142857141" customWidth="1" bestFit="1"/>
    <col min="14" max="14" style="11" width="9.147857142857141" customWidth="1" bestFit="1"/>
    <col min="15" max="15" style="11" width="9.147857142857141" customWidth="1" bestFit="1"/>
    <col min="16" max="16" style="11" width="4.433571428571429" customWidth="1" bestFit="1"/>
    <col min="17" max="17" style="11" width="92.14785714285713" customWidth="1" bestFit="1"/>
    <col min="18" max="18" style="109" width="13.576428571428572" customWidth="1" bestFit="1" hidden="1"/>
    <col min="19" max="19" style="14" width="13.576428571428572" customWidth="1" bestFit="1" hidden="1"/>
    <col min="20" max="20" style="15" width="13.576428571428572" customWidth="1" bestFit="1" hidden="1"/>
    <col min="21" max="21" style="15" width="13.576428571428572" customWidth="1" bestFit="1" hidden="1"/>
    <col min="22" max="22" style="14" width="13.576428571428572" customWidth="1" bestFit="1" hidden="1"/>
    <col min="23" max="23" style="14" width="13.576428571428572" customWidth="1" bestFit="1" hidden="1"/>
    <col min="24" max="24" style="15" width="13.576428571428572" customWidth="1" bestFit="1" hidden="1"/>
    <col min="25" max="25" style="14" width="13.576428571428572" customWidth="1" bestFit="1" hidden="1"/>
    <col min="26" max="26" style="15" width="13.576428571428572" customWidth="1" bestFit="1" hidden="1"/>
  </cols>
  <sheetData>
    <row x14ac:dyDescent="0.25" r="1" customHeight="1" ht="27.75">
      <c r="A1" s="71"/>
      <c r="B1" s="113">
        <f>VLOOKUP(C1,ListMembers!U8:V10,2,FALSE)</f>
      </c>
      <c r="C1" s="114" t="s">
        <v>413</v>
      </c>
      <c r="D1" s="115" t="s">
        <v>497</v>
      </c>
      <c r="E1" s="116"/>
      <c r="F1" s="117"/>
      <c r="G1" s="118"/>
      <c r="H1" s="119"/>
      <c r="I1" s="120"/>
      <c r="J1" s="120"/>
      <c r="K1" s="120"/>
      <c r="L1" s="120"/>
      <c r="M1" s="120"/>
      <c r="N1" s="120"/>
      <c r="O1" s="120"/>
      <c r="P1" s="120"/>
      <c r="Q1" s="3"/>
      <c r="R1" s="71"/>
      <c r="S1" s="12"/>
      <c r="T1" s="13"/>
      <c r="U1" s="13"/>
      <c r="V1" s="12"/>
      <c r="W1" s="12"/>
      <c r="X1" s="13"/>
      <c r="Y1" s="12"/>
      <c r="Z1" s="13"/>
    </row>
    <row x14ac:dyDescent="0.25" r="2" customHeight="1" ht="45">
      <c r="A2" s="71"/>
      <c r="B2" s="121"/>
      <c r="C2" s="122"/>
      <c r="D2" s="123" t="s">
        <v>498</v>
      </c>
      <c r="E2" s="124"/>
      <c r="F2" s="125"/>
      <c r="G2" s="126"/>
      <c r="H2" s="127"/>
      <c r="I2" s="120"/>
      <c r="J2" s="120"/>
      <c r="K2" s="120"/>
      <c r="L2" s="120"/>
      <c r="M2" s="120"/>
      <c r="N2" s="120"/>
      <c r="O2" s="120"/>
      <c r="P2" s="120"/>
      <c r="Q2" s="3"/>
      <c r="R2" s="71"/>
      <c r="S2" s="12"/>
      <c r="T2" s="13"/>
      <c r="U2" s="13"/>
      <c r="V2" s="12"/>
      <c r="W2" s="12"/>
      <c r="X2" s="13"/>
      <c r="Y2" s="12"/>
      <c r="Z2" s="13"/>
    </row>
    <row x14ac:dyDescent="0.25" r="3" customHeight="1" ht="20.25">
      <c r="A3" s="71"/>
      <c r="B3" s="128"/>
      <c r="C3" s="129" t="s">
        <v>499</v>
      </c>
      <c r="D3" s="130"/>
      <c r="E3" s="129"/>
      <c r="F3" s="131"/>
      <c r="G3" s="132"/>
      <c r="H3" s="133"/>
      <c r="I3" s="120"/>
      <c r="J3" s="120"/>
      <c r="K3" s="120"/>
      <c r="L3" s="120"/>
      <c r="M3" s="120"/>
      <c r="N3" s="120"/>
      <c r="O3" s="120"/>
      <c r="P3" s="120"/>
      <c r="Q3" s="120"/>
      <c r="R3" s="134"/>
      <c r="S3" s="135"/>
      <c r="T3" s="136"/>
      <c r="U3" s="136"/>
      <c r="V3" s="135"/>
      <c r="W3" s="12"/>
      <c r="X3" s="13"/>
      <c r="Y3" s="12"/>
      <c r="Z3" s="13"/>
    </row>
    <row x14ac:dyDescent="0.25" r="4" customHeight="1" ht="21">
      <c r="A4" s="71"/>
      <c r="B4" s="121"/>
      <c r="C4" s="137" t="s">
        <v>500</v>
      </c>
      <c r="D4" s="138" t="s">
        <v>5</v>
      </c>
      <c r="E4" s="139"/>
      <c r="F4" s="140" t="s">
        <v>501</v>
      </c>
      <c r="G4" s="141">
        <f>IF(H4="","Typical",H4)</f>
      </c>
      <c r="H4" s="142"/>
      <c r="I4" s="120"/>
      <c r="J4" s="120"/>
      <c r="K4" s="120"/>
      <c r="L4" s="120"/>
      <c r="M4" s="120"/>
      <c r="N4" s="120"/>
      <c r="O4" s="120"/>
      <c r="P4" s="120"/>
      <c r="Q4" s="3"/>
      <c r="R4" s="71"/>
      <c r="S4" s="12"/>
      <c r="T4" s="13"/>
      <c r="U4" s="13"/>
      <c r="V4" s="12"/>
      <c r="W4" s="12"/>
      <c r="X4" s="13"/>
      <c r="Y4" s="12"/>
      <c r="Z4" s="13"/>
    </row>
    <row x14ac:dyDescent="0.25" r="5" customHeight="1" ht="20.25">
      <c r="A5" s="71"/>
      <c r="B5" s="121"/>
      <c r="C5" s="137" t="s">
        <v>13</v>
      </c>
      <c r="D5" s="143" t="s">
        <v>42</v>
      </c>
      <c r="E5" s="139"/>
      <c r="F5" s="140" t="s">
        <v>502</v>
      </c>
      <c r="G5" s="141">
        <f>IF(H5="","Typical",H5)</f>
      </c>
      <c r="H5" s="142"/>
      <c r="I5" s="120"/>
      <c r="J5" s="120"/>
      <c r="K5" s="120"/>
      <c r="L5" s="120"/>
      <c r="M5" s="120"/>
      <c r="N5" s="120"/>
      <c r="O5" s="120"/>
      <c r="P5" s="120"/>
      <c r="Q5" s="3"/>
      <c r="R5" s="71"/>
      <c r="S5" s="12"/>
      <c r="T5" s="13"/>
      <c r="U5" s="13"/>
      <c r="V5" s="12"/>
      <c r="W5" s="12"/>
      <c r="X5" s="13"/>
      <c r="Y5" s="12"/>
      <c r="Z5" s="13"/>
    </row>
    <row x14ac:dyDescent="0.25" r="6" customHeight="1" ht="21">
      <c r="A6" s="71"/>
      <c r="B6" s="121"/>
      <c r="C6" s="137" t="s">
        <v>503</v>
      </c>
      <c r="D6" s="143" t="s">
        <v>83</v>
      </c>
      <c r="E6" s="3"/>
      <c r="F6" s="140" t="s">
        <v>391</v>
      </c>
      <c r="G6" s="141">
        <f>IF(H6="","None",H6)</f>
      </c>
      <c r="H6" s="144"/>
      <c r="I6" s="120"/>
      <c r="J6" s="120"/>
      <c r="K6" s="120"/>
      <c r="L6" s="120"/>
      <c r="M6" s="120"/>
      <c r="N6" s="120"/>
      <c r="O6" s="120"/>
      <c r="P6" s="120"/>
      <c r="Q6" s="3"/>
      <c r="R6" s="71"/>
      <c r="S6" s="12"/>
      <c r="T6" s="13"/>
      <c r="U6" s="13"/>
      <c r="V6" s="12"/>
      <c r="W6" s="12"/>
      <c r="X6" s="13"/>
      <c r="Y6" s="12"/>
      <c r="Z6" s="13"/>
    </row>
    <row x14ac:dyDescent="0.25" r="7" customHeight="1" ht="19.5">
      <c r="A7" s="71"/>
      <c r="B7" s="121"/>
      <c r="C7" s="145" t="s">
        <v>504</v>
      </c>
      <c r="D7" s="141">
        <f>IF(E7="","General",E7)</f>
      </c>
      <c r="E7" s="142"/>
      <c r="F7" s="71"/>
      <c r="G7" s="12"/>
      <c r="H7" s="3"/>
      <c r="I7" s="120"/>
      <c r="J7" s="120"/>
      <c r="K7" s="120"/>
      <c r="L7" s="120"/>
      <c r="M7" s="120"/>
      <c r="N7" s="120"/>
      <c r="O7" s="120"/>
      <c r="P7" s="120"/>
      <c r="Q7" s="3"/>
      <c r="R7" s="71"/>
      <c r="S7" s="12"/>
      <c r="T7" s="13"/>
      <c r="U7" s="13"/>
      <c r="V7" s="12"/>
      <c r="W7" s="12"/>
      <c r="X7" s="13"/>
      <c r="Y7" s="12"/>
      <c r="Z7" s="13"/>
    </row>
    <row x14ac:dyDescent="0.25" r="8" customHeight="1" ht="18.75">
      <c r="A8" s="71"/>
      <c r="B8" s="121"/>
      <c r="C8" s="146" t="s">
        <v>505</v>
      </c>
      <c r="D8" s="147">
        <f>CurrentCropName&amp;" "&amp;CurrentCropType&amp;" "&amp;CurrentCropVariety</f>
      </c>
      <c r="E8" s="3"/>
      <c r="F8" s="71"/>
      <c r="G8" s="12"/>
      <c r="H8" s="3"/>
      <c r="I8" s="120"/>
      <c r="J8" s="120"/>
      <c r="K8" s="120"/>
      <c r="L8" s="120"/>
      <c r="M8" s="120"/>
      <c r="N8" s="120"/>
      <c r="O8" s="120"/>
      <c r="P8" s="120"/>
      <c r="Q8" s="3"/>
      <c r="R8" s="71"/>
      <c r="S8" s="12"/>
      <c r="T8" s="13"/>
      <c r="U8" s="13"/>
      <c r="V8" s="12"/>
      <c r="W8" s="12"/>
      <c r="X8" s="13"/>
      <c r="Y8" s="12"/>
      <c r="Z8" s="13"/>
    </row>
    <row x14ac:dyDescent="0.25" r="9" customHeight="1" ht="19.5">
      <c r="A9" s="71"/>
      <c r="B9" s="121"/>
      <c r="C9" s="145" t="s">
        <v>506</v>
      </c>
      <c r="D9" s="148">
        <f>IF(E9="",TODAY(),E9)</f>
        <v>25569.5</v>
      </c>
      <c r="E9" s="149"/>
      <c r="F9" s="150" t="s">
        <v>507</v>
      </c>
      <c r="G9" s="141">
        <f>IF(H9="",VLOOKUP(CurrentCropNameFull,CropCoefficients,13,FALSE),H9)</f>
      </c>
      <c r="H9" s="151"/>
      <c r="I9" s="120"/>
      <c r="J9" s="120"/>
      <c r="K9" s="120"/>
      <c r="L9" s="120"/>
      <c r="M9" s="120"/>
      <c r="N9" s="120"/>
      <c r="O9" s="120"/>
      <c r="P9" s="120"/>
      <c r="Q9" s="3"/>
      <c r="R9" s="71"/>
      <c r="S9" s="12"/>
      <c r="T9" s="13"/>
      <c r="U9" s="13"/>
      <c r="V9" s="12"/>
      <c r="W9" s="12"/>
      <c r="X9" s="13"/>
      <c r="Y9" s="12"/>
      <c r="Z9" s="13"/>
    </row>
    <row x14ac:dyDescent="0.25" r="10" customHeight="1" ht="19.5">
      <c r="A10" s="71"/>
      <c r="B10" s="121"/>
      <c r="C10" s="145" t="s">
        <v>508</v>
      </c>
      <c r="D10" s="148">
        <f>IF(E10="",CurrentEstablishDate+125,E10)</f>
        <v>25569.5</v>
      </c>
      <c r="E10" s="149"/>
      <c r="F10" s="150" t="s">
        <v>509</v>
      </c>
      <c r="G10" s="141">
        <f>IF(H10="",VLOOKUP(CurrentCropNameFull,CropCoefficients,15,FALSE),H10)</f>
      </c>
      <c r="H10" s="151"/>
      <c r="I10" s="120"/>
      <c r="J10" s="120"/>
      <c r="K10" s="120"/>
      <c r="L10" s="120"/>
      <c r="M10" s="120"/>
      <c r="N10" s="120"/>
      <c r="O10" s="120"/>
      <c r="P10" s="120"/>
      <c r="Q10" s="3"/>
      <c r="R10" s="71"/>
      <c r="S10" s="12"/>
      <c r="T10" s="13"/>
      <c r="U10" s="13"/>
      <c r="V10" s="12"/>
      <c r="W10" s="12"/>
      <c r="X10" s="13"/>
      <c r="Y10" s="12"/>
      <c r="Z10" s="13"/>
    </row>
    <row x14ac:dyDescent="0.25" r="11" customHeight="1" ht="19.5">
      <c r="A11" s="71"/>
      <c r="B11" s="121"/>
      <c r="C11" s="145" t="s">
        <v>510</v>
      </c>
      <c r="D11" s="141">
        <f>IF(CurrentUnits="kg/head",IF(E11="",VLOOKUP(CurrentCropNameFull,CropCoefficients,20,FALSE),E11),"  -")</f>
      </c>
      <c r="E11" s="151"/>
      <c r="F11" s="150" t="s">
        <v>511</v>
      </c>
      <c r="G11" s="141">
        <f>IF(H11="",VLOOKUP(CurrentCropNameFull,CropCoefficients,23,FALSE),H11)</f>
      </c>
      <c r="H11" s="151"/>
      <c r="I11" s="120"/>
      <c r="J11" s="120"/>
      <c r="K11" s="120"/>
      <c r="L11" s="120"/>
      <c r="M11" s="120"/>
      <c r="N11" s="120"/>
      <c r="O11" s="120"/>
      <c r="P11" s="120"/>
      <c r="Q11" s="3"/>
      <c r="R11" s="71"/>
      <c r="S11" s="12"/>
      <c r="T11" s="13"/>
      <c r="U11" s="13"/>
      <c r="V11" s="12"/>
      <c r="W11" s="12"/>
      <c r="X11" s="13"/>
      <c r="Y11" s="12"/>
      <c r="Z11" s="13"/>
    </row>
    <row x14ac:dyDescent="0.25" r="12" customHeight="1" ht="19.5">
      <c r="A12" s="71"/>
      <c r="B12" s="121"/>
      <c r="C12" s="152">
        <f>"Yield ("&amp;CurrentUnits&amp;")"</f>
      </c>
      <c r="D12" s="141">
        <f>IF(E12="",VLOOKUP(CurrentCropNameFull,CropCoefficients,17,FALSE),E12)</f>
      </c>
      <c r="E12" s="153"/>
      <c r="F12" s="150" t="s">
        <v>512</v>
      </c>
      <c r="G12" s="141">
        <f>IF(H12="",VLOOKUP(CurrentCropNameFull,CropCoefficients,22,FALSE),H12)</f>
      </c>
      <c r="H12" s="151"/>
      <c r="I12" s="120"/>
      <c r="J12" s="120"/>
      <c r="K12" s="120"/>
      <c r="L12" s="120"/>
      <c r="M12" s="120"/>
      <c r="N12" s="120"/>
      <c r="O12" s="120"/>
      <c r="P12" s="120"/>
      <c r="Q12" s="3"/>
      <c r="R12" s="71"/>
      <c r="S12" s="12"/>
      <c r="T12" s="13"/>
      <c r="U12" s="13"/>
      <c r="V12" s="12"/>
      <c r="W12" s="12"/>
      <c r="X12" s="13"/>
      <c r="Y12" s="12"/>
      <c r="Z12" s="13"/>
    </row>
    <row x14ac:dyDescent="0.25" r="13" customHeight="1" ht="19.5">
      <c r="A13" s="71"/>
      <c r="B13" s="121"/>
      <c r="C13" s="145" t="s">
        <v>513</v>
      </c>
      <c r="D13" s="141">
        <f>IF(E13="",VLOOKUP(CurrentCropNameFull,CropCoefficients,18,FALSE),E13)</f>
      </c>
      <c r="E13" s="154"/>
      <c r="F13" s="150" t="s">
        <v>514</v>
      </c>
      <c r="G13" s="155">
        <f>IF(H13="",VLOOKUP(CurrentCropNameFull,CropCoefficients,26,FALSE),H13)</f>
      </c>
      <c r="H13" s="151"/>
      <c r="I13" s="120"/>
      <c r="J13" s="120"/>
      <c r="K13" s="120"/>
      <c r="L13" s="120"/>
      <c r="M13" s="120"/>
      <c r="N13" s="120"/>
      <c r="O13" s="120"/>
      <c r="P13" s="120"/>
      <c r="Q13" s="3"/>
      <c r="R13" s="71"/>
      <c r="S13" s="12"/>
      <c r="T13" s="13"/>
      <c r="U13" s="13"/>
      <c r="V13" s="12"/>
      <c r="W13" s="12"/>
      <c r="X13" s="13"/>
      <c r="Y13" s="12"/>
      <c r="Z13" s="13"/>
    </row>
    <row x14ac:dyDescent="0.25" r="14" customHeight="1" ht="19.5">
      <c r="A14" s="71"/>
      <c r="B14" s="156">
        <f>IF(CurrentUnits="kg/head",CurrentYield*CurrentPopulation/1000,IF(CurrentUnits="kg/ha",CurrentYield/1000,CurrentYield))</f>
      </c>
      <c r="C14" s="157">
        <f>"Yield "&amp;CurrentYield_tperHa&amp;" (t/ha)"</f>
      </c>
      <c r="D14" s="147">
        <f>"requires "&amp;ROUND(SUM('Model Interface'!V3:W3),0)&amp;" kg N/ha from all sources"</f>
      </c>
      <c r="E14" s="3"/>
      <c r="F14" s="150" t="s">
        <v>515</v>
      </c>
      <c r="G14" s="141">
        <f>IF(H14="","None removed",H14)</f>
      </c>
      <c r="H14" s="151"/>
      <c r="I14" s="120"/>
      <c r="J14" s="120"/>
      <c r="K14" s="120"/>
      <c r="L14" s="120"/>
      <c r="M14" s="120"/>
      <c r="N14" s="120"/>
      <c r="O14" s="120"/>
      <c r="P14" s="120"/>
      <c r="Q14" s="3"/>
      <c r="R14" s="134">
        <f>MAX(PriorHarvestDate,MIN(C38,CurrentEstablishDate))</f>
        <v>25569.5</v>
      </c>
      <c r="S14" s="12"/>
      <c r="T14" s="13"/>
      <c r="U14" s="13"/>
      <c r="V14" s="12"/>
      <c r="W14" s="12"/>
      <c r="X14" s="13"/>
      <c r="Y14" s="12"/>
      <c r="Z14" s="13"/>
    </row>
    <row x14ac:dyDescent="0.25" r="15" customHeight="1" ht="21">
      <c r="A15" s="71"/>
      <c r="B15" s="113">
        <f>SUMIF(B29:B43,1,G29:G43)</f>
      </c>
      <c r="C15" s="158" t="s">
        <v>516</v>
      </c>
      <c r="D15" s="159">
        <f>SUMIF(B29:B43,1,G29:G43)&amp;" Kg/ha"</f>
      </c>
      <c r="E15" s="160" t="s">
        <v>517</v>
      </c>
      <c r="F15" s="150" t="s">
        <v>518</v>
      </c>
      <c r="G15" s="141">
        <f>IF(H15="","Full (Plough)",H15)</f>
      </c>
      <c r="H15" s="151"/>
      <c r="I15" s="120"/>
      <c r="J15" s="120"/>
      <c r="K15" s="120"/>
      <c r="L15" s="120"/>
      <c r="M15" s="120"/>
      <c r="N15" s="120"/>
      <c r="O15" s="120"/>
      <c r="P15" s="120"/>
      <c r="Q15" s="3"/>
      <c r="R15" s="161" t="s">
        <v>519</v>
      </c>
      <c r="S15" s="162"/>
      <c r="T15" s="163"/>
      <c r="U15" s="163"/>
      <c r="V15" s="162"/>
      <c r="W15" s="12"/>
      <c r="X15" s="13"/>
      <c r="Y15" s="12"/>
      <c r="Z15" s="13"/>
    </row>
    <row x14ac:dyDescent="0.25" r="16" customHeight="1" ht="18.75">
      <c r="A16" s="71"/>
      <c r="B16" s="121"/>
      <c r="C16" s="120"/>
      <c r="D16" s="135"/>
      <c r="E16" s="120"/>
      <c r="F16" s="71"/>
      <c r="G16" s="12"/>
      <c r="H16" s="3"/>
      <c r="I16" s="120"/>
      <c r="J16" s="120"/>
      <c r="K16" s="120"/>
      <c r="L16" s="120"/>
      <c r="M16" s="120"/>
      <c r="N16" s="120"/>
      <c r="O16" s="120"/>
      <c r="P16" s="120"/>
      <c r="Q16" s="3"/>
      <c r="R16" s="71"/>
      <c r="S16" s="12"/>
      <c r="T16" s="13"/>
      <c r="U16" s="13"/>
      <c r="V16" s="12"/>
      <c r="W16" s="12"/>
      <c r="X16" s="13"/>
      <c r="Y16" s="12"/>
      <c r="Z16" s="13"/>
    </row>
    <row x14ac:dyDescent="0.25" r="17" customHeight="1" ht="20.25">
      <c r="A17" s="134"/>
      <c r="B17" s="128"/>
      <c r="C17" s="129" t="s">
        <v>520</v>
      </c>
      <c r="D17" s="130"/>
      <c r="E17" s="129"/>
      <c r="F17" s="131"/>
      <c r="G17" s="130"/>
      <c r="H17" s="129"/>
      <c r="I17" s="120"/>
      <c r="J17" s="120"/>
      <c r="K17" s="120"/>
      <c r="L17" s="120"/>
      <c r="M17" s="120"/>
      <c r="N17" s="120"/>
      <c r="O17" s="120"/>
      <c r="P17" s="120"/>
      <c r="Q17" s="120"/>
      <c r="R17" s="134">
        <f>'Model Interface'!P5</f>
      </c>
      <c r="S17" s="135"/>
      <c r="T17" s="136" t="s">
        <v>521</v>
      </c>
      <c r="U17" s="136" t="s">
        <v>451</v>
      </c>
      <c r="V17" s="135" t="s">
        <v>428</v>
      </c>
      <c r="W17" s="135" t="s">
        <v>522</v>
      </c>
      <c r="X17" s="136" t="s">
        <v>455</v>
      </c>
      <c r="Y17" s="135" t="s">
        <v>391</v>
      </c>
      <c r="Z17" s="136" t="s">
        <v>523</v>
      </c>
    </row>
    <row x14ac:dyDescent="0.25" r="18" customHeight="1" ht="19.5">
      <c r="A18" s="71"/>
      <c r="B18" s="121"/>
      <c r="C18" s="3"/>
      <c r="D18" s="12"/>
      <c r="E18" s="3"/>
      <c r="F18" s="164"/>
      <c r="G18" s="165"/>
      <c r="H18" s="166"/>
      <c r="I18" s="120"/>
      <c r="J18" s="120"/>
      <c r="K18" s="120"/>
      <c r="L18" s="120"/>
      <c r="M18" s="120"/>
      <c r="N18" s="120"/>
      <c r="O18" s="120"/>
      <c r="P18" s="120"/>
      <c r="Q18" s="3"/>
      <c r="R18" s="134">
        <f>_xlfn._xlws.FILTER('Model Interface'!AD6:AD495,('Model Interface'!AD6:AD495&gt;=StartGraphDate)*('Model Interface'!AD6:AD495&lt;=CurrentHarvestDate),"")</f>
        <v>25569.5</v>
      </c>
      <c r="S18" s="113">
        <f>IF(R18&gt;1,R18,"")</f>
      </c>
      <c r="T18" s="167">
        <f>VLOOKUP(S18,ModelOutputs,2,FALSE)</f>
      </c>
      <c r="U18" s="167">
        <f>VLOOKUP(S18,ModelOutputs,7,FALSE)</f>
      </c>
      <c r="V18" s="113">
        <f>VLOOKUP(S18,ModelOutputs,6,FALSE)</f>
      </c>
      <c r="W18" s="8">
        <f>VLOOKUP(S18,ModelOutputs,10,FALSE)*AWC</f>
      </c>
      <c r="X18" s="7">
        <f>VLOOKUP(S18,ModelOutputs,11,FALSE)</f>
      </c>
      <c r="Y18" s="7">
        <f>VLOOKUP(S18,ModelOutputs,12,FALSE)</f>
      </c>
      <c r="Z18" s="8">
        <f>VLOOKUP(S18,ModelOutputs,13,FALSE)</f>
      </c>
    </row>
    <row x14ac:dyDescent="0.25" r="19" customHeight="1" ht="19.5">
      <c r="A19" s="71"/>
      <c r="B19" s="121"/>
      <c r="C19" s="145" t="s">
        <v>524</v>
      </c>
      <c r="D19" s="141">
        <f>IF(E19="",60,E19)</f>
      </c>
      <c r="E19" s="168"/>
      <c r="F19" s="169">
        <f>ROUND('Model Interface'!T2,0)&amp;" kg N/ha available from SOM mineralisation"</f>
      </c>
      <c r="G19" s="12"/>
      <c r="H19" s="3"/>
      <c r="I19" s="120"/>
      <c r="J19" s="120"/>
      <c r="K19" s="120"/>
      <c r="L19" s="120"/>
      <c r="M19" s="120"/>
      <c r="N19" s="120"/>
      <c r="O19" s="120"/>
      <c r="P19" s="120"/>
      <c r="Q19" s="3"/>
      <c r="R19" s="134">
        <v>44992</v>
      </c>
      <c r="S19" s="113">
        <f>IF(R19&gt;1,R19,"")</f>
      </c>
      <c r="T19" s="167">
        <f>IF(FollowingUnits="kg/head",IF(Z43="",VLOOKUP(FollowingCropNameFull,CropCoefficients,20,FALSE),Z43),"")</f>
      </c>
      <c r="U19" s="167">
        <f>VLOOKUP(S19,ModelOutputs,7,FALSE)</f>
      </c>
      <c r="V19" s="113">
        <f>VLOOKUP(S19,ModelOutputs,6,FALSE)</f>
      </c>
      <c r="W19" s="8">
        <f>VLOOKUP(S19,ModelOutputs,10,FALSE)*AWC</f>
      </c>
      <c r="X19" s="7">
        <f>VLOOKUP(S19,ModelOutputs,11,FALSE)+X18</f>
      </c>
      <c r="Y19" s="7">
        <f>VLOOKUP(S19,ModelOutputs,12,FALSE)</f>
      </c>
      <c r="Z19" s="8">
        <f>VLOOKUP(S19,ModelOutputs,13,FALSE)</f>
      </c>
    </row>
    <row x14ac:dyDescent="0.25" r="20" customHeight="1" ht="19.5">
      <c r="A20" s="71"/>
      <c r="B20" s="121"/>
      <c r="C20" s="145" t="s">
        <v>525</v>
      </c>
      <c r="D20" s="141">
        <f>IF(E20="","PMN",E20)</f>
      </c>
      <c r="E20" s="168"/>
      <c r="F20" s="169"/>
      <c r="G20" s="12"/>
      <c r="H20" s="3"/>
      <c r="I20" s="120"/>
      <c r="J20" s="120"/>
      <c r="K20" s="120"/>
      <c r="L20" s="120"/>
      <c r="M20" s="120"/>
      <c r="N20" s="120"/>
      <c r="O20" s="120"/>
      <c r="P20" s="120"/>
      <c r="Q20" s="3"/>
      <c r="R20" s="134">
        <v>44993</v>
      </c>
      <c r="S20" s="113">
        <f>IF(R20&gt;1,R20,"")</f>
      </c>
      <c r="T20" s="167">
        <f>IF(FollowingUnits="kg/head",IF(Z44="",VLOOKUP(FollowingCropNameFull,CropCoefficients,20,FALSE),Z44),"")</f>
      </c>
      <c r="U20" s="167">
        <f>VLOOKUP(S20,ModelOutputs,7,FALSE)</f>
      </c>
      <c r="V20" s="113">
        <f>VLOOKUP(S20,ModelOutputs,6,FALSE)</f>
      </c>
      <c r="W20" s="8">
        <f>VLOOKUP(S20,ModelOutputs,10,FALSE)*AWC</f>
      </c>
      <c r="X20" s="7">
        <f>VLOOKUP(S20,ModelOutputs,11,FALSE)+X19</f>
      </c>
      <c r="Y20" s="7">
        <f>VLOOKUP(S20,ModelOutputs,12,FALSE)</f>
      </c>
      <c r="Z20" s="8">
        <f>VLOOKUP(S20,ModelOutputs,13,FALSE)</f>
      </c>
    </row>
    <row x14ac:dyDescent="0.25" r="21" customHeight="1" ht="19.5">
      <c r="A21" s="71"/>
      <c r="B21" s="113">
        <f>VLOOKUP(SampleDepth,depths,2,FALSE)</f>
      </c>
      <c r="C21" s="145" t="s">
        <v>526</v>
      </c>
      <c r="D21" s="141">
        <f>IF(E21="","0-30cm",E21)</f>
      </c>
      <c r="E21" s="168"/>
      <c r="F21" s="169"/>
      <c r="G21" s="12"/>
      <c r="H21" s="3"/>
      <c r="I21" s="120"/>
      <c r="J21" s="120"/>
      <c r="K21" s="120"/>
      <c r="L21" s="120"/>
      <c r="M21" s="120"/>
      <c r="N21" s="120"/>
      <c r="O21" s="120"/>
      <c r="P21" s="120"/>
      <c r="Q21" s="3"/>
      <c r="R21" s="134">
        <v>44994</v>
      </c>
      <c r="S21" s="113">
        <f>IF(R21&gt;1,R21,"")</f>
      </c>
      <c r="T21" s="167">
        <f>IF(FollowingUnits="kg/head",IF(Z45="",VLOOKUP(FollowingCropNameFull,CropCoefficients,20,FALSE),Z45),"")</f>
      </c>
      <c r="U21" s="167">
        <f>VLOOKUP(S21,ModelOutputs,7,FALSE)</f>
      </c>
      <c r="V21" s="113">
        <f>VLOOKUP(S21,ModelOutputs,6,FALSE)</f>
      </c>
      <c r="W21" s="8">
        <f>VLOOKUP(S21,ModelOutputs,10,FALSE)*AWC</f>
      </c>
      <c r="X21" s="7">
        <f>VLOOKUP(S21,ModelOutputs,11,FALSE)+X20</f>
      </c>
      <c r="Y21" s="7">
        <f>VLOOKUP(S21,ModelOutputs,12,FALSE)</f>
      </c>
      <c r="Z21" s="8">
        <f>VLOOKUP(S21,ModelOutputs,13,FALSE)</f>
      </c>
    </row>
    <row x14ac:dyDescent="0.25" r="22" customHeight="1" ht="19.5">
      <c r="A22" s="71"/>
      <c r="B22" s="121"/>
      <c r="C22" s="145" t="s">
        <v>527</v>
      </c>
      <c r="D22" s="141">
        <f>IF(E22="","Brown",E22)</f>
      </c>
      <c r="E22" s="168"/>
      <c r="F22" s="169"/>
      <c r="G22" s="12"/>
      <c r="H22" s="3"/>
      <c r="I22" s="120"/>
      <c r="J22" s="120"/>
      <c r="K22" s="120"/>
      <c r="L22" s="120"/>
      <c r="M22" s="120"/>
      <c r="N22" s="120"/>
      <c r="O22" s="120"/>
      <c r="P22" s="120"/>
      <c r="Q22" s="3"/>
      <c r="R22" s="134">
        <v>44995</v>
      </c>
      <c r="S22" s="113">
        <f>IF(R22&gt;1,R22,"")</f>
      </c>
      <c r="T22" s="167">
        <f>IF(FollowingUnits="kg/head",IF(Z46="",VLOOKUP(FollowingCropNameFull,CropCoefficients,20,FALSE),Z46),"")</f>
      </c>
      <c r="U22" s="167">
        <f>VLOOKUP(S22,ModelOutputs,7,FALSE)</f>
      </c>
      <c r="V22" s="113">
        <f>VLOOKUP(S22,ModelOutputs,6,FALSE)</f>
      </c>
      <c r="W22" s="8">
        <f>VLOOKUP(S22,ModelOutputs,10,FALSE)*AWC</f>
      </c>
      <c r="X22" s="7">
        <f>VLOOKUP(S22,ModelOutputs,11,FALSE)+X21</f>
      </c>
      <c r="Y22" s="7">
        <f>VLOOKUP(S22,ModelOutputs,12,FALSE)</f>
      </c>
      <c r="Z22" s="8">
        <f>VLOOKUP(S22,ModelOutputs,13,FALSE)</f>
      </c>
    </row>
    <row x14ac:dyDescent="0.25" r="23" customHeight="1" ht="19.5">
      <c r="A23" s="71"/>
      <c r="B23" s="121"/>
      <c r="C23" s="145" t="s">
        <v>440</v>
      </c>
      <c r="D23" s="170">
        <f>IF(E23="",VLOOKUP(SoilOrder,SoilOrders,B21,FALSE),E23)</f>
      </c>
      <c r="E23" s="171"/>
      <c r="F23" s="169"/>
      <c r="G23" s="12"/>
      <c r="H23" s="3"/>
      <c r="I23" s="120"/>
      <c r="J23" s="120"/>
      <c r="K23" s="120"/>
      <c r="L23" s="120"/>
      <c r="M23" s="120"/>
      <c r="N23" s="120"/>
      <c r="O23" s="120"/>
      <c r="P23" s="120"/>
      <c r="Q23" s="3"/>
      <c r="R23" s="134">
        <v>44996</v>
      </c>
      <c r="S23" s="113">
        <f>IF(R23&gt;1,R23,"")</f>
      </c>
      <c r="T23" s="167">
        <f>IF(FollowingUnits="kg/head",IF(Z47="",VLOOKUP(FollowingCropNameFull,CropCoefficients,20,FALSE),Z47),"")</f>
      </c>
      <c r="U23" s="167">
        <f>VLOOKUP(S23,ModelOutputs,7,FALSE)</f>
      </c>
      <c r="V23" s="113">
        <f>VLOOKUP(S23,ModelOutputs,6,FALSE)</f>
      </c>
      <c r="W23" s="8">
        <f>VLOOKUP(S23,ModelOutputs,10,FALSE)*AWC</f>
      </c>
      <c r="X23" s="7">
        <f>VLOOKUP(S23,ModelOutputs,11,FALSE)+X22</f>
      </c>
      <c r="Y23" s="7">
        <f>VLOOKUP(S23,ModelOutputs,12,FALSE)</f>
      </c>
      <c r="Z23" s="8">
        <f>VLOOKUP(S23,ModelOutputs,13,FALSE)</f>
      </c>
    </row>
    <row x14ac:dyDescent="0.25" r="24" customHeight="1" ht="18.75">
      <c r="A24" s="71"/>
      <c r="B24" s="121"/>
      <c r="C24" s="3"/>
      <c r="D24" s="135"/>
      <c r="E24" s="3"/>
      <c r="F24" s="169"/>
      <c r="G24" s="12"/>
      <c r="H24" s="3"/>
      <c r="I24" s="120"/>
      <c r="J24" s="120"/>
      <c r="K24" s="120"/>
      <c r="L24" s="120"/>
      <c r="M24" s="120"/>
      <c r="N24" s="120"/>
      <c r="O24" s="120"/>
      <c r="P24" s="120"/>
      <c r="Q24" s="3"/>
      <c r="R24" s="134">
        <v>44997</v>
      </c>
      <c r="S24" s="113">
        <f>IF(R24&gt;1,R24,"")</f>
      </c>
      <c r="T24" s="167">
        <f>IF(FollowingUnits="kg/head",IF(Z48="",VLOOKUP(FollowingCropNameFull,CropCoefficients,20,FALSE),Z48),"")</f>
      </c>
      <c r="U24" s="167">
        <f>VLOOKUP(S24,ModelOutputs,7,FALSE)</f>
      </c>
      <c r="V24" s="113">
        <f>VLOOKUP(S24,ModelOutputs,6,FALSE)</f>
      </c>
      <c r="W24" s="8">
        <f>VLOOKUP(S24,ModelOutputs,10,FALSE)*AWC</f>
      </c>
      <c r="X24" s="7">
        <f>VLOOKUP(S24,ModelOutputs,11,FALSE)+X23</f>
      </c>
      <c r="Y24" s="7">
        <f>VLOOKUP(S24,ModelOutputs,12,FALSE)</f>
      </c>
      <c r="Z24" s="8">
        <f>VLOOKUP(S24,ModelOutputs,13,FALSE)</f>
      </c>
    </row>
    <row x14ac:dyDescent="0.25" r="25" customHeight="1" ht="19.5">
      <c r="A25" s="71"/>
      <c r="B25" s="121"/>
      <c r="C25" s="152">
        <f>IF(COUNT(C29:C34)&gt;0,"Side dressings remaining","Side dressings")</f>
      </c>
      <c r="D25" s="141">
        <f>IF(E25="",1,E25)</f>
      </c>
      <c r="E25" s="142"/>
      <c r="F25" s="71"/>
      <c r="G25" s="12"/>
      <c r="H25" s="3"/>
      <c r="I25" s="120"/>
      <c r="J25" s="120"/>
      <c r="K25" s="120"/>
      <c r="L25" s="120"/>
      <c r="M25" s="120"/>
      <c r="N25" s="120"/>
      <c r="O25" s="120"/>
      <c r="P25" s="120"/>
      <c r="Q25" s="3"/>
      <c r="R25" s="134">
        <v>44998</v>
      </c>
      <c r="S25" s="113">
        <f>IF(R25&gt;1,R25,"")</f>
      </c>
      <c r="T25" s="167">
        <f>IF(FollowingUnits="kg/head",IF(Z49="",VLOOKUP(FollowingCropNameFull,CropCoefficients,20,FALSE),Z49),"")</f>
      </c>
      <c r="U25" s="167">
        <f>VLOOKUP(S25,ModelOutputs,7,FALSE)</f>
      </c>
      <c r="V25" s="113">
        <f>VLOOKUP(S25,ModelOutputs,6,FALSE)</f>
      </c>
      <c r="W25" s="8">
        <f>VLOOKUP(S25,ModelOutputs,10,FALSE)*AWC</f>
      </c>
      <c r="X25" s="7">
        <f>VLOOKUP(S25,ModelOutputs,11,FALSE)+X24</f>
      </c>
      <c r="Y25" s="7">
        <f>VLOOKUP(S25,ModelOutputs,12,FALSE)</f>
      </c>
      <c r="Z25" s="8">
        <f>VLOOKUP(S25,ModelOutputs,13,FALSE)</f>
      </c>
    </row>
    <row x14ac:dyDescent="0.25" r="26" customHeight="1" ht="19.5">
      <c r="A26" s="71"/>
      <c r="B26" s="121"/>
      <c r="C26" s="139"/>
      <c r="D26" s="172"/>
      <c r="E26" s="139"/>
      <c r="F26" s="173"/>
      <c r="G26" s="12"/>
      <c r="H26" s="3"/>
      <c r="I26" s="120"/>
      <c r="J26" s="120"/>
      <c r="K26" s="120"/>
      <c r="L26" s="120"/>
      <c r="M26" s="120"/>
      <c r="N26" s="120"/>
      <c r="O26" s="120"/>
      <c r="P26" s="120"/>
      <c r="Q26" s="3"/>
      <c r="R26" s="134">
        <v>44999</v>
      </c>
      <c r="S26" s="113">
        <f>IF(R26&gt;1,R26,"")</f>
      </c>
      <c r="T26" s="167">
        <f>IF(FollowingUnits="kg/head",IF(Z50="",VLOOKUP(FollowingCropNameFull,CropCoefficients,20,FALSE),Z50),"")</f>
      </c>
      <c r="U26" s="167">
        <f>VLOOKUP(S26,ModelOutputs,7,FALSE)</f>
      </c>
      <c r="V26" s="113">
        <f>VLOOKUP(S26,ModelOutputs,6,FALSE)</f>
      </c>
      <c r="W26" s="8">
        <f>VLOOKUP(S26,ModelOutputs,10,FALSE)*AWC</f>
      </c>
      <c r="X26" s="7">
        <f>VLOOKUP(S26,ModelOutputs,11,FALSE)+X25</f>
      </c>
      <c r="Y26" s="7">
        <f>VLOOKUP(S26,ModelOutputs,12,FALSE)</f>
      </c>
      <c r="Z26" s="8">
        <f>VLOOKUP(S26,ModelOutputs,13,FALSE)</f>
      </c>
    </row>
    <row x14ac:dyDescent="0.25" r="27" customHeight="1" ht="20.25">
      <c r="A27" s="71"/>
      <c r="B27" s="121"/>
      <c r="C27" s="174" t="s">
        <v>528</v>
      </c>
      <c r="D27" s="175"/>
      <c r="E27" s="176"/>
      <c r="F27" s="177" t="s">
        <v>529</v>
      </c>
      <c r="G27" s="178"/>
      <c r="H27" s="3"/>
      <c r="I27" s="120"/>
      <c r="J27" s="120"/>
      <c r="K27" s="120"/>
      <c r="L27" s="120"/>
      <c r="M27" s="120"/>
      <c r="N27" s="120"/>
      <c r="O27" s="120"/>
      <c r="P27" s="120"/>
      <c r="Q27" s="3"/>
      <c r="R27" s="134">
        <v>45000</v>
      </c>
      <c r="S27" s="113">
        <f>IF(R27&gt;1,R27,"")</f>
      </c>
      <c r="T27" s="167">
        <f>IF(FollowingUnits="kg/head",IF(Z51="",VLOOKUP(FollowingCropNameFull,CropCoefficients,20,FALSE),Z51),"")</f>
      </c>
      <c r="U27" s="167">
        <f>VLOOKUP(S27,ModelOutputs,7,FALSE)</f>
      </c>
      <c r="V27" s="113">
        <f>VLOOKUP(S27,ModelOutputs,6,FALSE)</f>
      </c>
      <c r="W27" s="8">
        <f>VLOOKUP(S27,ModelOutputs,10,FALSE)*AWC</f>
      </c>
      <c r="X27" s="7">
        <f>VLOOKUP(S27,ModelOutputs,11,FALSE)+X26</f>
      </c>
      <c r="Y27" s="7">
        <f>VLOOKUP(S27,ModelOutputs,12,FALSE)</f>
      </c>
      <c r="Z27" s="8">
        <f>VLOOKUP(S27,ModelOutputs,13,FALSE)</f>
      </c>
    </row>
    <row x14ac:dyDescent="0.25" r="28" customHeight="1" ht="19.5">
      <c r="A28" s="71"/>
      <c r="B28" s="121"/>
      <c r="C28" s="179" t="s">
        <v>441</v>
      </c>
      <c r="D28" s="180" t="s">
        <v>530</v>
      </c>
      <c r="E28" s="120"/>
      <c r="F28" s="181" t="s">
        <v>441</v>
      </c>
      <c r="G28" s="182" t="s">
        <v>530</v>
      </c>
      <c r="H28" s="3"/>
      <c r="I28" s="120"/>
      <c r="J28" s="120"/>
      <c r="K28" s="120"/>
      <c r="L28" s="120"/>
      <c r="M28" s="120"/>
      <c r="N28" s="120"/>
      <c r="O28" s="120"/>
      <c r="P28" s="120"/>
      <c r="Q28" s="3"/>
      <c r="R28" s="134">
        <v>45001</v>
      </c>
      <c r="S28" s="113">
        <f>IF(R28&gt;1,R28,"")</f>
      </c>
      <c r="T28" s="167">
        <f>IF(FollowingUnits="kg/head",IF(Z52="",VLOOKUP(FollowingCropNameFull,CropCoefficients,20,FALSE),Z52),"")</f>
      </c>
      <c r="U28" s="167">
        <f>VLOOKUP(S28,ModelOutputs,7,FALSE)</f>
      </c>
      <c r="V28" s="113">
        <f>VLOOKUP(S28,ModelOutputs,6,FALSE)</f>
      </c>
      <c r="W28" s="8">
        <f>VLOOKUP(S28,ModelOutputs,10,FALSE)*AWC</f>
      </c>
      <c r="X28" s="7">
        <f>VLOOKUP(S28,ModelOutputs,11,FALSE)+X27</f>
      </c>
      <c r="Y28" s="7">
        <f>VLOOKUP(S28,ModelOutputs,12,FALSE)</f>
      </c>
      <c r="Z28" s="8">
        <f>VLOOKUP(S28,ModelOutputs,13,FALSE)</f>
      </c>
    </row>
    <row x14ac:dyDescent="0.25" r="29" customHeight="1" ht="18.75">
      <c r="A29" s="134">
        <f>_xlfn._xlws.FILTER('Model Interface'!AD6:AD495,'Model Interface'!AE6:AE495&gt;0,"")</f>
        <v>25569.5</v>
      </c>
      <c r="B29" s="113">
        <f>IF(AND(NOT(F29=""),F29&gt;=StartSchedullingDate),1,0)</f>
      </c>
      <c r="C29" s="183"/>
      <c r="D29" s="184"/>
      <c r="E29" s="120"/>
      <c r="F29" s="185">
        <f>A29</f>
        <v>25569.5</v>
      </c>
      <c r="G29" s="186">
        <f>IFERROR(VLOOKUP(F29,'Model Interface'!$P$6:$U$495,6,FALSE),"")</f>
      </c>
      <c r="H29" s="187">
        <f>IF(B29=1,"Suggested","Applied or Planned")</f>
      </c>
      <c r="I29" s="120"/>
      <c r="J29" s="120"/>
      <c r="K29" s="120"/>
      <c r="L29" s="120"/>
      <c r="M29" s="120"/>
      <c r="N29" s="120"/>
      <c r="O29" s="120"/>
      <c r="P29" s="120"/>
      <c r="Q29" s="3"/>
      <c r="R29" s="134">
        <v>45002</v>
      </c>
      <c r="S29" s="113">
        <f>IF(R29&gt;1,R29,"")</f>
      </c>
      <c r="T29" s="167">
        <f>IF(FollowingUnits="kg/head",IF(Z53="",VLOOKUP(FollowingCropNameFull,CropCoefficients,20,FALSE),Z53),"")</f>
      </c>
      <c r="U29" s="167">
        <f>VLOOKUP(S29,ModelOutputs,7,FALSE)</f>
      </c>
      <c r="V29" s="113">
        <f>VLOOKUP(S29,ModelOutputs,6,FALSE)</f>
      </c>
      <c r="W29" s="8">
        <f>VLOOKUP(S29,ModelOutputs,10,FALSE)*AWC</f>
      </c>
      <c r="X29" s="7">
        <f>VLOOKUP(S29,ModelOutputs,11,FALSE)+X28</f>
      </c>
      <c r="Y29" s="7">
        <f>VLOOKUP(S29,ModelOutputs,12,FALSE)</f>
      </c>
      <c r="Z29" s="8">
        <f>VLOOKUP(S29,ModelOutputs,13,FALSE)</f>
      </c>
    </row>
    <row x14ac:dyDescent="0.25" r="30" customHeight="1" ht="18.75">
      <c r="A30" s="134">
        <v>45031</v>
      </c>
      <c r="B30" s="113">
        <f>IF(AND(NOT(F30=""),F30&gt;=StartSchedullingDate),1,0)</f>
      </c>
      <c r="C30" s="183"/>
      <c r="D30" s="188"/>
      <c r="E30" s="120"/>
      <c r="F30" s="185">
        <f>IFERROR(IF(A30=A29,"",A30),"")</f>
        <v>25569.5</v>
      </c>
      <c r="G30" s="186">
        <f>IFERROR(VLOOKUP(F30,'Model Interface'!$P$6:$U$495,6,FALSE),"")</f>
      </c>
      <c r="H30" s="187">
        <f>IF(F30="","",IF(F30&lt;=StartSchedullingDate,"Applied or Planned","Suggested"))</f>
      </c>
      <c r="I30" s="120"/>
      <c r="J30" s="120"/>
      <c r="K30" s="120"/>
      <c r="L30" s="120"/>
      <c r="M30" s="120"/>
      <c r="N30" s="120"/>
      <c r="O30" s="120"/>
      <c r="P30" s="120"/>
      <c r="Q30" s="3"/>
      <c r="R30" s="134">
        <v>45003</v>
      </c>
      <c r="S30" s="113">
        <f>IF(R30&gt;1,R30,"")</f>
      </c>
      <c r="T30" s="167">
        <f>IF(FollowingUnits="kg/head",IF(Z54="",VLOOKUP(FollowingCropNameFull,CropCoefficients,20,FALSE),Z54),"")</f>
      </c>
      <c r="U30" s="167">
        <f>VLOOKUP(S30,ModelOutputs,7,FALSE)</f>
      </c>
      <c r="V30" s="113">
        <f>VLOOKUP(S30,ModelOutputs,6,FALSE)</f>
      </c>
      <c r="W30" s="8">
        <f>VLOOKUP(S30,ModelOutputs,10,FALSE)*AWC</f>
      </c>
      <c r="X30" s="7">
        <f>VLOOKUP(S30,ModelOutputs,11,FALSE)+X29</f>
      </c>
      <c r="Y30" s="7">
        <f>VLOOKUP(S30,ModelOutputs,12,FALSE)</f>
      </c>
      <c r="Z30" s="8">
        <f>VLOOKUP(S30,ModelOutputs,13,FALSE)</f>
      </c>
    </row>
    <row x14ac:dyDescent="0.25" r="31" customHeight="1" ht="18.75">
      <c r="A31" s="134">
        <v>45031</v>
      </c>
      <c r="B31" s="113">
        <f>IF(AND(NOT(F31=""),F31&gt;=StartSchedullingDate),1,0)</f>
      </c>
      <c r="C31" s="183"/>
      <c r="D31" s="188"/>
      <c r="E31" s="120"/>
      <c r="F31" s="185">
        <f>IFERROR(IF(A31=A30,"",A31),"")</f>
        <v>25569.5</v>
      </c>
      <c r="G31" s="186">
        <f>IFERROR(VLOOKUP(F31,'Model Interface'!$P$6:$U$495,6,FALSE),"")</f>
      </c>
      <c r="H31" s="187">
        <f>IF(F31="","",IF(F31&lt;=StartSchedullingDate,"Applied or Planned","Suggested"))</f>
      </c>
      <c r="I31" s="120"/>
      <c r="J31" s="120"/>
      <c r="K31" s="120"/>
      <c r="L31" s="120"/>
      <c r="M31" s="120"/>
      <c r="N31" s="120"/>
      <c r="O31" s="120"/>
      <c r="P31" s="120"/>
      <c r="Q31" s="3"/>
      <c r="R31" s="134">
        <v>45004</v>
      </c>
      <c r="S31" s="113">
        <f>IF(R31&gt;1,R31,"")</f>
      </c>
      <c r="T31" s="167">
        <f>IF(FollowingUnits="kg/head",IF(Z55="",VLOOKUP(FollowingCropNameFull,CropCoefficients,20,FALSE),Z55),"")</f>
      </c>
      <c r="U31" s="167">
        <f>VLOOKUP(S31,ModelOutputs,7,FALSE)</f>
      </c>
      <c r="V31" s="113">
        <f>VLOOKUP(S31,ModelOutputs,6,FALSE)</f>
      </c>
      <c r="W31" s="8">
        <f>VLOOKUP(S31,ModelOutputs,10,FALSE)*AWC</f>
      </c>
      <c r="X31" s="7">
        <f>VLOOKUP(S31,ModelOutputs,11,FALSE)+X30</f>
      </c>
      <c r="Y31" s="7">
        <f>VLOOKUP(S31,ModelOutputs,12,FALSE)</f>
      </c>
      <c r="Z31" s="8">
        <f>VLOOKUP(S31,ModelOutputs,13,FALSE)</f>
      </c>
    </row>
    <row x14ac:dyDescent="0.25" r="32" customHeight="1" ht="18.75">
      <c r="A32" s="134">
        <v>45031</v>
      </c>
      <c r="B32" s="113">
        <f>IF(AND(NOT(F32=""),F32&gt;=StartSchedullingDate),1,0)</f>
      </c>
      <c r="C32" s="183"/>
      <c r="D32" s="188"/>
      <c r="E32" s="120"/>
      <c r="F32" s="185">
        <f>IFERROR(IF(A32=A31,"",A32),"")</f>
        <v>25569.5</v>
      </c>
      <c r="G32" s="186">
        <f>IFERROR(VLOOKUP(F32,'Model Interface'!$P$6:$U$495,6,FALSE),"")</f>
      </c>
      <c r="H32" s="187">
        <f>IF(F32="","",IF(F32&lt;=StartSchedullingDate,"Applied or Planned","Suggested"))</f>
      </c>
      <c r="I32" s="120"/>
      <c r="J32" s="120"/>
      <c r="K32" s="120"/>
      <c r="L32" s="120"/>
      <c r="M32" s="120"/>
      <c r="N32" s="120"/>
      <c r="O32" s="120"/>
      <c r="P32" s="120"/>
      <c r="Q32" s="3"/>
      <c r="R32" s="134">
        <v>45005</v>
      </c>
      <c r="S32" s="113">
        <f>IF(R32&gt;1,R32,"")</f>
      </c>
      <c r="T32" s="167">
        <f>IF(FollowingUnits="kg/head",IF(Z56="",VLOOKUP(FollowingCropNameFull,CropCoefficients,20,FALSE),Z56),"")</f>
      </c>
      <c r="U32" s="167">
        <f>VLOOKUP(S32,ModelOutputs,7,FALSE)</f>
      </c>
      <c r="V32" s="113">
        <f>VLOOKUP(S32,ModelOutputs,6,FALSE)</f>
      </c>
      <c r="W32" s="8">
        <f>VLOOKUP(S32,ModelOutputs,10,FALSE)*AWC</f>
      </c>
      <c r="X32" s="7">
        <f>VLOOKUP(S32,ModelOutputs,11,FALSE)+X31</f>
      </c>
      <c r="Y32" s="7">
        <f>VLOOKUP(S32,ModelOutputs,12,FALSE)</f>
      </c>
      <c r="Z32" s="8">
        <f>VLOOKUP(S32,ModelOutputs,13,FALSE)</f>
      </c>
    </row>
    <row x14ac:dyDescent="0.25" r="33" customHeight="1" ht="18.75">
      <c r="A33" s="134">
        <v>45031</v>
      </c>
      <c r="B33" s="113">
        <f>IF(AND(NOT(F33=""),F33&gt;=StartSchedullingDate),1,0)</f>
      </c>
      <c r="C33" s="183"/>
      <c r="D33" s="188"/>
      <c r="E33" s="120"/>
      <c r="F33" s="185">
        <f>IFERROR(IF(A33=A32,"",A33),"")</f>
        <v>25569.5</v>
      </c>
      <c r="G33" s="186">
        <f>IFERROR(VLOOKUP(F33,'Model Interface'!$P$6:$U$495,6,FALSE),"")</f>
      </c>
      <c r="H33" s="187">
        <f>IF(F33="","",IF(F33&lt;=StartSchedullingDate,"Applied or Planned","Suggested"))</f>
      </c>
      <c r="I33" s="120"/>
      <c r="J33" s="120"/>
      <c r="K33" s="120"/>
      <c r="L33" s="120"/>
      <c r="M33" s="120"/>
      <c r="N33" s="120"/>
      <c r="O33" s="120"/>
      <c r="P33" s="120"/>
      <c r="Q33" s="3"/>
      <c r="R33" s="134">
        <v>45006</v>
      </c>
      <c r="S33" s="113">
        <f>IF(R33&gt;1,R33,"")</f>
      </c>
      <c r="T33" s="167">
        <f>IF(FollowingUnits="kg/head",IF(Z57="",VLOOKUP(FollowingCropNameFull,CropCoefficients,20,FALSE),Z57),"")</f>
      </c>
      <c r="U33" s="167">
        <f>VLOOKUP(S33,ModelOutputs,7,FALSE)</f>
      </c>
      <c r="V33" s="113">
        <f>VLOOKUP(S33,ModelOutputs,6,FALSE)</f>
      </c>
      <c r="W33" s="8">
        <f>VLOOKUP(S33,ModelOutputs,10,FALSE)*AWC</f>
      </c>
      <c r="X33" s="7">
        <f>VLOOKUP(S33,ModelOutputs,11,FALSE)+X32</f>
      </c>
      <c r="Y33" s="7">
        <f>VLOOKUP(S33,ModelOutputs,12,FALSE)</f>
      </c>
      <c r="Z33" s="8">
        <f>VLOOKUP(S33,ModelOutputs,13,FALSE)</f>
      </c>
    </row>
    <row x14ac:dyDescent="0.25" r="34" customHeight="1" ht="18.75">
      <c r="A34" s="134">
        <v>45031</v>
      </c>
      <c r="B34" s="113">
        <f>IF(AND(NOT(F34=""),F34&gt;=StartSchedullingDate),1,0)</f>
      </c>
      <c r="C34" s="189"/>
      <c r="D34" s="190"/>
      <c r="E34" s="120"/>
      <c r="F34" s="185">
        <f>IFERROR(IF(A34=A33,"",A34),"")</f>
        <v>25569.5</v>
      </c>
      <c r="G34" s="186">
        <f>IFERROR(VLOOKUP(F34,'Model Interface'!$P$6:$U$495,6,FALSE),"")</f>
      </c>
      <c r="H34" s="187">
        <f>IF(F34="","",IF(F34&lt;=StartSchedullingDate,"Applied or Planned","Suggested"))</f>
      </c>
      <c r="I34" s="120"/>
      <c r="J34" s="120"/>
      <c r="K34" s="120"/>
      <c r="L34" s="120"/>
      <c r="M34" s="120"/>
      <c r="N34" s="120"/>
      <c r="O34" s="120"/>
      <c r="P34" s="120"/>
      <c r="Q34" s="3"/>
      <c r="R34" s="134">
        <v>45007</v>
      </c>
      <c r="S34" s="113">
        <f>IF(R34&gt;1,R34,"")</f>
      </c>
      <c r="T34" s="167">
        <f>IF(FollowingUnits="kg/head",IF(Z58="",VLOOKUP(FollowingCropNameFull,CropCoefficients,20,FALSE),Z58),"")</f>
      </c>
      <c r="U34" s="167">
        <f>VLOOKUP(S34,ModelOutputs,7,FALSE)</f>
      </c>
      <c r="V34" s="113">
        <f>VLOOKUP(S34,ModelOutputs,6,FALSE)</f>
      </c>
      <c r="W34" s="8">
        <f>VLOOKUP(S34,ModelOutputs,10,FALSE)*AWC</f>
      </c>
      <c r="X34" s="7">
        <f>VLOOKUP(S34,ModelOutputs,11,FALSE)+X33</f>
      </c>
      <c r="Y34" s="7">
        <f>VLOOKUP(S34,ModelOutputs,12,FALSE)</f>
      </c>
      <c r="Z34" s="8">
        <f>VLOOKUP(S34,ModelOutputs,13,FALSE)</f>
      </c>
    </row>
    <row x14ac:dyDescent="0.25" r="35" customHeight="1" ht="18.75">
      <c r="A35" s="134">
        <v>45031</v>
      </c>
      <c r="B35" s="113">
        <f>IF(AND(NOT(F35=""),F35&gt;=StartSchedullingDate),1,0)</f>
      </c>
      <c r="C35" s="3"/>
      <c r="D35" s="12"/>
      <c r="E35" s="3"/>
      <c r="F35" s="185">
        <f>IFERROR(IF(A35=A34,"",A35),"")</f>
        <v>25569.5</v>
      </c>
      <c r="G35" s="186">
        <f>IFERROR(VLOOKUP(F35,'Model Interface'!$P$6:$U$495,6,FALSE),"")</f>
      </c>
      <c r="H35" s="187">
        <f>IF(F35="","",IF(F35&lt;=StartSchedullingDate,"Applied or Planned","Suggested"))</f>
      </c>
      <c r="I35" s="120"/>
      <c r="J35" s="120"/>
      <c r="K35" s="120"/>
      <c r="L35" s="120"/>
      <c r="M35" s="120"/>
      <c r="N35" s="120"/>
      <c r="O35" s="120"/>
      <c r="P35" s="120"/>
      <c r="Q35" s="3"/>
      <c r="R35" s="134">
        <v>45008</v>
      </c>
      <c r="S35" s="113">
        <f>IF(R35&gt;1,R35,"")</f>
      </c>
      <c r="T35" s="167">
        <f>IF(FollowingUnits="kg/head",IF(Z59="",VLOOKUP(FollowingCropNameFull,CropCoefficients,20,FALSE),Z59),"")</f>
      </c>
      <c r="U35" s="167">
        <f>VLOOKUP(S35,ModelOutputs,7,FALSE)</f>
      </c>
      <c r="V35" s="113">
        <f>VLOOKUP(S35,ModelOutputs,6,FALSE)</f>
      </c>
      <c r="W35" s="8">
        <f>VLOOKUP(S35,ModelOutputs,10,FALSE)*AWC</f>
      </c>
      <c r="X35" s="7">
        <f>VLOOKUP(S35,ModelOutputs,11,FALSE)+X34</f>
      </c>
      <c r="Y35" s="7">
        <f>VLOOKUP(S35,ModelOutputs,12,FALSE)</f>
      </c>
      <c r="Z35" s="8">
        <f>VLOOKUP(S35,ModelOutputs,13,FALSE)</f>
      </c>
    </row>
    <row x14ac:dyDescent="0.25" r="36" customHeight="1" ht="18.75">
      <c r="A36" s="134">
        <v>45031</v>
      </c>
      <c r="B36" s="113">
        <f>IF(AND(NOT(F36=""),F36&gt;=StartSchedullingDate),1,0)</f>
      </c>
      <c r="C36" s="174" t="s">
        <v>531</v>
      </c>
      <c r="D36" s="175"/>
      <c r="E36" s="3"/>
      <c r="F36" s="185">
        <f>IFERROR(IF(A36=A35,"",A36),"")</f>
        <v>25569.5</v>
      </c>
      <c r="G36" s="186">
        <f>IFERROR(VLOOKUP(F36,'Model Interface'!$P$6:$U$495,6,FALSE),"")</f>
      </c>
      <c r="H36" s="187">
        <f>IF(F36="","",IF(F36&lt;=StartSchedullingDate,"Applied or Planned","Suggested"))</f>
      </c>
      <c r="I36" s="120"/>
      <c r="J36" s="120"/>
      <c r="K36" s="120"/>
      <c r="L36" s="120"/>
      <c r="M36" s="120"/>
      <c r="N36" s="120"/>
      <c r="O36" s="120"/>
      <c r="P36" s="120"/>
      <c r="Q36" s="3"/>
      <c r="R36" s="134">
        <v>45009</v>
      </c>
      <c r="S36" s="113">
        <f>IF(R36&gt;1,R36,"")</f>
      </c>
      <c r="T36" s="167">
        <f>IF(FollowingUnits="kg/head",IF(Z60="",VLOOKUP(FollowingCropNameFull,CropCoefficients,20,FALSE),Z60),"")</f>
      </c>
      <c r="U36" s="167">
        <f>VLOOKUP(S36,ModelOutputs,7,FALSE)</f>
      </c>
      <c r="V36" s="113">
        <f>VLOOKUP(S36,ModelOutputs,6,FALSE)</f>
      </c>
      <c r="W36" s="8">
        <f>VLOOKUP(S36,ModelOutputs,10,FALSE)*AWC</f>
      </c>
      <c r="X36" s="7">
        <f>VLOOKUP(S36,ModelOutputs,11,FALSE)+X35</f>
      </c>
      <c r="Y36" s="7">
        <f>VLOOKUP(S36,ModelOutputs,12,FALSE)</f>
      </c>
      <c r="Z36" s="8">
        <f>VLOOKUP(S36,ModelOutputs,13,FALSE)</f>
      </c>
    </row>
    <row x14ac:dyDescent="0.25" r="37" customHeight="1" ht="18.75">
      <c r="A37" s="134">
        <v>45031</v>
      </c>
      <c r="B37" s="113">
        <f>IF(AND(NOT(F37=""),F37&gt;=StartSchedullingDate),1,0)</f>
      </c>
      <c r="C37" s="179" t="s">
        <v>441</v>
      </c>
      <c r="D37" s="180" t="s">
        <v>532</v>
      </c>
      <c r="E37" s="3"/>
      <c r="F37" s="185">
        <f>IFERROR(IF(A37=A36,"",A37),"")</f>
        <v>25569.5</v>
      </c>
      <c r="G37" s="186">
        <f>IFERROR(VLOOKUP(F37,'Model Interface'!$P$6:$U$495,6,FALSE),"")</f>
      </c>
      <c r="H37" s="187">
        <f>IF(F37="","",IF(F37&lt;=StartSchedullingDate,"Applied or Planned","Suggested"))</f>
      </c>
      <c r="I37" s="120"/>
      <c r="J37" s="120"/>
      <c r="K37" s="120"/>
      <c r="L37" s="120"/>
      <c r="M37" s="120"/>
      <c r="N37" s="120"/>
      <c r="O37" s="120"/>
      <c r="P37" s="120"/>
      <c r="Q37" s="3"/>
      <c r="R37" s="134">
        <v>45010</v>
      </c>
      <c r="S37" s="113">
        <f>IF(R37&gt;1,R37,"")</f>
      </c>
      <c r="T37" s="167">
        <f>IF(FollowingUnits="kg/head",IF(Z61="",VLOOKUP(FollowingCropNameFull,CropCoefficients,20,FALSE),Z61),"")</f>
      </c>
      <c r="U37" s="167">
        <f>VLOOKUP(S37,ModelOutputs,7,FALSE)</f>
      </c>
      <c r="V37" s="113">
        <f>VLOOKUP(S37,ModelOutputs,6,FALSE)</f>
      </c>
      <c r="W37" s="8">
        <f>VLOOKUP(S37,ModelOutputs,10,FALSE)*AWC</f>
      </c>
      <c r="X37" s="7">
        <f>VLOOKUP(S37,ModelOutputs,11,FALSE)+X36</f>
      </c>
      <c r="Y37" s="7">
        <f>VLOOKUP(S37,ModelOutputs,12,FALSE)</f>
      </c>
      <c r="Z37" s="8">
        <f>VLOOKUP(S37,ModelOutputs,13,FALSE)</f>
      </c>
    </row>
    <row x14ac:dyDescent="0.25" r="38" customHeight="1" ht="18.75">
      <c r="A38" s="134">
        <v>45031</v>
      </c>
      <c r="B38" s="113">
        <f>IF(AND(NOT(F38=""),F38&gt;=StartSchedullingDate),1,0)</f>
      </c>
      <c r="C38" s="191"/>
      <c r="D38" s="184"/>
      <c r="E38" s="3"/>
      <c r="F38" s="185">
        <f>IFERROR(IF(A38=A37,"",A38),"")</f>
        <v>25569.5</v>
      </c>
      <c r="G38" s="186">
        <f>IFERROR(VLOOKUP(F38,'Model Interface'!$P$6:$U$495,6,FALSE),"")</f>
      </c>
      <c r="H38" s="187">
        <f>IF(F38="","",IF(F38&lt;=StartSchedullingDate,"Applied or Planned","Suggested"))</f>
      </c>
      <c r="I38" s="120"/>
      <c r="J38" s="120"/>
      <c r="K38" s="120"/>
      <c r="L38" s="120"/>
      <c r="M38" s="120"/>
      <c r="N38" s="120"/>
      <c r="O38" s="120"/>
      <c r="P38" s="120"/>
      <c r="Q38" s="3"/>
      <c r="R38" s="134">
        <v>45011</v>
      </c>
      <c r="S38" s="113">
        <f>IF(R38&gt;1,R38,"")</f>
      </c>
      <c r="T38" s="167">
        <f>IF(FollowingUnits="kg/head",IF(Z62="",VLOOKUP(FollowingCropNameFull,CropCoefficients,20,FALSE),Z62),"")</f>
      </c>
      <c r="U38" s="167">
        <f>VLOOKUP(S38,ModelOutputs,7,FALSE)</f>
      </c>
      <c r="V38" s="113">
        <f>VLOOKUP(S38,ModelOutputs,6,FALSE)</f>
      </c>
      <c r="W38" s="8">
        <f>VLOOKUP(S38,ModelOutputs,10,FALSE)*AWC</f>
      </c>
      <c r="X38" s="7">
        <f>VLOOKUP(S38,ModelOutputs,11,FALSE)+X37</f>
      </c>
      <c r="Y38" s="7">
        <f>VLOOKUP(S38,ModelOutputs,12,FALSE)</f>
      </c>
      <c r="Z38" s="8">
        <f>VLOOKUP(S38,ModelOutputs,13,FALSE)</f>
      </c>
    </row>
    <row x14ac:dyDescent="0.25" r="39" customHeight="1" ht="18.75">
      <c r="A39" s="134">
        <v>45031</v>
      </c>
      <c r="B39" s="113">
        <f>IF(AND(NOT(F39=""),F39&gt;=StartSchedullingDate),1,0)</f>
      </c>
      <c r="C39" s="183"/>
      <c r="D39" s="188"/>
      <c r="E39" s="3"/>
      <c r="F39" s="185">
        <f>IFERROR(IF(A39=A38,"",A39),"")</f>
        <v>25569.5</v>
      </c>
      <c r="G39" s="186">
        <f>IFERROR(VLOOKUP(F39,'Model Interface'!$P$6:$U$495,6,FALSE),"")</f>
      </c>
      <c r="H39" s="187">
        <f>IF(F39="","",IF(F39&lt;=StartSchedullingDate,"Applied or Planned","Suggested"))</f>
      </c>
      <c r="I39" s="120"/>
      <c r="J39" s="120"/>
      <c r="K39" s="120"/>
      <c r="L39" s="120"/>
      <c r="M39" s="120"/>
      <c r="N39" s="120"/>
      <c r="O39" s="120"/>
      <c r="P39" s="120"/>
      <c r="Q39" s="3"/>
      <c r="R39" s="134">
        <v>45012</v>
      </c>
      <c r="S39" s="113">
        <f>IF(R39&gt;1,R39,"")</f>
      </c>
      <c r="T39" s="167">
        <f>IF(FollowingUnits="kg/head",IF(Z63="",VLOOKUP(FollowingCropNameFull,CropCoefficients,20,FALSE),Z63),"")</f>
      </c>
      <c r="U39" s="167">
        <f>VLOOKUP(S39,ModelOutputs,7,FALSE)</f>
      </c>
      <c r="V39" s="113">
        <f>VLOOKUP(S39,ModelOutputs,6,FALSE)</f>
      </c>
      <c r="W39" s="8">
        <f>VLOOKUP(S39,ModelOutputs,10,FALSE)*AWC</f>
      </c>
      <c r="X39" s="7">
        <f>VLOOKUP(S39,ModelOutputs,11,FALSE)+X38</f>
      </c>
      <c r="Y39" s="7">
        <f>VLOOKUP(S39,ModelOutputs,12,FALSE)</f>
      </c>
      <c r="Z39" s="8">
        <f>VLOOKUP(S39,ModelOutputs,13,FALSE)</f>
      </c>
    </row>
    <row x14ac:dyDescent="0.25" r="40" customHeight="1" ht="6.75">
      <c r="A40" s="134">
        <v>45031</v>
      </c>
      <c r="B40" s="113">
        <f>IF(AND(NOT(F40=""),F40&gt;=StartSchedullingDate),1,0)</f>
      </c>
      <c r="C40" s="183"/>
      <c r="D40" s="188"/>
      <c r="E40" s="3"/>
      <c r="F40" s="185">
        <f>IFERROR(IF(A40=A39,"",A40),"")</f>
        <v>25569.5</v>
      </c>
      <c r="G40" s="186">
        <f>IFERROR(VLOOKUP(F40,'Model Interface'!$P$6:$U$495,6,FALSE),"")</f>
      </c>
      <c r="H40" s="187">
        <f>IF(F40="","",IF(F40&lt;=StartSchedullingDate,"Applied or Planned","Suggested"))</f>
      </c>
      <c r="I40" s="120"/>
      <c r="J40" s="120"/>
      <c r="K40" s="120"/>
      <c r="L40" s="120"/>
      <c r="M40" s="120"/>
      <c r="N40" s="120"/>
      <c r="O40" s="120"/>
      <c r="P40" s="120"/>
      <c r="Q40" s="3"/>
      <c r="R40" s="134">
        <v>45013</v>
      </c>
      <c r="S40" s="113">
        <f>IF(R40&gt;1,R40,"")</f>
      </c>
      <c r="T40" s="167">
        <f>IF(FollowingUnits="kg/head",IF(Z64="",VLOOKUP(FollowingCropNameFull,CropCoefficients,20,FALSE),Z64),"")</f>
      </c>
      <c r="U40" s="167">
        <f>VLOOKUP(S40,ModelOutputs,7,FALSE)</f>
      </c>
      <c r="V40" s="113">
        <f>VLOOKUP(S40,ModelOutputs,6,FALSE)</f>
      </c>
      <c r="W40" s="8">
        <f>VLOOKUP(S40,ModelOutputs,10,FALSE)*AWC</f>
      </c>
      <c r="X40" s="7">
        <f>VLOOKUP(S40,ModelOutputs,11,FALSE)+X39</f>
      </c>
      <c r="Y40" s="7">
        <f>VLOOKUP(S40,ModelOutputs,12,FALSE)</f>
      </c>
      <c r="Z40" s="8">
        <f>VLOOKUP(S40,ModelOutputs,13,FALSE)</f>
      </c>
    </row>
    <row x14ac:dyDescent="0.25" r="41" customHeight="1" ht="18.75">
      <c r="A41" s="134">
        <v>45031</v>
      </c>
      <c r="B41" s="113">
        <f>IF(AND(NOT(F41=""),F41&gt;=StartSchedullingDate),1,0)</f>
      </c>
      <c r="C41" s="183"/>
      <c r="D41" s="188"/>
      <c r="E41" s="3"/>
      <c r="F41" s="185">
        <f>IFERROR(IF(A41=A40,"",A41),"")</f>
        <v>25569.5</v>
      </c>
      <c r="G41" s="186">
        <f>IFERROR(VLOOKUP(F41,'Model Interface'!$P$6:$U$495,6,FALSE),"")</f>
      </c>
      <c r="H41" s="187">
        <f>IF(F41="","",IF(F41&lt;=StartSchedullingDate,"Applied or Planned","Suggested"))</f>
      </c>
      <c r="I41" s="120"/>
      <c r="J41" s="120"/>
      <c r="K41" s="120"/>
      <c r="L41" s="120"/>
      <c r="M41" s="120"/>
      <c r="N41" s="120"/>
      <c r="O41" s="120"/>
      <c r="P41" s="120"/>
      <c r="Q41" s="3"/>
      <c r="R41" s="134">
        <v>45014</v>
      </c>
      <c r="S41" s="113">
        <f>IF(R41&gt;1,R41,"")</f>
      </c>
      <c r="T41" s="167">
        <f>IF(FollowingUnits="kg/head",IF(Z65="",VLOOKUP(FollowingCropNameFull,CropCoefficients,20,FALSE),Z65),"")</f>
      </c>
      <c r="U41" s="167">
        <f>VLOOKUP(S41,ModelOutputs,7,FALSE)</f>
      </c>
      <c r="V41" s="113">
        <f>VLOOKUP(S41,ModelOutputs,6,FALSE)</f>
      </c>
      <c r="W41" s="8">
        <f>VLOOKUP(S41,ModelOutputs,10,FALSE)*AWC</f>
      </c>
      <c r="X41" s="7">
        <f>VLOOKUP(S41,ModelOutputs,11,FALSE)+X40</f>
      </c>
      <c r="Y41" s="7">
        <f>VLOOKUP(S41,ModelOutputs,12,FALSE)</f>
      </c>
      <c r="Z41" s="8">
        <f>VLOOKUP(S41,ModelOutputs,13,FALSE)</f>
      </c>
    </row>
    <row x14ac:dyDescent="0.25" r="42" customHeight="1" ht="18.75">
      <c r="A42" s="134">
        <v>45031</v>
      </c>
      <c r="B42" s="113">
        <f>IF(AND(NOT(F42=""),F42&gt;=StartSchedullingDate),1,0)</f>
      </c>
      <c r="C42" s="183"/>
      <c r="D42" s="188"/>
      <c r="E42" s="3"/>
      <c r="F42" s="185">
        <f>IFERROR(IF(A42=A41,"",A42),"")</f>
        <v>25569.5</v>
      </c>
      <c r="G42" s="186">
        <f>IFERROR(VLOOKUP(F42,'Model Interface'!$P$6:$U$495,6,FALSE),"")</f>
      </c>
      <c r="H42" s="187">
        <f>IF(F42="","",IF(F42&lt;=StartSchedullingDate,"Applied or Planned","Suggested"))</f>
      </c>
      <c r="I42" s="120"/>
      <c r="J42" s="120"/>
      <c r="K42" s="120"/>
      <c r="L42" s="120"/>
      <c r="M42" s="120"/>
      <c r="N42" s="120"/>
      <c r="O42" s="120"/>
      <c r="P42" s="120"/>
      <c r="Q42" s="3"/>
      <c r="R42" s="134">
        <v>45015</v>
      </c>
      <c r="S42" s="113">
        <f>IF(R42&gt;1,R42,"")</f>
      </c>
      <c r="T42" s="167">
        <f>IF(FollowingUnits="kg/head",IF(Z66="",VLOOKUP(FollowingCropNameFull,CropCoefficients,20,FALSE),Z66),"")</f>
      </c>
      <c r="U42" s="167">
        <f>VLOOKUP(S42,ModelOutputs,7,FALSE)</f>
      </c>
      <c r="V42" s="113">
        <f>VLOOKUP(S42,ModelOutputs,6,FALSE)</f>
      </c>
      <c r="W42" s="8">
        <f>VLOOKUP(S42,ModelOutputs,10,FALSE)*AWC</f>
      </c>
      <c r="X42" s="7">
        <f>VLOOKUP(S42,ModelOutputs,11,FALSE)+X41</f>
      </c>
      <c r="Y42" s="7">
        <f>VLOOKUP(S42,ModelOutputs,12,FALSE)</f>
      </c>
      <c r="Z42" s="8">
        <f>VLOOKUP(S42,ModelOutputs,13,FALSE)</f>
      </c>
    </row>
    <row x14ac:dyDescent="0.25" r="43" customHeight="1" ht="18.75">
      <c r="A43" s="134">
        <v>45031</v>
      </c>
      <c r="B43" s="113">
        <f>IF(AND(NOT(F43=""),F43&gt;=StartSchedullingDate),1,0)</f>
      </c>
      <c r="C43" s="189"/>
      <c r="D43" s="190"/>
      <c r="E43" s="3"/>
      <c r="F43" s="192">
        <f>IFERROR(IF(A43=A42,"",A43),"")</f>
        <v>25569.5</v>
      </c>
      <c r="G43" s="193">
        <f>IFERROR(VLOOKUP(F43,'Model Interface'!$P$6:$U$495,6,FALSE),"")</f>
      </c>
      <c r="H43" s="187">
        <f>IF(F43="","",IF(F43&lt;=StartSchedullingDate,"Applied or Planned","Suggested"))</f>
      </c>
      <c r="I43" s="120"/>
      <c r="J43" s="120"/>
      <c r="K43" s="120"/>
      <c r="L43" s="120"/>
      <c r="M43" s="120"/>
      <c r="N43" s="120"/>
      <c r="O43" s="120"/>
      <c r="P43" s="120"/>
      <c r="Q43" s="3"/>
      <c r="R43" s="134">
        <v>45016</v>
      </c>
      <c r="S43" s="113">
        <f>IF(R43&gt;1,R43,"")</f>
      </c>
      <c r="T43" s="167">
        <f>IF(FollowingUnits="kg/head",IF(Z67="",VLOOKUP(FollowingCropNameFull,CropCoefficients,20,FALSE),Z67),"")</f>
      </c>
      <c r="U43" s="167">
        <f>VLOOKUP(S43,ModelOutputs,7,FALSE)</f>
      </c>
      <c r="V43" s="113">
        <f>VLOOKUP(S43,ModelOutputs,6,FALSE)</f>
      </c>
      <c r="W43" s="8">
        <f>VLOOKUP(S43,ModelOutputs,10,FALSE)*AWC</f>
      </c>
      <c r="X43" s="7">
        <f>VLOOKUP(S43,ModelOutputs,11,FALSE)+X42</f>
      </c>
      <c r="Y43" s="7">
        <f>VLOOKUP(S43,ModelOutputs,12,FALSE)</f>
      </c>
      <c r="Z43" s="8">
        <f>VLOOKUP(S43,ModelOutputs,13,FALSE)</f>
      </c>
    </row>
    <row x14ac:dyDescent="0.25" r="44" customHeight="1" ht="18.75">
      <c r="A44" s="134"/>
      <c r="B44" s="113">
        <f>IF(C38="",CurrentEstablishDate,IF(AND(C38&gt;CurrentEstablishDate,(C38-CurrentEstablishDate)&lt;10),C38,CurrentEstablishDate))</f>
      </c>
      <c r="C44" s="194" t="s">
        <v>533</v>
      </c>
      <c r="D44" s="169">
        <f>MAX(CurrentEstablishDate,C38:C43,MAX(C29:C34)+1)</f>
        <v>25569.5</v>
      </c>
      <c r="E44" s="120"/>
      <c r="F44" s="134"/>
      <c r="G44" s="135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34">
        <v>45017</v>
      </c>
      <c r="S44" s="113">
        <f>IF(R44&gt;1,R44,"")</f>
      </c>
      <c r="T44" s="167">
        <f>IF(FollowingUnits="kg/head",IF(Z68="",VLOOKUP(FollowingCropNameFull,CropCoefficients,20,FALSE),Z68),"")</f>
      </c>
      <c r="U44" s="167">
        <f>VLOOKUP(S44,ModelOutputs,7,FALSE)</f>
      </c>
      <c r="V44" s="113">
        <f>VLOOKUP(S44,ModelOutputs,6,FALSE)</f>
      </c>
      <c r="W44" s="8">
        <f>VLOOKUP(S44,ModelOutputs,10,FALSE)*AWC</f>
      </c>
      <c r="X44" s="7">
        <f>VLOOKUP(S44,ModelOutputs,11,FALSE)+X43</f>
      </c>
      <c r="Y44" s="7">
        <f>VLOOKUP(S44,ModelOutputs,12,FALSE)</f>
      </c>
      <c r="Z44" s="8">
        <f>VLOOKUP(S44,ModelOutputs,13,FALSE)</f>
      </c>
    </row>
    <row x14ac:dyDescent="0.25" r="45" customHeight="1" ht="18.75">
      <c r="A45" s="71"/>
      <c r="B45" s="121"/>
      <c r="C45" s="3"/>
      <c r="D45" s="12"/>
      <c r="E45" s="3"/>
      <c r="F45" s="71"/>
      <c r="G45" s="12"/>
      <c r="H45" s="3"/>
      <c r="I45" s="120"/>
      <c r="J45" s="120"/>
      <c r="K45" s="120"/>
      <c r="L45" s="120"/>
      <c r="M45" s="120"/>
      <c r="N45" s="120"/>
      <c r="O45" s="120"/>
      <c r="P45" s="120"/>
      <c r="Q45" s="3"/>
      <c r="R45" s="134">
        <v>45018</v>
      </c>
      <c r="S45" s="113">
        <f>IF(R45&gt;1,R45,"")</f>
      </c>
      <c r="T45" s="167">
        <f>IF(FollowingUnits="kg/head",IF(Z69="",VLOOKUP(FollowingCropNameFull,CropCoefficients,20,FALSE),Z69),"")</f>
      </c>
      <c r="U45" s="167">
        <f>VLOOKUP(S45,ModelOutputs,7,FALSE)</f>
      </c>
      <c r="V45" s="113">
        <f>VLOOKUP(S45,ModelOutputs,6,FALSE)</f>
      </c>
      <c r="W45" s="8">
        <f>VLOOKUP(S45,ModelOutputs,10,FALSE)*AWC</f>
      </c>
      <c r="X45" s="7">
        <f>VLOOKUP(S45,ModelOutputs,11,FALSE)+X44</f>
      </c>
      <c r="Y45" s="7">
        <f>VLOOKUP(S45,ModelOutputs,12,FALSE)</f>
      </c>
      <c r="Z45" s="8">
        <f>VLOOKUP(S45,ModelOutputs,13,FALSE)</f>
      </c>
    </row>
    <row x14ac:dyDescent="0.25" r="46" customHeight="1" ht="18.75">
      <c r="A46" s="71"/>
      <c r="B46" s="121"/>
      <c r="C46" s="129" t="s">
        <v>534</v>
      </c>
      <c r="D46" s="130"/>
      <c r="E46" s="129"/>
      <c r="F46" s="131"/>
      <c r="G46" s="130"/>
      <c r="H46" s="129"/>
      <c r="I46" s="120"/>
      <c r="J46" s="120"/>
      <c r="K46" s="120"/>
      <c r="L46" s="120"/>
      <c r="M46" s="120"/>
      <c r="N46" s="120"/>
      <c r="O46" s="120"/>
      <c r="P46" s="120"/>
      <c r="Q46" s="3"/>
      <c r="R46" s="134">
        <v>45019</v>
      </c>
      <c r="S46" s="113">
        <f>IF(R46&gt;1,R46,"")</f>
      </c>
      <c r="T46" s="167">
        <f>IF(FollowingUnits="kg/head",IF(Z70="",VLOOKUP(FollowingCropNameFull,CropCoefficients,20,FALSE),Z70),"")</f>
      </c>
      <c r="U46" s="167">
        <f>VLOOKUP(S46,ModelOutputs,7,FALSE)</f>
      </c>
      <c r="V46" s="113">
        <f>VLOOKUP(S46,ModelOutputs,6,FALSE)</f>
      </c>
      <c r="W46" s="8">
        <f>VLOOKUP(S46,ModelOutputs,10,FALSE)*AWC</f>
      </c>
      <c r="X46" s="7">
        <f>VLOOKUP(S46,ModelOutputs,11,FALSE)+X45</f>
      </c>
      <c r="Y46" s="7">
        <f>VLOOKUP(S46,ModelOutputs,12,FALSE)</f>
      </c>
      <c r="Z46" s="8">
        <f>VLOOKUP(S46,ModelOutputs,13,FALSE)</f>
      </c>
    </row>
    <row x14ac:dyDescent="0.25" r="47" customHeight="1" ht="18.75">
      <c r="A47" s="71"/>
      <c r="B47" s="121"/>
      <c r="C47" s="145" t="s">
        <v>13</v>
      </c>
      <c r="D47" s="195">
        <f>IF(E47="","Fodder",E47)</f>
      </c>
      <c r="E47" s="196"/>
      <c r="F47" s="150" t="s">
        <v>511</v>
      </c>
      <c r="G47" s="195">
        <f>IF(H47="",VLOOKUP(PriorCropNameFull,CropCoefficients,23,FALSE),H47)</f>
      </c>
      <c r="H47" s="197"/>
      <c r="I47" s="120"/>
      <c r="J47" s="120"/>
      <c r="K47" s="120"/>
      <c r="L47" s="120"/>
      <c r="M47" s="120"/>
      <c r="N47" s="120"/>
      <c r="O47" s="120"/>
      <c r="P47" s="120"/>
      <c r="Q47" s="3"/>
      <c r="R47" s="134">
        <v>45020</v>
      </c>
      <c r="S47" s="113">
        <f>IF(R47&gt;1,R47,"")</f>
      </c>
      <c r="T47" s="167">
        <f>IF(FollowingUnits="kg/head",IF(Z71="",VLOOKUP(FollowingCropNameFull,CropCoefficients,20,FALSE),Z71),"")</f>
      </c>
      <c r="U47" s="167">
        <f>VLOOKUP(S47,ModelOutputs,7,FALSE)</f>
      </c>
      <c r="V47" s="113">
        <f>VLOOKUP(S47,ModelOutputs,6,FALSE)</f>
      </c>
      <c r="W47" s="8">
        <f>VLOOKUP(S47,ModelOutputs,10,FALSE)*AWC</f>
      </c>
      <c r="X47" s="7">
        <f>VLOOKUP(S47,ModelOutputs,11,FALSE)+X46</f>
      </c>
      <c r="Y47" s="7">
        <f>VLOOKUP(S47,ModelOutputs,12,FALSE)</f>
      </c>
      <c r="Z47" s="8">
        <f>VLOOKUP(S47,ModelOutputs,13,FALSE)</f>
      </c>
    </row>
    <row x14ac:dyDescent="0.25" r="48" customHeight="1" ht="18.75">
      <c r="A48" s="71"/>
      <c r="B48" s="121"/>
      <c r="C48" s="145" t="s">
        <v>503</v>
      </c>
      <c r="D48" s="141">
        <f>IF(E48="","Barley",E48)</f>
      </c>
      <c r="E48" s="142"/>
      <c r="F48" s="150" t="s">
        <v>512</v>
      </c>
      <c r="G48" s="141">
        <f>IF(H48="",VLOOKUP(PriorCropNameFull,CropCoefficients,22,FALSE),H48)</f>
      </c>
      <c r="H48" s="151"/>
      <c r="I48" s="120"/>
      <c r="J48" s="120"/>
      <c r="K48" s="120"/>
      <c r="L48" s="120"/>
      <c r="M48" s="120"/>
      <c r="N48" s="120"/>
      <c r="O48" s="120"/>
      <c r="P48" s="120"/>
      <c r="Q48" s="3"/>
      <c r="R48" s="134">
        <v>45021</v>
      </c>
      <c r="S48" s="113">
        <f>IF(R48&gt;1,R48,"")</f>
      </c>
      <c r="T48" s="167">
        <f>IF(FollowingUnits="kg/head",IF(Z72="",VLOOKUP(FollowingCropNameFull,CropCoefficients,20,FALSE),Z72),"")</f>
      </c>
      <c r="U48" s="167">
        <f>VLOOKUP(S48,ModelOutputs,7,FALSE)</f>
      </c>
      <c r="V48" s="113">
        <f>VLOOKUP(S48,ModelOutputs,6,FALSE)</f>
      </c>
      <c r="W48" s="8">
        <f>VLOOKUP(S48,ModelOutputs,10,FALSE)*AWC</f>
      </c>
      <c r="X48" s="7">
        <f>VLOOKUP(S48,ModelOutputs,11,FALSE)+X47</f>
      </c>
      <c r="Y48" s="7">
        <f>VLOOKUP(S48,ModelOutputs,12,FALSE)</f>
      </c>
      <c r="Z48" s="8">
        <f>VLOOKUP(S48,ModelOutputs,13,FALSE)</f>
      </c>
    </row>
    <row x14ac:dyDescent="0.25" r="49" customHeight="1" ht="18.75">
      <c r="A49" s="71"/>
      <c r="B49" s="121"/>
      <c r="C49" s="145" t="s">
        <v>504</v>
      </c>
      <c r="D49" s="141">
        <f>IF(E49="","General",E49)</f>
      </c>
      <c r="E49" s="142"/>
      <c r="F49" s="150" t="s">
        <v>514</v>
      </c>
      <c r="G49" s="141">
        <f>IF(H49="",VLOOKUP(PriorCropNameFull,CropCoefficients,26,FALSE),H49)</f>
      </c>
      <c r="H49" s="151"/>
      <c r="I49" s="120"/>
      <c r="J49" s="120"/>
      <c r="K49" s="120"/>
      <c r="L49" s="120"/>
      <c r="M49" s="120"/>
      <c r="N49" s="120"/>
      <c r="O49" s="120"/>
      <c r="P49" s="120"/>
      <c r="Q49" s="3"/>
      <c r="R49" s="134">
        <v>45022</v>
      </c>
      <c r="S49" s="113">
        <f>IF(R49&gt;1,R49,"")</f>
      </c>
      <c r="T49" s="167">
        <f>IF(FollowingUnits="kg/head",IF(Z73="",VLOOKUP(FollowingCropNameFull,CropCoefficients,20,FALSE),Z73),"")</f>
      </c>
      <c r="U49" s="167">
        <f>VLOOKUP(S49,ModelOutputs,7,FALSE)</f>
      </c>
      <c r="V49" s="113">
        <f>VLOOKUP(S49,ModelOutputs,6,FALSE)</f>
      </c>
      <c r="W49" s="8">
        <f>VLOOKUP(S49,ModelOutputs,10,FALSE)*AWC</f>
      </c>
      <c r="X49" s="7">
        <f>VLOOKUP(S49,ModelOutputs,11,FALSE)+X48</f>
      </c>
      <c r="Y49" s="7">
        <f>VLOOKUP(S49,ModelOutputs,12,FALSE)</f>
      </c>
      <c r="Z49" s="8">
        <f>VLOOKUP(S49,ModelOutputs,13,FALSE)</f>
      </c>
    </row>
    <row x14ac:dyDescent="0.25" r="50" customHeight="1" ht="18.75">
      <c r="A50" s="71"/>
      <c r="B50" s="156">
        <f>IF(PriorUnits="kg/head",PriorYield*PriorPopulation,IF(PriorUnits="kg/ha",PriorYield/1000,PriorYield))</f>
      </c>
      <c r="C50" s="146" t="s">
        <v>505</v>
      </c>
      <c r="D50" s="147">
        <f>PriorCropName&amp;" "&amp;PriorCropType&amp;" "&amp;PriorCropVariety</f>
      </c>
      <c r="E50" s="3"/>
      <c r="F50" s="173"/>
      <c r="G50" s="12"/>
      <c r="H50" s="3"/>
      <c r="I50" s="120"/>
      <c r="J50" s="120"/>
      <c r="K50" s="120"/>
      <c r="L50" s="120"/>
      <c r="M50" s="120"/>
      <c r="N50" s="120"/>
      <c r="O50" s="120"/>
      <c r="P50" s="120"/>
      <c r="Q50" s="3"/>
      <c r="R50" s="134">
        <v>45023</v>
      </c>
      <c r="S50" s="113">
        <f>IF(R50&gt;1,R50,"")</f>
      </c>
      <c r="T50" s="167">
        <f>IF(FollowingUnits="kg/head",IF(Z74="",VLOOKUP(FollowingCropNameFull,CropCoefficients,20,FALSE),Z74),"")</f>
      </c>
      <c r="U50" s="167">
        <f>VLOOKUP(S50,ModelOutputs,7,FALSE)</f>
      </c>
      <c r="V50" s="113">
        <f>VLOOKUP(S50,ModelOutputs,6,FALSE)</f>
      </c>
      <c r="W50" s="8">
        <f>VLOOKUP(S50,ModelOutputs,10,FALSE)*AWC</f>
      </c>
      <c r="X50" s="7">
        <f>VLOOKUP(S50,ModelOutputs,11,FALSE)+X49</f>
      </c>
      <c r="Y50" s="7">
        <f>VLOOKUP(S50,ModelOutputs,12,FALSE)</f>
      </c>
      <c r="Z50" s="8">
        <f>VLOOKUP(S50,ModelOutputs,13,FALSE)</f>
      </c>
    </row>
    <row x14ac:dyDescent="0.25" r="51" customHeight="1" ht="18.75">
      <c r="A51" s="71"/>
      <c r="B51" s="121"/>
      <c r="C51" s="145" t="s">
        <v>506</v>
      </c>
      <c r="D51" s="148">
        <f>IF(E51="",CurrentEstablishDate-60,E51)</f>
        <v>25569.5</v>
      </c>
      <c r="E51" s="149"/>
      <c r="F51" s="150" t="s">
        <v>507</v>
      </c>
      <c r="G51" s="141">
        <f>IF(H51="",VLOOKUP(PriorCropNameFull,CropCoefficients,13,FALSE),H51)</f>
      </c>
      <c r="H51" s="151"/>
      <c r="I51" s="120"/>
      <c r="J51" s="120"/>
      <c r="K51" s="120"/>
      <c r="L51" s="120"/>
      <c r="M51" s="120"/>
      <c r="N51" s="120"/>
      <c r="O51" s="120"/>
      <c r="P51" s="120"/>
      <c r="Q51" s="3"/>
      <c r="R51" s="134">
        <v>45024</v>
      </c>
      <c r="S51" s="113">
        <f>IF(R51&gt;1,R51,"")</f>
      </c>
      <c r="T51" s="167">
        <f>IF(FollowingUnits="kg/head",IF(Z75="",VLOOKUP(FollowingCropNameFull,CropCoefficients,20,FALSE),Z75),"")</f>
      </c>
      <c r="U51" s="167">
        <f>VLOOKUP(S51,ModelOutputs,7,FALSE)</f>
      </c>
      <c r="V51" s="113">
        <f>VLOOKUP(S51,ModelOutputs,6,FALSE)</f>
      </c>
      <c r="W51" s="8">
        <f>VLOOKUP(S51,ModelOutputs,10,FALSE)*AWC</f>
      </c>
      <c r="X51" s="7">
        <f>VLOOKUP(S51,ModelOutputs,11,FALSE)+X50</f>
      </c>
      <c r="Y51" s="7">
        <f>VLOOKUP(S51,ModelOutputs,12,FALSE)</f>
      </c>
      <c r="Z51" s="8">
        <f>VLOOKUP(S51,ModelOutputs,13,FALSE)</f>
      </c>
    </row>
    <row x14ac:dyDescent="0.25" r="52" customHeight="1" ht="18.75">
      <c r="A52" s="71"/>
      <c r="B52" s="121"/>
      <c r="C52" s="145" t="s">
        <v>508</v>
      </c>
      <c r="D52" s="148">
        <f>IF(E52="",CurrentEstablishDate-15,E52)</f>
        <v>25569.5</v>
      </c>
      <c r="E52" s="149"/>
      <c r="F52" s="150" t="s">
        <v>509</v>
      </c>
      <c r="G52" s="141">
        <f>IF(H52="",VLOOKUP(PriorCropNameFull,CropCoefficients,15,FALSE),H52)</f>
      </c>
      <c r="H52" s="151"/>
      <c r="I52" s="120"/>
      <c r="J52" s="120"/>
      <c r="K52" s="120"/>
      <c r="L52" s="120"/>
      <c r="M52" s="120"/>
      <c r="N52" s="120"/>
      <c r="O52" s="120"/>
      <c r="P52" s="120"/>
      <c r="Q52" s="3"/>
      <c r="R52" s="134">
        <v>45025</v>
      </c>
      <c r="S52" s="113">
        <f>IF(R52&gt;1,R52,"")</f>
      </c>
      <c r="T52" s="167">
        <f>IF(FollowingUnits="kg/head",IF(Z76="",VLOOKUP(FollowingCropNameFull,CropCoefficients,20,FALSE),Z76),"")</f>
      </c>
      <c r="U52" s="167">
        <f>VLOOKUP(S52,ModelOutputs,7,FALSE)</f>
      </c>
      <c r="V52" s="113">
        <f>VLOOKUP(S52,ModelOutputs,6,FALSE)</f>
      </c>
      <c r="W52" s="8">
        <f>VLOOKUP(S52,ModelOutputs,10,FALSE)*AWC</f>
      </c>
      <c r="X52" s="7">
        <f>VLOOKUP(S52,ModelOutputs,11,FALSE)+X51</f>
      </c>
      <c r="Y52" s="7">
        <f>VLOOKUP(S52,ModelOutputs,12,FALSE)</f>
      </c>
      <c r="Z52" s="8">
        <f>VLOOKUP(S52,ModelOutputs,13,FALSE)</f>
      </c>
    </row>
    <row x14ac:dyDescent="0.25" r="53" customHeight="1" ht="18.75">
      <c r="A53" s="71"/>
      <c r="B53" s="121"/>
      <c r="C53" s="145" t="s">
        <v>510</v>
      </c>
      <c r="D53" s="141">
        <f>IF(PriorUnits="kg/head",IF(E11="",VLOOKUP(PriorCropNameFull,CropCoefficients,20,FALSE),E11),"")</f>
      </c>
      <c r="E53" s="151"/>
      <c r="F53" s="150"/>
      <c r="G53" s="198"/>
      <c r="H53" s="145"/>
      <c r="I53" s="120"/>
      <c r="J53" s="120"/>
      <c r="K53" s="120"/>
      <c r="L53" s="120"/>
      <c r="M53" s="120"/>
      <c r="N53" s="120"/>
      <c r="O53" s="120"/>
      <c r="P53" s="120"/>
      <c r="Q53" s="3"/>
      <c r="R53" s="134">
        <v>45026</v>
      </c>
      <c r="S53" s="113">
        <f>IF(R53&gt;1,R53,"")</f>
      </c>
      <c r="T53" s="167">
        <f>IF(FollowingUnits="kg/head",IF(Z77="",VLOOKUP(FollowingCropNameFull,CropCoefficients,20,FALSE),Z77),"")</f>
      </c>
      <c r="U53" s="167">
        <f>VLOOKUP(S53,ModelOutputs,7,FALSE)</f>
      </c>
      <c r="V53" s="113">
        <f>VLOOKUP(S53,ModelOutputs,6,FALSE)</f>
      </c>
      <c r="W53" s="8">
        <f>VLOOKUP(S53,ModelOutputs,10,FALSE)*AWC</f>
      </c>
      <c r="X53" s="7">
        <f>VLOOKUP(S53,ModelOutputs,11,FALSE)+X52</f>
      </c>
      <c r="Y53" s="7">
        <f>VLOOKUP(S53,ModelOutputs,12,FALSE)</f>
      </c>
      <c r="Z53" s="8">
        <f>VLOOKUP(S53,ModelOutputs,13,FALSE)</f>
      </c>
    </row>
    <row x14ac:dyDescent="0.25" r="54" customHeight="1" ht="18.75">
      <c r="A54" s="71"/>
      <c r="B54" s="128"/>
      <c r="C54" s="145" t="s">
        <v>535</v>
      </c>
      <c r="D54" s="170">
        <f>IF(E54="",VLOOKUP(PriorCropNameFull,CropCoefficients,17,FALSE),E54)</f>
      </c>
      <c r="E54" s="153"/>
      <c r="F54" s="150" t="s">
        <v>536</v>
      </c>
      <c r="G54" s="141">
        <f>IF(H54="","None removed",H54)</f>
      </c>
      <c r="H54" s="151"/>
      <c r="I54" s="120"/>
      <c r="J54" s="120"/>
      <c r="K54" s="120"/>
      <c r="L54" s="120"/>
      <c r="M54" s="120"/>
      <c r="N54" s="120"/>
      <c r="O54" s="120"/>
      <c r="P54" s="120"/>
      <c r="Q54" s="120"/>
      <c r="R54" s="134">
        <v>45027</v>
      </c>
      <c r="S54" s="113">
        <f>IF(R54&gt;1,R54,"")</f>
      </c>
      <c r="T54" s="167">
        <f>IF(FollowingUnits="kg/head",IF(Z78="",VLOOKUP(FollowingCropNameFull,CropCoefficients,20,FALSE),Z78),"")</f>
      </c>
      <c r="U54" s="167">
        <f>VLOOKUP(S54,ModelOutputs,7,FALSE)</f>
      </c>
      <c r="V54" s="113">
        <f>VLOOKUP(S54,ModelOutputs,6,FALSE)</f>
      </c>
      <c r="W54" s="8">
        <f>VLOOKUP(S54,ModelOutputs,10,FALSE)*AWC</f>
      </c>
      <c r="X54" s="7">
        <f>VLOOKUP(S54,ModelOutputs,11,FALSE)+X53</f>
      </c>
      <c r="Y54" s="7">
        <f>VLOOKUP(S54,ModelOutputs,12,FALSE)</f>
      </c>
      <c r="Z54" s="8">
        <f>VLOOKUP(S54,ModelOutputs,13,FALSE)</f>
      </c>
    </row>
    <row x14ac:dyDescent="0.25" r="55" customHeight="1" ht="18.75">
      <c r="A55" s="71"/>
      <c r="B55" s="121"/>
      <c r="C55" s="145" t="s">
        <v>513</v>
      </c>
      <c r="D55" s="141">
        <f>IF(E55="",VLOOKUP(PriorCropNameFull,CropCoefficients,18,FALSE),E55)</f>
      </c>
      <c r="E55" s="154"/>
      <c r="F55" s="173" t="s">
        <v>518</v>
      </c>
      <c r="G55" s="141">
        <f>IF(H55="","Full (Plough)",H55)</f>
      </c>
      <c r="H55" s="151"/>
      <c r="I55" s="120"/>
      <c r="J55" s="120"/>
      <c r="K55" s="120"/>
      <c r="L55" s="120"/>
      <c r="M55" s="120"/>
      <c r="N55" s="120"/>
      <c r="O55" s="120"/>
      <c r="P55" s="120"/>
      <c r="Q55" s="3"/>
      <c r="R55" s="134">
        <v>45028</v>
      </c>
      <c r="S55" s="113">
        <f>IF(R55&gt;1,R55,"")</f>
      </c>
      <c r="T55" s="167">
        <f>IF(FollowingUnits="kg/head",IF(Z79="",VLOOKUP(FollowingCropNameFull,CropCoefficients,20,FALSE),Z79),"")</f>
      </c>
      <c r="U55" s="167">
        <f>VLOOKUP(S55,ModelOutputs,7,FALSE)</f>
      </c>
      <c r="V55" s="113">
        <f>VLOOKUP(S55,ModelOutputs,6,FALSE)</f>
      </c>
      <c r="W55" s="8">
        <f>VLOOKUP(S55,ModelOutputs,10,FALSE)*AWC</f>
      </c>
      <c r="X55" s="7">
        <f>VLOOKUP(S55,ModelOutputs,11,FALSE)+X54</f>
      </c>
      <c r="Y55" s="7">
        <f>VLOOKUP(S55,ModelOutputs,12,FALSE)</f>
      </c>
      <c r="Z55" s="8">
        <f>VLOOKUP(S55,ModelOutputs,13,FALSE)</f>
      </c>
    </row>
    <row x14ac:dyDescent="0.25" r="56" customHeight="1" ht="18.75">
      <c r="A56" s="71"/>
      <c r="B56" s="121"/>
      <c r="C56" s="157">
        <f>"Yield "&amp;ROUND(PriorYield_tperHa,0)&amp;" (t/ha)"</f>
      </c>
      <c r="D56" s="147">
        <f>"Previous crop residues are providing "&amp;ROUND('Model Interface'!S4,0)&amp;" kg N/ha to the current crop"</f>
      </c>
      <c r="E56" s="3"/>
      <c r="F56" s="71"/>
      <c r="G56" s="12"/>
      <c r="H56" s="3"/>
      <c r="I56" s="120"/>
      <c r="J56" s="120"/>
      <c r="K56" s="120"/>
      <c r="L56" s="120"/>
      <c r="M56" s="120"/>
      <c r="N56" s="120"/>
      <c r="O56" s="120"/>
      <c r="P56" s="120"/>
      <c r="Q56" s="3"/>
      <c r="R56" s="134">
        <v>45029</v>
      </c>
      <c r="S56" s="113">
        <f>IF(R56&gt;1,R56,"")</f>
      </c>
      <c r="T56" s="167">
        <f>IF(FollowingUnits="kg/head",IF(Z80="",VLOOKUP(FollowingCropNameFull,CropCoefficients,20,FALSE),Z80),"")</f>
      </c>
      <c r="U56" s="167">
        <f>VLOOKUP(S56,ModelOutputs,7,FALSE)</f>
      </c>
      <c r="V56" s="113">
        <f>VLOOKUP(S56,ModelOutputs,6,FALSE)</f>
      </c>
      <c r="W56" s="8">
        <f>VLOOKUP(S56,ModelOutputs,10,FALSE)*AWC</f>
      </c>
      <c r="X56" s="7">
        <f>VLOOKUP(S56,ModelOutputs,11,FALSE)+X55</f>
      </c>
      <c r="Y56" s="7">
        <f>VLOOKUP(S56,ModelOutputs,12,FALSE)</f>
      </c>
      <c r="Z56" s="8">
        <f>VLOOKUP(S56,ModelOutputs,13,FALSE)</f>
      </c>
    </row>
    <row x14ac:dyDescent="0.25" r="57" customHeight="1" ht="18.75">
      <c r="A57" s="71"/>
      <c r="B57" s="121"/>
      <c r="C57" s="129" t="s">
        <v>537</v>
      </c>
      <c r="D57" s="130"/>
      <c r="E57" s="129"/>
      <c r="F57" s="131"/>
      <c r="G57" s="130"/>
      <c r="H57" s="129"/>
      <c r="I57" s="120"/>
      <c r="J57" s="120"/>
      <c r="K57" s="120"/>
      <c r="L57" s="120"/>
      <c r="M57" s="120"/>
      <c r="N57" s="120"/>
      <c r="O57" s="120"/>
      <c r="P57" s="120"/>
      <c r="Q57" s="3"/>
      <c r="R57" s="134">
        <v>45030</v>
      </c>
      <c r="S57" s="113">
        <f>IF(R57&gt;1,R57,"")</f>
      </c>
      <c r="T57" s="167">
        <f>IF(FollowingUnits="kg/head",IF(Z81="",VLOOKUP(FollowingCropNameFull,CropCoefficients,20,FALSE),Z81),"")</f>
      </c>
      <c r="U57" s="167">
        <f>VLOOKUP(S57,ModelOutputs,7,FALSE)</f>
      </c>
      <c r="V57" s="113">
        <f>VLOOKUP(S57,ModelOutputs,6,FALSE)</f>
      </c>
      <c r="W57" s="8">
        <f>VLOOKUP(S57,ModelOutputs,10,FALSE)*AWC</f>
      </c>
      <c r="X57" s="7">
        <f>VLOOKUP(S57,ModelOutputs,11,FALSE)+X56</f>
      </c>
      <c r="Y57" s="7">
        <f>VLOOKUP(S57,ModelOutputs,12,FALSE)</f>
      </c>
      <c r="Z57" s="8">
        <f>VLOOKUP(S57,ModelOutputs,13,FALSE)</f>
      </c>
    </row>
    <row x14ac:dyDescent="0.25" r="58" customHeight="1" ht="18.75">
      <c r="A58" s="71"/>
      <c r="B58" s="121"/>
      <c r="C58" s="145" t="s">
        <v>13</v>
      </c>
      <c r="D58" s="195">
        <f>IF(E58="","Fodder",E58)</f>
      </c>
      <c r="E58" s="196"/>
      <c r="F58" s="150" t="s">
        <v>511</v>
      </c>
      <c r="G58" s="195">
        <f>IF(H58="",VLOOKUP(FollowingCropFullName,CropCoefficients,23,FALSE),H58)</f>
      </c>
      <c r="H58" s="197"/>
      <c r="I58" s="120"/>
      <c r="J58" s="120"/>
      <c r="K58" s="120"/>
      <c r="L58" s="120"/>
      <c r="M58" s="120"/>
      <c r="N58" s="120"/>
      <c r="O58" s="120"/>
      <c r="P58" s="120"/>
      <c r="Q58" s="3"/>
      <c r="R58" s="134">
        <v>45031</v>
      </c>
      <c r="S58" s="113">
        <f>IF(R58&gt;1,R58,"")</f>
      </c>
      <c r="T58" s="167">
        <f>IF(FollowingUnits="kg/head",IF(Z82="",VLOOKUP(FollowingCropNameFull,CropCoefficients,20,FALSE),Z82),"")</f>
      </c>
      <c r="U58" s="167">
        <f>VLOOKUP(S58,ModelOutputs,7,FALSE)</f>
      </c>
      <c r="V58" s="113">
        <f>VLOOKUP(S58,ModelOutputs,6,FALSE)</f>
      </c>
      <c r="W58" s="8">
        <f>VLOOKUP(S58,ModelOutputs,10,FALSE)*AWC</f>
      </c>
      <c r="X58" s="7">
        <f>VLOOKUP(S58,ModelOutputs,11,FALSE)+X57</f>
      </c>
      <c r="Y58" s="7">
        <f>VLOOKUP(S58,ModelOutputs,12,FALSE)</f>
      </c>
      <c r="Z58" s="8">
        <f>VLOOKUP(S58,ModelOutputs,13,FALSE)</f>
      </c>
    </row>
    <row x14ac:dyDescent="0.25" r="59" customHeight="1" ht="18.75">
      <c r="A59" s="71"/>
      <c r="B59" s="121"/>
      <c r="C59" s="145" t="s">
        <v>503</v>
      </c>
      <c r="D59" s="141">
        <f>IF(E59="","Oat",E59)</f>
      </c>
      <c r="E59" s="142"/>
      <c r="F59" s="150" t="s">
        <v>512</v>
      </c>
      <c r="G59" s="141">
        <f>IF(H59="",VLOOKUP(FollowingCropFullName,CropCoefficients,22,FALSE),H59)</f>
      </c>
      <c r="H59" s="151"/>
      <c r="I59" s="120"/>
      <c r="J59" s="120"/>
      <c r="K59" s="120"/>
      <c r="L59" s="120"/>
      <c r="M59" s="120"/>
      <c r="N59" s="120"/>
      <c r="O59" s="120"/>
      <c r="P59" s="120"/>
      <c r="Q59" s="3"/>
      <c r="R59" s="134">
        <v>45032</v>
      </c>
      <c r="S59" s="113">
        <f>IF(R59&gt;1,R59,"")</f>
      </c>
      <c r="T59" s="167">
        <f>IF(FollowingUnits="kg/head",IF(Z83="",VLOOKUP(FollowingCropNameFull,CropCoefficients,20,FALSE),Z83),"")</f>
      </c>
      <c r="U59" s="167">
        <f>VLOOKUP(S59,ModelOutputs,7,FALSE)</f>
      </c>
      <c r="V59" s="113">
        <f>VLOOKUP(S59,ModelOutputs,6,FALSE)</f>
      </c>
      <c r="W59" s="8">
        <f>VLOOKUP(S59,ModelOutputs,10,FALSE)*AWC</f>
      </c>
      <c r="X59" s="7">
        <f>VLOOKUP(S59,ModelOutputs,11,FALSE)+X58</f>
      </c>
      <c r="Y59" s="7">
        <f>VLOOKUP(S59,ModelOutputs,12,FALSE)</f>
      </c>
      <c r="Z59" s="8">
        <f>VLOOKUP(S59,ModelOutputs,13,FALSE)</f>
      </c>
    </row>
    <row x14ac:dyDescent="0.25" r="60" customHeight="1" ht="18.75">
      <c r="A60" s="71"/>
      <c r="B60" s="121"/>
      <c r="C60" s="145" t="s">
        <v>504</v>
      </c>
      <c r="D60" s="141">
        <f>IF(E60="","General",E60)</f>
      </c>
      <c r="E60" s="142"/>
      <c r="F60" s="150" t="s">
        <v>514</v>
      </c>
      <c r="G60" s="141">
        <f>IF(H60="",VLOOKUP(FollowingCropFullName,CropCoefficients,26,FALSE),H60)</f>
      </c>
      <c r="H60" s="151"/>
      <c r="I60" s="120"/>
      <c r="J60" s="120"/>
      <c r="K60" s="120"/>
      <c r="L60" s="120"/>
      <c r="M60" s="120"/>
      <c r="N60" s="120"/>
      <c r="O60" s="120"/>
      <c r="P60" s="120"/>
      <c r="Q60" s="3"/>
      <c r="R60" s="134">
        <v>45033</v>
      </c>
      <c r="S60" s="113">
        <f>IF(R60&gt;1,R60,"")</f>
      </c>
      <c r="T60" s="167">
        <f>IF(FollowingUnits="kg/head",IF(Z84="",VLOOKUP(FollowingCropNameFull,CropCoefficients,20,FALSE),Z84),"")</f>
      </c>
      <c r="U60" s="167">
        <f>VLOOKUP(S60,ModelOutputs,7,FALSE)</f>
      </c>
      <c r="V60" s="113">
        <f>VLOOKUP(S60,ModelOutputs,6,FALSE)</f>
      </c>
      <c r="W60" s="8">
        <f>VLOOKUP(S60,ModelOutputs,10,FALSE)*AWC</f>
      </c>
      <c r="X60" s="7">
        <f>VLOOKUP(S60,ModelOutputs,11,FALSE)+X59</f>
      </c>
      <c r="Y60" s="7">
        <f>VLOOKUP(S60,ModelOutputs,12,FALSE)</f>
      </c>
      <c r="Z60" s="8">
        <f>VLOOKUP(S60,ModelOutputs,13,FALSE)</f>
      </c>
    </row>
    <row x14ac:dyDescent="0.25" r="61" customHeight="1" ht="18.75">
      <c r="A61" s="71"/>
      <c r="B61" s="156">
        <f>IF(FollowingUnits="kg/head",FollowingYIeld*FollowingPopulation,IF(FollowingUnits="kg/ha",FollowingYIeld/1000,FollowingYIeld))</f>
      </c>
      <c r="C61" s="146" t="s">
        <v>505</v>
      </c>
      <c r="D61" s="147">
        <f>FollowingCropName&amp;" "&amp;FollowingCropType&amp;" "&amp;FollowingCropVariety</f>
      </c>
      <c r="E61" s="3"/>
      <c r="F61" s="173"/>
      <c r="G61" s="12"/>
      <c r="H61" s="3"/>
      <c r="I61" s="120"/>
      <c r="J61" s="120"/>
      <c r="K61" s="120"/>
      <c r="L61" s="120"/>
      <c r="M61" s="120"/>
      <c r="N61" s="120"/>
      <c r="O61" s="120"/>
      <c r="P61" s="120"/>
      <c r="Q61" s="3"/>
      <c r="R61" s="134">
        <v>45034</v>
      </c>
      <c r="S61" s="113">
        <f>IF(R61&gt;1,R61,"")</f>
      </c>
      <c r="T61" s="167">
        <f>IF(FollowingUnits="kg/head",IF(Z85="",VLOOKUP(FollowingCropNameFull,CropCoefficients,20,FALSE),Z85),"")</f>
      </c>
      <c r="U61" s="167">
        <f>VLOOKUP(S61,ModelOutputs,7,FALSE)</f>
      </c>
      <c r="V61" s="113">
        <f>VLOOKUP(S61,ModelOutputs,6,FALSE)</f>
      </c>
      <c r="W61" s="8">
        <f>VLOOKUP(S61,ModelOutputs,10,FALSE)*AWC</f>
      </c>
      <c r="X61" s="7">
        <f>VLOOKUP(S61,ModelOutputs,11,FALSE)+X60</f>
      </c>
      <c r="Y61" s="7">
        <f>VLOOKUP(S61,ModelOutputs,12,FALSE)</f>
      </c>
      <c r="Z61" s="8">
        <f>VLOOKUP(S61,ModelOutputs,13,FALSE)</f>
      </c>
    </row>
    <row x14ac:dyDescent="0.25" r="62" customHeight="1" ht="18.75">
      <c r="A62" s="71"/>
      <c r="B62" s="121"/>
      <c r="C62" s="145" t="s">
        <v>506</v>
      </c>
      <c r="D62" s="148">
        <f>IF(E62="",CurrentHarvestDate+15,E62)</f>
        <v>25569.5</v>
      </c>
      <c r="E62" s="149"/>
      <c r="F62" s="150" t="s">
        <v>507</v>
      </c>
      <c r="G62" s="141">
        <f>IF(H62="",VLOOKUP(FollowingCropFullName,CropCoefficients,13,FALSE),H62)</f>
      </c>
      <c r="H62" s="151"/>
      <c r="I62" s="120"/>
      <c r="J62" s="120"/>
      <c r="K62" s="120"/>
      <c r="L62" s="120"/>
      <c r="M62" s="120"/>
      <c r="N62" s="120"/>
      <c r="O62" s="120"/>
      <c r="P62" s="120"/>
      <c r="Q62" s="3"/>
      <c r="R62" s="134">
        <v>45035</v>
      </c>
      <c r="S62" s="113">
        <f>IF(R62&gt;1,R62,"")</f>
      </c>
      <c r="T62" s="167">
        <f>IF(FollowingUnits="kg/head",IF(Z86="",VLOOKUP(FollowingCropNameFull,CropCoefficients,20,FALSE),Z86),"")</f>
      </c>
      <c r="U62" s="167">
        <f>VLOOKUP(S62,ModelOutputs,7,FALSE)</f>
      </c>
      <c r="V62" s="113">
        <f>VLOOKUP(S62,ModelOutputs,6,FALSE)</f>
      </c>
      <c r="W62" s="8">
        <f>VLOOKUP(S62,ModelOutputs,10,FALSE)*AWC</f>
      </c>
      <c r="X62" s="7">
        <f>VLOOKUP(S62,ModelOutputs,11,FALSE)+X61</f>
      </c>
      <c r="Y62" s="7">
        <f>VLOOKUP(S62,ModelOutputs,12,FALSE)</f>
      </c>
      <c r="Z62" s="8">
        <f>VLOOKUP(S62,ModelOutputs,13,FALSE)</f>
      </c>
    </row>
    <row x14ac:dyDescent="0.25" r="63" customHeight="1" ht="18.75">
      <c r="A63" s="71"/>
      <c r="B63" s="121"/>
      <c r="C63" s="145" t="s">
        <v>508</v>
      </c>
      <c r="D63" s="148">
        <f>IF(E63="",FollowingEstablishDate+120,E63)</f>
        <v>25569.5</v>
      </c>
      <c r="E63" s="149"/>
      <c r="F63" s="150" t="s">
        <v>509</v>
      </c>
      <c r="G63" s="141">
        <f>IF(H63="",VLOOKUP(FollowingCropFullName,CropCoefficients,15,FALSE),H63)</f>
      </c>
      <c r="H63" s="151"/>
      <c r="I63" s="120"/>
      <c r="J63" s="120"/>
      <c r="K63" s="120"/>
      <c r="L63" s="120"/>
      <c r="M63" s="120"/>
      <c r="N63" s="120"/>
      <c r="O63" s="120"/>
      <c r="P63" s="120"/>
      <c r="Q63" s="3"/>
      <c r="R63" s="134">
        <v>45036</v>
      </c>
      <c r="S63" s="113">
        <f>IF(R63&gt;1,R63,"")</f>
      </c>
      <c r="T63" s="167">
        <f>IF(FollowingUnits="kg/head",IF(Z87="",VLOOKUP(FollowingCropNameFull,CropCoefficients,20,FALSE),Z87),"")</f>
      </c>
      <c r="U63" s="167">
        <f>VLOOKUP(S63,ModelOutputs,7,FALSE)</f>
      </c>
      <c r="V63" s="113">
        <f>VLOOKUP(S63,ModelOutputs,6,FALSE)</f>
      </c>
      <c r="W63" s="8">
        <f>VLOOKUP(S63,ModelOutputs,10,FALSE)*AWC</f>
      </c>
      <c r="X63" s="7">
        <f>VLOOKUP(S63,ModelOutputs,11,FALSE)+X62</f>
      </c>
      <c r="Y63" s="7">
        <f>VLOOKUP(S63,ModelOutputs,12,FALSE)</f>
      </c>
      <c r="Z63" s="8">
        <f>VLOOKUP(S63,ModelOutputs,13,FALSE)</f>
      </c>
    </row>
    <row x14ac:dyDescent="0.25" r="64" customHeight="1" ht="18.75">
      <c r="A64" s="71"/>
      <c r="B64" s="128"/>
      <c r="C64" s="145" t="s">
        <v>510</v>
      </c>
      <c r="D64" s="141">
        <f>IF(FollowingUnits="kg/head",IF(G25="",VLOOKUP(FollowingCropNameFull,CropCoefficients,20,FALSE),G25),"")</f>
      </c>
      <c r="E64" s="151"/>
      <c r="F64" s="134"/>
      <c r="G64" s="135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34">
        <v>45037</v>
      </c>
      <c r="S64" s="113">
        <f>IF(R64&gt;1,R64,"")</f>
      </c>
      <c r="T64" s="167">
        <f>IF(FollowingUnits="kg/head",IF(Z88="",VLOOKUP(FollowingCropNameFull,CropCoefficients,20,FALSE),Z88),"")</f>
      </c>
      <c r="U64" s="167">
        <f>VLOOKUP(S64,ModelOutputs,7,FALSE)</f>
      </c>
      <c r="V64" s="113">
        <f>VLOOKUP(S64,ModelOutputs,6,FALSE)</f>
      </c>
      <c r="W64" s="8">
        <f>VLOOKUP(S64,ModelOutputs,10,FALSE)*AWC</f>
      </c>
      <c r="X64" s="7">
        <f>VLOOKUP(S64,ModelOutputs,11,FALSE)+X63</f>
      </c>
      <c r="Y64" s="7">
        <f>VLOOKUP(S64,ModelOutputs,12,FALSE)</f>
      </c>
      <c r="Z64" s="8">
        <f>VLOOKUP(S64,ModelOutputs,13,FALSE)</f>
      </c>
    </row>
    <row x14ac:dyDescent="0.25" r="65" customHeight="1" ht="18.75">
      <c r="A65" s="71"/>
      <c r="B65" s="121"/>
      <c r="C65" s="145" t="s">
        <v>535</v>
      </c>
      <c r="D65" s="170">
        <f>IF(E65="",VLOOKUP(FollowingCropFullName,CropCoefficients,17,FALSE),E65)</f>
      </c>
      <c r="E65" s="153"/>
      <c r="F65" s="150" t="s">
        <v>536</v>
      </c>
      <c r="G65" s="141">
        <f>IF(H65="","None removed",H65)</f>
      </c>
      <c r="H65" s="151"/>
      <c r="I65" s="120"/>
      <c r="J65" s="120"/>
      <c r="K65" s="120"/>
      <c r="L65" s="120"/>
      <c r="M65" s="120"/>
      <c r="N65" s="120"/>
      <c r="O65" s="120"/>
      <c r="P65" s="120"/>
      <c r="Q65" s="3"/>
      <c r="R65" s="134">
        <v>45038</v>
      </c>
      <c r="S65" s="113">
        <f>IF(R65&gt;1,R65,"")</f>
      </c>
      <c r="T65" s="167">
        <f>IF(FollowingUnits="kg/head",IF(Z89="",VLOOKUP(FollowingCropNameFull,CropCoefficients,20,FALSE),Z89),"")</f>
      </c>
      <c r="U65" s="167">
        <f>VLOOKUP(S65,ModelOutputs,7,FALSE)</f>
      </c>
      <c r="V65" s="113">
        <f>VLOOKUP(S65,ModelOutputs,6,FALSE)</f>
      </c>
      <c r="W65" s="8">
        <f>VLOOKUP(S65,ModelOutputs,10,FALSE)*AWC</f>
      </c>
      <c r="X65" s="7">
        <f>VLOOKUP(S65,ModelOutputs,11,FALSE)+X64</f>
      </c>
      <c r="Y65" s="7">
        <f>VLOOKUP(S65,ModelOutputs,12,FALSE)</f>
      </c>
      <c r="Z65" s="8">
        <f>VLOOKUP(S65,ModelOutputs,13,FALSE)</f>
      </c>
    </row>
    <row x14ac:dyDescent="0.25" r="66" customHeight="1" ht="18.75">
      <c r="A66" s="71"/>
      <c r="B66" s="121"/>
      <c r="C66" s="145" t="s">
        <v>513</v>
      </c>
      <c r="D66" s="141">
        <f>IF(E66="",VLOOKUP(FollowingCropFullName,CropCoefficients,18,FALSE),E66)</f>
      </c>
      <c r="E66" s="154"/>
      <c r="F66" s="150" t="s">
        <v>518</v>
      </c>
      <c r="G66" s="141">
        <f>IF(H66="","Full (Plough)",H66)</f>
      </c>
      <c r="H66" s="151"/>
      <c r="I66" s="120"/>
      <c r="J66" s="120"/>
      <c r="K66" s="120"/>
      <c r="L66" s="120"/>
      <c r="M66" s="120"/>
      <c r="N66" s="120"/>
      <c r="O66" s="120"/>
      <c r="P66" s="120"/>
      <c r="Q66" s="3"/>
      <c r="R66" s="134">
        <v>45039</v>
      </c>
      <c r="S66" s="113">
        <f>IF(R66&gt;1,R66,"")</f>
      </c>
      <c r="T66" s="167">
        <f>IF(FollowingUnits="kg/head",IF(Z90="",VLOOKUP(FollowingCropNameFull,CropCoefficients,20,FALSE),Z90),"")</f>
      </c>
      <c r="U66" s="167">
        <f>VLOOKUP(S66,ModelOutputs,7,FALSE)</f>
      </c>
      <c r="V66" s="113">
        <f>VLOOKUP(S66,ModelOutputs,6,FALSE)</f>
      </c>
      <c r="W66" s="8">
        <f>VLOOKUP(S66,ModelOutputs,10,FALSE)*AWC</f>
      </c>
      <c r="X66" s="7">
        <f>VLOOKUP(S66,ModelOutputs,11,FALSE)+X65</f>
      </c>
      <c r="Y66" s="7">
        <f>VLOOKUP(S66,ModelOutputs,12,FALSE)</f>
      </c>
      <c r="Z66" s="8">
        <f>VLOOKUP(S66,ModelOutputs,13,FALSE)</f>
      </c>
    </row>
    <row x14ac:dyDescent="0.25" r="67" customHeight="1" ht="18.75">
      <c r="A67" s="71"/>
      <c r="B67" s="128"/>
      <c r="C67" s="157">
        <f>"Yield "&amp;ROUND(FollowingYield_tperHa,0)&amp;" (t/ha)"</f>
      </c>
      <c r="D67" s="147">
        <f>"Following crop will take up "&amp;ROUND('Model Interface'!R4,0)&amp;" kg N/ha"</f>
      </c>
      <c r="E67" s="3"/>
      <c r="F67" s="71"/>
      <c r="G67" s="12"/>
      <c r="H67" s="3"/>
      <c r="I67" s="3"/>
      <c r="J67" s="3"/>
      <c r="K67" s="3"/>
      <c r="L67" s="3"/>
      <c r="M67" s="3"/>
      <c r="N67" s="3"/>
      <c r="O67" s="3"/>
      <c r="P67" s="3"/>
      <c r="Q67" s="3"/>
      <c r="R67" s="134">
        <v>45040</v>
      </c>
      <c r="S67" s="113">
        <f>IF(R67&gt;1,R67,"")</f>
      </c>
      <c r="T67" s="167">
        <f>IF(FollowingUnits="kg/head",IF(Z91="",VLOOKUP(FollowingCropNameFull,CropCoefficients,20,FALSE),Z91),"")</f>
      </c>
      <c r="U67" s="167">
        <f>VLOOKUP(S67,ModelOutputs,7,FALSE)</f>
      </c>
      <c r="V67" s="113">
        <f>VLOOKUP(S67,ModelOutputs,6,FALSE)</f>
      </c>
      <c r="W67" s="8">
        <f>VLOOKUP(S67,ModelOutputs,10,FALSE)*AWC</f>
      </c>
      <c r="X67" s="7">
        <f>VLOOKUP(S67,ModelOutputs,11,FALSE)+X66</f>
      </c>
      <c r="Y67" s="7">
        <f>VLOOKUP(S67,ModelOutputs,12,FALSE)</f>
      </c>
      <c r="Z67" s="8">
        <f>VLOOKUP(S67,ModelOutputs,13,FALSE)</f>
      </c>
    </row>
    <row x14ac:dyDescent="0.25" r="68" customHeight="1" ht="18.75">
      <c r="A68" s="71"/>
      <c r="B68" s="121"/>
      <c r="C68" s="199" t="s">
        <v>538</v>
      </c>
      <c r="D68" s="200"/>
      <c r="E68" s="199"/>
      <c r="F68" s="201"/>
      <c r="G68" s="200"/>
      <c r="H68" s="199"/>
      <c r="I68" s="3"/>
      <c r="J68" s="3"/>
      <c r="K68" s="3"/>
      <c r="L68" s="3"/>
      <c r="M68" s="3"/>
      <c r="N68" s="3"/>
      <c r="O68" s="3"/>
      <c r="P68" s="3"/>
      <c r="Q68" s="3"/>
      <c r="R68" s="134">
        <v>45041</v>
      </c>
      <c r="S68" s="113">
        <f>IF(R68&gt;1,R68,"")</f>
      </c>
      <c r="T68" s="167">
        <f>IF(FollowingUnits="kg/head",IF(Z92="",VLOOKUP(FollowingCropNameFull,CropCoefficients,20,FALSE),Z92),"")</f>
      </c>
      <c r="U68" s="167">
        <f>VLOOKUP(S68,ModelOutputs,7,FALSE)</f>
      </c>
      <c r="V68" s="113">
        <f>VLOOKUP(S68,ModelOutputs,6,FALSE)</f>
      </c>
      <c r="W68" s="8">
        <f>VLOOKUP(S68,ModelOutputs,10,FALSE)*AWC</f>
      </c>
      <c r="X68" s="7">
        <f>VLOOKUP(S68,ModelOutputs,11,FALSE)+X67</f>
      </c>
      <c r="Y68" s="7">
        <f>VLOOKUP(S68,ModelOutputs,12,FALSE)</f>
      </c>
      <c r="Z68" s="8">
        <f>VLOOKUP(S68,ModelOutputs,13,FALSE)</f>
      </c>
    </row>
    <row x14ac:dyDescent="0.25" r="69" customHeight="1" ht="18.75">
      <c r="A69" s="71"/>
      <c r="B69" s="121"/>
      <c r="C69" s="145" t="s">
        <v>539</v>
      </c>
      <c r="D69" s="195">
        <v>50</v>
      </c>
      <c r="E69" s="202"/>
      <c r="F69" s="71"/>
      <c r="G69" s="12"/>
      <c r="H69" s="3"/>
      <c r="I69" s="3"/>
      <c r="J69" s="3"/>
      <c r="K69" s="3"/>
      <c r="L69" s="3"/>
      <c r="M69" s="3"/>
      <c r="N69" s="3"/>
      <c r="O69" s="3"/>
      <c r="P69" s="3"/>
      <c r="Q69" s="3"/>
      <c r="R69" s="134">
        <v>45042</v>
      </c>
      <c r="S69" s="113">
        <f>IF(R69&gt;1,R69,"")</f>
      </c>
      <c r="T69" s="167">
        <f>IF(FollowingUnits="kg/head",IF(Z93="",VLOOKUP(FollowingCropNameFull,CropCoefficients,20,FALSE),Z93),"")</f>
      </c>
      <c r="U69" s="167">
        <f>VLOOKUP(S69,ModelOutputs,7,FALSE)</f>
      </c>
      <c r="V69" s="113">
        <f>VLOOKUP(S69,ModelOutputs,6,FALSE)</f>
      </c>
      <c r="W69" s="8">
        <f>VLOOKUP(S69,ModelOutputs,10,FALSE)*AWC</f>
      </c>
      <c r="X69" s="7">
        <f>VLOOKUP(S69,ModelOutputs,11,FALSE)+X68</f>
      </c>
      <c r="Y69" s="7">
        <f>VLOOKUP(S69,ModelOutputs,12,FALSE)</f>
      </c>
      <c r="Z69" s="8">
        <f>VLOOKUP(S69,ModelOutputs,13,FALSE)</f>
      </c>
    </row>
    <row x14ac:dyDescent="0.25" r="70" customHeight="1" ht="18.75">
      <c r="A70" s="71"/>
      <c r="B70" s="121"/>
      <c r="C70" s="145" t="s">
        <v>540</v>
      </c>
      <c r="D70" s="141">
        <f>IF(E70="",30,E70)</f>
      </c>
      <c r="E70" s="153"/>
      <c r="F70" s="71"/>
      <c r="G70" s="12"/>
      <c r="H70" s="3"/>
      <c r="I70" s="3"/>
      <c r="J70" s="3"/>
      <c r="K70" s="3"/>
      <c r="L70" s="3"/>
      <c r="M70" s="3"/>
      <c r="N70" s="3"/>
      <c r="O70" s="3"/>
      <c r="P70" s="3"/>
      <c r="Q70" s="3"/>
      <c r="R70" s="134">
        <v>45043</v>
      </c>
      <c r="S70" s="113">
        <f>IF(R70&gt;1,R70,"")</f>
      </c>
      <c r="T70" s="167">
        <f>IF(FollowingUnits="kg/head",IF(Z94="",VLOOKUP(FollowingCropNameFull,CropCoefficients,20,FALSE),Z94),"")</f>
      </c>
      <c r="U70" s="167">
        <f>VLOOKUP(S70,ModelOutputs,7,FALSE)</f>
      </c>
      <c r="V70" s="113">
        <f>VLOOKUP(S70,ModelOutputs,6,FALSE)</f>
      </c>
      <c r="W70" s="8">
        <f>VLOOKUP(S70,ModelOutputs,10,FALSE)*AWC</f>
      </c>
      <c r="X70" s="7">
        <f>VLOOKUP(S70,ModelOutputs,11,FALSE)+X69</f>
      </c>
      <c r="Y70" s="7">
        <f>VLOOKUP(S70,ModelOutputs,12,FALSE)</f>
      </c>
      <c r="Z70" s="8">
        <f>VLOOKUP(S70,ModelOutputs,13,FALSE)</f>
      </c>
    </row>
    <row x14ac:dyDescent="0.25" r="71" customHeight="1" ht="18.75">
      <c r="A71" s="71"/>
      <c r="B71" s="121"/>
      <c r="C71" s="145" t="s">
        <v>541</v>
      </c>
      <c r="D71" s="141">
        <f>IF(E71="",80,E71)</f>
      </c>
      <c r="E71" s="153"/>
      <c r="F71" s="71"/>
      <c r="G71" s="12"/>
      <c r="H71" s="3"/>
      <c r="I71" s="3"/>
      <c r="J71" s="3"/>
      <c r="K71" s="3"/>
      <c r="L71" s="3"/>
      <c r="M71" s="3"/>
      <c r="N71" s="3"/>
      <c r="O71" s="3"/>
      <c r="P71" s="3"/>
      <c r="Q71" s="3"/>
      <c r="R71" s="134">
        <v>45044</v>
      </c>
      <c r="S71" s="113">
        <f>IF(R71&gt;1,R71,"")</f>
      </c>
      <c r="T71" s="167">
        <f>IF(FollowingUnits="kg/head",IF(Z95="",VLOOKUP(FollowingCropNameFull,CropCoefficients,20,FALSE),Z95),"")</f>
      </c>
      <c r="U71" s="167">
        <f>VLOOKUP(S71,ModelOutputs,7,FALSE)</f>
      </c>
      <c r="V71" s="113">
        <f>VLOOKUP(S71,ModelOutputs,6,FALSE)</f>
      </c>
      <c r="W71" s="8">
        <f>VLOOKUP(S71,ModelOutputs,10,FALSE)*AWC</f>
      </c>
      <c r="X71" s="7">
        <f>VLOOKUP(S71,ModelOutputs,11,FALSE)+X70</f>
      </c>
      <c r="Y71" s="7">
        <f>VLOOKUP(S71,ModelOutputs,12,FALSE)</f>
      </c>
      <c r="Z71" s="8">
        <f>VLOOKUP(S71,ModelOutputs,13,FALSE)</f>
      </c>
    </row>
    <row x14ac:dyDescent="0.25" r="72" customHeight="1" ht="18.75">
      <c r="A72" s="71"/>
      <c r="B72" s="121"/>
      <c r="C72" s="145" t="s">
        <v>542</v>
      </c>
      <c r="D72" s="141">
        <f>IF(E72="",120,E72)</f>
      </c>
      <c r="E72" s="153"/>
      <c r="F72" s="71"/>
      <c r="G72" s="12"/>
      <c r="H72" s="3"/>
      <c r="I72" s="3"/>
      <c r="J72" s="3"/>
      <c r="K72" s="3"/>
      <c r="L72" s="3"/>
      <c r="M72" s="3"/>
      <c r="N72" s="3"/>
      <c r="O72" s="3"/>
      <c r="P72" s="3"/>
      <c r="Q72" s="3"/>
      <c r="R72" s="134">
        <v>45045</v>
      </c>
      <c r="S72" s="113">
        <f>IF(R72&gt;1,R72,"")</f>
      </c>
      <c r="T72" s="167">
        <f>IF(FollowingUnits="kg/head",IF(Z96="",VLOOKUP(FollowingCropNameFull,CropCoefficients,20,FALSE),Z96),"")</f>
      </c>
      <c r="U72" s="167">
        <f>VLOOKUP(S72,ModelOutputs,7,FALSE)</f>
      </c>
      <c r="V72" s="113">
        <f>VLOOKUP(S72,ModelOutputs,6,FALSE)</f>
      </c>
      <c r="W72" s="8">
        <f>VLOOKUP(S72,ModelOutputs,10,FALSE)*AWC</f>
      </c>
      <c r="X72" s="7">
        <f>VLOOKUP(S72,ModelOutputs,11,FALSE)+X71</f>
      </c>
      <c r="Y72" s="7">
        <f>VLOOKUP(S72,ModelOutputs,12,FALSE)</f>
      </c>
      <c r="Z72" s="8">
        <f>VLOOKUP(S72,ModelOutputs,13,FALSE)</f>
      </c>
    </row>
    <row x14ac:dyDescent="0.25" r="73" customHeight="1" ht="18.75">
      <c r="A73" s="71"/>
      <c r="B73" s="121"/>
      <c r="C73" s="3"/>
      <c r="D73" s="12"/>
      <c r="E73" s="3"/>
      <c r="F73" s="71"/>
      <c r="G73" s="12"/>
      <c r="H73" s="3"/>
      <c r="I73" s="3"/>
      <c r="J73" s="3"/>
      <c r="K73" s="3"/>
      <c r="L73" s="3"/>
      <c r="M73" s="3"/>
      <c r="N73" s="3"/>
      <c r="O73" s="3"/>
      <c r="P73" s="3"/>
      <c r="Q73" s="3"/>
      <c r="R73" s="134">
        <v>45046</v>
      </c>
      <c r="S73" s="113">
        <f>IF(R73&gt;1,R73,"")</f>
      </c>
      <c r="T73" s="167">
        <f>IF(FollowingUnits="kg/head",IF(Z97="",VLOOKUP(FollowingCropNameFull,CropCoefficients,20,FALSE),Z97),"")</f>
      </c>
      <c r="U73" s="167">
        <f>VLOOKUP(S73,ModelOutputs,7,FALSE)</f>
      </c>
      <c r="V73" s="113">
        <f>VLOOKUP(S73,ModelOutputs,6,FALSE)</f>
      </c>
      <c r="W73" s="8">
        <f>VLOOKUP(S73,ModelOutputs,10,FALSE)*AWC</f>
      </c>
      <c r="X73" s="7">
        <f>VLOOKUP(S73,ModelOutputs,11,FALSE)+X72</f>
      </c>
      <c r="Y73" s="7">
        <f>VLOOKUP(S73,ModelOutputs,12,FALSE)</f>
      </c>
      <c r="Z73" s="8">
        <f>VLOOKUP(S73,ModelOutputs,13,FALSE)</f>
      </c>
    </row>
    <row x14ac:dyDescent="0.25" r="74" customHeight="1" ht="18.75">
      <c r="A74" s="71"/>
      <c r="B74" s="121"/>
      <c r="C74" s="3"/>
      <c r="D74" s="12"/>
      <c r="E74" s="3"/>
      <c r="F74" s="71"/>
      <c r="G74" s="12"/>
      <c r="H74" s="3"/>
      <c r="I74" s="3"/>
      <c r="J74" s="3"/>
      <c r="K74" s="3"/>
      <c r="L74" s="3"/>
      <c r="M74" s="3"/>
      <c r="N74" s="3"/>
      <c r="O74" s="3"/>
      <c r="P74" s="3"/>
      <c r="Q74" s="3"/>
      <c r="R74" s="134">
        <v>45047</v>
      </c>
      <c r="S74" s="113">
        <f>IF(R74&gt;1,R74,"")</f>
      </c>
      <c r="T74" s="167">
        <f>IF(FollowingUnits="kg/head",IF(Z98="",VLOOKUP(FollowingCropNameFull,CropCoefficients,20,FALSE),Z98),"")</f>
      </c>
      <c r="U74" s="167">
        <f>VLOOKUP(S74,ModelOutputs,7,FALSE)</f>
      </c>
      <c r="V74" s="113">
        <f>VLOOKUP(S74,ModelOutputs,6,FALSE)</f>
      </c>
      <c r="W74" s="8">
        <f>VLOOKUP(S74,ModelOutputs,10,FALSE)*AWC</f>
      </c>
      <c r="X74" s="7">
        <f>VLOOKUP(S74,ModelOutputs,11,FALSE)+X73</f>
      </c>
      <c r="Y74" s="7">
        <f>VLOOKUP(S74,ModelOutputs,12,FALSE)</f>
      </c>
      <c r="Z74" s="8">
        <f>VLOOKUP(S74,ModelOutputs,13,FALSE)</f>
      </c>
    </row>
    <row x14ac:dyDescent="0.25" r="75" customHeight="1" ht="18.75">
      <c r="A75" s="71"/>
      <c r="B75" s="121"/>
      <c r="C75" s="3"/>
      <c r="D75" s="12"/>
      <c r="E75" s="3"/>
      <c r="F75" s="71"/>
      <c r="G75" s="12"/>
      <c r="H75" s="3"/>
      <c r="I75" s="3"/>
      <c r="J75" s="3"/>
      <c r="K75" s="3"/>
      <c r="L75" s="3"/>
      <c r="M75" s="3"/>
      <c r="N75" s="3"/>
      <c r="O75" s="3"/>
      <c r="P75" s="3"/>
      <c r="Q75" s="3"/>
      <c r="R75" s="134">
        <v>45048</v>
      </c>
      <c r="S75" s="113">
        <f>IF(R75&gt;1,R75,"")</f>
      </c>
      <c r="T75" s="167">
        <f>IF(FollowingUnits="kg/head",IF(Z99="",VLOOKUP(FollowingCropNameFull,CropCoefficients,20,FALSE),Z99),"")</f>
      </c>
      <c r="U75" s="167">
        <f>VLOOKUP(S75,ModelOutputs,7,FALSE)</f>
      </c>
      <c r="V75" s="113">
        <f>VLOOKUP(S75,ModelOutputs,6,FALSE)</f>
      </c>
      <c r="W75" s="8">
        <f>VLOOKUP(S75,ModelOutputs,10,FALSE)*AWC</f>
      </c>
      <c r="X75" s="7">
        <f>VLOOKUP(S75,ModelOutputs,11,FALSE)+X74</f>
      </c>
      <c r="Y75" s="7">
        <f>VLOOKUP(S75,ModelOutputs,12,FALSE)</f>
      </c>
      <c r="Z75" s="8">
        <f>VLOOKUP(S75,ModelOutputs,13,FALSE)</f>
      </c>
    </row>
    <row x14ac:dyDescent="0.25" r="76" customHeight="1" ht="18.75">
      <c r="A76" s="71"/>
      <c r="B76" s="121"/>
      <c r="C76" s="3"/>
      <c r="D76" s="12"/>
      <c r="E76" s="3"/>
      <c r="F76" s="71"/>
      <c r="G76" s="12"/>
      <c r="H76" s="3"/>
      <c r="I76" s="3"/>
      <c r="J76" s="3"/>
      <c r="K76" s="3"/>
      <c r="L76" s="3"/>
      <c r="M76" s="3"/>
      <c r="N76" s="3"/>
      <c r="O76" s="3"/>
      <c r="P76" s="3"/>
      <c r="Q76" s="3"/>
      <c r="R76" s="134">
        <v>45049</v>
      </c>
      <c r="S76" s="113">
        <f>IF(R76&gt;1,R76,"")</f>
      </c>
      <c r="T76" s="167">
        <f>IF(FollowingUnits="kg/head",IF(Z100="",VLOOKUP(FollowingCropNameFull,CropCoefficients,20,FALSE),Z100),"")</f>
      </c>
      <c r="U76" s="167">
        <f>VLOOKUP(S76,ModelOutputs,7,FALSE)</f>
      </c>
      <c r="V76" s="113">
        <f>VLOOKUP(S76,ModelOutputs,6,FALSE)</f>
      </c>
      <c r="W76" s="7">
        <f>VLOOKUP(S76,ModelOutputs,10,FALSE)*AWC</f>
      </c>
      <c r="X76" s="8">
        <f>VLOOKUP(S76,ModelOutputs,11,FALSE)+X75</f>
      </c>
      <c r="Y76" s="7">
        <f>VLOOKUP(S76,ModelOutputs,12,FALSE)</f>
      </c>
      <c r="Z76" s="8">
        <f>VLOOKUP(S76,ModelOutputs,13,FALSE)</f>
      </c>
    </row>
    <row x14ac:dyDescent="0.25" r="77" customHeight="1" ht="18.75">
      <c r="A77" s="71"/>
      <c r="B77" s="121"/>
      <c r="C77" s="3"/>
      <c r="D77" s="12"/>
      <c r="E77" s="3"/>
      <c r="F77" s="71"/>
      <c r="G77" s="12"/>
      <c r="H77" s="3"/>
      <c r="I77" s="3"/>
      <c r="J77" s="3"/>
      <c r="K77" s="3"/>
      <c r="L77" s="3"/>
      <c r="M77" s="3"/>
      <c r="N77" s="3"/>
      <c r="O77" s="3"/>
      <c r="P77" s="3"/>
      <c r="Q77" s="3"/>
      <c r="R77" s="134">
        <v>45050</v>
      </c>
      <c r="S77" s="113">
        <f>IF(R77&gt;1,R77,"")</f>
      </c>
      <c r="T77" s="167">
        <f>IF(FollowingUnits="kg/head",IF(Z101="",VLOOKUP(FollowingCropNameFull,CropCoefficients,20,FALSE),Z101),"")</f>
      </c>
      <c r="U77" s="167">
        <f>VLOOKUP(S77,ModelOutputs,7,FALSE)</f>
      </c>
      <c r="V77" s="113">
        <f>VLOOKUP(S77,ModelOutputs,6,FALSE)</f>
      </c>
      <c r="W77" s="7">
        <f>VLOOKUP(S77,ModelOutputs,10,FALSE)*AWC</f>
      </c>
      <c r="X77" s="8">
        <f>VLOOKUP(S77,ModelOutputs,11,FALSE)+X76</f>
      </c>
      <c r="Y77" s="7">
        <f>VLOOKUP(S77,ModelOutputs,12,FALSE)</f>
      </c>
      <c r="Z77" s="8">
        <f>VLOOKUP(S77,ModelOutputs,13,FALSE)</f>
      </c>
    </row>
    <row x14ac:dyDescent="0.25" r="78" customHeight="1" ht="18.75">
      <c r="A78" s="71"/>
      <c r="B78" s="121"/>
      <c r="C78" s="3"/>
      <c r="D78" s="12"/>
      <c r="E78" s="3"/>
      <c r="F78" s="71"/>
      <c r="G78" s="12"/>
      <c r="H78" s="3"/>
      <c r="I78" s="3"/>
      <c r="J78" s="3"/>
      <c r="K78" s="3"/>
      <c r="L78" s="3"/>
      <c r="M78" s="3"/>
      <c r="N78" s="3"/>
      <c r="O78" s="3"/>
      <c r="P78" s="3"/>
      <c r="Q78" s="3"/>
      <c r="R78" s="134">
        <v>45051</v>
      </c>
      <c r="S78" s="113">
        <f>IF(R78&gt;1,R78,"")</f>
      </c>
      <c r="T78" s="167">
        <f>IF(FollowingUnits="kg/head",IF(Z102="",VLOOKUP(FollowingCropNameFull,CropCoefficients,20,FALSE),Z102),"")</f>
      </c>
      <c r="U78" s="167">
        <f>VLOOKUP(S78,ModelOutputs,7,FALSE)</f>
      </c>
      <c r="V78" s="113">
        <f>VLOOKUP(S78,ModelOutputs,6,FALSE)</f>
      </c>
      <c r="W78" s="7">
        <f>VLOOKUP(S78,ModelOutputs,10,FALSE)*AWC</f>
      </c>
      <c r="X78" s="8">
        <f>VLOOKUP(S78,ModelOutputs,11,FALSE)+X77</f>
      </c>
      <c r="Y78" s="7">
        <f>VLOOKUP(S78,ModelOutputs,12,FALSE)</f>
      </c>
      <c r="Z78" s="8">
        <f>VLOOKUP(S78,ModelOutputs,13,FALSE)</f>
      </c>
    </row>
    <row x14ac:dyDescent="0.25" r="79" customHeight="1" ht="18.75">
      <c r="A79" s="71"/>
      <c r="B79" s="121"/>
      <c r="C79" s="3"/>
      <c r="D79" s="12"/>
      <c r="E79" s="3"/>
      <c r="F79" s="71"/>
      <c r="G79" s="12"/>
      <c r="H79" s="3"/>
      <c r="I79" s="3"/>
      <c r="J79" s="3"/>
      <c r="K79" s="3"/>
      <c r="L79" s="3"/>
      <c r="M79" s="3"/>
      <c r="N79" s="3"/>
      <c r="O79" s="3"/>
      <c r="P79" s="3"/>
      <c r="Q79" s="3"/>
      <c r="R79" s="134">
        <v>45052</v>
      </c>
      <c r="S79" s="113">
        <f>IF(R79&gt;1,R79,"")</f>
      </c>
      <c r="T79" s="167">
        <f>IF(FollowingUnits="kg/head",IF(Z103="",VLOOKUP(FollowingCropNameFull,CropCoefficients,20,FALSE),Z103),"")</f>
      </c>
      <c r="U79" s="167">
        <f>VLOOKUP(S79,ModelOutputs,7,FALSE)</f>
      </c>
      <c r="V79" s="113">
        <f>VLOOKUP(S79,ModelOutputs,6,FALSE)</f>
      </c>
      <c r="W79" s="7">
        <f>VLOOKUP(S79,ModelOutputs,10,FALSE)*AWC</f>
      </c>
      <c r="X79" s="8">
        <f>VLOOKUP(S79,ModelOutputs,11,FALSE)+X78</f>
      </c>
      <c r="Y79" s="7">
        <f>VLOOKUP(S79,ModelOutputs,12,FALSE)</f>
      </c>
      <c r="Z79" s="8">
        <f>VLOOKUP(S79,ModelOutputs,13,FALSE)</f>
      </c>
    </row>
    <row x14ac:dyDescent="0.25" r="80" customHeight="1" ht="18.75">
      <c r="A80" s="71"/>
      <c r="B80" s="121"/>
      <c r="C80" s="3"/>
      <c r="D80" s="12"/>
      <c r="E80" s="3"/>
      <c r="F80" s="71"/>
      <c r="G80" s="12"/>
      <c r="H80" s="3"/>
      <c r="I80" s="3"/>
      <c r="J80" s="3"/>
      <c r="K80" s="3"/>
      <c r="L80" s="3"/>
      <c r="M80" s="3"/>
      <c r="N80" s="3"/>
      <c r="O80" s="3"/>
      <c r="P80" s="3"/>
      <c r="Q80" s="3"/>
      <c r="R80" s="134">
        <v>45053</v>
      </c>
      <c r="S80" s="113">
        <f>IF(R80&gt;1,R80,"")</f>
      </c>
      <c r="T80" s="167">
        <f>IF(FollowingUnits="kg/head",IF(Z104="",VLOOKUP(FollowingCropNameFull,CropCoefficients,20,FALSE),Z104),"")</f>
      </c>
      <c r="U80" s="167">
        <f>VLOOKUP(S80,ModelOutputs,7,FALSE)</f>
      </c>
      <c r="V80" s="113">
        <f>VLOOKUP(S80,ModelOutputs,6,FALSE)</f>
      </c>
      <c r="W80" s="8">
        <f>VLOOKUP(S80,ModelOutputs,10,FALSE)*AWC</f>
      </c>
      <c r="X80" s="8">
        <f>VLOOKUP(S80,ModelOutputs,11,FALSE)+X79</f>
      </c>
      <c r="Y80" s="7">
        <f>VLOOKUP(S80,ModelOutputs,12,FALSE)</f>
      </c>
      <c r="Z80" s="8">
        <f>VLOOKUP(S80,ModelOutputs,13,FALSE)</f>
      </c>
    </row>
    <row x14ac:dyDescent="0.25" r="81" customHeight="1" ht="18.75">
      <c r="A81" s="71"/>
      <c r="B81" s="121"/>
      <c r="C81" s="3"/>
      <c r="D81" s="12"/>
      <c r="E81" s="3"/>
      <c r="F81" s="71"/>
      <c r="G81" s="12"/>
      <c r="H81" s="3"/>
      <c r="I81" s="3"/>
      <c r="J81" s="3"/>
      <c r="K81" s="3"/>
      <c r="L81" s="3"/>
      <c r="M81" s="3"/>
      <c r="N81" s="3"/>
      <c r="O81" s="3"/>
      <c r="P81" s="3"/>
      <c r="Q81" s="3"/>
      <c r="R81" s="134">
        <v>45054</v>
      </c>
      <c r="S81" s="113">
        <f>IF(R81&gt;1,R81,"")</f>
      </c>
      <c r="T81" s="167">
        <f>IF(FollowingUnits="kg/head",IF(Z105="",VLOOKUP(FollowingCropNameFull,CropCoefficients,20,FALSE),Z105),"")</f>
      </c>
      <c r="U81" s="167">
        <f>VLOOKUP(S81,ModelOutputs,7,FALSE)</f>
      </c>
      <c r="V81" s="113">
        <f>VLOOKUP(S81,ModelOutputs,6,FALSE)</f>
      </c>
      <c r="W81" s="7">
        <f>VLOOKUP(S81,ModelOutputs,10,FALSE)*AWC</f>
      </c>
      <c r="X81" s="8">
        <f>VLOOKUP(S81,ModelOutputs,11,FALSE)+X80</f>
      </c>
      <c r="Y81" s="7">
        <f>VLOOKUP(S81,ModelOutputs,12,FALSE)</f>
      </c>
      <c r="Z81" s="8">
        <f>VLOOKUP(S81,ModelOutputs,13,FALSE)</f>
      </c>
    </row>
    <row x14ac:dyDescent="0.25" r="82" customHeight="1" ht="18.75">
      <c r="A82" s="71"/>
      <c r="B82" s="121"/>
      <c r="C82" s="3"/>
      <c r="D82" s="12"/>
      <c r="E82" s="3"/>
      <c r="F82" s="71"/>
      <c r="G82" s="12"/>
      <c r="H82" s="3"/>
      <c r="I82" s="3"/>
      <c r="J82" s="3"/>
      <c r="K82" s="3"/>
      <c r="L82" s="3"/>
      <c r="M82" s="3"/>
      <c r="N82" s="3"/>
      <c r="O82" s="3"/>
      <c r="P82" s="3"/>
      <c r="Q82" s="3"/>
      <c r="R82" s="134">
        <v>45055</v>
      </c>
      <c r="S82" s="113">
        <f>IF(R82&gt;1,R82,"")</f>
      </c>
      <c r="T82" s="167">
        <f>VLOOKUP(S82,ModelOutputs,2,FALSE)</f>
      </c>
      <c r="U82" s="167">
        <f>VLOOKUP(S82,ModelOutputs,7,FALSE)</f>
      </c>
      <c r="V82" s="113">
        <f>VLOOKUP(S82,ModelOutputs,6,FALSE)</f>
      </c>
      <c r="W82" s="7">
        <f>VLOOKUP(S82,ModelOutputs,10,FALSE)*AWC</f>
      </c>
      <c r="X82" s="8">
        <f>VLOOKUP(S82,ModelOutputs,11,FALSE)+X81</f>
      </c>
      <c r="Y82" s="7">
        <f>VLOOKUP(S82,ModelOutputs,12,FALSE)</f>
      </c>
      <c r="Z82" s="8">
        <f>VLOOKUP(S82,ModelOutputs,13,FALSE)</f>
      </c>
    </row>
    <row x14ac:dyDescent="0.25" r="83" customHeight="1" ht="18.75">
      <c r="A83" s="71"/>
      <c r="B83" s="121"/>
      <c r="C83" s="3"/>
      <c r="D83" s="12"/>
      <c r="E83" s="3"/>
      <c r="F83" s="71"/>
      <c r="G83" s="12"/>
      <c r="H83" s="3"/>
      <c r="I83" s="3"/>
      <c r="J83" s="3"/>
      <c r="K83" s="3"/>
      <c r="L83" s="3"/>
      <c r="M83" s="3"/>
      <c r="N83" s="3"/>
      <c r="O83" s="3"/>
      <c r="P83" s="3"/>
      <c r="Q83" s="3"/>
      <c r="R83" s="134">
        <v>45056</v>
      </c>
      <c r="S83" s="113">
        <f>IF(R83&gt;1,R83,"")</f>
      </c>
      <c r="T83" s="167">
        <f>VLOOKUP(S83,ModelOutputs,2,FALSE)</f>
      </c>
      <c r="U83" s="167">
        <f>VLOOKUP(S83,ModelOutputs,7,FALSE)</f>
      </c>
      <c r="V83" s="113">
        <f>VLOOKUP(S83,ModelOutputs,6,FALSE)</f>
      </c>
      <c r="W83" s="7">
        <f>VLOOKUP(S83,ModelOutputs,10,FALSE)*AWC</f>
      </c>
      <c r="X83" s="8">
        <f>VLOOKUP(S83,ModelOutputs,11,FALSE)+X82</f>
      </c>
      <c r="Y83" s="7">
        <f>VLOOKUP(S83,ModelOutputs,12,FALSE)</f>
      </c>
      <c r="Z83" s="8">
        <f>VLOOKUP(S83,ModelOutputs,13,FALSE)</f>
      </c>
    </row>
    <row x14ac:dyDescent="0.25" r="84" customHeight="1" ht="18.75">
      <c r="A84" s="71"/>
      <c r="B84" s="121"/>
      <c r="C84" s="3"/>
      <c r="D84" s="12"/>
      <c r="E84" s="3"/>
      <c r="F84" s="71"/>
      <c r="G84" s="12"/>
      <c r="H84" s="3"/>
      <c r="I84" s="3"/>
      <c r="J84" s="3"/>
      <c r="K84" s="3"/>
      <c r="L84" s="3"/>
      <c r="M84" s="3"/>
      <c r="N84" s="3"/>
      <c r="O84" s="3"/>
      <c r="P84" s="3"/>
      <c r="Q84" s="3"/>
      <c r="R84" s="134">
        <v>45057</v>
      </c>
      <c r="S84" s="113">
        <f>IF(R84&gt;1,R84,"")</f>
      </c>
      <c r="T84" s="167">
        <f>VLOOKUP(S84,ModelOutputs,2,FALSE)</f>
      </c>
      <c r="U84" s="167">
        <f>VLOOKUP(S84,ModelOutputs,7,FALSE)</f>
      </c>
      <c r="V84" s="113">
        <f>VLOOKUP(S84,ModelOutputs,6,FALSE)</f>
      </c>
      <c r="W84" s="7">
        <f>VLOOKUP(S84,ModelOutputs,10,FALSE)*AWC</f>
      </c>
      <c r="X84" s="8">
        <f>VLOOKUP(S84,ModelOutputs,11,FALSE)+X83</f>
      </c>
      <c r="Y84" s="7">
        <f>VLOOKUP(S84,ModelOutputs,12,FALSE)</f>
      </c>
      <c r="Z84" s="8">
        <f>VLOOKUP(S84,ModelOutputs,13,FALSE)</f>
      </c>
    </row>
    <row x14ac:dyDescent="0.25" r="85" customHeight="1" ht="18.75">
      <c r="A85" s="71"/>
      <c r="B85" s="121"/>
      <c r="C85" s="3"/>
      <c r="D85" s="12"/>
      <c r="E85" s="3"/>
      <c r="F85" s="71"/>
      <c r="G85" s="12"/>
      <c r="H85" s="3"/>
      <c r="I85" s="3"/>
      <c r="J85" s="3"/>
      <c r="K85" s="3"/>
      <c r="L85" s="3"/>
      <c r="M85" s="3"/>
      <c r="N85" s="3"/>
      <c r="O85" s="3"/>
      <c r="P85" s="3"/>
      <c r="Q85" s="3"/>
      <c r="R85" s="134">
        <v>45058</v>
      </c>
      <c r="S85" s="113">
        <f>IF(R85&gt;1,R85,"")</f>
      </c>
      <c r="T85" s="167">
        <f>VLOOKUP(S85,ModelOutputs,2,FALSE)</f>
      </c>
      <c r="U85" s="167">
        <f>VLOOKUP(S85,ModelOutputs,7,FALSE)</f>
      </c>
      <c r="V85" s="113">
        <f>VLOOKUP(S85,ModelOutputs,6,FALSE)</f>
      </c>
      <c r="W85" s="7">
        <f>VLOOKUP(S85,ModelOutputs,10,FALSE)*AWC</f>
      </c>
      <c r="X85" s="8">
        <f>VLOOKUP(S85,ModelOutputs,11,FALSE)+X84</f>
      </c>
      <c r="Y85" s="7">
        <f>VLOOKUP(S85,ModelOutputs,12,FALSE)</f>
      </c>
      <c r="Z85" s="8">
        <f>VLOOKUP(S85,ModelOutputs,13,FALSE)</f>
      </c>
    </row>
    <row x14ac:dyDescent="0.25" r="86" customHeight="1" ht="18.75">
      <c r="A86" s="71"/>
      <c r="B86" s="121"/>
      <c r="C86" s="3"/>
      <c r="D86" s="12"/>
      <c r="E86" s="3"/>
      <c r="F86" s="71"/>
      <c r="G86" s="12"/>
      <c r="H86" s="3"/>
      <c r="I86" s="3"/>
      <c r="J86" s="3"/>
      <c r="K86" s="3"/>
      <c r="L86" s="3"/>
      <c r="M86" s="3"/>
      <c r="N86" s="3"/>
      <c r="O86" s="3"/>
      <c r="P86" s="3"/>
      <c r="Q86" s="3"/>
      <c r="R86" s="134">
        <v>45059</v>
      </c>
      <c r="S86" s="113">
        <f>IF(R86&gt;1,R86,"")</f>
      </c>
      <c r="T86" s="167">
        <f>VLOOKUP(S86,ModelOutputs,2,FALSE)</f>
      </c>
      <c r="U86" s="167">
        <f>VLOOKUP(S86,ModelOutputs,7,FALSE)</f>
      </c>
      <c r="V86" s="113">
        <f>VLOOKUP(S86,ModelOutputs,6,FALSE)</f>
      </c>
      <c r="W86" s="7">
        <f>VLOOKUP(S86,ModelOutputs,10,FALSE)*AWC</f>
      </c>
      <c r="X86" s="8">
        <f>VLOOKUP(S86,ModelOutputs,11,FALSE)+X85</f>
      </c>
      <c r="Y86" s="7">
        <f>VLOOKUP(S86,ModelOutputs,12,FALSE)</f>
      </c>
      <c r="Z86" s="8">
        <f>VLOOKUP(S86,ModelOutputs,13,FALSE)</f>
      </c>
    </row>
    <row x14ac:dyDescent="0.25" r="87" customHeight="1" ht="18.75">
      <c r="A87" s="71"/>
      <c r="B87" s="121"/>
      <c r="C87" s="3"/>
      <c r="D87" s="12"/>
      <c r="E87" s="3"/>
      <c r="F87" s="71"/>
      <c r="G87" s="12"/>
      <c r="H87" s="3"/>
      <c r="I87" s="3"/>
      <c r="J87" s="3"/>
      <c r="K87" s="3"/>
      <c r="L87" s="3"/>
      <c r="M87" s="3"/>
      <c r="N87" s="3"/>
      <c r="O87" s="3"/>
      <c r="P87" s="3"/>
      <c r="Q87" s="3"/>
      <c r="R87" s="134">
        <v>45060</v>
      </c>
      <c r="S87" s="113">
        <f>IF(R87&gt;1,R87,"")</f>
      </c>
      <c r="T87" s="167">
        <f>VLOOKUP(S87,ModelOutputs,2,FALSE)</f>
      </c>
      <c r="U87" s="167">
        <f>VLOOKUP(S87,ModelOutputs,7,FALSE)</f>
      </c>
      <c r="V87" s="113">
        <f>VLOOKUP(S87,ModelOutputs,6,FALSE)</f>
      </c>
      <c r="W87" s="7">
        <f>VLOOKUP(S87,ModelOutputs,10,FALSE)*AWC</f>
      </c>
      <c r="X87" s="8">
        <f>VLOOKUP(S87,ModelOutputs,11,FALSE)+X86</f>
      </c>
      <c r="Y87" s="7">
        <f>VLOOKUP(S87,ModelOutputs,12,FALSE)</f>
      </c>
      <c r="Z87" s="8">
        <f>VLOOKUP(S87,ModelOutputs,13,FALSE)</f>
      </c>
    </row>
    <row x14ac:dyDescent="0.25" r="88" customHeight="1" ht="18.75">
      <c r="A88" s="71"/>
      <c r="B88" s="121"/>
      <c r="C88" s="3"/>
      <c r="D88" s="12"/>
      <c r="E88" s="3"/>
      <c r="F88" s="71"/>
      <c r="G88" s="12"/>
      <c r="H88" s="3"/>
      <c r="I88" s="3"/>
      <c r="J88" s="3"/>
      <c r="K88" s="3"/>
      <c r="L88" s="3"/>
      <c r="M88" s="3"/>
      <c r="N88" s="3"/>
      <c r="O88" s="3"/>
      <c r="P88" s="3"/>
      <c r="Q88" s="3"/>
      <c r="R88" s="134">
        <v>45061</v>
      </c>
      <c r="S88" s="113">
        <f>IF(R88&gt;1,R88,"")</f>
      </c>
      <c r="T88" s="167">
        <f>VLOOKUP(S88,ModelOutputs,2,FALSE)</f>
      </c>
      <c r="U88" s="167">
        <f>VLOOKUP(S88,ModelOutputs,7,FALSE)</f>
      </c>
      <c r="V88" s="113">
        <f>VLOOKUP(S88,ModelOutputs,6,FALSE)</f>
      </c>
      <c r="W88" s="7">
        <f>VLOOKUP(S88,ModelOutputs,10,FALSE)*AWC</f>
      </c>
      <c r="X88" s="8">
        <f>VLOOKUP(S88,ModelOutputs,11,FALSE)+X87</f>
      </c>
      <c r="Y88" s="7">
        <f>VLOOKUP(S88,ModelOutputs,12,FALSE)</f>
      </c>
      <c r="Z88" s="8">
        <f>VLOOKUP(S88,ModelOutputs,13,FALSE)</f>
      </c>
    </row>
    <row x14ac:dyDescent="0.25" r="89" customHeight="1" ht="18.75">
      <c r="A89" s="71"/>
      <c r="B89" s="121"/>
      <c r="C89" s="3"/>
      <c r="D89" s="12"/>
      <c r="E89" s="3"/>
      <c r="F89" s="71"/>
      <c r="G89" s="12"/>
      <c r="H89" s="3"/>
      <c r="I89" s="3"/>
      <c r="J89" s="3"/>
      <c r="K89" s="3"/>
      <c r="L89" s="3"/>
      <c r="M89" s="3"/>
      <c r="N89" s="3"/>
      <c r="O89" s="3"/>
      <c r="P89" s="3"/>
      <c r="Q89" s="3"/>
      <c r="R89" s="134">
        <v>45062</v>
      </c>
      <c r="S89" s="113">
        <f>IF(R89&gt;1,R89,"")</f>
      </c>
      <c r="T89" s="167">
        <f>VLOOKUP(S89,ModelOutputs,2,FALSE)</f>
      </c>
      <c r="U89" s="167">
        <f>VLOOKUP(S89,ModelOutputs,7,FALSE)</f>
      </c>
      <c r="V89" s="113">
        <f>VLOOKUP(S89,ModelOutputs,6,FALSE)</f>
      </c>
      <c r="W89" s="7">
        <f>VLOOKUP(S89,ModelOutputs,10,FALSE)*AWC</f>
      </c>
      <c r="X89" s="8">
        <f>VLOOKUP(S89,ModelOutputs,11,FALSE)+X88</f>
      </c>
      <c r="Y89" s="7">
        <f>VLOOKUP(S89,ModelOutputs,12,FALSE)</f>
      </c>
      <c r="Z89" s="8">
        <f>VLOOKUP(S89,ModelOutputs,13,FALSE)</f>
      </c>
    </row>
    <row x14ac:dyDescent="0.25" r="90" customHeight="1" ht="18.75">
      <c r="A90" s="71"/>
      <c r="B90" s="121"/>
      <c r="C90" s="3"/>
      <c r="D90" s="12"/>
      <c r="E90" s="3"/>
      <c r="F90" s="71"/>
      <c r="G90" s="12"/>
      <c r="H90" s="3"/>
      <c r="I90" s="3"/>
      <c r="J90" s="3"/>
      <c r="K90" s="3"/>
      <c r="L90" s="3"/>
      <c r="M90" s="3"/>
      <c r="N90" s="3"/>
      <c r="O90" s="3"/>
      <c r="P90" s="3"/>
      <c r="Q90" s="3"/>
      <c r="R90" s="134">
        <v>45063</v>
      </c>
      <c r="S90" s="113">
        <f>IF(R90&gt;1,R90,"")</f>
      </c>
      <c r="T90" s="167">
        <f>VLOOKUP(S90,ModelOutputs,2,FALSE)</f>
      </c>
      <c r="U90" s="167">
        <f>VLOOKUP(S90,ModelOutputs,7,FALSE)</f>
      </c>
      <c r="V90" s="113">
        <f>VLOOKUP(S90,ModelOutputs,6,FALSE)</f>
      </c>
      <c r="W90" s="7">
        <f>VLOOKUP(S90,ModelOutputs,10,FALSE)*AWC</f>
      </c>
      <c r="X90" s="8">
        <f>VLOOKUP(S90,ModelOutputs,11,FALSE)+X89</f>
      </c>
      <c r="Y90" s="7">
        <f>VLOOKUP(S90,ModelOutputs,12,FALSE)</f>
      </c>
      <c r="Z90" s="8">
        <f>VLOOKUP(S90,ModelOutputs,13,FALSE)</f>
      </c>
    </row>
    <row x14ac:dyDescent="0.25" r="91" customHeight="1" ht="18.75">
      <c r="A91" s="71"/>
      <c r="B91" s="121"/>
      <c r="C91" s="3"/>
      <c r="D91" s="12"/>
      <c r="E91" s="3"/>
      <c r="F91" s="71"/>
      <c r="G91" s="12"/>
      <c r="H91" s="3"/>
      <c r="I91" s="3"/>
      <c r="J91" s="3"/>
      <c r="K91" s="3"/>
      <c r="L91" s="3"/>
      <c r="M91" s="3"/>
      <c r="N91" s="3"/>
      <c r="O91" s="3"/>
      <c r="P91" s="3"/>
      <c r="Q91" s="3"/>
      <c r="R91" s="134">
        <v>45064</v>
      </c>
      <c r="S91" s="113">
        <f>IF(R91&gt;1,R91,"")</f>
      </c>
      <c r="T91" s="167">
        <f>VLOOKUP(S91,ModelOutputs,2,FALSE)</f>
      </c>
      <c r="U91" s="167">
        <f>VLOOKUP(S91,ModelOutputs,7,FALSE)</f>
      </c>
      <c r="V91" s="113">
        <f>VLOOKUP(S91,ModelOutputs,6,FALSE)</f>
      </c>
      <c r="W91" s="7">
        <f>VLOOKUP(S91,ModelOutputs,10,FALSE)*AWC</f>
      </c>
      <c r="X91" s="8">
        <f>VLOOKUP(S91,ModelOutputs,11,FALSE)+X90</f>
      </c>
      <c r="Y91" s="7">
        <f>VLOOKUP(S91,ModelOutputs,12,FALSE)</f>
      </c>
      <c r="Z91" s="8">
        <f>VLOOKUP(S91,ModelOutputs,13,FALSE)</f>
      </c>
    </row>
    <row x14ac:dyDescent="0.25" r="92" customHeight="1" ht="18.75">
      <c r="A92" s="71"/>
      <c r="B92" s="121"/>
      <c r="C92" s="3"/>
      <c r="D92" s="12"/>
      <c r="E92" s="3"/>
      <c r="F92" s="71"/>
      <c r="G92" s="12"/>
      <c r="H92" s="3"/>
      <c r="I92" s="3"/>
      <c r="J92" s="3"/>
      <c r="K92" s="3"/>
      <c r="L92" s="3"/>
      <c r="M92" s="3"/>
      <c r="N92" s="3"/>
      <c r="O92" s="3"/>
      <c r="P92" s="3"/>
      <c r="Q92" s="3"/>
      <c r="R92" s="134">
        <v>45065</v>
      </c>
      <c r="S92" s="113">
        <f>IF(R92&gt;1,R92,"")</f>
      </c>
      <c r="T92" s="167">
        <f>VLOOKUP(S92,ModelOutputs,2,FALSE)</f>
      </c>
      <c r="U92" s="167">
        <f>VLOOKUP(S92,ModelOutputs,7,FALSE)</f>
      </c>
      <c r="V92" s="113">
        <f>VLOOKUP(S92,ModelOutputs,6,FALSE)</f>
      </c>
      <c r="W92" s="8">
        <f>VLOOKUP(S92,ModelOutputs,10,FALSE)*AWC</f>
      </c>
      <c r="X92" s="8">
        <f>VLOOKUP(S92,ModelOutputs,11,FALSE)+X91</f>
      </c>
      <c r="Y92" s="7">
        <f>VLOOKUP(S92,ModelOutputs,12,FALSE)</f>
      </c>
      <c r="Z92" s="8">
        <f>VLOOKUP(S92,ModelOutputs,13,FALSE)</f>
      </c>
    </row>
    <row x14ac:dyDescent="0.25" r="93" customHeight="1" ht="18.75">
      <c r="A93" s="71"/>
      <c r="B93" s="121"/>
      <c r="C93" s="3"/>
      <c r="D93" s="12"/>
      <c r="E93" s="3"/>
      <c r="F93" s="71"/>
      <c r="G93" s="12"/>
      <c r="H93" s="3"/>
      <c r="I93" s="3"/>
      <c r="J93" s="3"/>
      <c r="K93" s="3"/>
      <c r="L93" s="3"/>
      <c r="M93" s="3"/>
      <c r="N93" s="3"/>
      <c r="O93" s="3"/>
      <c r="P93" s="3"/>
      <c r="Q93" s="3"/>
      <c r="R93" s="134">
        <v>45066</v>
      </c>
      <c r="S93" s="113">
        <f>IF(R93&gt;1,R93,"")</f>
      </c>
      <c r="T93" s="167">
        <f>VLOOKUP(S93,ModelOutputs,2,FALSE)</f>
      </c>
      <c r="U93" s="167">
        <f>VLOOKUP(S93,ModelOutputs,7,FALSE)</f>
      </c>
      <c r="V93" s="113">
        <f>VLOOKUP(S93,ModelOutputs,6,FALSE)</f>
      </c>
      <c r="W93" s="7">
        <f>VLOOKUP(S93,ModelOutputs,10,FALSE)*AWC</f>
      </c>
      <c r="X93" s="8">
        <f>VLOOKUP(S93,ModelOutputs,11,FALSE)+X92</f>
      </c>
      <c r="Y93" s="7">
        <f>VLOOKUP(S93,ModelOutputs,12,FALSE)</f>
      </c>
      <c r="Z93" s="8">
        <f>VLOOKUP(S93,ModelOutputs,13,FALSE)</f>
      </c>
    </row>
    <row x14ac:dyDescent="0.25" r="94" customHeight="1" ht="18.75">
      <c r="A94" s="71"/>
      <c r="B94" s="121"/>
      <c r="C94" s="3"/>
      <c r="D94" s="12"/>
      <c r="E94" s="3"/>
      <c r="F94" s="71"/>
      <c r="G94" s="12"/>
      <c r="H94" s="3"/>
      <c r="I94" s="3"/>
      <c r="J94" s="3"/>
      <c r="K94" s="3"/>
      <c r="L94" s="3"/>
      <c r="M94" s="3"/>
      <c r="N94" s="3"/>
      <c r="O94" s="3"/>
      <c r="P94" s="3"/>
      <c r="Q94" s="3"/>
      <c r="R94" s="134">
        <v>45067</v>
      </c>
      <c r="S94" s="113">
        <f>IF(R94&gt;1,R94,"")</f>
      </c>
      <c r="T94" s="167">
        <f>VLOOKUP(S94,ModelOutputs,2,FALSE)</f>
      </c>
      <c r="U94" s="167">
        <f>VLOOKUP(S94,ModelOutputs,7,FALSE)</f>
      </c>
      <c r="V94" s="113">
        <f>VLOOKUP(S94,ModelOutputs,6,FALSE)</f>
      </c>
      <c r="W94" s="7">
        <f>VLOOKUP(S94,ModelOutputs,10,FALSE)*AWC</f>
      </c>
      <c r="X94" s="8">
        <f>VLOOKUP(S94,ModelOutputs,11,FALSE)+X93</f>
      </c>
      <c r="Y94" s="7">
        <f>VLOOKUP(S94,ModelOutputs,12,FALSE)</f>
      </c>
      <c r="Z94" s="8">
        <f>VLOOKUP(S94,ModelOutputs,13,FALSE)</f>
      </c>
    </row>
    <row x14ac:dyDescent="0.25" r="95" customHeight="1" ht="18.75">
      <c r="A95" s="71"/>
      <c r="B95" s="121"/>
      <c r="C95" s="3"/>
      <c r="D95" s="12"/>
      <c r="E95" s="3"/>
      <c r="F95" s="71"/>
      <c r="G95" s="12"/>
      <c r="H95" s="3"/>
      <c r="I95" s="3"/>
      <c r="J95" s="3"/>
      <c r="K95" s="3"/>
      <c r="L95" s="3"/>
      <c r="M95" s="3"/>
      <c r="N95" s="3"/>
      <c r="O95" s="3"/>
      <c r="P95" s="3"/>
      <c r="Q95" s="3"/>
      <c r="R95" s="134">
        <v>45068</v>
      </c>
      <c r="S95" s="113">
        <f>IF(R95&gt;1,R95,"")</f>
      </c>
      <c r="T95" s="167">
        <f>VLOOKUP(S95,ModelOutputs,2,FALSE)</f>
      </c>
      <c r="U95" s="167">
        <f>VLOOKUP(S95,ModelOutputs,7,FALSE)</f>
      </c>
      <c r="V95" s="113">
        <f>VLOOKUP(S95,ModelOutputs,6,FALSE)</f>
      </c>
      <c r="W95" s="7">
        <f>VLOOKUP(S95,ModelOutputs,10,FALSE)*AWC</f>
      </c>
      <c r="X95" s="8">
        <f>VLOOKUP(S95,ModelOutputs,11,FALSE)+X94</f>
      </c>
      <c r="Y95" s="7">
        <f>VLOOKUP(S95,ModelOutputs,12,FALSE)</f>
      </c>
      <c r="Z95" s="8">
        <f>VLOOKUP(S95,ModelOutputs,13,FALSE)</f>
      </c>
    </row>
    <row x14ac:dyDescent="0.25" r="96" customHeight="1" ht="18.75">
      <c r="A96" s="71"/>
      <c r="B96" s="121"/>
      <c r="C96" s="3"/>
      <c r="D96" s="12"/>
      <c r="E96" s="3"/>
      <c r="F96" s="71"/>
      <c r="G96" s="12"/>
      <c r="H96" s="3"/>
      <c r="I96" s="3"/>
      <c r="J96" s="3"/>
      <c r="K96" s="3"/>
      <c r="L96" s="3"/>
      <c r="M96" s="3"/>
      <c r="N96" s="3"/>
      <c r="O96" s="3"/>
      <c r="P96" s="3"/>
      <c r="Q96" s="3"/>
      <c r="R96" s="134">
        <v>45069</v>
      </c>
      <c r="S96" s="113">
        <f>IF(R96&gt;1,R96,"")</f>
      </c>
      <c r="T96" s="167">
        <f>VLOOKUP(S96,ModelOutputs,2,FALSE)</f>
      </c>
      <c r="U96" s="167">
        <f>VLOOKUP(S96,ModelOutputs,7,FALSE)</f>
      </c>
      <c r="V96" s="113">
        <f>VLOOKUP(S96,ModelOutputs,6,FALSE)</f>
      </c>
      <c r="W96" s="7">
        <f>VLOOKUP(S96,ModelOutputs,10,FALSE)*AWC</f>
      </c>
      <c r="X96" s="8">
        <f>VLOOKUP(S96,ModelOutputs,11,FALSE)+X95</f>
      </c>
      <c r="Y96" s="7">
        <f>VLOOKUP(S96,ModelOutputs,12,FALSE)</f>
      </c>
      <c r="Z96" s="8">
        <f>VLOOKUP(S96,ModelOutputs,13,FALSE)</f>
      </c>
    </row>
    <row x14ac:dyDescent="0.25" r="97" customHeight="1" ht="18.75">
      <c r="A97" s="71"/>
      <c r="B97" s="121"/>
      <c r="C97" s="3"/>
      <c r="D97" s="12"/>
      <c r="E97" s="3"/>
      <c r="F97" s="71"/>
      <c r="G97" s="12"/>
      <c r="H97" s="3"/>
      <c r="I97" s="3"/>
      <c r="J97" s="3"/>
      <c r="K97" s="3"/>
      <c r="L97" s="3"/>
      <c r="M97" s="3"/>
      <c r="N97" s="3"/>
      <c r="O97" s="3"/>
      <c r="P97" s="3"/>
      <c r="Q97" s="3"/>
      <c r="R97" s="134">
        <v>45070</v>
      </c>
      <c r="S97" s="113">
        <f>IF(R97&gt;1,R97,"")</f>
      </c>
      <c r="T97" s="167">
        <f>VLOOKUP(S97,ModelOutputs,2,FALSE)</f>
      </c>
      <c r="U97" s="167">
        <f>VLOOKUP(S97,ModelOutputs,7,FALSE)</f>
      </c>
      <c r="V97" s="113">
        <f>VLOOKUP(S97,ModelOutputs,6,FALSE)</f>
      </c>
      <c r="W97" s="7">
        <f>VLOOKUP(S97,ModelOutputs,10,FALSE)*AWC</f>
      </c>
      <c r="X97" s="8">
        <f>VLOOKUP(S97,ModelOutputs,11,FALSE)+X96</f>
      </c>
      <c r="Y97" s="7">
        <f>VLOOKUP(S97,ModelOutputs,12,FALSE)</f>
      </c>
      <c r="Z97" s="8">
        <f>VLOOKUP(S97,ModelOutputs,13,FALSE)</f>
      </c>
    </row>
    <row x14ac:dyDescent="0.25" r="98" customHeight="1" ht="18.75">
      <c r="A98" s="71"/>
      <c r="B98" s="121"/>
      <c r="C98" s="3"/>
      <c r="D98" s="12"/>
      <c r="E98" s="3"/>
      <c r="F98" s="71"/>
      <c r="G98" s="12"/>
      <c r="H98" s="3"/>
      <c r="I98" s="3"/>
      <c r="J98" s="3"/>
      <c r="K98" s="3"/>
      <c r="L98" s="3"/>
      <c r="M98" s="3"/>
      <c r="N98" s="3"/>
      <c r="O98" s="3"/>
      <c r="P98" s="3"/>
      <c r="Q98" s="3"/>
      <c r="R98" s="134">
        <v>45071</v>
      </c>
      <c r="S98" s="113">
        <f>IF(R98&gt;1,R98,"")</f>
      </c>
      <c r="T98" s="167">
        <f>VLOOKUP(S98,ModelOutputs,2,FALSE)</f>
      </c>
      <c r="U98" s="167">
        <f>VLOOKUP(S98,ModelOutputs,7,FALSE)</f>
      </c>
      <c r="V98" s="113">
        <f>VLOOKUP(S98,ModelOutputs,6,FALSE)</f>
      </c>
      <c r="W98" s="7">
        <f>VLOOKUP(S98,ModelOutputs,10,FALSE)*AWC</f>
      </c>
      <c r="X98" s="8">
        <f>VLOOKUP(S98,ModelOutputs,11,FALSE)+X97</f>
      </c>
      <c r="Y98" s="7">
        <f>VLOOKUP(S98,ModelOutputs,12,FALSE)</f>
      </c>
      <c r="Z98" s="8">
        <f>VLOOKUP(S98,ModelOutputs,13,FALSE)</f>
      </c>
    </row>
    <row x14ac:dyDescent="0.25" r="99" customHeight="1" ht="18.75">
      <c r="A99" s="71"/>
      <c r="B99" s="121"/>
      <c r="C99" s="3"/>
      <c r="D99" s="12"/>
      <c r="E99" s="3"/>
      <c r="F99" s="71"/>
      <c r="G99" s="12"/>
      <c r="H99" s="3"/>
      <c r="I99" s="3"/>
      <c r="J99" s="3"/>
      <c r="K99" s="3"/>
      <c r="L99" s="3"/>
      <c r="M99" s="3"/>
      <c r="N99" s="3"/>
      <c r="O99" s="3"/>
      <c r="P99" s="3"/>
      <c r="Q99" s="3"/>
      <c r="R99" s="134">
        <v>45072</v>
      </c>
      <c r="S99" s="113">
        <f>IF(R99&gt;1,R99,"")</f>
      </c>
      <c r="T99" s="167">
        <f>VLOOKUP(S99,ModelOutputs,2,FALSE)</f>
      </c>
      <c r="U99" s="167">
        <f>VLOOKUP(S99,ModelOutputs,7,FALSE)</f>
      </c>
      <c r="V99" s="113">
        <f>VLOOKUP(S99,ModelOutputs,6,FALSE)</f>
      </c>
      <c r="W99" s="7">
        <f>VLOOKUP(S99,ModelOutputs,10,FALSE)*AWC</f>
      </c>
      <c r="X99" s="8">
        <f>VLOOKUP(S99,ModelOutputs,11,FALSE)+X98</f>
      </c>
      <c r="Y99" s="7">
        <f>VLOOKUP(S99,ModelOutputs,12,FALSE)</f>
      </c>
      <c r="Z99" s="8">
        <f>VLOOKUP(S99,ModelOutputs,13,FALSE)</f>
      </c>
    </row>
    <row x14ac:dyDescent="0.25" r="100" customHeight="1" ht="18.75">
      <c r="A100" s="71"/>
      <c r="B100" s="121"/>
      <c r="C100" s="3"/>
      <c r="D100" s="12"/>
      <c r="E100" s="3"/>
      <c r="F100" s="71"/>
      <c r="G100" s="12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134">
        <v>45073</v>
      </c>
      <c r="S100" s="113">
        <f>IF(R100&gt;1,R100,"")</f>
      </c>
      <c r="T100" s="167">
        <f>VLOOKUP(S100,ModelOutputs,2,FALSE)</f>
      </c>
      <c r="U100" s="167">
        <f>VLOOKUP(S100,ModelOutputs,7,FALSE)</f>
      </c>
      <c r="V100" s="113">
        <f>VLOOKUP(S100,ModelOutputs,6,FALSE)</f>
      </c>
      <c r="W100" s="7">
        <f>VLOOKUP(S100,ModelOutputs,10,FALSE)*AWC</f>
      </c>
      <c r="X100" s="8">
        <f>VLOOKUP(S100,ModelOutputs,11,FALSE)+X99</f>
      </c>
      <c r="Y100" s="7">
        <f>VLOOKUP(S100,ModelOutputs,12,FALSE)</f>
      </c>
      <c r="Z100" s="8">
        <f>VLOOKUP(S100,ModelOutputs,13,FALSE)</f>
      </c>
    </row>
    <row x14ac:dyDescent="0.25" r="101" customHeight="1" ht="18.75">
      <c r="A101" s="71"/>
      <c r="B101" s="121"/>
      <c r="C101" s="3"/>
      <c r="D101" s="12"/>
      <c r="E101" s="3"/>
      <c r="F101" s="71"/>
      <c r="G101" s="12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134">
        <v>45074</v>
      </c>
      <c r="S101" s="113">
        <f>IF(R101&gt;1,R101,"")</f>
      </c>
      <c r="T101" s="167">
        <f>VLOOKUP(S101,ModelOutputs,2,FALSE)</f>
      </c>
      <c r="U101" s="167">
        <f>VLOOKUP(S101,ModelOutputs,7,FALSE)</f>
      </c>
      <c r="V101" s="113">
        <f>VLOOKUP(S101,ModelOutputs,6,FALSE)</f>
      </c>
      <c r="W101" s="7">
        <f>VLOOKUP(S101,ModelOutputs,10,FALSE)*AWC</f>
      </c>
      <c r="X101" s="8">
        <f>VLOOKUP(S101,ModelOutputs,11,FALSE)+X100</f>
      </c>
      <c r="Y101" s="7">
        <f>VLOOKUP(S101,ModelOutputs,12,FALSE)</f>
      </c>
      <c r="Z101" s="8">
        <f>VLOOKUP(S101,ModelOutputs,13,FALSE)</f>
      </c>
    </row>
    <row x14ac:dyDescent="0.25" r="102" customHeight="1" ht="18.75">
      <c r="A102" s="71"/>
      <c r="B102" s="121"/>
      <c r="C102" s="3"/>
      <c r="D102" s="12"/>
      <c r="E102" s="3"/>
      <c r="F102" s="71"/>
      <c r="G102" s="12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134">
        <v>45075</v>
      </c>
      <c r="S102" s="113">
        <f>IF(R102&gt;1,R102,"")</f>
      </c>
      <c r="T102" s="167">
        <f>VLOOKUP(S102,ModelOutputs,2,FALSE)</f>
      </c>
      <c r="U102" s="167">
        <f>VLOOKUP(S102,ModelOutputs,7,FALSE)</f>
      </c>
      <c r="V102" s="113">
        <f>VLOOKUP(S102,ModelOutputs,6,FALSE)</f>
      </c>
      <c r="W102" s="7">
        <f>VLOOKUP(S102,ModelOutputs,10,FALSE)*AWC</f>
      </c>
      <c r="X102" s="8">
        <f>VLOOKUP(S102,ModelOutputs,11,FALSE)+X101</f>
      </c>
      <c r="Y102" s="7">
        <f>VLOOKUP(S102,ModelOutputs,12,FALSE)</f>
      </c>
      <c r="Z102" s="8">
        <f>VLOOKUP(S102,ModelOutputs,13,FALSE)</f>
      </c>
    </row>
    <row x14ac:dyDescent="0.25" r="103" customHeight="1" ht="18.75">
      <c r="A103" s="71"/>
      <c r="B103" s="121"/>
      <c r="C103" s="3"/>
      <c r="D103" s="12"/>
      <c r="E103" s="3"/>
      <c r="F103" s="71"/>
      <c r="G103" s="12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134">
        <v>45076</v>
      </c>
      <c r="S103" s="113">
        <f>IF(R103&gt;1,R103,"")</f>
      </c>
      <c r="T103" s="167">
        <f>VLOOKUP(S103,ModelOutputs,2,FALSE)</f>
      </c>
      <c r="U103" s="167">
        <f>VLOOKUP(S103,ModelOutputs,7,FALSE)</f>
      </c>
      <c r="V103" s="113">
        <f>VLOOKUP(S103,ModelOutputs,6,FALSE)</f>
      </c>
      <c r="W103" s="7">
        <f>VLOOKUP(S103,ModelOutputs,10,FALSE)*AWC</f>
      </c>
      <c r="X103" s="8">
        <f>VLOOKUP(S103,ModelOutputs,11,FALSE)+X102</f>
      </c>
      <c r="Y103" s="7">
        <f>VLOOKUP(S103,ModelOutputs,12,FALSE)</f>
      </c>
      <c r="Z103" s="8">
        <f>VLOOKUP(S103,ModelOutputs,13,FALSE)</f>
      </c>
    </row>
    <row x14ac:dyDescent="0.25" r="104" customHeight="1" ht="18.75">
      <c r="A104" s="71"/>
      <c r="B104" s="121"/>
      <c r="C104" s="3"/>
      <c r="D104" s="12"/>
      <c r="E104" s="3"/>
      <c r="F104" s="71"/>
      <c r="G104" s="12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134">
        <v>45077</v>
      </c>
      <c r="S104" s="113">
        <f>IF(R104&gt;1,R104,"")</f>
      </c>
      <c r="T104" s="167">
        <f>VLOOKUP(S104,ModelOutputs,2,FALSE)</f>
      </c>
      <c r="U104" s="167">
        <f>VLOOKUP(S104,ModelOutputs,7,FALSE)</f>
      </c>
      <c r="V104" s="113">
        <f>VLOOKUP(S104,ModelOutputs,6,FALSE)</f>
      </c>
      <c r="W104" s="7">
        <f>VLOOKUP(S104,ModelOutputs,10,FALSE)*AWC</f>
      </c>
      <c r="X104" s="8">
        <f>VLOOKUP(S104,ModelOutputs,11,FALSE)+X103</f>
      </c>
      <c r="Y104" s="7">
        <f>VLOOKUP(S104,ModelOutputs,12,FALSE)</f>
      </c>
      <c r="Z104" s="8">
        <f>VLOOKUP(S104,ModelOutputs,13,FALSE)</f>
      </c>
    </row>
    <row x14ac:dyDescent="0.25" r="105" customHeight="1" ht="18.75">
      <c r="A105" s="71"/>
      <c r="B105" s="121"/>
      <c r="C105" s="3"/>
      <c r="D105" s="12"/>
      <c r="E105" s="3"/>
      <c r="F105" s="71"/>
      <c r="G105" s="12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134">
        <v>45078</v>
      </c>
      <c r="S105" s="113">
        <f>IF(R105&gt;1,R105,"")</f>
      </c>
      <c r="T105" s="167">
        <f>VLOOKUP(S105,ModelOutputs,2,FALSE)</f>
      </c>
      <c r="U105" s="167">
        <f>VLOOKUP(S105,ModelOutputs,7,FALSE)</f>
      </c>
      <c r="V105" s="113">
        <f>VLOOKUP(S105,ModelOutputs,6,FALSE)</f>
      </c>
      <c r="W105" s="7">
        <f>VLOOKUP(S105,ModelOutputs,10,FALSE)*AWC</f>
      </c>
      <c r="X105" s="8">
        <f>VLOOKUP(S105,ModelOutputs,11,FALSE)+X104</f>
      </c>
      <c r="Y105" s="7">
        <f>VLOOKUP(S105,ModelOutputs,12,FALSE)</f>
      </c>
      <c r="Z105" s="8">
        <f>VLOOKUP(S105,ModelOutputs,13,FALSE)</f>
      </c>
    </row>
    <row x14ac:dyDescent="0.25" r="106" customHeight="1" ht="18.75">
      <c r="A106" s="71"/>
      <c r="B106" s="121"/>
      <c r="C106" s="3"/>
      <c r="D106" s="12"/>
      <c r="E106" s="3"/>
      <c r="F106" s="71"/>
      <c r="G106" s="12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134">
        <v>45079</v>
      </c>
      <c r="S106" s="113">
        <f>IF(R106&gt;1,R106,"")</f>
      </c>
      <c r="T106" s="167">
        <f>VLOOKUP(S106,ModelOutputs,2,FALSE)</f>
      </c>
      <c r="U106" s="167">
        <f>VLOOKUP(S106,ModelOutputs,7,FALSE)</f>
      </c>
      <c r="V106" s="113">
        <f>VLOOKUP(S106,ModelOutputs,6,FALSE)</f>
      </c>
      <c r="W106" s="7">
        <f>VLOOKUP(S106,ModelOutputs,10,FALSE)*AWC</f>
      </c>
      <c r="X106" s="8">
        <f>VLOOKUP(S106,ModelOutputs,11,FALSE)+X105</f>
      </c>
      <c r="Y106" s="7">
        <f>VLOOKUP(S106,ModelOutputs,12,FALSE)</f>
      </c>
      <c r="Z106" s="8">
        <f>VLOOKUP(S106,ModelOutputs,13,FALSE)</f>
      </c>
    </row>
    <row x14ac:dyDescent="0.25" r="107" customHeight="1" ht="18.75">
      <c r="A107" s="71"/>
      <c r="B107" s="121"/>
      <c r="C107" s="3"/>
      <c r="D107" s="12"/>
      <c r="E107" s="3"/>
      <c r="F107" s="71"/>
      <c r="G107" s="12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134">
        <v>45080</v>
      </c>
      <c r="S107" s="113">
        <f>IF(R107&gt;1,R107,"")</f>
      </c>
      <c r="T107" s="167">
        <f>VLOOKUP(S107,ModelOutputs,2,FALSE)</f>
      </c>
      <c r="U107" s="167">
        <f>VLOOKUP(S107,ModelOutputs,7,FALSE)</f>
      </c>
      <c r="V107" s="113">
        <f>VLOOKUP(S107,ModelOutputs,6,FALSE)</f>
      </c>
      <c r="W107" s="7">
        <f>VLOOKUP(S107,ModelOutputs,10,FALSE)*AWC</f>
      </c>
      <c r="X107" s="8">
        <f>VLOOKUP(S107,ModelOutputs,11,FALSE)+X106</f>
      </c>
      <c r="Y107" s="7">
        <f>VLOOKUP(S107,ModelOutputs,12,FALSE)</f>
      </c>
      <c r="Z107" s="8">
        <f>VLOOKUP(S107,ModelOutputs,13,FALSE)</f>
      </c>
    </row>
    <row x14ac:dyDescent="0.25" r="108" customHeight="1" ht="18.75">
      <c r="A108" s="71"/>
      <c r="B108" s="121"/>
      <c r="C108" s="3"/>
      <c r="D108" s="12"/>
      <c r="E108" s="3"/>
      <c r="F108" s="71"/>
      <c r="G108" s="12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134">
        <v>45081</v>
      </c>
      <c r="S108" s="113">
        <f>IF(R108&gt;1,R108,"")</f>
      </c>
      <c r="T108" s="167">
        <f>VLOOKUP(S108,ModelOutputs,2,FALSE)</f>
      </c>
      <c r="U108" s="167">
        <f>VLOOKUP(S108,ModelOutputs,7,FALSE)</f>
      </c>
      <c r="V108" s="113">
        <f>VLOOKUP(S108,ModelOutputs,6,FALSE)</f>
      </c>
      <c r="W108" s="7">
        <f>VLOOKUP(S108,ModelOutputs,10,FALSE)*AWC</f>
      </c>
      <c r="X108" s="8">
        <f>VLOOKUP(S108,ModelOutputs,11,FALSE)+X107</f>
      </c>
      <c r="Y108" s="7">
        <f>VLOOKUP(S108,ModelOutputs,12,FALSE)</f>
      </c>
      <c r="Z108" s="8">
        <f>VLOOKUP(S108,ModelOutputs,13,FALSE)</f>
      </c>
    </row>
    <row x14ac:dyDescent="0.25" r="109" customHeight="1" ht="18.75">
      <c r="A109" s="71"/>
      <c r="B109" s="121"/>
      <c r="C109" s="3"/>
      <c r="D109" s="12"/>
      <c r="E109" s="3"/>
      <c r="F109" s="71"/>
      <c r="G109" s="12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134">
        <v>45082</v>
      </c>
      <c r="S109" s="113">
        <f>IF(R109&gt;1,R109,"")</f>
      </c>
      <c r="T109" s="167">
        <f>VLOOKUP(S109,ModelOutputs,2,FALSE)</f>
      </c>
      <c r="U109" s="167">
        <f>VLOOKUP(S109,ModelOutputs,7,FALSE)</f>
      </c>
      <c r="V109" s="113">
        <f>VLOOKUP(S109,ModelOutputs,6,FALSE)</f>
      </c>
      <c r="W109" s="7">
        <f>VLOOKUP(S109,ModelOutputs,10,FALSE)*AWC</f>
      </c>
      <c r="X109" s="8">
        <f>VLOOKUP(S109,ModelOutputs,11,FALSE)+X108</f>
      </c>
      <c r="Y109" s="7">
        <f>VLOOKUP(S109,ModelOutputs,12,FALSE)</f>
      </c>
      <c r="Z109" s="8">
        <f>VLOOKUP(S109,ModelOutputs,13,FALSE)</f>
      </c>
    </row>
    <row x14ac:dyDescent="0.25" r="110" customHeight="1" ht="18.75">
      <c r="A110" s="71"/>
      <c r="B110" s="121"/>
      <c r="C110" s="3"/>
      <c r="D110" s="12"/>
      <c r="E110" s="3"/>
      <c r="F110" s="71"/>
      <c r="G110" s="12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134">
        <v>45083</v>
      </c>
      <c r="S110" s="113">
        <f>IF(R110&gt;1,R110,"")</f>
      </c>
      <c r="T110" s="167">
        <f>VLOOKUP(S110,ModelOutputs,2,FALSE)</f>
      </c>
      <c r="U110" s="167">
        <f>VLOOKUP(S110,ModelOutputs,7,FALSE)</f>
      </c>
      <c r="V110" s="113">
        <f>VLOOKUP(S110,ModelOutputs,6,FALSE)</f>
      </c>
      <c r="W110" s="7">
        <f>VLOOKUP(S110,ModelOutputs,10,FALSE)*AWC</f>
      </c>
      <c r="X110" s="8">
        <f>VLOOKUP(S110,ModelOutputs,11,FALSE)+X109</f>
      </c>
      <c r="Y110" s="7">
        <f>VLOOKUP(S110,ModelOutputs,12,FALSE)</f>
      </c>
      <c r="Z110" s="8">
        <f>VLOOKUP(S110,ModelOutputs,13,FALSE)</f>
      </c>
    </row>
    <row x14ac:dyDescent="0.25" r="111" customHeight="1" ht="18.75">
      <c r="A111" s="71"/>
      <c r="B111" s="121"/>
      <c r="C111" s="3"/>
      <c r="D111" s="12"/>
      <c r="E111" s="3"/>
      <c r="F111" s="71"/>
      <c r="G111" s="12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134">
        <v>45084</v>
      </c>
      <c r="S111" s="113">
        <f>IF(R111&gt;1,R111,"")</f>
      </c>
      <c r="T111" s="167">
        <f>VLOOKUP(S111,ModelOutputs,2,FALSE)</f>
      </c>
      <c r="U111" s="167">
        <f>VLOOKUP(S111,ModelOutputs,7,FALSE)</f>
      </c>
      <c r="V111" s="113">
        <f>VLOOKUP(S111,ModelOutputs,6,FALSE)</f>
      </c>
      <c r="W111" s="7">
        <f>VLOOKUP(S111,ModelOutputs,10,FALSE)*AWC</f>
      </c>
      <c r="X111" s="8">
        <f>VLOOKUP(S111,ModelOutputs,11,FALSE)+X110</f>
      </c>
      <c r="Y111" s="7">
        <f>VLOOKUP(S111,ModelOutputs,12,FALSE)</f>
      </c>
      <c r="Z111" s="8">
        <f>VLOOKUP(S111,ModelOutputs,13,FALSE)</f>
      </c>
    </row>
    <row x14ac:dyDescent="0.25" r="112" customHeight="1" ht="18.75">
      <c r="A112" s="71"/>
      <c r="B112" s="121"/>
      <c r="C112" s="3"/>
      <c r="D112" s="12"/>
      <c r="E112" s="3"/>
      <c r="F112" s="71"/>
      <c r="G112" s="12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134">
        <v>45085</v>
      </c>
      <c r="S112" s="113">
        <f>IF(R112&gt;1,R112,"")</f>
      </c>
      <c r="T112" s="167">
        <f>VLOOKUP(S112,ModelOutputs,2,FALSE)</f>
      </c>
      <c r="U112" s="167">
        <f>VLOOKUP(S112,ModelOutputs,7,FALSE)</f>
      </c>
      <c r="V112" s="113">
        <f>VLOOKUP(S112,ModelOutputs,6,FALSE)</f>
      </c>
      <c r="W112" s="7">
        <f>VLOOKUP(S112,ModelOutputs,10,FALSE)*AWC</f>
      </c>
      <c r="X112" s="8">
        <f>VLOOKUP(S112,ModelOutputs,11,FALSE)+X111</f>
      </c>
      <c r="Y112" s="7">
        <f>VLOOKUP(S112,ModelOutputs,12,FALSE)</f>
      </c>
      <c r="Z112" s="8">
        <f>VLOOKUP(S112,ModelOutputs,13,FALSE)</f>
      </c>
    </row>
    <row x14ac:dyDescent="0.25" r="113" customHeight="1" ht="18.75">
      <c r="A113" s="71"/>
      <c r="B113" s="121"/>
      <c r="C113" s="3"/>
      <c r="D113" s="12"/>
      <c r="E113" s="3"/>
      <c r="F113" s="71"/>
      <c r="G113" s="12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134">
        <v>45086</v>
      </c>
      <c r="S113" s="113">
        <f>IF(R113&gt;1,R113,"")</f>
      </c>
      <c r="T113" s="167">
        <f>VLOOKUP(S113,ModelOutputs,2,FALSE)</f>
      </c>
      <c r="U113" s="167">
        <f>VLOOKUP(S113,ModelOutputs,7,FALSE)</f>
      </c>
      <c r="V113" s="113">
        <f>VLOOKUP(S113,ModelOutputs,6,FALSE)</f>
      </c>
      <c r="W113" s="7">
        <f>VLOOKUP(S113,ModelOutputs,10,FALSE)*AWC</f>
      </c>
      <c r="X113" s="8">
        <f>VLOOKUP(S113,ModelOutputs,11,FALSE)+X112</f>
      </c>
      <c r="Y113" s="7">
        <f>VLOOKUP(S113,ModelOutputs,12,FALSE)</f>
      </c>
      <c r="Z113" s="8">
        <f>VLOOKUP(S113,ModelOutputs,13,FALSE)</f>
      </c>
    </row>
    <row x14ac:dyDescent="0.25" r="114" customHeight="1" ht="18.75">
      <c r="A114" s="71"/>
      <c r="B114" s="121"/>
      <c r="C114" s="3"/>
      <c r="D114" s="12"/>
      <c r="E114" s="3"/>
      <c r="F114" s="71"/>
      <c r="G114" s="12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134">
        <v>45087</v>
      </c>
      <c r="S114" s="113">
        <f>IF(R114&gt;1,R114,"")</f>
      </c>
      <c r="T114" s="167">
        <f>VLOOKUP(S114,ModelOutputs,2,FALSE)</f>
      </c>
      <c r="U114" s="167">
        <f>VLOOKUP(S114,ModelOutputs,7,FALSE)</f>
      </c>
      <c r="V114" s="113">
        <f>VLOOKUP(S114,ModelOutputs,6,FALSE)</f>
      </c>
      <c r="W114" s="7">
        <f>VLOOKUP(S114,ModelOutputs,10,FALSE)*AWC</f>
      </c>
      <c r="X114" s="8">
        <f>VLOOKUP(S114,ModelOutputs,11,FALSE)+X113</f>
      </c>
      <c r="Y114" s="7">
        <f>VLOOKUP(S114,ModelOutputs,12,FALSE)</f>
      </c>
      <c r="Z114" s="8">
        <f>VLOOKUP(S114,ModelOutputs,13,FALSE)</f>
      </c>
    </row>
    <row x14ac:dyDescent="0.25" r="115" customHeight="1" ht="18.75">
      <c r="A115" s="71"/>
      <c r="B115" s="121"/>
      <c r="C115" s="3"/>
      <c r="D115" s="12"/>
      <c r="E115" s="3"/>
      <c r="F115" s="71"/>
      <c r="G115" s="12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134">
        <v>45088</v>
      </c>
      <c r="S115" s="113">
        <f>IF(R115&gt;1,R115,"")</f>
      </c>
      <c r="T115" s="167">
        <f>VLOOKUP(S115,ModelOutputs,2,FALSE)</f>
      </c>
      <c r="U115" s="167">
        <f>VLOOKUP(S115,ModelOutputs,7,FALSE)</f>
      </c>
      <c r="V115" s="113">
        <f>VLOOKUP(S115,ModelOutputs,6,FALSE)</f>
      </c>
      <c r="W115" s="7">
        <f>VLOOKUP(S115,ModelOutputs,10,FALSE)*AWC</f>
      </c>
      <c r="X115" s="8">
        <f>VLOOKUP(S115,ModelOutputs,11,FALSE)+X114</f>
      </c>
      <c r="Y115" s="7">
        <f>VLOOKUP(S115,ModelOutputs,12,FALSE)</f>
      </c>
      <c r="Z115" s="8">
        <f>VLOOKUP(S115,ModelOutputs,13,FALSE)</f>
      </c>
    </row>
    <row x14ac:dyDescent="0.25" r="116" customHeight="1" ht="18.75">
      <c r="A116" s="71"/>
      <c r="B116" s="121"/>
      <c r="C116" s="3"/>
      <c r="D116" s="12"/>
      <c r="E116" s="3"/>
      <c r="F116" s="71"/>
      <c r="G116" s="12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134">
        <v>45089</v>
      </c>
      <c r="S116" s="113">
        <f>IF(R116&gt;1,R116,"")</f>
      </c>
      <c r="T116" s="167">
        <f>VLOOKUP(S116,ModelOutputs,2,FALSE)</f>
      </c>
      <c r="U116" s="167">
        <f>VLOOKUP(S116,ModelOutputs,7,FALSE)</f>
      </c>
      <c r="V116" s="113">
        <f>VLOOKUP(S116,ModelOutputs,6,FALSE)</f>
      </c>
      <c r="W116" s="7">
        <f>VLOOKUP(S116,ModelOutputs,10,FALSE)*AWC</f>
      </c>
      <c r="X116" s="8">
        <f>VLOOKUP(S116,ModelOutputs,11,FALSE)+X115</f>
      </c>
      <c r="Y116" s="7">
        <f>VLOOKUP(S116,ModelOutputs,12,FALSE)</f>
      </c>
      <c r="Z116" s="8">
        <f>VLOOKUP(S116,ModelOutputs,13,FALSE)</f>
      </c>
    </row>
    <row x14ac:dyDescent="0.25" r="117" customHeight="1" ht="18.75">
      <c r="A117" s="71"/>
      <c r="B117" s="121"/>
      <c r="C117" s="3"/>
      <c r="D117" s="12"/>
      <c r="E117" s="3"/>
      <c r="F117" s="71"/>
      <c r="G117" s="12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134">
        <v>45090</v>
      </c>
      <c r="S117" s="113">
        <f>IF(R117&gt;1,R117,"")</f>
      </c>
      <c r="T117" s="167">
        <f>VLOOKUP(S117,ModelOutputs,2,FALSE)</f>
      </c>
      <c r="U117" s="167">
        <f>VLOOKUP(S117,ModelOutputs,7,FALSE)</f>
      </c>
      <c r="V117" s="113">
        <f>VLOOKUP(S117,ModelOutputs,6,FALSE)</f>
      </c>
      <c r="W117" s="7">
        <f>VLOOKUP(S117,ModelOutputs,10,FALSE)*AWC</f>
      </c>
      <c r="X117" s="8">
        <f>VLOOKUP(S117,ModelOutputs,11,FALSE)+X116</f>
      </c>
      <c r="Y117" s="7">
        <f>VLOOKUP(S117,ModelOutputs,12,FALSE)</f>
      </c>
      <c r="Z117" s="8">
        <f>VLOOKUP(S117,ModelOutputs,13,FALSE)</f>
      </c>
    </row>
    <row x14ac:dyDescent="0.25" r="118" customHeight="1" ht="18.75">
      <c r="A118" s="71"/>
      <c r="B118" s="121"/>
      <c r="C118" s="3"/>
      <c r="D118" s="12"/>
      <c r="E118" s="3"/>
      <c r="F118" s="71"/>
      <c r="G118" s="12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134">
        <v>45091</v>
      </c>
      <c r="S118" s="113">
        <f>IF(R118&gt;1,R118,"")</f>
      </c>
      <c r="T118" s="167">
        <f>VLOOKUP(S118,ModelOutputs,2,FALSE)</f>
      </c>
      <c r="U118" s="167">
        <f>VLOOKUP(S118,ModelOutputs,7,FALSE)</f>
      </c>
      <c r="V118" s="113">
        <f>VLOOKUP(S118,ModelOutputs,6,FALSE)</f>
      </c>
      <c r="W118" s="7">
        <f>VLOOKUP(S118,ModelOutputs,10,FALSE)*AWC</f>
      </c>
      <c r="X118" s="8">
        <f>VLOOKUP(S118,ModelOutputs,11,FALSE)+X117</f>
      </c>
      <c r="Y118" s="7">
        <f>VLOOKUP(S118,ModelOutputs,12,FALSE)</f>
      </c>
      <c r="Z118" s="8">
        <f>VLOOKUP(S118,ModelOutputs,13,FALSE)</f>
      </c>
    </row>
    <row x14ac:dyDescent="0.25" r="119" customHeight="1" ht="18.75">
      <c r="A119" s="71"/>
      <c r="B119" s="121"/>
      <c r="C119" s="3"/>
      <c r="D119" s="12"/>
      <c r="E119" s="3"/>
      <c r="F119" s="71"/>
      <c r="G119" s="12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134">
        <v>45092</v>
      </c>
      <c r="S119" s="113">
        <f>IF(R119&gt;1,R119,"")</f>
      </c>
      <c r="T119" s="167">
        <f>VLOOKUP(S119,ModelOutputs,2,FALSE)</f>
      </c>
      <c r="U119" s="167">
        <f>VLOOKUP(S119,ModelOutputs,7,FALSE)</f>
      </c>
      <c r="V119" s="113">
        <f>VLOOKUP(S119,ModelOutputs,6,FALSE)</f>
      </c>
      <c r="W119" s="7">
        <f>VLOOKUP(S119,ModelOutputs,10,FALSE)*AWC</f>
      </c>
      <c r="X119" s="8">
        <f>VLOOKUP(S119,ModelOutputs,11,FALSE)+X118</f>
      </c>
      <c r="Y119" s="7">
        <f>VLOOKUP(S119,ModelOutputs,12,FALSE)</f>
      </c>
      <c r="Z119" s="8">
        <f>VLOOKUP(S119,ModelOutputs,13,FALSE)</f>
      </c>
    </row>
    <row x14ac:dyDescent="0.25" r="120" customHeight="1" ht="18.75">
      <c r="A120" s="71"/>
      <c r="B120" s="121"/>
      <c r="C120" s="3"/>
      <c r="D120" s="12"/>
      <c r="E120" s="3"/>
      <c r="F120" s="71"/>
      <c r="G120" s="12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134">
        <v>45093</v>
      </c>
      <c r="S120" s="113">
        <f>IF(R120&gt;1,R120,"")</f>
      </c>
      <c r="T120" s="167">
        <f>VLOOKUP(S120,ModelOutputs,2,FALSE)</f>
      </c>
      <c r="U120" s="167">
        <f>VLOOKUP(S120,ModelOutputs,7,FALSE)</f>
      </c>
      <c r="V120" s="113">
        <f>VLOOKUP(S120,ModelOutputs,6,FALSE)</f>
      </c>
      <c r="W120" s="7">
        <f>VLOOKUP(S120,ModelOutputs,10,FALSE)*AWC</f>
      </c>
      <c r="X120" s="8">
        <f>VLOOKUP(S120,ModelOutputs,11,FALSE)+X119</f>
      </c>
      <c r="Y120" s="7">
        <f>VLOOKUP(S120,ModelOutputs,12,FALSE)</f>
      </c>
      <c r="Z120" s="8">
        <f>VLOOKUP(S120,ModelOutputs,13,FALSE)</f>
      </c>
    </row>
    <row x14ac:dyDescent="0.25" r="121" customHeight="1" ht="18.75">
      <c r="A121" s="71"/>
      <c r="B121" s="121"/>
      <c r="C121" s="3"/>
      <c r="D121" s="12"/>
      <c r="E121" s="3"/>
      <c r="F121" s="71"/>
      <c r="G121" s="12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134">
        <v>45094</v>
      </c>
      <c r="S121" s="113">
        <f>IF(R121&gt;1,R121,"")</f>
      </c>
      <c r="T121" s="167">
        <f>VLOOKUP(S121,ModelOutputs,2,FALSE)</f>
      </c>
      <c r="U121" s="167">
        <f>VLOOKUP(S121,ModelOutputs,7,FALSE)</f>
      </c>
      <c r="V121" s="113">
        <f>VLOOKUP(S121,ModelOutputs,6,FALSE)</f>
      </c>
      <c r="W121" s="7">
        <f>VLOOKUP(S121,ModelOutputs,10,FALSE)*AWC</f>
      </c>
      <c r="X121" s="8">
        <f>VLOOKUP(S121,ModelOutputs,11,FALSE)+X120</f>
      </c>
      <c r="Y121" s="7">
        <f>VLOOKUP(S121,ModelOutputs,12,FALSE)</f>
      </c>
      <c r="Z121" s="8">
        <f>VLOOKUP(S121,ModelOutputs,13,FALSE)</f>
      </c>
    </row>
    <row x14ac:dyDescent="0.25" r="122" customHeight="1" ht="18.75">
      <c r="A122" s="71"/>
      <c r="B122" s="121"/>
      <c r="C122" s="3"/>
      <c r="D122" s="12"/>
      <c r="E122" s="3"/>
      <c r="F122" s="71"/>
      <c r="G122" s="12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134">
        <v>45095</v>
      </c>
      <c r="S122" s="113">
        <f>IF(R122&gt;1,R122,"")</f>
      </c>
      <c r="T122" s="167">
        <f>VLOOKUP(S122,ModelOutputs,2,FALSE)</f>
      </c>
      <c r="U122" s="167">
        <f>VLOOKUP(S122,ModelOutputs,7,FALSE)</f>
      </c>
      <c r="V122" s="113">
        <f>VLOOKUP(S122,ModelOutputs,6,FALSE)</f>
      </c>
      <c r="W122" s="7">
        <f>VLOOKUP(S122,ModelOutputs,10,FALSE)*AWC</f>
      </c>
      <c r="X122" s="8">
        <f>VLOOKUP(S122,ModelOutputs,11,FALSE)+X121</f>
      </c>
      <c r="Y122" s="7">
        <f>VLOOKUP(S122,ModelOutputs,12,FALSE)</f>
      </c>
      <c r="Z122" s="8">
        <f>VLOOKUP(S122,ModelOutputs,13,FALSE)</f>
      </c>
    </row>
    <row x14ac:dyDescent="0.25" r="123" customHeight="1" ht="18.75">
      <c r="A123" s="71"/>
      <c r="B123" s="121"/>
      <c r="C123" s="3"/>
      <c r="D123" s="12"/>
      <c r="E123" s="3"/>
      <c r="F123" s="71"/>
      <c r="G123" s="12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134">
        <v>45096</v>
      </c>
      <c r="S123" s="113">
        <f>IF(R123&gt;1,R123,"")</f>
      </c>
      <c r="T123" s="167">
        <f>VLOOKUP(S123,ModelOutputs,2,FALSE)</f>
      </c>
      <c r="U123" s="167">
        <f>VLOOKUP(S123,ModelOutputs,7,FALSE)</f>
      </c>
      <c r="V123" s="113">
        <f>VLOOKUP(S123,ModelOutputs,6,FALSE)</f>
      </c>
      <c r="W123" s="7">
        <f>VLOOKUP(S123,ModelOutputs,10,FALSE)*AWC</f>
      </c>
      <c r="X123" s="8">
        <f>VLOOKUP(S123,ModelOutputs,11,FALSE)+X122</f>
      </c>
      <c r="Y123" s="7">
        <f>VLOOKUP(S123,ModelOutputs,12,FALSE)</f>
      </c>
      <c r="Z123" s="8">
        <f>VLOOKUP(S123,ModelOutputs,13,FALSE)</f>
      </c>
    </row>
    <row x14ac:dyDescent="0.25" r="124" customHeight="1" ht="18.75">
      <c r="A124" s="71"/>
      <c r="B124" s="121"/>
      <c r="C124" s="3"/>
      <c r="D124" s="12"/>
      <c r="E124" s="3"/>
      <c r="F124" s="71"/>
      <c r="G124" s="12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134">
        <v>45097</v>
      </c>
      <c r="S124" s="113">
        <f>IF(R124&gt;1,R124,"")</f>
      </c>
      <c r="T124" s="167">
        <f>VLOOKUP(S124,ModelOutputs,2,FALSE)</f>
      </c>
      <c r="U124" s="167">
        <f>VLOOKUP(S124,ModelOutputs,7,FALSE)</f>
      </c>
      <c r="V124" s="113">
        <f>VLOOKUP(S124,ModelOutputs,6,FALSE)</f>
      </c>
      <c r="W124" s="7">
        <f>VLOOKUP(S124,ModelOutputs,10,FALSE)*AWC</f>
      </c>
      <c r="X124" s="8">
        <f>VLOOKUP(S124,ModelOutputs,11,FALSE)+X123</f>
      </c>
      <c r="Y124" s="7">
        <f>VLOOKUP(S124,ModelOutputs,12,FALSE)</f>
      </c>
      <c r="Z124" s="8">
        <f>VLOOKUP(S124,ModelOutputs,13,FALSE)</f>
      </c>
    </row>
    <row x14ac:dyDescent="0.25" r="125" customHeight="1" ht="18.75">
      <c r="A125" s="71"/>
      <c r="B125" s="121"/>
      <c r="C125" s="3"/>
      <c r="D125" s="12"/>
      <c r="E125" s="3"/>
      <c r="F125" s="71"/>
      <c r="G125" s="12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134">
        <v>45098</v>
      </c>
      <c r="S125" s="113">
        <f>IF(R125&gt;1,R125,"")</f>
      </c>
      <c r="T125" s="167">
        <f>VLOOKUP(S125,ModelOutputs,2,FALSE)</f>
      </c>
      <c r="U125" s="167">
        <f>VLOOKUP(S125,ModelOutputs,7,FALSE)</f>
      </c>
      <c r="V125" s="113">
        <f>VLOOKUP(S125,ModelOutputs,6,FALSE)</f>
      </c>
      <c r="W125" s="7">
        <f>VLOOKUP(S125,ModelOutputs,10,FALSE)*AWC</f>
      </c>
      <c r="X125" s="8">
        <f>VLOOKUP(S125,ModelOutputs,11,FALSE)+X124</f>
      </c>
      <c r="Y125" s="7">
        <f>VLOOKUP(S125,ModelOutputs,12,FALSE)</f>
      </c>
      <c r="Z125" s="8">
        <f>VLOOKUP(S125,ModelOutputs,13,FALSE)</f>
      </c>
    </row>
    <row x14ac:dyDescent="0.25" r="126" customHeight="1" ht="18.75">
      <c r="A126" s="71"/>
      <c r="B126" s="121"/>
      <c r="C126" s="3"/>
      <c r="D126" s="12"/>
      <c r="E126" s="3"/>
      <c r="F126" s="71"/>
      <c r="G126" s="12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134">
        <v>45099</v>
      </c>
      <c r="S126" s="113">
        <f>IF(R126&gt;1,R126,"")</f>
      </c>
      <c r="T126" s="167">
        <f>VLOOKUP(S126,ModelOutputs,2,FALSE)</f>
      </c>
      <c r="U126" s="167">
        <f>VLOOKUP(S126,ModelOutputs,7,FALSE)</f>
      </c>
      <c r="V126" s="113">
        <f>VLOOKUP(S126,ModelOutputs,6,FALSE)</f>
      </c>
      <c r="W126" s="7">
        <f>VLOOKUP(S126,ModelOutputs,10,FALSE)*AWC</f>
      </c>
      <c r="X126" s="8">
        <f>VLOOKUP(S126,ModelOutputs,11,FALSE)+X125</f>
      </c>
      <c r="Y126" s="7">
        <f>VLOOKUP(S126,ModelOutputs,12,FALSE)</f>
      </c>
      <c r="Z126" s="8">
        <f>VLOOKUP(S126,ModelOutputs,13,FALSE)</f>
      </c>
    </row>
    <row x14ac:dyDescent="0.25" r="127" customHeight="1" ht="18.75">
      <c r="A127" s="71"/>
      <c r="B127" s="121"/>
      <c r="C127" s="3"/>
      <c r="D127" s="12"/>
      <c r="E127" s="3"/>
      <c r="F127" s="71"/>
      <c r="G127" s="12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134">
        <v>45100</v>
      </c>
      <c r="S127" s="113">
        <f>IF(R127&gt;1,R127,"")</f>
      </c>
      <c r="T127" s="167">
        <f>VLOOKUP(S127,ModelOutputs,2,FALSE)</f>
      </c>
      <c r="U127" s="167">
        <f>VLOOKUP(S127,ModelOutputs,7,FALSE)</f>
      </c>
      <c r="V127" s="113">
        <f>VLOOKUP(S127,ModelOutputs,6,FALSE)</f>
      </c>
      <c r="W127" s="7">
        <f>VLOOKUP(S127,ModelOutputs,10,FALSE)*AWC</f>
      </c>
      <c r="X127" s="8">
        <f>VLOOKUP(S127,ModelOutputs,11,FALSE)+X126</f>
      </c>
      <c r="Y127" s="7">
        <f>VLOOKUP(S127,ModelOutputs,12,FALSE)</f>
      </c>
      <c r="Z127" s="8">
        <f>VLOOKUP(S127,ModelOutputs,13,FALSE)</f>
      </c>
    </row>
    <row x14ac:dyDescent="0.25" r="128" customHeight="1" ht="18.75">
      <c r="A128" s="71"/>
      <c r="B128" s="121"/>
      <c r="C128" s="3"/>
      <c r="D128" s="12"/>
      <c r="E128" s="3"/>
      <c r="F128" s="71"/>
      <c r="G128" s="12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134">
        <v>45101</v>
      </c>
      <c r="S128" s="113">
        <f>IF(R128&gt;1,R128,"")</f>
      </c>
      <c r="T128" s="167">
        <f>VLOOKUP(S128,ModelOutputs,2,FALSE)</f>
      </c>
      <c r="U128" s="167">
        <f>VLOOKUP(S128,ModelOutputs,7,FALSE)</f>
      </c>
      <c r="V128" s="113">
        <f>VLOOKUP(S128,ModelOutputs,6,FALSE)</f>
      </c>
      <c r="W128" s="7">
        <f>VLOOKUP(S128,ModelOutputs,10,FALSE)*AWC</f>
      </c>
      <c r="X128" s="8">
        <f>VLOOKUP(S128,ModelOutputs,11,FALSE)+X127</f>
      </c>
      <c r="Y128" s="7">
        <f>VLOOKUP(S128,ModelOutputs,12,FALSE)</f>
      </c>
      <c r="Z128" s="8">
        <f>VLOOKUP(S128,ModelOutputs,13,FALSE)</f>
      </c>
    </row>
    <row x14ac:dyDescent="0.25" r="129" customHeight="1" ht="18.75">
      <c r="A129" s="71"/>
      <c r="B129" s="121"/>
      <c r="C129" s="3"/>
      <c r="D129" s="12"/>
      <c r="E129" s="3"/>
      <c r="F129" s="71"/>
      <c r="G129" s="12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134">
        <v>45102</v>
      </c>
      <c r="S129" s="113">
        <f>IF(R129&gt;1,R129,"")</f>
      </c>
      <c r="T129" s="167">
        <f>VLOOKUP(S129,ModelOutputs,2,FALSE)</f>
      </c>
      <c r="U129" s="167">
        <f>VLOOKUP(S129,ModelOutputs,7,FALSE)</f>
      </c>
      <c r="V129" s="113">
        <f>VLOOKUP(S129,ModelOutputs,6,FALSE)</f>
      </c>
      <c r="W129" s="7">
        <f>VLOOKUP(S129,ModelOutputs,10,FALSE)*AWC</f>
      </c>
      <c r="X129" s="8">
        <f>VLOOKUP(S129,ModelOutputs,11,FALSE)+X128</f>
      </c>
      <c r="Y129" s="7">
        <f>VLOOKUP(S129,ModelOutputs,12,FALSE)</f>
      </c>
      <c r="Z129" s="8">
        <f>VLOOKUP(S129,ModelOutputs,13,FALSE)</f>
      </c>
    </row>
    <row x14ac:dyDescent="0.25" r="130" customHeight="1" ht="18.75">
      <c r="A130" s="71"/>
      <c r="B130" s="121"/>
      <c r="C130" s="3"/>
      <c r="D130" s="12"/>
      <c r="E130" s="3"/>
      <c r="F130" s="71"/>
      <c r="G130" s="12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134">
        <v>45103</v>
      </c>
      <c r="S130" s="113">
        <f>IF(R130&gt;1,R130,"")</f>
      </c>
      <c r="T130" s="167">
        <f>VLOOKUP(S130,ModelOutputs,2,FALSE)</f>
      </c>
      <c r="U130" s="167">
        <f>VLOOKUP(S130,ModelOutputs,7,FALSE)</f>
      </c>
      <c r="V130" s="113">
        <f>VLOOKUP(S130,ModelOutputs,6,FALSE)</f>
      </c>
      <c r="W130" s="7">
        <f>VLOOKUP(S130,ModelOutputs,10,FALSE)*AWC</f>
      </c>
      <c r="X130" s="8">
        <f>VLOOKUP(S130,ModelOutputs,11,FALSE)+X129</f>
      </c>
      <c r="Y130" s="7">
        <f>VLOOKUP(S130,ModelOutputs,12,FALSE)</f>
      </c>
      <c r="Z130" s="8">
        <f>VLOOKUP(S130,ModelOutputs,13,FALSE)</f>
      </c>
    </row>
    <row x14ac:dyDescent="0.25" r="131" customHeight="1" ht="18.75">
      <c r="A131" s="71"/>
      <c r="B131" s="121"/>
      <c r="C131" s="3"/>
      <c r="D131" s="12"/>
      <c r="E131" s="3"/>
      <c r="F131" s="71"/>
      <c r="G131" s="12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134">
        <v>45104</v>
      </c>
      <c r="S131" s="113">
        <f>IF(R131&gt;1,R131,"")</f>
      </c>
      <c r="T131" s="167">
        <f>VLOOKUP(S131,ModelOutputs,2,FALSE)</f>
      </c>
      <c r="U131" s="167">
        <f>VLOOKUP(S131,ModelOutputs,7,FALSE)</f>
      </c>
      <c r="V131" s="113">
        <f>VLOOKUP(S131,ModelOutputs,6,FALSE)</f>
      </c>
      <c r="W131" s="7">
        <f>VLOOKUP(S131,ModelOutputs,10,FALSE)*AWC</f>
      </c>
      <c r="X131" s="8">
        <f>VLOOKUP(S131,ModelOutputs,11,FALSE)+X130</f>
      </c>
      <c r="Y131" s="7">
        <f>VLOOKUP(S131,ModelOutputs,12,FALSE)</f>
      </c>
      <c r="Z131" s="8">
        <f>VLOOKUP(S131,ModelOutputs,13,FALSE)</f>
      </c>
    </row>
    <row x14ac:dyDescent="0.25" r="132" customHeight="1" ht="18.75">
      <c r="A132" s="71"/>
      <c r="B132" s="121"/>
      <c r="C132" s="3"/>
      <c r="D132" s="12"/>
      <c r="E132" s="3"/>
      <c r="F132" s="71"/>
      <c r="G132" s="12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134">
        <v>45105</v>
      </c>
      <c r="S132" s="113">
        <f>IF(R132&gt;1,R132,"")</f>
      </c>
      <c r="T132" s="167">
        <f>VLOOKUP(S132,ModelOutputs,2,FALSE)</f>
      </c>
      <c r="U132" s="167">
        <f>VLOOKUP(S132,ModelOutputs,7,FALSE)</f>
      </c>
      <c r="V132" s="113">
        <f>VLOOKUP(S132,ModelOutputs,6,FALSE)</f>
      </c>
      <c r="W132" s="7">
        <f>VLOOKUP(S132,ModelOutputs,10,FALSE)*AWC</f>
      </c>
      <c r="X132" s="8">
        <f>VLOOKUP(S132,ModelOutputs,11,FALSE)+X131</f>
      </c>
      <c r="Y132" s="7">
        <f>VLOOKUP(S132,ModelOutputs,12,FALSE)</f>
      </c>
      <c r="Z132" s="8">
        <f>VLOOKUP(S132,ModelOutputs,13,FALSE)</f>
      </c>
    </row>
    <row x14ac:dyDescent="0.25" r="133" customHeight="1" ht="18.75">
      <c r="A133" s="71"/>
      <c r="B133" s="121"/>
      <c r="C133" s="3"/>
      <c r="D133" s="12"/>
      <c r="E133" s="3"/>
      <c r="F133" s="71"/>
      <c r="G133" s="12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134">
        <v>45106</v>
      </c>
      <c r="S133" s="113">
        <f>IF(R133&gt;1,R133,"")</f>
      </c>
      <c r="T133" s="167">
        <f>VLOOKUP(S133,ModelOutputs,2,FALSE)</f>
      </c>
      <c r="U133" s="167">
        <f>VLOOKUP(S133,ModelOutputs,7,FALSE)</f>
      </c>
      <c r="V133" s="113">
        <f>VLOOKUP(S133,ModelOutputs,6,FALSE)</f>
      </c>
      <c r="W133" s="7">
        <f>VLOOKUP(S133,ModelOutputs,10,FALSE)*AWC</f>
      </c>
      <c r="X133" s="8">
        <f>VLOOKUP(S133,ModelOutputs,11,FALSE)+X132</f>
      </c>
      <c r="Y133" s="7">
        <f>VLOOKUP(S133,ModelOutputs,12,FALSE)</f>
      </c>
      <c r="Z133" s="8">
        <f>VLOOKUP(S133,ModelOutputs,13,FALSE)</f>
      </c>
    </row>
    <row x14ac:dyDescent="0.25" r="134" customHeight="1" ht="18.75">
      <c r="A134" s="71"/>
      <c r="B134" s="121"/>
      <c r="C134" s="3"/>
      <c r="D134" s="12"/>
      <c r="E134" s="3"/>
      <c r="F134" s="71"/>
      <c r="G134" s="12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134">
        <v>45107</v>
      </c>
      <c r="S134" s="113">
        <f>IF(R134&gt;1,R134,"")</f>
      </c>
      <c r="T134" s="167">
        <f>VLOOKUP(S134,ModelOutputs,2,FALSE)</f>
      </c>
      <c r="U134" s="167">
        <f>VLOOKUP(S134,ModelOutputs,7,FALSE)</f>
      </c>
      <c r="V134" s="113">
        <f>VLOOKUP(S134,ModelOutputs,6,FALSE)</f>
      </c>
      <c r="W134" s="7">
        <f>VLOOKUP(S134,ModelOutputs,10,FALSE)*AWC</f>
      </c>
      <c r="X134" s="8">
        <f>VLOOKUP(S134,ModelOutputs,11,FALSE)+X133</f>
      </c>
      <c r="Y134" s="7">
        <f>VLOOKUP(S134,ModelOutputs,12,FALSE)</f>
      </c>
      <c r="Z134" s="8">
        <f>VLOOKUP(S134,ModelOutputs,13,FALSE)</f>
      </c>
    </row>
    <row x14ac:dyDescent="0.25" r="135" customHeight="1" ht="18.75">
      <c r="A135" s="71"/>
      <c r="B135" s="121"/>
      <c r="C135" s="3"/>
      <c r="D135" s="12"/>
      <c r="E135" s="3"/>
      <c r="F135" s="71"/>
      <c r="G135" s="12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134">
        <v>45108</v>
      </c>
      <c r="S135" s="113">
        <f>IF(R135&gt;1,R135,"")</f>
      </c>
      <c r="T135" s="167">
        <f>VLOOKUP(S135,ModelOutputs,2,FALSE)</f>
      </c>
      <c r="U135" s="167">
        <f>VLOOKUP(S135,ModelOutputs,7,FALSE)</f>
      </c>
      <c r="V135" s="113">
        <f>VLOOKUP(S135,ModelOutputs,6,FALSE)</f>
      </c>
      <c r="W135" s="7">
        <f>VLOOKUP(S135,ModelOutputs,10,FALSE)*AWC</f>
      </c>
      <c r="X135" s="8">
        <f>VLOOKUP(S135,ModelOutputs,11,FALSE)+X134</f>
      </c>
      <c r="Y135" s="7">
        <f>VLOOKUP(S135,ModelOutputs,12,FALSE)</f>
      </c>
      <c r="Z135" s="8">
        <f>VLOOKUP(S135,ModelOutputs,13,FALSE)</f>
      </c>
    </row>
    <row x14ac:dyDescent="0.25" r="136" customHeight="1" ht="18.75">
      <c r="A136" s="71"/>
      <c r="B136" s="121"/>
      <c r="C136" s="3"/>
      <c r="D136" s="12"/>
      <c r="E136" s="3"/>
      <c r="F136" s="71"/>
      <c r="G136" s="12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134">
        <v>45109</v>
      </c>
      <c r="S136" s="113">
        <f>IF(R136&gt;1,R136,"")</f>
      </c>
      <c r="T136" s="167">
        <f>VLOOKUP(S136,ModelOutputs,2,FALSE)</f>
      </c>
      <c r="U136" s="167">
        <f>VLOOKUP(S136,ModelOutputs,7,FALSE)</f>
      </c>
      <c r="V136" s="113">
        <f>VLOOKUP(S136,ModelOutputs,6,FALSE)</f>
      </c>
      <c r="W136" s="7">
        <f>VLOOKUP(S136,ModelOutputs,10,FALSE)*AWC</f>
      </c>
      <c r="X136" s="8">
        <f>VLOOKUP(S136,ModelOutputs,11,FALSE)+X135</f>
      </c>
      <c r="Y136" s="7">
        <f>VLOOKUP(S136,ModelOutputs,12,FALSE)</f>
      </c>
      <c r="Z136" s="8">
        <f>VLOOKUP(S136,ModelOutputs,13,FALSE)</f>
      </c>
    </row>
    <row x14ac:dyDescent="0.25" r="137" customHeight="1" ht="18.75">
      <c r="A137" s="71"/>
      <c r="B137" s="121"/>
      <c r="C137" s="3"/>
      <c r="D137" s="12"/>
      <c r="E137" s="3"/>
      <c r="F137" s="71"/>
      <c r="G137" s="12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134">
        <v>45110</v>
      </c>
      <c r="S137" s="113">
        <f>IF(R137&gt;1,R137,"")</f>
      </c>
      <c r="T137" s="167">
        <f>VLOOKUP(S137,ModelOutputs,2,FALSE)</f>
      </c>
      <c r="U137" s="167">
        <f>VLOOKUP(S137,ModelOutputs,7,FALSE)</f>
      </c>
      <c r="V137" s="113">
        <f>VLOOKUP(S137,ModelOutputs,6,FALSE)</f>
      </c>
      <c r="W137" s="7">
        <f>VLOOKUP(S137,ModelOutputs,10,FALSE)*AWC</f>
      </c>
      <c r="X137" s="8">
        <f>VLOOKUP(S137,ModelOutputs,11,FALSE)+X136</f>
      </c>
      <c r="Y137" s="7">
        <f>VLOOKUP(S137,ModelOutputs,12,FALSE)</f>
      </c>
      <c r="Z137" s="8">
        <f>VLOOKUP(S137,ModelOutputs,13,FALSE)</f>
      </c>
    </row>
    <row x14ac:dyDescent="0.25" r="138" customHeight="1" ht="18.75">
      <c r="A138" s="71"/>
      <c r="B138" s="121"/>
      <c r="C138" s="3"/>
      <c r="D138" s="12"/>
      <c r="E138" s="3"/>
      <c r="F138" s="71"/>
      <c r="G138" s="12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134">
        <v>45111</v>
      </c>
      <c r="S138" s="113">
        <f>IF(R138&gt;1,R138,"")</f>
      </c>
      <c r="T138" s="167">
        <f>VLOOKUP(S138,ModelOutputs,2,FALSE)</f>
      </c>
      <c r="U138" s="167">
        <f>VLOOKUP(S138,ModelOutputs,7,FALSE)</f>
      </c>
      <c r="V138" s="113">
        <f>VLOOKUP(S138,ModelOutputs,6,FALSE)</f>
      </c>
      <c r="W138" s="7">
        <f>VLOOKUP(S138,ModelOutputs,10,FALSE)*AWC</f>
      </c>
      <c r="X138" s="8">
        <f>VLOOKUP(S138,ModelOutputs,11,FALSE)+X137</f>
      </c>
      <c r="Y138" s="7">
        <f>VLOOKUP(S138,ModelOutputs,12,FALSE)</f>
      </c>
      <c r="Z138" s="8">
        <f>VLOOKUP(S138,ModelOutputs,13,FALSE)</f>
      </c>
    </row>
    <row x14ac:dyDescent="0.25" r="139" customHeight="1" ht="18.75">
      <c r="A139" s="71"/>
      <c r="B139" s="121"/>
      <c r="C139" s="3"/>
      <c r="D139" s="12"/>
      <c r="E139" s="3"/>
      <c r="F139" s="71"/>
      <c r="G139" s="12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134">
        <v>45112</v>
      </c>
      <c r="S139" s="113">
        <f>IF(R139&gt;1,R139,"")</f>
      </c>
      <c r="T139" s="167">
        <f>VLOOKUP(S139,ModelOutputs,2,FALSE)</f>
      </c>
      <c r="U139" s="167">
        <f>VLOOKUP(S139,ModelOutputs,7,FALSE)</f>
      </c>
      <c r="V139" s="113">
        <f>VLOOKUP(S139,ModelOutputs,6,FALSE)</f>
      </c>
      <c r="W139" s="7">
        <f>VLOOKUP(S139,ModelOutputs,10,FALSE)*AWC</f>
      </c>
      <c r="X139" s="8">
        <f>VLOOKUP(S139,ModelOutputs,11,FALSE)+X138</f>
      </c>
      <c r="Y139" s="7">
        <f>VLOOKUP(S139,ModelOutputs,12,FALSE)</f>
      </c>
      <c r="Z139" s="8">
        <f>VLOOKUP(S139,ModelOutputs,13,FALSE)</f>
      </c>
    </row>
    <row x14ac:dyDescent="0.25" r="140" customHeight="1" ht="18.75">
      <c r="A140" s="71"/>
      <c r="B140" s="121"/>
      <c r="C140" s="3"/>
      <c r="D140" s="12"/>
      <c r="E140" s="3"/>
      <c r="F140" s="71"/>
      <c r="G140" s="12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134">
        <v>45113</v>
      </c>
      <c r="S140" s="113">
        <f>IF(R140&gt;1,R140,"")</f>
      </c>
      <c r="T140" s="167">
        <f>VLOOKUP(S140,ModelOutputs,2,FALSE)</f>
      </c>
      <c r="U140" s="167">
        <f>VLOOKUP(S140,ModelOutputs,7,FALSE)</f>
      </c>
      <c r="V140" s="113">
        <f>VLOOKUP(S140,ModelOutputs,6,FALSE)</f>
      </c>
      <c r="W140" s="7">
        <f>VLOOKUP(S140,ModelOutputs,10,FALSE)*AWC</f>
      </c>
      <c r="X140" s="8">
        <f>VLOOKUP(S140,ModelOutputs,11,FALSE)+X139</f>
      </c>
      <c r="Y140" s="7">
        <f>VLOOKUP(S140,ModelOutputs,12,FALSE)</f>
      </c>
      <c r="Z140" s="8">
        <f>VLOOKUP(S140,ModelOutputs,13,FALSE)</f>
      </c>
    </row>
    <row x14ac:dyDescent="0.25" r="141" customHeight="1" ht="18.75">
      <c r="A141" s="71"/>
      <c r="B141" s="121"/>
      <c r="C141" s="3"/>
      <c r="D141" s="12"/>
      <c r="E141" s="3"/>
      <c r="F141" s="71"/>
      <c r="G141" s="12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134">
        <v>45114</v>
      </c>
      <c r="S141" s="113">
        <f>IF(R141&gt;1,R141,"")</f>
      </c>
      <c r="T141" s="167">
        <f>VLOOKUP(S141,ModelOutputs,2,FALSE)</f>
      </c>
      <c r="U141" s="167">
        <f>VLOOKUP(S141,ModelOutputs,7,FALSE)</f>
      </c>
      <c r="V141" s="113">
        <f>VLOOKUP(S141,ModelOutputs,6,FALSE)</f>
      </c>
      <c r="W141" s="7">
        <f>VLOOKUP(S141,ModelOutputs,10,FALSE)*AWC</f>
      </c>
      <c r="X141" s="8">
        <f>VLOOKUP(S141,ModelOutputs,11,FALSE)+X140</f>
      </c>
      <c r="Y141" s="7">
        <f>VLOOKUP(S141,ModelOutputs,12,FALSE)</f>
      </c>
      <c r="Z141" s="8">
        <f>VLOOKUP(S141,ModelOutputs,13,FALSE)</f>
      </c>
    </row>
    <row x14ac:dyDescent="0.25" r="142" customHeight="1" ht="18.75">
      <c r="A142" s="71"/>
      <c r="B142" s="121"/>
      <c r="C142" s="3"/>
      <c r="D142" s="12"/>
      <c r="E142" s="3"/>
      <c r="F142" s="71"/>
      <c r="G142" s="12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134">
        <v>45115</v>
      </c>
      <c r="S142" s="113">
        <f>IF(R142&gt;1,R142,"")</f>
      </c>
      <c r="T142" s="167">
        <f>VLOOKUP(S142,ModelOutputs,2,FALSE)</f>
      </c>
      <c r="U142" s="167">
        <f>VLOOKUP(S142,ModelOutputs,7,FALSE)</f>
      </c>
      <c r="V142" s="113">
        <f>VLOOKUP(S142,ModelOutputs,6,FALSE)</f>
      </c>
      <c r="W142" s="7">
        <f>VLOOKUP(S142,ModelOutputs,10,FALSE)*AWC</f>
      </c>
      <c r="X142" s="8">
        <f>VLOOKUP(S142,ModelOutputs,11,FALSE)+X141</f>
      </c>
      <c r="Y142" s="7">
        <f>VLOOKUP(S142,ModelOutputs,12,FALSE)</f>
      </c>
      <c r="Z142" s="8">
        <f>VLOOKUP(S142,ModelOutputs,13,FALSE)</f>
      </c>
    </row>
    <row x14ac:dyDescent="0.25" r="143" customHeight="1" ht="18.75">
      <c r="A143" s="71"/>
      <c r="B143" s="121"/>
      <c r="C143" s="3"/>
      <c r="D143" s="12"/>
      <c r="E143" s="3"/>
      <c r="F143" s="71"/>
      <c r="G143" s="12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134">
        <v>45116</v>
      </c>
      <c r="S143" s="113">
        <f>IF(R143&gt;1,R143,"")</f>
      </c>
      <c r="T143" s="167">
        <f>VLOOKUP(S143,ModelOutputs,2,FALSE)</f>
      </c>
      <c r="U143" s="167">
        <f>VLOOKUP(S143,ModelOutputs,7,FALSE)</f>
      </c>
      <c r="V143" s="113">
        <f>VLOOKUP(S143,ModelOutputs,6,FALSE)</f>
      </c>
      <c r="W143" s="7">
        <f>VLOOKUP(S143,ModelOutputs,10,FALSE)*AWC</f>
      </c>
      <c r="X143" s="8">
        <f>VLOOKUP(S143,ModelOutputs,11,FALSE)+X142</f>
      </c>
      <c r="Y143" s="7">
        <f>VLOOKUP(S143,ModelOutputs,12,FALSE)</f>
      </c>
      <c r="Z143" s="8">
        <f>VLOOKUP(S143,ModelOutputs,13,FALSE)</f>
      </c>
    </row>
    <row x14ac:dyDescent="0.25" r="144" customHeight="1" ht="18.75">
      <c r="A144" s="71"/>
      <c r="B144" s="121"/>
      <c r="C144" s="3"/>
      <c r="D144" s="12"/>
      <c r="E144" s="3"/>
      <c r="F144" s="71"/>
      <c r="G144" s="12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134" t="s">
        <v>374</v>
      </c>
      <c r="S144" s="135">
        <f>IF(R144&gt;1,R144,"")</f>
      </c>
      <c r="T144" s="136">
        <f>VLOOKUP(S144,ModelOutputs,2,FALSE)</f>
      </c>
      <c r="U144" s="136">
        <f>VLOOKUP(S144,ModelOutputs,7,FALSE)</f>
      </c>
      <c r="V144" s="135">
        <f>VLOOKUP(S144,ModelOutputs,6,FALSE)</f>
      </c>
      <c r="W144" s="12">
        <f>VLOOKUP(S144,ModelOutputs,10,FALSE)*AWC</f>
      </c>
      <c r="X144" s="13">
        <f>VLOOKUP(S144,ModelOutputs,11,FALSE)+X143</f>
      </c>
      <c r="Y144" s="12">
        <f>VLOOKUP(S144,ModelOutputs,12,FALSE)</f>
      </c>
      <c r="Z144" s="13">
        <f>VLOOKUP(S144,ModelOutputs,13,FALSE)</f>
      </c>
    </row>
    <row x14ac:dyDescent="0.25" r="145" customHeight="1" ht="18.75">
      <c r="A145" s="71"/>
      <c r="B145" s="121"/>
      <c r="C145" s="3"/>
      <c r="D145" s="12"/>
      <c r="E145" s="3"/>
      <c r="F145" s="71"/>
      <c r="G145" s="12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134" t="s">
        <v>374</v>
      </c>
      <c r="S145" s="135">
        <f>IF(R145&gt;1,R145,"")</f>
      </c>
      <c r="T145" s="136">
        <f>VLOOKUP(S145,ModelOutputs,2,FALSE)</f>
      </c>
      <c r="U145" s="136">
        <f>VLOOKUP(S145,ModelOutputs,7,FALSE)</f>
      </c>
      <c r="V145" s="135">
        <f>VLOOKUP(S145,ModelOutputs,6,FALSE)</f>
      </c>
      <c r="W145" s="12">
        <f>VLOOKUP(S145,ModelOutputs,10,FALSE)*AWC</f>
      </c>
      <c r="X145" s="13">
        <f>VLOOKUP(S145,ModelOutputs,11,FALSE)+X144</f>
      </c>
      <c r="Y145" s="12">
        <f>VLOOKUP(S145,ModelOutputs,12,FALSE)</f>
      </c>
      <c r="Z145" s="13">
        <f>VLOOKUP(S145,ModelOutputs,13,FALSE)</f>
      </c>
    </row>
    <row x14ac:dyDescent="0.25" r="146" customHeight="1" ht="18.75">
      <c r="A146" s="71"/>
      <c r="B146" s="121"/>
      <c r="C146" s="3"/>
      <c r="D146" s="12"/>
      <c r="E146" s="3"/>
      <c r="F146" s="71"/>
      <c r="G146" s="12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134" t="s">
        <v>374</v>
      </c>
      <c r="S146" s="135">
        <f>IF(R146&gt;1,R146,"")</f>
      </c>
      <c r="T146" s="136">
        <f>VLOOKUP(S146,ModelOutputs,2,FALSE)</f>
      </c>
      <c r="U146" s="136">
        <f>VLOOKUP(S146,ModelOutputs,7,FALSE)</f>
      </c>
      <c r="V146" s="135">
        <f>VLOOKUP(S146,ModelOutputs,6,FALSE)</f>
      </c>
      <c r="W146" s="12">
        <f>VLOOKUP(S146,ModelOutputs,10,FALSE)*AWC</f>
      </c>
      <c r="X146" s="13">
        <f>VLOOKUP(S146,ModelOutputs,11,FALSE)+X145</f>
      </c>
      <c r="Y146" s="12">
        <f>VLOOKUP(S146,ModelOutputs,12,FALSE)</f>
      </c>
      <c r="Z146" s="13">
        <f>VLOOKUP(S146,ModelOutputs,13,FALSE)</f>
      </c>
    </row>
    <row x14ac:dyDescent="0.25" r="147" customHeight="1" ht="18.75">
      <c r="A147" s="71"/>
      <c r="B147" s="121"/>
      <c r="C147" s="3"/>
      <c r="D147" s="12"/>
      <c r="E147" s="3"/>
      <c r="F147" s="71"/>
      <c r="G147" s="12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134" t="s">
        <v>374</v>
      </c>
      <c r="S147" s="135">
        <f>IF(R147&gt;1,R147,"")</f>
      </c>
      <c r="T147" s="136">
        <f>VLOOKUP(S147,ModelOutputs,2,FALSE)</f>
      </c>
      <c r="U147" s="136">
        <f>VLOOKUP(S147,ModelOutputs,7,FALSE)</f>
      </c>
      <c r="V147" s="135">
        <f>VLOOKUP(S147,ModelOutputs,6,FALSE)</f>
      </c>
      <c r="W147" s="12">
        <f>VLOOKUP(S147,ModelOutputs,10,FALSE)*AWC</f>
      </c>
      <c r="X147" s="13">
        <f>VLOOKUP(S147,ModelOutputs,11,FALSE)+X146</f>
      </c>
      <c r="Y147" s="12">
        <f>VLOOKUP(S147,ModelOutputs,12,FALSE)</f>
      </c>
      <c r="Z147" s="13">
        <f>VLOOKUP(S147,ModelOutputs,13,FALSE)</f>
      </c>
    </row>
    <row x14ac:dyDescent="0.25" r="148" customHeight="1" ht="18.75">
      <c r="A148" s="71"/>
      <c r="B148" s="121"/>
      <c r="C148" s="3"/>
      <c r="D148" s="12"/>
      <c r="E148" s="3"/>
      <c r="F148" s="71"/>
      <c r="G148" s="12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134" t="s">
        <v>374</v>
      </c>
      <c r="S148" s="135">
        <f>IF(R148&gt;1,R148,"")</f>
      </c>
      <c r="T148" s="136">
        <f>VLOOKUP(S148,ModelOutputs,2,FALSE)</f>
      </c>
      <c r="U148" s="136">
        <f>VLOOKUP(S148,ModelOutputs,7,FALSE)</f>
      </c>
      <c r="V148" s="135">
        <f>VLOOKUP(S148,ModelOutputs,6,FALSE)</f>
      </c>
      <c r="W148" s="12">
        <f>VLOOKUP(S148,ModelOutputs,10,FALSE)*AWC</f>
      </c>
      <c r="X148" s="13">
        <f>VLOOKUP(S148,ModelOutputs,11,FALSE)+X147</f>
      </c>
      <c r="Y148" s="12">
        <f>VLOOKUP(S148,ModelOutputs,12,FALSE)</f>
      </c>
      <c r="Z148" s="13">
        <f>VLOOKUP(S148,ModelOutputs,13,FALSE)</f>
      </c>
    </row>
    <row x14ac:dyDescent="0.25" r="149" customHeight="1" ht="18.75">
      <c r="A149" s="71"/>
      <c r="B149" s="121"/>
      <c r="C149" s="3"/>
      <c r="D149" s="12"/>
      <c r="E149" s="3"/>
      <c r="F149" s="71"/>
      <c r="G149" s="12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134" t="s">
        <v>374</v>
      </c>
      <c r="S149" s="135">
        <f>IF(R149&gt;1,R149,"")</f>
      </c>
      <c r="T149" s="136">
        <f>VLOOKUP(S149,ModelOutputs,2,FALSE)</f>
      </c>
      <c r="U149" s="136">
        <f>VLOOKUP(S149,ModelOutputs,7,FALSE)</f>
      </c>
      <c r="V149" s="135">
        <f>VLOOKUP(S149,ModelOutputs,6,FALSE)</f>
      </c>
      <c r="W149" s="12">
        <f>VLOOKUP(S149,ModelOutputs,10,FALSE)*AWC</f>
      </c>
      <c r="X149" s="13">
        <f>VLOOKUP(S149,ModelOutputs,11,FALSE)+X148</f>
      </c>
      <c r="Y149" s="12">
        <f>VLOOKUP(S149,ModelOutputs,12,FALSE)</f>
      </c>
      <c r="Z149" s="13">
        <f>VLOOKUP(S149,ModelOutputs,13,FALSE)</f>
      </c>
    </row>
    <row x14ac:dyDescent="0.25" r="150" customHeight="1" ht="18.75">
      <c r="A150" s="71"/>
      <c r="B150" s="121"/>
      <c r="C150" s="3"/>
      <c r="D150" s="12"/>
      <c r="E150" s="3"/>
      <c r="F150" s="71"/>
      <c r="G150" s="12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134" t="s">
        <v>374</v>
      </c>
      <c r="S150" s="135">
        <f>IF(R150&gt;1,R150,"")</f>
      </c>
      <c r="T150" s="136">
        <f>VLOOKUP(S150,ModelOutputs,2,FALSE)</f>
      </c>
      <c r="U150" s="136">
        <f>VLOOKUP(S150,ModelOutputs,7,FALSE)</f>
      </c>
      <c r="V150" s="135">
        <f>VLOOKUP(S150,ModelOutputs,6,FALSE)</f>
      </c>
      <c r="W150" s="12">
        <f>VLOOKUP(S150,ModelOutputs,10,FALSE)*AWC</f>
      </c>
      <c r="X150" s="13">
        <f>VLOOKUP(S150,ModelOutputs,11,FALSE)+X149</f>
      </c>
      <c r="Y150" s="12">
        <f>VLOOKUP(S150,ModelOutputs,12,FALSE)</f>
      </c>
      <c r="Z150" s="13">
        <f>VLOOKUP(S150,ModelOutputs,13,FALSE)</f>
      </c>
    </row>
    <row x14ac:dyDescent="0.25" r="151" customHeight="1" ht="18.75">
      <c r="A151" s="71"/>
      <c r="B151" s="121"/>
      <c r="C151" s="3"/>
      <c r="D151" s="12"/>
      <c r="E151" s="3"/>
      <c r="F151" s="71"/>
      <c r="G151" s="12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134" t="s">
        <v>374</v>
      </c>
      <c r="S151" s="135">
        <f>IF(R151&gt;1,R151,"")</f>
      </c>
      <c r="T151" s="136">
        <f>VLOOKUP(S151,ModelOutputs,2,FALSE)</f>
      </c>
      <c r="U151" s="136">
        <f>VLOOKUP(S151,ModelOutputs,7,FALSE)</f>
      </c>
      <c r="V151" s="135">
        <f>VLOOKUP(S151,ModelOutputs,6,FALSE)</f>
      </c>
      <c r="W151" s="12">
        <f>VLOOKUP(S151,ModelOutputs,10,FALSE)*AWC</f>
      </c>
      <c r="X151" s="13">
        <f>VLOOKUP(S151,ModelOutputs,11,FALSE)+X150</f>
      </c>
      <c r="Y151" s="12">
        <f>VLOOKUP(S151,ModelOutputs,12,FALSE)</f>
      </c>
      <c r="Z151" s="13">
        <f>VLOOKUP(S151,ModelOutputs,13,FALSE)</f>
      </c>
    </row>
    <row x14ac:dyDescent="0.25" r="152" customHeight="1" ht="18.75">
      <c r="A152" s="71"/>
      <c r="B152" s="121"/>
      <c r="C152" s="3"/>
      <c r="D152" s="12"/>
      <c r="E152" s="3"/>
      <c r="F152" s="71"/>
      <c r="G152" s="12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134" t="s">
        <v>374</v>
      </c>
      <c r="S152" s="135">
        <f>IF(R152&gt;1,R152,"")</f>
      </c>
      <c r="T152" s="136">
        <f>VLOOKUP(S152,ModelOutputs,2,FALSE)</f>
      </c>
      <c r="U152" s="136">
        <f>VLOOKUP(S152,ModelOutputs,7,FALSE)</f>
      </c>
      <c r="V152" s="135">
        <f>VLOOKUP(S152,ModelOutputs,6,FALSE)</f>
      </c>
      <c r="W152" s="12">
        <f>VLOOKUP(S152,ModelOutputs,10,FALSE)*AWC</f>
      </c>
      <c r="X152" s="13">
        <f>VLOOKUP(S152,ModelOutputs,11,FALSE)+X151</f>
      </c>
      <c r="Y152" s="12">
        <f>VLOOKUP(S152,ModelOutputs,12,FALSE)</f>
      </c>
      <c r="Z152" s="13">
        <f>VLOOKUP(S152,ModelOutputs,13,FALSE)</f>
      </c>
    </row>
    <row x14ac:dyDescent="0.25" r="153" customHeight="1" ht="18.75">
      <c r="A153" s="71"/>
      <c r="B153" s="121"/>
      <c r="C153" s="3"/>
      <c r="D153" s="12"/>
      <c r="E153" s="3"/>
      <c r="F153" s="71"/>
      <c r="G153" s="12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134" t="s">
        <v>374</v>
      </c>
      <c r="S153" s="135">
        <f>IF(R153&gt;1,R153,"")</f>
      </c>
      <c r="T153" s="136">
        <f>VLOOKUP(S153,ModelOutputs,2,FALSE)</f>
      </c>
      <c r="U153" s="136">
        <f>VLOOKUP(S153,ModelOutputs,7,FALSE)</f>
      </c>
      <c r="V153" s="135">
        <f>VLOOKUP(S153,ModelOutputs,6,FALSE)</f>
      </c>
      <c r="W153" s="12">
        <f>VLOOKUP(S153,ModelOutputs,10,FALSE)*AWC</f>
      </c>
      <c r="X153" s="13">
        <f>VLOOKUP(S153,ModelOutputs,11,FALSE)+X152</f>
      </c>
      <c r="Y153" s="12">
        <f>VLOOKUP(S153,ModelOutputs,12,FALSE)</f>
      </c>
      <c r="Z153" s="13">
        <f>VLOOKUP(S153,ModelOutputs,13,FALSE)</f>
      </c>
    </row>
    <row x14ac:dyDescent="0.25" r="154" customHeight="1" ht="18.75">
      <c r="A154" s="71"/>
      <c r="B154" s="121"/>
      <c r="C154" s="3"/>
      <c r="D154" s="12"/>
      <c r="E154" s="3"/>
      <c r="F154" s="71"/>
      <c r="G154" s="12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134" t="s">
        <v>374</v>
      </c>
      <c r="S154" s="135">
        <f>IF(R154&gt;1,R154,"")</f>
      </c>
      <c r="T154" s="136">
        <f>VLOOKUP(S154,ModelOutputs,2,FALSE)</f>
      </c>
      <c r="U154" s="136">
        <f>VLOOKUP(S154,ModelOutputs,7,FALSE)</f>
      </c>
      <c r="V154" s="135">
        <f>VLOOKUP(S154,ModelOutputs,6,FALSE)</f>
      </c>
      <c r="W154" s="12">
        <f>VLOOKUP(S154,ModelOutputs,10,FALSE)*AWC</f>
      </c>
      <c r="X154" s="13">
        <f>VLOOKUP(S154,ModelOutputs,11,FALSE)+X153</f>
      </c>
      <c r="Y154" s="12">
        <f>VLOOKUP(S154,ModelOutputs,12,FALSE)</f>
      </c>
      <c r="Z154" s="13">
        <f>VLOOKUP(S154,ModelOutputs,13,FALSE)</f>
      </c>
    </row>
    <row x14ac:dyDescent="0.25" r="155" customHeight="1" ht="18.75">
      <c r="A155" s="71"/>
      <c r="B155" s="121"/>
      <c r="C155" s="3"/>
      <c r="D155" s="12"/>
      <c r="E155" s="3"/>
      <c r="F155" s="71"/>
      <c r="G155" s="12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134" t="s">
        <v>374</v>
      </c>
      <c r="S155" s="135">
        <f>IF(R155&gt;1,R155,"")</f>
      </c>
      <c r="T155" s="136">
        <f>VLOOKUP(S155,ModelOutputs,2,FALSE)</f>
      </c>
      <c r="U155" s="136">
        <f>VLOOKUP(S155,ModelOutputs,7,FALSE)</f>
      </c>
      <c r="V155" s="135">
        <f>VLOOKUP(S155,ModelOutputs,6,FALSE)</f>
      </c>
      <c r="W155" s="12">
        <f>VLOOKUP(S155,ModelOutputs,10,FALSE)*AWC</f>
      </c>
      <c r="X155" s="13">
        <f>VLOOKUP(S155,ModelOutputs,11,FALSE)+X154</f>
      </c>
      <c r="Y155" s="12">
        <f>VLOOKUP(S155,ModelOutputs,12,FALSE)</f>
      </c>
      <c r="Z155" s="13">
        <f>VLOOKUP(S155,ModelOutputs,13,FALSE)</f>
      </c>
    </row>
    <row x14ac:dyDescent="0.25" r="156" customHeight="1" ht="18.75">
      <c r="A156" s="71"/>
      <c r="B156" s="121"/>
      <c r="C156" s="3"/>
      <c r="D156" s="12"/>
      <c r="E156" s="3"/>
      <c r="F156" s="71"/>
      <c r="G156" s="12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134" t="s">
        <v>374</v>
      </c>
      <c r="S156" s="135">
        <f>IF(R156&gt;1,R156,"")</f>
      </c>
      <c r="T156" s="136">
        <f>VLOOKUP(S156,ModelOutputs,2,FALSE)</f>
      </c>
      <c r="U156" s="136">
        <f>VLOOKUP(S156,ModelOutputs,7,FALSE)</f>
      </c>
      <c r="V156" s="135">
        <f>VLOOKUP(S156,ModelOutputs,6,FALSE)</f>
      </c>
      <c r="W156" s="12">
        <f>VLOOKUP(S156,ModelOutputs,10,FALSE)*AWC</f>
      </c>
      <c r="X156" s="13">
        <f>VLOOKUP(S156,ModelOutputs,11,FALSE)+X155</f>
      </c>
      <c r="Y156" s="12">
        <f>VLOOKUP(S156,ModelOutputs,12,FALSE)</f>
      </c>
      <c r="Z156" s="13">
        <f>VLOOKUP(S156,ModelOutputs,13,FALSE)</f>
      </c>
    </row>
    <row x14ac:dyDescent="0.25" r="157" customHeight="1" ht="18.75">
      <c r="A157" s="71"/>
      <c r="B157" s="121"/>
      <c r="C157" s="3"/>
      <c r="D157" s="12"/>
      <c r="E157" s="3"/>
      <c r="F157" s="71"/>
      <c r="G157" s="12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134" t="s">
        <v>374</v>
      </c>
      <c r="S157" s="135">
        <f>IF(R157&gt;1,R157,"")</f>
      </c>
      <c r="T157" s="136">
        <f>VLOOKUP(S157,ModelOutputs,2,FALSE)</f>
      </c>
      <c r="U157" s="136">
        <f>VLOOKUP(S157,ModelOutputs,7,FALSE)</f>
      </c>
      <c r="V157" s="135">
        <f>VLOOKUP(S157,ModelOutputs,6,FALSE)</f>
      </c>
      <c r="W157" s="12">
        <f>VLOOKUP(S157,ModelOutputs,10,FALSE)*AWC</f>
      </c>
      <c r="X157" s="13">
        <f>VLOOKUP(S157,ModelOutputs,11,FALSE)+X156</f>
      </c>
      <c r="Y157" s="12">
        <f>VLOOKUP(S157,ModelOutputs,12,FALSE)</f>
      </c>
      <c r="Z157" s="13">
        <f>VLOOKUP(S157,ModelOutputs,13,FALSE)</f>
      </c>
    </row>
    <row x14ac:dyDescent="0.25" r="158" customHeight="1" ht="18.75">
      <c r="A158" s="71"/>
      <c r="B158" s="121"/>
      <c r="C158" s="3"/>
      <c r="D158" s="12"/>
      <c r="E158" s="3"/>
      <c r="F158" s="71"/>
      <c r="G158" s="12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134" t="s">
        <v>374</v>
      </c>
      <c r="S158" s="135">
        <f>IF(R158&gt;1,R158,"")</f>
      </c>
      <c r="T158" s="136">
        <f>VLOOKUP(S158,ModelOutputs,2,FALSE)</f>
      </c>
      <c r="U158" s="136">
        <f>VLOOKUP(S158,ModelOutputs,7,FALSE)</f>
      </c>
      <c r="V158" s="135">
        <f>VLOOKUP(S158,ModelOutputs,6,FALSE)</f>
      </c>
      <c r="W158" s="12">
        <f>VLOOKUP(S158,ModelOutputs,10,FALSE)*AWC</f>
      </c>
      <c r="X158" s="13">
        <f>VLOOKUP(S158,ModelOutputs,11,FALSE)+X157</f>
      </c>
      <c r="Y158" s="12">
        <f>VLOOKUP(S158,ModelOutputs,12,FALSE)</f>
      </c>
      <c r="Z158" s="13">
        <f>VLOOKUP(S158,ModelOutputs,13,FALSE)</f>
      </c>
    </row>
    <row x14ac:dyDescent="0.25" r="159" customHeight="1" ht="18.75">
      <c r="A159" s="71"/>
      <c r="B159" s="121"/>
      <c r="C159" s="3"/>
      <c r="D159" s="12"/>
      <c r="E159" s="3"/>
      <c r="F159" s="71"/>
      <c r="G159" s="12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134" t="s">
        <v>374</v>
      </c>
      <c r="S159" s="135">
        <f>IF(R159&gt;1,R159,"")</f>
      </c>
      <c r="T159" s="136">
        <f>VLOOKUP(S159,ModelOutputs,2,FALSE)</f>
      </c>
      <c r="U159" s="136">
        <f>VLOOKUP(S159,ModelOutputs,7,FALSE)</f>
      </c>
      <c r="V159" s="135">
        <f>VLOOKUP(S159,ModelOutputs,6,FALSE)</f>
      </c>
      <c r="W159" s="12">
        <f>VLOOKUP(S159,ModelOutputs,10,FALSE)*AWC</f>
      </c>
      <c r="X159" s="13">
        <f>VLOOKUP(S159,ModelOutputs,11,FALSE)+X158</f>
      </c>
      <c r="Y159" s="12">
        <f>VLOOKUP(S159,ModelOutputs,12,FALSE)</f>
      </c>
      <c r="Z159" s="13">
        <f>VLOOKUP(S159,ModelOutputs,13,FALSE)</f>
      </c>
    </row>
    <row x14ac:dyDescent="0.25" r="160" customHeight="1" ht="18.75">
      <c r="A160" s="71"/>
      <c r="B160" s="121"/>
      <c r="C160" s="3"/>
      <c r="D160" s="12"/>
      <c r="E160" s="3"/>
      <c r="F160" s="71"/>
      <c r="G160" s="12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134" t="s">
        <v>374</v>
      </c>
      <c r="S160" s="135">
        <f>IF(R160&gt;1,R160,"")</f>
      </c>
      <c r="T160" s="136">
        <f>VLOOKUP(S160,ModelOutputs,2,FALSE)</f>
      </c>
      <c r="U160" s="136">
        <f>VLOOKUP(S160,ModelOutputs,7,FALSE)</f>
      </c>
      <c r="V160" s="135">
        <f>VLOOKUP(S160,ModelOutputs,6,FALSE)</f>
      </c>
      <c r="W160" s="12">
        <f>VLOOKUP(S160,ModelOutputs,10,FALSE)*AWC</f>
      </c>
      <c r="X160" s="13">
        <f>VLOOKUP(S160,ModelOutputs,11,FALSE)+X159</f>
      </c>
      <c r="Y160" s="12">
        <f>VLOOKUP(S160,ModelOutputs,12,FALSE)</f>
      </c>
      <c r="Z160" s="13">
        <f>VLOOKUP(S160,ModelOutputs,13,FALSE)</f>
      </c>
    </row>
    <row x14ac:dyDescent="0.25" r="161" customHeight="1" ht="18.75">
      <c r="A161" s="71"/>
      <c r="B161" s="121"/>
      <c r="C161" s="3"/>
      <c r="D161" s="12"/>
      <c r="E161" s="3"/>
      <c r="F161" s="71"/>
      <c r="G161" s="12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134" t="s">
        <v>374</v>
      </c>
      <c r="S161" s="135">
        <f>IF(R161&gt;1,R161,"")</f>
      </c>
      <c r="T161" s="136">
        <f>VLOOKUP(S161,ModelOutputs,2,FALSE)</f>
      </c>
      <c r="U161" s="136">
        <f>VLOOKUP(S161,ModelOutputs,7,FALSE)</f>
      </c>
      <c r="V161" s="135">
        <f>VLOOKUP(S161,ModelOutputs,6,FALSE)</f>
      </c>
      <c r="W161" s="12">
        <f>VLOOKUP(S161,ModelOutputs,10,FALSE)*AWC</f>
      </c>
      <c r="X161" s="13">
        <f>VLOOKUP(S161,ModelOutputs,11,FALSE)+X160</f>
      </c>
      <c r="Y161" s="12">
        <f>VLOOKUP(S161,ModelOutputs,12,FALSE)</f>
      </c>
      <c r="Z161" s="13">
        <f>VLOOKUP(S161,ModelOutputs,13,FALSE)</f>
      </c>
    </row>
    <row x14ac:dyDescent="0.25" r="162" customHeight="1" ht="18.75">
      <c r="A162" s="71"/>
      <c r="B162" s="121"/>
      <c r="C162" s="3"/>
      <c r="D162" s="12"/>
      <c r="E162" s="3"/>
      <c r="F162" s="71"/>
      <c r="G162" s="12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134" t="s">
        <v>374</v>
      </c>
      <c r="S162" s="135">
        <f>IF(R162&gt;1,R162,"")</f>
      </c>
      <c r="T162" s="136">
        <f>VLOOKUP(S162,ModelOutputs,2,FALSE)</f>
      </c>
      <c r="U162" s="136">
        <f>VLOOKUP(S162,ModelOutputs,7,FALSE)</f>
      </c>
      <c r="V162" s="135">
        <f>VLOOKUP(S162,ModelOutputs,6,FALSE)</f>
      </c>
      <c r="W162" s="12">
        <f>VLOOKUP(S162,ModelOutputs,10,FALSE)*AWC</f>
      </c>
      <c r="X162" s="13">
        <f>VLOOKUP(S162,ModelOutputs,11,FALSE)+X161</f>
      </c>
      <c r="Y162" s="12">
        <f>VLOOKUP(S162,ModelOutputs,12,FALSE)</f>
      </c>
      <c r="Z162" s="13">
        <f>VLOOKUP(S162,ModelOutputs,13,FALSE)</f>
      </c>
    </row>
    <row x14ac:dyDescent="0.25" r="163" customHeight="1" ht="18.75">
      <c r="A163" s="71"/>
      <c r="B163" s="121"/>
      <c r="C163" s="3"/>
      <c r="D163" s="12"/>
      <c r="E163" s="3"/>
      <c r="F163" s="71"/>
      <c r="G163" s="12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134" t="s">
        <v>374</v>
      </c>
      <c r="S163" s="135">
        <f>IF(R163&gt;1,R163,"")</f>
      </c>
      <c r="T163" s="136">
        <f>VLOOKUP(S163,ModelOutputs,2,FALSE)</f>
      </c>
      <c r="U163" s="136">
        <f>VLOOKUP(S163,ModelOutputs,7,FALSE)</f>
      </c>
      <c r="V163" s="135">
        <f>VLOOKUP(S163,ModelOutputs,6,FALSE)</f>
      </c>
      <c r="W163" s="12">
        <f>VLOOKUP(S163,ModelOutputs,10,FALSE)*AWC</f>
      </c>
      <c r="X163" s="13">
        <f>VLOOKUP(S163,ModelOutputs,11,FALSE)+X162</f>
      </c>
      <c r="Y163" s="12">
        <f>VLOOKUP(S163,ModelOutputs,12,FALSE)</f>
      </c>
      <c r="Z163" s="13">
        <f>VLOOKUP(S163,ModelOutputs,13,FALSE)</f>
      </c>
    </row>
    <row x14ac:dyDescent="0.25" r="164" customHeight="1" ht="18.75">
      <c r="A164" s="71"/>
      <c r="B164" s="121"/>
      <c r="C164" s="3"/>
      <c r="D164" s="12"/>
      <c r="E164" s="3"/>
      <c r="F164" s="71"/>
      <c r="G164" s="12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134" t="s">
        <v>374</v>
      </c>
      <c r="S164" s="135">
        <f>IF(R164&gt;1,R164,"")</f>
      </c>
      <c r="T164" s="136">
        <f>VLOOKUP(S164,ModelOutputs,2,FALSE)</f>
      </c>
      <c r="U164" s="136">
        <f>VLOOKUP(S164,ModelOutputs,7,FALSE)</f>
      </c>
      <c r="V164" s="135">
        <f>VLOOKUP(S164,ModelOutputs,6,FALSE)</f>
      </c>
      <c r="W164" s="12">
        <f>VLOOKUP(S164,ModelOutputs,10,FALSE)*AWC</f>
      </c>
      <c r="X164" s="13">
        <f>VLOOKUP(S164,ModelOutputs,11,FALSE)+X163</f>
      </c>
      <c r="Y164" s="12">
        <f>VLOOKUP(S164,ModelOutputs,12,FALSE)</f>
      </c>
      <c r="Z164" s="13">
        <f>VLOOKUP(S164,ModelOutputs,13,FALSE)</f>
      </c>
    </row>
    <row x14ac:dyDescent="0.25" r="165" customHeight="1" ht="18.75">
      <c r="A165" s="71"/>
      <c r="B165" s="121"/>
      <c r="C165" s="3"/>
      <c r="D165" s="12"/>
      <c r="E165" s="3"/>
      <c r="F165" s="71"/>
      <c r="G165" s="12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134" t="s">
        <v>374</v>
      </c>
      <c r="S165" s="135">
        <f>IF(R165&gt;1,R165,"")</f>
      </c>
      <c r="T165" s="136">
        <f>VLOOKUP(S165,ModelOutputs,2,FALSE)</f>
      </c>
      <c r="U165" s="136">
        <f>VLOOKUP(S165,ModelOutputs,7,FALSE)</f>
      </c>
      <c r="V165" s="135">
        <f>VLOOKUP(S165,ModelOutputs,6,FALSE)</f>
      </c>
      <c r="W165" s="12">
        <f>VLOOKUP(S165,ModelOutputs,10,FALSE)*AWC</f>
      </c>
      <c r="X165" s="13">
        <f>VLOOKUP(S165,ModelOutputs,11,FALSE)+X164</f>
      </c>
      <c r="Y165" s="12">
        <f>VLOOKUP(S165,ModelOutputs,12,FALSE)</f>
      </c>
      <c r="Z165" s="13">
        <f>VLOOKUP(S165,ModelOutputs,13,FALSE)</f>
      </c>
    </row>
    <row x14ac:dyDescent="0.25" r="166" customHeight="1" ht="18.75">
      <c r="A166" s="71"/>
      <c r="B166" s="121"/>
      <c r="C166" s="3"/>
      <c r="D166" s="12"/>
      <c r="E166" s="3"/>
      <c r="F166" s="71"/>
      <c r="G166" s="12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134" t="s">
        <v>374</v>
      </c>
      <c r="S166" s="135">
        <f>IF(R166&gt;1,R166,"")</f>
      </c>
      <c r="T166" s="136">
        <f>VLOOKUP(S166,ModelOutputs,2,FALSE)</f>
      </c>
      <c r="U166" s="136">
        <f>VLOOKUP(S166,ModelOutputs,7,FALSE)</f>
      </c>
      <c r="V166" s="135">
        <f>VLOOKUP(S166,ModelOutputs,6,FALSE)</f>
      </c>
      <c r="W166" s="12">
        <f>VLOOKUP(S166,ModelOutputs,10,FALSE)*AWC</f>
      </c>
      <c r="X166" s="13">
        <f>VLOOKUP(S166,ModelOutputs,11,FALSE)+X165</f>
      </c>
      <c r="Y166" s="12">
        <f>VLOOKUP(S166,ModelOutputs,12,FALSE)</f>
      </c>
      <c r="Z166" s="13">
        <f>VLOOKUP(S166,ModelOutputs,13,FALSE)</f>
      </c>
    </row>
    <row x14ac:dyDescent="0.25" r="167" customHeight="1" ht="18.75">
      <c r="A167" s="71"/>
      <c r="B167" s="121"/>
      <c r="C167" s="3"/>
      <c r="D167" s="12"/>
      <c r="E167" s="3"/>
      <c r="F167" s="71"/>
      <c r="G167" s="12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134" t="s">
        <v>374</v>
      </c>
      <c r="S167" s="135">
        <f>IF(R167&gt;1,R167,"")</f>
      </c>
      <c r="T167" s="136">
        <f>VLOOKUP(S167,ModelOutputs,2,FALSE)</f>
      </c>
      <c r="U167" s="136">
        <f>VLOOKUP(S167,ModelOutputs,7,FALSE)</f>
      </c>
      <c r="V167" s="135">
        <f>VLOOKUP(S167,ModelOutputs,6,FALSE)</f>
      </c>
      <c r="W167" s="12">
        <f>VLOOKUP(S167,ModelOutputs,10,FALSE)*AWC</f>
      </c>
      <c r="X167" s="13">
        <f>VLOOKUP(S167,ModelOutputs,11,FALSE)+X166</f>
      </c>
      <c r="Y167" s="12">
        <f>VLOOKUP(S167,ModelOutputs,12,FALSE)</f>
      </c>
      <c r="Z167" s="13">
        <f>VLOOKUP(S167,ModelOutputs,13,FALSE)</f>
      </c>
    </row>
    <row x14ac:dyDescent="0.25" r="168" customHeight="1" ht="18.75">
      <c r="A168" s="71"/>
      <c r="B168" s="121"/>
      <c r="C168" s="3"/>
      <c r="D168" s="12"/>
      <c r="E168" s="3"/>
      <c r="F168" s="71"/>
      <c r="G168" s="12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134" t="s">
        <v>374</v>
      </c>
      <c r="S168" s="135">
        <f>IF(R168&gt;1,R168,"")</f>
      </c>
      <c r="T168" s="136">
        <f>VLOOKUP(S168,ModelOutputs,2,FALSE)</f>
      </c>
      <c r="U168" s="136">
        <f>VLOOKUP(S168,ModelOutputs,7,FALSE)</f>
      </c>
      <c r="V168" s="135">
        <f>VLOOKUP(S168,ModelOutputs,6,FALSE)</f>
      </c>
      <c r="W168" s="12">
        <f>VLOOKUP(S168,ModelOutputs,10,FALSE)*AWC</f>
      </c>
      <c r="X168" s="13">
        <f>VLOOKUP(S168,ModelOutputs,11,FALSE)+X167</f>
      </c>
      <c r="Y168" s="12">
        <f>VLOOKUP(S168,ModelOutputs,12,FALSE)</f>
      </c>
      <c r="Z168" s="13">
        <f>VLOOKUP(S168,ModelOutputs,13,FALSE)</f>
      </c>
    </row>
    <row x14ac:dyDescent="0.25" r="169" customHeight="1" ht="18.75">
      <c r="A169" s="71"/>
      <c r="B169" s="121"/>
      <c r="C169" s="3"/>
      <c r="D169" s="12"/>
      <c r="E169" s="3"/>
      <c r="F169" s="71"/>
      <c r="G169" s="12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134" t="s">
        <v>374</v>
      </c>
      <c r="S169" s="135">
        <f>IF(R169&gt;1,R169,"")</f>
      </c>
      <c r="T169" s="136">
        <f>VLOOKUP(S169,ModelOutputs,2,FALSE)</f>
      </c>
      <c r="U169" s="136">
        <f>VLOOKUP(S169,ModelOutputs,7,FALSE)</f>
      </c>
      <c r="V169" s="135">
        <f>VLOOKUP(S169,ModelOutputs,6,FALSE)</f>
      </c>
      <c r="W169" s="12">
        <f>VLOOKUP(S169,ModelOutputs,10,FALSE)*AWC</f>
      </c>
      <c r="X169" s="13">
        <f>VLOOKUP(S169,ModelOutputs,11,FALSE)+X168</f>
      </c>
      <c r="Y169" s="12">
        <f>VLOOKUP(S169,ModelOutputs,12,FALSE)</f>
      </c>
      <c r="Z169" s="13">
        <f>VLOOKUP(S169,ModelOutputs,13,FALSE)</f>
      </c>
    </row>
    <row x14ac:dyDescent="0.25" r="170" customHeight="1" ht="18.75">
      <c r="A170" s="71"/>
      <c r="B170" s="121"/>
      <c r="C170" s="3"/>
      <c r="D170" s="12"/>
      <c r="E170" s="3"/>
      <c r="F170" s="71"/>
      <c r="G170" s="12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134" t="s">
        <v>374</v>
      </c>
      <c r="S170" s="135">
        <f>IF(R170&gt;1,R170,"")</f>
      </c>
      <c r="T170" s="136">
        <f>VLOOKUP(S170,ModelOutputs,2,FALSE)</f>
      </c>
      <c r="U170" s="136">
        <f>VLOOKUP(S170,ModelOutputs,7,FALSE)</f>
      </c>
      <c r="V170" s="135">
        <f>VLOOKUP(S170,ModelOutputs,6,FALSE)</f>
      </c>
      <c r="W170" s="12">
        <f>VLOOKUP(S170,ModelOutputs,10,FALSE)*AWC</f>
      </c>
      <c r="X170" s="13">
        <f>VLOOKUP(S170,ModelOutputs,11,FALSE)+X169</f>
      </c>
      <c r="Y170" s="12">
        <f>VLOOKUP(S170,ModelOutputs,12,FALSE)</f>
      </c>
      <c r="Z170" s="13">
        <f>VLOOKUP(S170,ModelOutputs,13,FALSE)</f>
      </c>
    </row>
    <row x14ac:dyDescent="0.25" r="171" customHeight="1" ht="18.75">
      <c r="A171" s="71"/>
      <c r="B171" s="121"/>
      <c r="C171" s="3"/>
      <c r="D171" s="12"/>
      <c r="E171" s="3"/>
      <c r="F171" s="71"/>
      <c r="G171" s="12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134" t="s">
        <v>374</v>
      </c>
      <c r="S171" s="135">
        <f>IF(R171&gt;1,R171,"")</f>
      </c>
      <c r="T171" s="136">
        <f>VLOOKUP(S171,ModelOutputs,2,FALSE)</f>
      </c>
      <c r="U171" s="136">
        <f>VLOOKUP(S171,ModelOutputs,7,FALSE)</f>
      </c>
      <c r="V171" s="135">
        <f>VLOOKUP(S171,ModelOutputs,6,FALSE)</f>
      </c>
      <c r="W171" s="12">
        <f>VLOOKUP(S171,ModelOutputs,10,FALSE)*AWC</f>
      </c>
      <c r="X171" s="13">
        <f>VLOOKUP(S171,ModelOutputs,11,FALSE)+X170</f>
      </c>
      <c r="Y171" s="12">
        <f>VLOOKUP(S171,ModelOutputs,12,FALSE)</f>
      </c>
      <c r="Z171" s="13">
        <f>VLOOKUP(S171,ModelOutputs,13,FALSE)</f>
      </c>
    </row>
    <row x14ac:dyDescent="0.25" r="172" customHeight="1" ht="18.75">
      <c r="A172" s="71"/>
      <c r="B172" s="121"/>
      <c r="C172" s="3"/>
      <c r="D172" s="12"/>
      <c r="E172" s="3"/>
      <c r="F172" s="71"/>
      <c r="G172" s="12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134" t="s">
        <v>374</v>
      </c>
      <c r="S172" s="135">
        <f>IF(R172&gt;1,R172,"")</f>
      </c>
      <c r="T172" s="136">
        <f>VLOOKUP(S172,ModelOutputs,2,FALSE)</f>
      </c>
      <c r="U172" s="136">
        <f>VLOOKUP(S172,ModelOutputs,7,FALSE)</f>
      </c>
      <c r="V172" s="135">
        <f>VLOOKUP(S172,ModelOutputs,6,FALSE)</f>
      </c>
      <c r="W172" s="12">
        <f>VLOOKUP(S172,ModelOutputs,10,FALSE)*AWC</f>
      </c>
      <c r="X172" s="13">
        <f>VLOOKUP(S172,ModelOutputs,11,FALSE)+X171</f>
      </c>
      <c r="Y172" s="12">
        <f>VLOOKUP(S172,ModelOutputs,12,FALSE)</f>
      </c>
      <c r="Z172" s="13">
        <f>VLOOKUP(S172,ModelOutputs,13,FALSE)</f>
      </c>
    </row>
    <row x14ac:dyDescent="0.25" r="173" customHeight="1" ht="18.75">
      <c r="A173" s="71"/>
      <c r="B173" s="121"/>
      <c r="C173" s="3"/>
      <c r="D173" s="12"/>
      <c r="E173" s="3"/>
      <c r="F173" s="71"/>
      <c r="G173" s="12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134" t="s">
        <v>374</v>
      </c>
      <c r="S173" s="135">
        <f>IF(R173&gt;1,R173,"")</f>
      </c>
      <c r="T173" s="136">
        <f>VLOOKUP(S173,ModelOutputs,2,FALSE)</f>
      </c>
      <c r="U173" s="136">
        <f>VLOOKUP(S173,ModelOutputs,7,FALSE)</f>
      </c>
      <c r="V173" s="135">
        <f>VLOOKUP(S173,ModelOutputs,6,FALSE)</f>
      </c>
      <c r="W173" s="12">
        <f>VLOOKUP(S173,ModelOutputs,10,FALSE)*AWC</f>
      </c>
      <c r="X173" s="13">
        <f>VLOOKUP(S173,ModelOutputs,11,FALSE)+X172</f>
      </c>
      <c r="Y173" s="12">
        <f>VLOOKUP(S173,ModelOutputs,12,FALSE)</f>
      </c>
      <c r="Z173" s="13">
        <f>VLOOKUP(S173,ModelOutputs,13,FALSE)</f>
      </c>
    </row>
    <row x14ac:dyDescent="0.25" r="174" customHeight="1" ht="18.75">
      <c r="A174" s="71"/>
      <c r="B174" s="121"/>
      <c r="C174" s="3"/>
      <c r="D174" s="12"/>
      <c r="E174" s="3"/>
      <c r="F174" s="71"/>
      <c r="G174" s="12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134" t="s">
        <v>374</v>
      </c>
      <c r="S174" s="135">
        <f>IF(R174&gt;1,R174,"")</f>
      </c>
      <c r="T174" s="136">
        <f>VLOOKUP(S174,ModelOutputs,2,FALSE)</f>
      </c>
      <c r="U174" s="136">
        <f>VLOOKUP(S174,ModelOutputs,7,FALSE)</f>
      </c>
      <c r="V174" s="135">
        <f>VLOOKUP(S174,ModelOutputs,6,FALSE)</f>
      </c>
      <c r="W174" s="12">
        <f>VLOOKUP(S174,ModelOutputs,10,FALSE)*AWC</f>
      </c>
      <c r="X174" s="13">
        <f>VLOOKUP(S174,ModelOutputs,11,FALSE)+X173</f>
      </c>
      <c r="Y174" s="12">
        <f>VLOOKUP(S174,ModelOutputs,12,FALSE)</f>
      </c>
      <c r="Z174" s="13">
        <f>VLOOKUP(S174,ModelOutputs,13,FALSE)</f>
      </c>
    </row>
    <row x14ac:dyDescent="0.25" r="175" customHeight="1" ht="18.75">
      <c r="A175" s="71"/>
      <c r="B175" s="121"/>
      <c r="C175" s="3"/>
      <c r="D175" s="12"/>
      <c r="E175" s="3"/>
      <c r="F175" s="71"/>
      <c r="G175" s="12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134" t="s">
        <v>374</v>
      </c>
      <c r="S175" s="135">
        <f>IF(R175&gt;1,R175,"")</f>
      </c>
      <c r="T175" s="136">
        <f>VLOOKUP(S175,ModelOutputs,2,FALSE)</f>
      </c>
      <c r="U175" s="136">
        <f>VLOOKUP(S175,ModelOutputs,7,FALSE)</f>
      </c>
      <c r="V175" s="135">
        <f>VLOOKUP(S175,ModelOutputs,6,FALSE)</f>
      </c>
      <c r="W175" s="12">
        <f>VLOOKUP(S175,ModelOutputs,10,FALSE)*AWC</f>
      </c>
      <c r="X175" s="13">
        <f>VLOOKUP(S175,ModelOutputs,11,FALSE)+X174</f>
      </c>
      <c r="Y175" s="12">
        <f>VLOOKUP(S175,ModelOutputs,12,FALSE)</f>
      </c>
      <c r="Z175" s="13">
        <f>VLOOKUP(S175,ModelOutputs,13,FALSE)</f>
      </c>
    </row>
    <row x14ac:dyDescent="0.25" r="176" customHeight="1" ht="18.75">
      <c r="A176" s="71"/>
      <c r="B176" s="121"/>
      <c r="C176" s="3"/>
      <c r="D176" s="12"/>
      <c r="E176" s="3"/>
      <c r="F176" s="71"/>
      <c r="G176" s="12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134" t="s">
        <v>374</v>
      </c>
      <c r="S176" s="135">
        <f>IF(R176&gt;1,R176,"")</f>
      </c>
      <c r="T176" s="136">
        <f>VLOOKUP(S176,ModelOutputs,2,FALSE)</f>
      </c>
      <c r="U176" s="136">
        <f>VLOOKUP(S176,ModelOutputs,7,FALSE)</f>
      </c>
      <c r="V176" s="135">
        <f>VLOOKUP(S176,ModelOutputs,6,FALSE)</f>
      </c>
      <c r="W176" s="12">
        <f>VLOOKUP(S176,ModelOutputs,10,FALSE)*AWC</f>
      </c>
      <c r="X176" s="13">
        <f>VLOOKUP(S176,ModelOutputs,11,FALSE)+X175</f>
      </c>
      <c r="Y176" s="12">
        <f>VLOOKUP(S176,ModelOutputs,12,FALSE)</f>
      </c>
      <c r="Z176" s="13">
        <f>VLOOKUP(S176,ModelOutputs,13,FALSE)</f>
      </c>
    </row>
    <row x14ac:dyDescent="0.25" r="177" customHeight="1" ht="18.75">
      <c r="A177" s="71"/>
      <c r="B177" s="121"/>
      <c r="C177" s="3"/>
      <c r="D177" s="12"/>
      <c r="E177" s="3"/>
      <c r="F177" s="71"/>
      <c r="G177" s="12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134" t="s">
        <v>374</v>
      </c>
      <c r="S177" s="135">
        <f>IF(R177&gt;1,R177,"")</f>
      </c>
      <c r="T177" s="136">
        <f>VLOOKUP(S177,ModelOutputs,2,FALSE)</f>
      </c>
      <c r="U177" s="136">
        <f>VLOOKUP(S177,ModelOutputs,7,FALSE)</f>
      </c>
      <c r="V177" s="135">
        <f>VLOOKUP(S177,ModelOutputs,6,FALSE)</f>
      </c>
      <c r="W177" s="12">
        <f>VLOOKUP(S177,ModelOutputs,10,FALSE)*AWC</f>
      </c>
      <c r="X177" s="13">
        <f>VLOOKUP(S177,ModelOutputs,11,FALSE)+X176</f>
      </c>
      <c r="Y177" s="12">
        <f>VLOOKUP(S177,ModelOutputs,12,FALSE)</f>
      </c>
      <c r="Z177" s="13">
        <f>VLOOKUP(S177,ModelOutputs,13,FALSE)</f>
      </c>
    </row>
    <row x14ac:dyDescent="0.25" r="178" customHeight="1" ht="18.75">
      <c r="A178" s="71"/>
      <c r="B178" s="121"/>
      <c r="C178" s="3"/>
      <c r="D178" s="12"/>
      <c r="E178" s="3"/>
      <c r="F178" s="71"/>
      <c r="G178" s="12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134" t="s">
        <v>374</v>
      </c>
      <c r="S178" s="135">
        <f>IF(R178&gt;1,R178,"")</f>
      </c>
      <c r="T178" s="136">
        <f>VLOOKUP(S178,ModelOutputs,2,FALSE)</f>
      </c>
      <c r="U178" s="136">
        <f>VLOOKUP(S178,ModelOutputs,7,FALSE)</f>
      </c>
      <c r="V178" s="135">
        <f>VLOOKUP(S178,ModelOutputs,6,FALSE)</f>
      </c>
      <c r="W178" s="12">
        <f>VLOOKUP(S178,ModelOutputs,10,FALSE)*AWC</f>
      </c>
      <c r="X178" s="13">
        <f>VLOOKUP(S178,ModelOutputs,11,FALSE)+X177</f>
      </c>
      <c r="Y178" s="12">
        <f>VLOOKUP(S178,ModelOutputs,12,FALSE)</f>
      </c>
      <c r="Z178" s="13">
        <f>VLOOKUP(S178,ModelOutputs,13,FALSE)</f>
      </c>
    </row>
    <row x14ac:dyDescent="0.25" r="179" customHeight="1" ht="18.75">
      <c r="A179" s="71"/>
      <c r="B179" s="121"/>
      <c r="C179" s="3"/>
      <c r="D179" s="12"/>
      <c r="E179" s="3"/>
      <c r="F179" s="71"/>
      <c r="G179" s="12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134" t="s">
        <v>374</v>
      </c>
      <c r="S179" s="135">
        <f>IF(R179&gt;1,R179,"")</f>
      </c>
      <c r="T179" s="136">
        <f>VLOOKUP(S179,ModelOutputs,2,FALSE)</f>
      </c>
      <c r="U179" s="136">
        <f>VLOOKUP(S179,ModelOutputs,7,FALSE)</f>
      </c>
      <c r="V179" s="135">
        <f>VLOOKUP(S179,ModelOutputs,6,FALSE)</f>
      </c>
      <c r="W179" s="12">
        <f>VLOOKUP(S179,ModelOutputs,10,FALSE)*AWC</f>
      </c>
      <c r="X179" s="13">
        <f>VLOOKUP(S179,ModelOutputs,11,FALSE)+X178</f>
      </c>
      <c r="Y179" s="12">
        <f>VLOOKUP(S179,ModelOutputs,12,FALSE)</f>
      </c>
      <c r="Z179" s="13">
        <f>VLOOKUP(S179,ModelOutputs,13,FALSE)</f>
      </c>
    </row>
    <row x14ac:dyDescent="0.25" r="180" customHeight="1" ht="18.75">
      <c r="A180" s="71"/>
      <c r="B180" s="121"/>
      <c r="C180" s="3"/>
      <c r="D180" s="12"/>
      <c r="E180" s="3"/>
      <c r="F180" s="71"/>
      <c r="G180" s="12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134" t="s">
        <v>374</v>
      </c>
      <c r="S180" s="135">
        <f>IF(R180&gt;1,R180,"")</f>
      </c>
      <c r="T180" s="136">
        <f>VLOOKUP(S180,ModelOutputs,2,FALSE)</f>
      </c>
      <c r="U180" s="136">
        <f>VLOOKUP(S180,ModelOutputs,7,FALSE)</f>
      </c>
      <c r="V180" s="135">
        <f>VLOOKUP(S180,ModelOutputs,6,FALSE)</f>
      </c>
      <c r="W180" s="12">
        <f>VLOOKUP(S180,ModelOutputs,10,FALSE)*AWC</f>
      </c>
      <c r="X180" s="13">
        <f>VLOOKUP(S180,ModelOutputs,11,FALSE)+X179</f>
      </c>
      <c r="Y180" s="12">
        <f>VLOOKUP(S180,ModelOutputs,12,FALSE)</f>
      </c>
      <c r="Z180" s="13">
        <f>VLOOKUP(S180,ModelOutputs,13,FALSE)</f>
      </c>
    </row>
    <row x14ac:dyDescent="0.25" r="181" customHeight="1" ht="18.75">
      <c r="A181" s="71"/>
      <c r="B181" s="121"/>
      <c r="C181" s="3"/>
      <c r="D181" s="12"/>
      <c r="E181" s="3"/>
      <c r="F181" s="71"/>
      <c r="G181" s="12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134" t="s">
        <v>374</v>
      </c>
      <c r="S181" s="135">
        <f>IF(R181&gt;1,R181,"")</f>
      </c>
      <c r="T181" s="136">
        <f>VLOOKUP(S181,ModelOutputs,2,FALSE)</f>
      </c>
      <c r="U181" s="136">
        <f>VLOOKUP(S181,ModelOutputs,7,FALSE)</f>
      </c>
      <c r="V181" s="135">
        <f>VLOOKUP(S181,ModelOutputs,6,FALSE)</f>
      </c>
      <c r="W181" s="12">
        <f>VLOOKUP(S181,ModelOutputs,10,FALSE)*AWC</f>
      </c>
      <c r="X181" s="13">
        <f>VLOOKUP(S181,ModelOutputs,11,FALSE)+X180</f>
      </c>
      <c r="Y181" s="12">
        <f>VLOOKUP(S181,ModelOutputs,12,FALSE)</f>
      </c>
      <c r="Z181" s="13">
        <f>VLOOKUP(S181,ModelOutputs,13,FALSE)</f>
      </c>
    </row>
    <row x14ac:dyDescent="0.25" r="182" customHeight="1" ht="18.75">
      <c r="A182" s="71"/>
      <c r="B182" s="121"/>
      <c r="C182" s="3"/>
      <c r="D182" s="12"/>
      <c r="E182" s="3"/>
      <c r="F182" s="71"/>
      <c r="G182" s="12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134" t="s">
        <v>374</v>
      </c>
      <c r="S182" s="135">
        <f>IF(R182&gt;1,R182,"")</f>
      </c>
      <c r="T182" s="136">
        <f>VLOOKUP(S182,ModelOutputs,2,FALSE)</f>
      </c>
      <c r="U182" s="136">
        <f>VLOOKUP(S182,ModelOutputs,7,FALSE)</f>
      </c>
      <c r="V182" s="135">
        <f>VLOOKUP(S182,ModelOutputs,6,FALSE)</f>
      </c>
      <c r="W182" s="12">
        <f>VLOOKUP(S182,ModelOutputs,10,FALSE)*AWC</f>
      </c>
      <c r="X182" s="13">
        <f>VLOOKUP(S182,ModelOutputs,11,FALSE)+X181</f>
      </c>
      <c r="Y182" s="12">
        <f>VLOOKUP(S182,ModelOutputs,12,FALSE)</f>
      </c>
      <c r="Z182" s="13">
        <f>VLOOKUP(S182,ModelOutputs,13,FALSE)</f>
      </c>
    </row>
    <row x14ac:dyDescent="0.25" r="183" customHeight="1" ht="18.75">
      <c r="A183" s="71"/>
      <c r="B183" s="121"/>
      <c r="C183" s="3"/>
      <c r="D183" s="12"/>
      <c r="E183" s="3"/>
      <c r="F183" s="71"/>
      <c r="G183" s="12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134" t="s">
        <v>374</v>
      </c>
      <c r="S183" s="135">
        <f>IF(R183&gt;1,R183,"")</f>
      </c>
      <c r="T183" s="136">
        <f>VLOOKUP(S183,ModelOutputs,2,FALSE)</f>
      </c>
      <c r="U183" s="136">
        <f>VLOOKUP(S183,ModelOutputs,7,FALSE)</f>
      </c>
      <c r="V183" s="135">
        <f>VLOOKUP(S183,ModelOutputs,6,FALSE)</f>
      </c>
      <c r="W183" s="12">
        <f>VLOOKUP(S183,ModelOutputs,10,FALSE)*AWC</f>
      </c>
      <c r="X183" s="13">
        <f>VLOOKUP(S183,ModelOutputs,11,FALSE)+X182</f>
      </c>
      <c r="Y183" s="12">
        <f>VLOOKUP(S183,ModelOutputs,12,FALSE)</f>
      </c>
      <c r="Z183" s="13">
        <f>VLOOKUP(S183,ModelOutputs,13,FALSE)</f>
      </c>
    </row>
    <row x14ac:dyDescent="0.25" r="184" customHeight="1" ht="18.75">
      <c r="A184" s="71"/>
      <c r="B184" s="121"/>
      <c r="C184" s="3"/>
      <c r="D184" s="12"/>
      <c r="E184" s="3"/>
      <c r="F184" s="71"/>
      <c r="G184" s="12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134" t="s">
        <v>374</v>
      </c>
      <c r="S184" s="135">
        <f>IF(R184&gt;1,R184,"")</f>
      </c>
      <c r="T184" s="136">
        <f>VLOOKUP(S184,ModelOutputs,2,FALSE)</f>
      </c>
      <c r="U184" s="136">
        <f>VLOOKUP(S184,ModelOutputs,7,FALSE)</f>
      </c>
      <c r="V184" s="135">
        <f>VLOOKUP(S184,ModelOutputs,6,FALSE)</f>
      </c>
      <c r="W184" s="12">
        <f>VLOOKUP(S184,ModelOutputs,10,FALSE)*AWC</f>
      </c>
      <c r="X184" s="13">
        <f>VLOOKUP(S184,ModelOutputs,11,FALSE)+X183</f>
      </c>
      <c r="Y184" s="12">
        <f>VLOOKUP(S184,ModelOutputs,12,FALSE)</f>
      </c>
      <c r="Z184" s="13">
        <f>VLOOKUP(S184,ModelOutputs,13,FALSE)</f>
      </c>
    </row>
    <row x14ac:dyDescent="0.25" r="185" customHeight="1" ht="18.75">
      <c r="A185" s="71"/>
      <c r="B185" s="121"/>
      <c r="C185" s="3"/>
      <c r="D185" s="12"/>
      <c r="E185" s="3"/>
      <c r="F185" s="71"/>
      <c r="G185" s="12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134" t="s">
        <v>374</v>
      </c>
      <c r="S185" s="135">
        <f>IF(R185&gt;1,R185,"")</f>
      </c>
      <c r="T185" s="136">
        <f>VLOOKUP(S185,ModelOutputs,2,FALSE)</f>
      </c>
      <c r="U185" s="136">
        <f>VLOOKUP(S185,ModelOutputs,7,FALSE)</f>
      </c>
      <c r="V185" s="135">
        <f>VLOOKUP(S185,ModelOutputs,6,FALSE)</f>
      </c>
      <c r="W185" s="12">
        <f>VLOOKUP(S185,ModelOutputs,10,FALSE)*AWC</f>
      </c>
      <c r="X185" s="13">
        <f>VLOOKUP(S185,ModelOutputs,11,FALSE)+X184</f>
      </c>
      <c r="Y185" s="12">
        <f>VLOOKUP(S185,ModelOutputs,12,FALSE)</f>
      </c>
      <c r="Z185" s="13">
        <f>VLOOKUP(S185,ModelOutputs,13,FALSE)</f>
      </c>
    </row>
    <row x14ac:dyDescent="0.25" r="186" customHeight="1" ht="18.75">
      <c r="A186" s="71"/>
      <c r="B186" s="121"/>
      <c r="C186" s="3"/>
      <c r="D186" s="12"/>
      <c r="E186" s="3"/>
      <c r="F186" s="71"/>
      <c r="G186" s="12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134" t="s">
        <v>374</v>
      </c>
      <c r="S186" s="135">
        <f>IF(R186&gt;1,R186,"")</f>
      </c>
      <c r="T186" s="136">
        <f>VLOOKUP(S186,ModelOutputs,2,FALSE)</f>
      </c>
      <c r="U186" s="136">
        <f>VLOOKUP(S186,ModelOutputs,7,FALSE)</f>
      </c>
      <c r="V186" s="135">
        <f>VLOOKUP(S186,ModelOutputs,6,FALSE)</f>
      </c>
      <c r="W186" s="12">
        <f>VLOOKUP(S186,ModelOutputs,10,FALSE)*AWC</f>
      </c>
      <c r="X186" s="13">
        <f>VLOOKUP(S186,ModelOutputs,11,FALSE)+X185</f>
      </c>
      <c r="Y186" s="12">
        <f>VLOOKUP(S186,ModelOutputs,12,FALSE)</f>
      </c>
      <c r="Z186" s="13">
        <f>VLOOKUP(S186,ModelOutputs,13,FALSE)</f>
      </c>
    </row>
    <row x14ac:dyDescent="0.25" r="187" customHeight="1" ht="18.75">
      <c r="A187" s="71"/>
      <c r="B187" s="121"/>
      <c r="C187" s="3"/>
      <c r="D187" s="12"/>
      <c r="E187" s="3"/>
      <c r="F187" s="71"/>
      <c r="G187" s="12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134" t="s">
        <v>374</v>
      </c>
      <c r="S187" s="135">
        <f>IF(R187&gt;1,R187,"")</f>
      </c>
      <c r="T187" s="136">
        <f>VLOOKUP(S187,ModelOutputs,2,FALSE)</f>
      </c>
      <c r="U187" s="136">
        <f>VLOOKUP(S187,ModelOutputs,7,FALSE)</f>
      </c>
      <c r="V187" s="135">
        <f>VLOOKUP(S187,ModelOutputs,6,FALSE)</f>
      </c>
      <c r="W187" s="12">
        <f>VLOOKUP(S187,ModelOutputs,10,FALSE)*AWC</f>
      </c>
      <c r="X187" s="13">
        <f>VLOOKUP(S187,ModelOutputs,11,FALSE)+X186</f>
      </c>
      <c r="Y187" s="12">
        <f>VLOOKUP(S187,ModelOutputs,12,FALSE)</f>
      </c>
      <c r="Z187" s="13">
        <f>VLOOKUP(S187,ModelOutputs,13,FALSE)</f>
      </c>
    </row>
    <row x14ac:dyDescent="0.25" r="188" customHeight="1" ht="18.75">
      <c r="A188" s="71"/>
      <c r="B188" s="121"/>
      <c r="C188" s="3"/>
      <c r="D188" s="12"/>
      <c r="E188" s="3"/>
      <c r="F188" s="71"/>
      <c r="G188" s="12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134" t="s">
        <v>374</v>
      </c>
      <c r="S188" s="135">
        <f>IF(R188&gt;1,R188,"")</f>
      </c>
      <c r="T188" s="136">
        <f>VLOOKUP(S188,ModelOutputs,2,FALSE)</f>
      </c>
      <c r="U188" s="136">
        <f>VLOOKUP(S188,ModelOutputs,7,FALSE)</f>
      </c>
      <c r="V188" s="135">
        <f>VLOOKUP(S188,ModelOutputs,6,FALSE)</f>
      </c>
      <c r="W188" s="12">
        <f>VLOOKUP(S188,ModelOutputs,10,FALSE)*AWC</f>
      </c>
      <c r="X188" s="13">
        <f>VLOOKUP(S188,ModelOutputs,11,FALSE)+X187</f>
      </c>
      <c r="Y188" s="12">
        <f>VLOOKUP(S188,ModelOutputs,12,FALSE)</f>
      </c>
      <c r="Z188" s="13">
        <f>VLOOKUP(S188,ModelOutputs,13,FALSE)</f>
      </c>
    </row>
    <row x14ac:dyDescent="0.25" r="189" customHeight="1" ht="18.75">
      <c r="A189" s="71"/>
      <c r="B189" s="121"/>
      <c r="C189" s="3"/>
      <c r="D189" s="12"/>
      <c r="E189" s="3"/>
      <c r="F189" s="71"/>
      <c r="G189" s="12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134" t="s">
        <v>374</v>
      </c>
      <c r="S189" s="135">
        <f>IF(R189&gt;1,R189,"")</f>
      </c>
      <c r="T189" s="136">
        <f>VLOOKUP(S189,ModelOutputs,2,FALSE)</f>
      </c>
      <c r="U189" s="136">
        <f>VLOOKUP(S189,ModelOutputs,7,FALSE)</f>
      </c>
      <c r="V189" s="135">
        <f>VLOOKUP(S189,ModelOutputs,6,FALSE)</f>
      </c>
      <c r="W189" s="12">
        <f>VLOOKUP(S189,ModelOutputs,10,FALSE)*AWC</f>
      </c>
      <c r="X189" s="13">
        <f>VLOOKUP(S189,ModelOutputs,11,FALSE)+X188</f>
      </c>
      <c r="Y189" s="12">
        <f>VLOOKUP(S189,ModelOutputs,12,FALSE)</f>
      </c>
      <c r="Z189" s="13">
        <f>VLOOKUP(S189,ModelOutputs,13,FALSE)</f>
      </c>
    </row>
    <row x14ac:dyDescent="0.25" r="190" customHeight="1" ht="18.75">
      <c r="A190" s="71"/>
      <c r="B190" s="121"/>
      <c r="C190" s="3"/>
      <c r="D190" s="12"/>
      <c r="E190" s="3"/>
      <c r="F190" s="71"/>
      <c r="G190" s="12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134" t="s">
        <v>374</v>
      </c>
      <c r="S190" s="135">
        <f>IF(R190&gt;1,R190,"")</f>
      </c>
      <c r="T190" s="136">
        <f>VLOOKUP(S190,ModelOutputs,2,FALSE)</f>
      </c>
      <c r="U190" s="136">
        <f>VLOOKUP(S190,ModelOutputs,7,FALSE)</f>
      </c>
      <c r="V190" s="135">
        <f>VLOOKUP(S190,ModelOutputs,6,FALSE)</f>
      </c>
      <c r="W190" s="12">
        <f>VLOOKUP(S190,ModelOutputs,10,FALSE)*AWC</f>
      </c>
      <c r="X190" s="13">
        <f>VLOOKUP(S190,ModelOutputs,11,FALSE)+X189</f>
      </c>
      <c r="Y190" s="12">
        <f>VLOOKUP(S190,ModelOutputs,12,FALSE)</f>
      </c>
      <c r="Z190" s="13">
        <f>VLOOKUP(S190,ModelOutputs,13,FALSE)</f>
      </c>
    </row>
    <row x14ac:dyDescent="0.25" r="191" customHeight="1" ht="18.75">
      <c r="A191" s="71"/>
      <c r="B191" s="121"/>
      <c r="C191" s="3"/>
      <c r="D191" s="12"/>
      <c r="E191" s="3"/>
      <c r="F191" s="71"/>
      <c r="G191" s="12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134" t="s">
        <v>374</v>
      </c>
      <c r="S191" s="135">
        <f>IF(R191&gt;1,R191,"")</f>
      </c>
      <c r="T191" s="136">
        <f>VLOOKUP(S191,ModelOutputs,2,FALSE)</f>
      </c>
      <c r="U191" s="136">
        <f>VLOOKUP(S191,ModelOutputs,7,FALSE)</f>
      </c>
      <c r="V191" s="135">
        <f>VLOOKUP(S191,ModelOutputs,6,FALSE)</f>
      </c>
      <c r="W191" s="12">
        <f>VLOOKUP(S191,ModelOutputs,10,FALSE)*AWC</f>
      </c>
      <c r="X191" s="13">
        <f>VLOOKUP(S191,ModelOutputs,11,FALSE)+X190</f>
      </c>
      <c r="Y191" s="12">
        <f>VLOOKUP(S191,ModelOutputs,12,FALSE)</f>
      </c>
      <c r="Z191" s="13">
        <f>VLOOKUP(S191,ModelOutputs,13,FALSE)</f>
      </c>
    </row>
    <row x14ac:dyDescent="0.25" r="192" customHeight="1" ht="18.75">
      <c r="A192" s="71"/>
      <c r="B192" s="121"/>
      <c r="C192" s="3"/>
      <c r="D192" s="12"/>
      <c r="E192" s="3"/>
      <c r="F192" s="71"/>
      <c r="G192" s="12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134" t="s">
        <v>374</v>
      </c>
      <c r="S192" s="135">
        <f>IF(R192&gt;1,R192,"")</f>
      </c>
      <c r="T192" s="136">
        <f>VLOOKUP(S192,ModelOutputs,2,FALSE)</f>
      </c>
      <c r="U192" s="136">
        <f>VLOOKUP(S192,ModelOutputs,7,FALSE)</f>
      </c>
      <c r="V192" s="135">
        <f>VLOOKUP(S192,ModelOutputs,6,FALSE)</f>
      </c>
      <c r="W192" s="12">
        <f>VLOOKUP(S192,ModelOutputs,10,FALSE)*AWC</f>
      </c>
      <c r="X192" s="13">
        <f>VLOOKUP(S192,ModelOutputs,11,FALSE)+X191</f>
      </c>
      <c r="Y192" s="12">
        <f>VLOOKUP(S192,ModelOutputs,12,FALSE)</f>
      </c>
      <c r="Z192" s="13">
        <f>VLOOKUP(S192,ModelOutputs,13,FALSE)</f>
      </c>
    </row>
    <row x14ac:dyDescent="0.25" r="193" customHeight="1" ht="18.75">
      <c r="A193" s="71"/>
      <c r="B193" s="121"/>
      <c r="C193" s="3"/>
      <c r="D193" s="12"/>
      <c r="E193" s="3"/>
      <c r="F193" s="71"/>
      <c r="G193" s="12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134" t="s">
        <v>374</v>
      </c>
      <c r="S193" s="135">
        <f>IF(R193&gt;1,R193,"")</f>
      </c>
      <c r="T193" s="136">
        <f>VLOOKUP(S193,ModelOutputs,2,FALSE)</f>
      </c>
      <c r="U193" s="136">
        <f>VLOOKUP(S193,ModelOutputs,7,FALSE)</f>
      </c>
      <c r="V193" s="135">
        <f>VLOOKUP(S193,ModelOutputs,6,FALSE)</f>
      </c>
      <c r="W193" s="12">
        <f>VLOOKUP(S193,ModelOutputs,10,FALSE)*AWC</f>
      </c>
      <c r="X193" s="13">
        <f>VLOOKUP(S193,ModelOutputs,11,FALSE)+X192</f>
      </c>
      <c r="Y193" s="12">
        <f>VLOOKUP(S193,ModelOutputs,12,FALSE)</f>
      </c>
      <c r="Z193" s="13">
        <f>VLOOKUP(S193,ModelOutputs,13,FALSE)</f>
      </c>
    </row>
    <row x14ac:dyDescent="0.25" r="194" customHeight="1" ht="18.75">
      <c r="A194" s="71"/>
      <c r="B194" s="121"/>
      <c r="C194" s="3"/>
      <c r="D194" s="12"/>
      <c r="E194" s="3"/>
      <c r="F194" s="71"/>
      <c r="G194" s="12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134" t="s">
        <v>374</v>
      </c>
      <c r="S194" s="135">
        <f>IF(R194&gt;1,R194,"")</f>
      </c>
      <c r="T194" s="136">
        <f>VLOOKUP(S194,ModelOutputs,2,FALSE)</f>
      </c>
      <c r="U194" s="136">
        <f>VLOOKUP(S194,ModelOutputs,7,FALSE)</f>
      </c>
      <c r="V194" s="135">
        <f>VLOOKUP(S194,ModelOutputs,6,FALSE)</f>
      </c>
      <c r="W194" s="12">
        <f>VLOOKUP(S194,ModelOutputs,10,FALSE)*AWC</f>
      </c>
      <c r="X194" s="13">
        <f>VLOOKUP(S194,ModelOutputs,11,FALSE)+X193</f>
      </c>
      <c r="Y194" s="12">
        <f>VLOOKUP(S194,ModelOutputs,12,FALSE)</f>
      </c>
      <c r="Z194" s="13">
        <f>VLOOKUP(S194,ModelOutputs,13,FALSE)</f>
      </c>
    </row>
    <row x14ac:dyDescent="0.25" r="195" customHeight="1" ht="18.75">
      <c r="A195" s="71"/>
      <c r="B195" s="121"/>
      <c r="C195" s="3"/>
      <c r="D195" s="12"/>
      <c r="E195" s="3"/>
      <c r="F195" s="71"/>
      <c r="G195" s="12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134" t="s">
        <v>374</v>
      </c>
      <c r="S195" s="135">
        <f>IF(R195&gt;1,R195,"")</f>
      </c>
      <c r="T195" s="136">
        <f>VLOOKUP(S195,ModelOutputs,2,FALSE)</f>
      </c>
      <c r="U195" s="136">
        <f>VLOOKUP(S195,ModelOutputs,7,FALSE)</f>
      </c>
      <c r="V195" s="135">
        <f>VLOOKUP(S195,ModelOutputs,6,FALSE)</f>
      </c>
      <c r="W195" s="12">
        <f>VLOOKUP(S195,ModelOutputs,10,FALSE)*AWC</f>
      </c>
      <c r="X195" s="13">
        <f>VLOOKUP(S195,ModelOutputs,11,FALSE)+X194</f>
      </c>
      <c r="Y195" s="12">
        <f>VLOOKUP(S195,ModelOutputs,12,FALSE)</f>
      </c>
      <c r="Z195" s="13">
        <f>VLOOKUP(S195,ModelOutputs,13,FALSE)</f>
      </c>
    </row>
    <row x14ac:dyDescent="0.25" r="196" customHeight="1" ht="18.75">
      <c r="A196" s="71"/>
      <c r="B196" s="121"/>
      <c r="C196" s="3"/>
      <c r="D196" s="12"/>
      <c r="E196" s="3"/>
      <c r="F196" s="71"/>
      <c r="G196" s="12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134" t="s">
        <v>374</v>
      </c>
      <c r="S196" s="135">
        <f>IF(R196&gt;1,R196,"")</f>
      </c>
      <c r="T196" s="136">
        <f>VLOOKUP(S196,ModelOutputs,2,FALSE)</f>
      </c>
      <c r="U196" s="136">
        <f>VLOOKUP(S196,ModelOutputs,7,FALSE)</f>
      </c>
      <c r="V196" s="135">
        <f>VLOOKUP(S196,ModelOutputs,6,FALSE)</f>
      </c>
      <c r="W196" s="12">
        <f>VLOOKUP(S196,ModelOutputs,10,FALSE)*AWC</f>
      </c>
      <c r="X196" s="13">
        <f>VLOOKUP(S196,ModelOutputs,11,FALSE)+X195</f>
      </c>
      <c r="Y196" s="12">
        <f>VLOOKUP(S196,ModelOutputs,12,FALSE)</f>
      </c>
      <c r="Z196" s="13">
        <f>VLOOKUP(S196,ModelOutputs,13,FALSE)</f>
      </c>
    </row>
    <row x14ac:dyDescent="0.25" r="197" customHeight="1" ht="18.75">
      <c r="A197" s="71"/>
      <c r="B197" s="121"/>
      <c r="C197" s="3"/>
      <c r="D197" s="12"/>
      <c r="E197" s="3"/>
      <c r="F197" s="71"/>
      <c r="G197" s="12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134" t="s">
        <v>374</v>
      </c>
      <c r="S197" s="135">
        <f>IF(R197&gt;1,R197,"")</f>
      </c>
      <c r="T197" s="136">
        <f>VLOOKUP(S197,ModelOutputs,2,FALSE)</f>
      </c>
      <c r="U197" s="136">
        <f>VLOOKUP(S197,ModelOutputs,7,FALSE)</f>
      </c>
      <c r="V197" s="135">
        <f>VLOOKUP(S197,ModelOutputs,6,FALSE)</f>
      </c>
      <c r="W197" s="12">
        <f>VLOOKUP(S197,ModelOutputs,10,FALSE)*AWC</f>
      </c>
      <c r="X197" s="13">
        <f>VLOOKUP(S197,ModelOutputs,11,FALSE)+X196</f>
      </c>
      <c r="Y197" s="12">
        <f>VLOOKUP(S197,ModelOutputs,12,FALSE)</f>
      </c>
      <c r="Z197" s="13">
        <f>VLOOKUP(S197,ModelOutputs,13,FALSE)</f>
      </c>
    </row>
    <row x14ac:dyDescent="0.25" r="198" customHeight="1" ht="18.75">
      <c r="A198" s="71"/>
      <c r="B198" s="121"/>
      <c r="C198" s="3"/>
      <c r="D198" s="12"/>
      <c r="E198" s="3"/>
      <c r="F198" s="71"/>
      <c r="G198" s="12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134" t="s">
        <v>374</v>
      </c>
      <c r="S198" s="135">
        <f>IF(R198&gt;1,R198,"")</f>
      </c>
      <c r="T198" s="136">
        <f>VLOOKUP(S198,ModelOutputs,2,FALSE)</f>
      </c>
      <c r="U198" s="136">
        <f>VLOOKUP(S198,ModelOutputs,7,FALSE)</f>
      </c>
      <c r="V198" s="135">
        <f>VLOOKUP(S198,ModelOutputs,6,FALSE)</f>
      </c>
      <c r="W198" s="12">
        <f>VLOOKUP(S198,ModelOutputs,10,FALSE)*AWC</f>
      </c>
      <c r="X198" s="13">
        <f>VLOOKUP(S198,ModelOutputs,11,FALSE)+X197</f>
      </c>
      <c r="Y198" s="12">
        <f>VLOOKUP(S198,ModelOutputs,12,FALSE)</f>
      </c>
      <c r="Z198" s="13">
        <f>VLOOKUP(S198,ModelOutputs,13,FALSE)</f>
      </c>
    </row>
    <row x14ac:dyDescent="0.25" r="199" customHeight="1" ht="18.75">
      <c r="A199" s="71"/>
      <c r="B199" s="121"/>
      <c r="C199" s="3"/>
      <c r="D199" s="12"/>
      <c r="E199" s="3"/>
      <c r="F199" s="71"/>
      <c r="G199" s="12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134" t="s">
        <v>374</v>
      </c>
      <c r="S199" s="135">
        <f>IF(R199&gt;1,R199,"")</f>
      </c>
      <c r="T199" s="136">
        <f>VLOOKUP(S199,ModelOutputs,2,FALSE)</f>
      </c>
      <c r="U199" s="136">
        <f>VLOOKUP(S199,ModelOutputs,7,FALSE)</f>
      </c>
      <c r="V199" s="135">
        <f>VLOOKUP(S199,ModelOutputs,6,FALSE)</f>
      </c>
      <c r="W199" s="12">
        <f>VLOOKUP(S199,ModelOutputs,10,FALSE)*AWC</f>
      </c>
      <c r="X199" s="13">
        <f>VLOOKUP(S199,ModelOutputs,11,FALSE)+X198</f>
      </c>
      <c r="Y199" s="12">
        <f>VLOOKUP(S199,ModelOutputs,12,FALSE)</f>
      </c>
      <c r="Z199" s="13">
        <f>VLOOKUP(S199,ModelOutputs,13,FALSE)</f>
      </c>
    </row>
    <row x14ac:dyDescent="0.25" r="200" customHeight="1" ht="18.75">
      <c r="A200" s="71"/>
      <c r="B200" s="121"/>
      <c r="C200" s="3"/>
      <c r="D200" s="12"/>
      <c r="E200" s="3"/>
      <c r="F200" s="71"/>
      <c r="G200" s="12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134" t="s">
        <v>374</v>
      </c>
      <c r="S200" s="135">
        <f>IF(R200&gt;1,R200,"")</f>
      </c>
      <c r="T200" s="136">
        <f>VLOOKUP(S200,ModelOutputs,2,FALSE)</f>
      </c>
      <c r="U200" s="136">
        <f>VLOOKUP(S200,ModelOutputs,7,FALSE)</f>
      </c>
      <c r="V200" s="135">
        <f>VLOOKUP(S200,ModelOutputs,6,FALSE)</f>
      </c>
      <c r="W200" s="12">
        <f>VLOOKUP(S200,ModelOutputs,10,FALSE)*AWC</f>
      </c>
      <c r="X200" s="13">
        <f>VLOOKUP(S200,ModelOutputs,11,FALSE)+X199</f>
      </c>
      <c r="Y200" s="12">
        <f>VLOOKUP(S200,ModelOutputs,12,FALSE)</f>
      </c>
      <c r="Z200" s="13">
        <f>VLOOKUP(S200,ModelOutputs,13,FALSE)</f>
      </c>
    </row>
    <row x14ac:dyDescent="0.25" r="201" customHeight="1" ht="18.75">
      <c r="A201" s="71"/>
      <c r="B201" s="121"/>
      <c r="C201" s="3"/>
      <c r="D201" s="12"/>
      <c r="E201" s="3"/>
      <c r="F201" s="71"/>
      <c r="G201" s="12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134" t="s">
        <v>374</v>
      </c>
      <c r="S201" s="135">
        <f>IF(R201&gt;1,R201,"")</f>
      </c>
      <c r="T201" s="136">
        <f>VLOOKUP(S201,ModelOutputs,2,FALSE)</f>
      </c>
      <c r="U201" s="136">
        <f>VLOOKUP(S201,ModelOutputs,7,FALSE)</f>
      </c>
      <c r="V201" s="135">
        <f>VLOOKUP(S201,ModelOutputs,6,FALSE)</f>
      </c>
      <c r="W201" s="12">
        <f>VLOOKUP(S201,ModelOutputs,10,FALSE)*AWC</f>
      </c>
      <c r="X201" s="13">
        <f>VLOOKUP(S201,ModelOutputs,11,FALSE)+X200</f>
      </c>
      <c r="Y201" s="12">
        <f>VLOOKUP(S201,ModelOutputs,12,FALSE)</f>
      </c>
      <c r="Z201" s="13">
        <f>VLOOKUP(S201,ModelOutputs,13,FALSE)</f>
      </c>
    </row>
    <row x14ac:dyDescent="0.25" r="202" customHeight="1" ht="18.75">
      <c r="A202" s="71"/>
      <c r="B202" s="121"/>
      <c r="C202" s="3"/>
      <c r="D202" s="12"/>
      <c r="E202" s="3"/>
      <c r="F202" s="71"/>
      <c r="G202" s="12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134" t="s">
        <v>374</v>
      </c>
      <c r="S202" s="135">
        <f>IF(R202&gt;1,R202,"")</f>
      </c>
      <c r="T202" s="136">
        <f>VLOOKUP(S202,ModelOutputs,2,FALSE)</f>
      </c>
      <c r="U202" s="136">
        <f>VLOOKUP(S202,ModelOutputs,7,FALSE)</f>
      </c>
      <c r="V202" s="135">
        <f>VLOOKUP(S202,ModelOutputs,6,FALSE)</f>
      </c>
      <c r="W202" s="12">
        <f>VLOOKUP(S202,ModelOutputs,10,FALSE)*AWC</f>
      </c>
      <c r="X202" s="13">
        <f>VLOOKUP(S202,ModelOutputs,11,FALSE)+X201</f>
      </c>
      <c r="Y202" s="12">
        <f>VLOOKUP(S202,ModelOutputs,12,FALSE)</f>
      </c>
      <c r="Z202" s="13">
        <f>VLOOKUP(S202,ModelOutputs,13,FALSE)</f>
      </c>
    </row>
    <row x14ac:dyDescent="0.25" r="203" customHeight="1" ht="18.75">
      <c r="A203" s="71"/>
      <c r="B203" s="121"/>
      <c r="C203" s="3"/>
      <c r="D203" s="12"/>
      <c r="E203" s="3"/>
      <c r="F203" s="71"/>
      <c r="G203" s="12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134" t="s">
        <v>374</v>
      </c>
      <c r="S203" s="135">
        <f>IF(R203&gt;1,R203,"")</f>
      </c>
      <c r="T203" s="136">
        <f>VLOOKUP(S203,ModelOutputs,2,FALSE)</f>
      </c>
      <c r="U203" s="136">
        <f>VLOOKUP(S203,ModelOutputs,7,FALSE)</f>
      </c>
      <c r="V203" s="135">
        <f>VLOOKUP(S203,ModelOutputs,6,FALSE)</f>
      </c>
      <c r="W203" s="12">
        <f>VLOOKUP(S203,ModelOutputs,10,FALSE)*AWC</f>
      </c>
      <c r="X203" s="13">
        <f>VLOOKUP(S203,ModelOutputs,11,FALSE)+X202</f>
      </c>
      <c r="Y203" s="12">
        <f>VLOOKUP(S203,ModelOutputs,12,FALSE)</f>
      </c>
      <c r="Z203" s="13">
        <f>VLOOKUP(S203,ModelOutputs,13,FALSE)</f>
      </c>
    </row>
    <row x14ac:dyDescent="0.25" r="204" customHeight="1" ht="18.75">
      <c r="A204" s="71"/>
      <c r="B204" s="121"/>
      <c r="C204" s="3"/>
      <c r="D204" s="12"/>
      <c r="E204" s="3"/>
      <c r="F204" s="71"/>
      <c r="G204" s="12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134" t="s">
        <v>374</v>
      </c>
      <c r="S204" s="135">
        <f>IF(R204&gt;1,R204,"")</f>
      </c>
      <c r="T204" s="136">
        <f>VLOOKUP(S204,ModelOutputs,2,FALSE)</f>
      </c>
      <c r="U204" s="136">
        <f>VLOOKUP(S204,ModelOutputs,7,FALSE)</f>
      </c>
      <c r="V204" s="135">
        <f>VLOOKUP(S204,ModelOutputs,6,FALSE)</f>
      </c>
      <c r="W204" s="12">
        <f>VLOOKUP(S204,ModelOutputs,10,FALSE)*AWC</f>
      </c>
      <c r="X204" s="13">
        <f>VLOOKUP(S204,ModelOutputs,11,FALSE)+X203</f>
      </c>
      <c r="Y204" s="12">
        <f>VLOOKUP(S204,ModelOutputs,12,FALSE)</f>
      </c>
      <c r="Z204" s="13">
        <f>VLOOKUP(S204,ModelOutputs,13,FALSE)</f>
      </c>
    </row>
    <row x14ac:dyDescent="0.25" r="205" customHeight="1" ht="18.75">
      <c r="A205" s="71"/>
      <c r="B205" s="121"/>
      <c r="C205" s="3"/>
      <c r="D205" s="12"/>
      <c r="E205" s="3"/>
      <c r="F205" s="71"/>
      <c r="G205" s="12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134" t="s">
        <v>374</v>
      </c>
      <c r="S205" s="135">
        <f>IF(R205&gt;1,R205,"")</f>
      </c>
      <c r="T205" s="136">
        <f>VLOOKUP(S205,ModelOutputs,2,FALSE)</f>
      </c>
      <c r="U205" s="136">
        <f>VLOOKUP(S205,ModelOutputs,7,FALSE)</f>
      </c>
      <c r="V205" s="135">
        <f>VLOOKUP(S205,ModelOutputs,6,FALSE)</f>
      </c>
      <c r="W205" s="12">
        <f>VLOOKUP(S205,ModelOutputs,10,FALSE)*AWC</f>
      </c>
      <c r="X205" s="13">
        <f>VLOOKUP(S205,ModelOutputs,11,FALSE)+X204</f>
      </c>
      <c r="Y205" s="12">
        <f>VLOOKUP(S205,ModelOutputs,12,FALSE)</f>
      </c>
      <c r="Z205" s="13">
        <f>VLOOKUP(S205,ModelOutputs,13,FALSE)</f>
      </c>
    </row>
    <row x14ac:dyDescent="0.25" r="206" customHeight="1" ht="18.75">
      <c r="A206" s="71"/>
      <c r="B206" s="121"/>
      <c r="C206" s="3"/>
      <c r="D206" s="12"/>
      <c r="E206" s="3"/>
      <c r="F206" s="71"/>
      <c r="G206" s="12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134" t="s">
        <v>374</v>
      </c>
      <c r="S206" s="135">
        <f>IF(R206&gt;1,R206,"")</f>
      </c>
      <c r="T206" s="136">
        <f>VLOOKUP(S206,ModelOutputs,2,FALSE)</f>
      </c>
      <c r="U206" s="136">
        <f>VLOOKUP(S206,ModelOutputs,7,FALSE)</f>
      </c>
      <c r="V206" s="135">
        <f>VLOOKUP(S206,ModelOutputs,6,FALSE)</f>
      </c>
      <c r="W206" s="12">
        <f>VLOOKUP(S206,ModelOutputs,10,FALSE)*AWC</f>
      </c>
      <c r="X206" s="13">
        <f>VLOOKUP(S206,ModelOutputs,11,FALSE)+X205</f>
      </c>
      <c r="Y206" s="12">
        <f>VLOOKUP(S206,ModelOutputs,12,FALSE)</f>
      </c>
      <c r="Z206" s="13">
        <f>VLOOKUP(S206,ModelOutputs,13,FALSE)</f>
      </c>
    </row>
    <row x14ac:dyDescent="0.25" r="207" customHeight="1" ht="18.75">
      <c r="A207" s="71"/>
      <c r="B207" s="121"/>
      <c r="C207" s="3"/>
      <c r="D207" s="12"/>
      <c r="E207" s="3"/>
      <c r="F207" s="71"/>
      <c r="G207" s="12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134" t="s">
        <v>374</v>
      </c>
      <c r="S207" s="135">
        <f>IF(R207&gt;1,R207,"")</f>
      </c>
      <c r="T207" s="136">
        <f>VLOOKUP(S207,ModelOutputs,2,FALSE)</f>
      </c>
      <c r="U207" s="136">
        <f>VLOOKUP(S207,ModelOutputs,7,FALSE)</f>
      </c>
      <c r="V207" s="135">
        <f>VLOOKUP(S207,ModelOutputs,6,FALSE)</f>
      </c>
      <c r="W207" s="12">
        <f>VLOOKUP(S207,ModelOutputs,10,FALSE)*AWC</f>
      </c>
      <c r="X207" s="13">
        <f>VLOOKUP(S207,ModelOutputs,11,FALSE)+X206</f>
      </c>
      <c r="Y207" s="12">
        <f>VLOOKUP(S207,ModelOutputs,12,FALSE)</f>
      </c>
      <c r="Z207" s="13">
        <f>VLOOKUP(S207,ModelOutputs,13,FALSE)</f>
      </c>
    </row>
    <row x14ac:dyDescent="0.25" r="208" customHeight="1" ht="18.75">
      <c r="A208" s="71"/>
      <c r="B208" s="121"/>
      <c r="C208" s="3"/>
      <c r="D208" s="12"/>
      <c r="E208" s="3"/>
      <c r="F208" s="71"/>
      <c r="G208" s="12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134" t="s">
        <v>374</v>
      </c>
      <c r="S208" s="135">
        <f>IF(R208&gt;1,R208,"")</f>
      </c>
      <c r="T208" s="136">
        <f>VLOOKUP(S208,ModelOutputs,2,FALSE)</f>
      </c>
      <c r="U208" s="136">
        <f>VLOOKUP(S208,ModelOutputs,7,FALSE)</f>
      </c>
      <c r="V208" s="135">
        <f>VLOOKUP(S208,ModelOutputs,6,FALSE)</f>
      </c>
      <c r="W208" s="12">
        <f>VLOOKUP(S208,ModelOutputs,10,FALSE)*AWC</f>
      </c>
      <c r="X208" s="13">
        <f>VLOOKUP(S208,ModelOutputs,11,FALSE)+X207</f>
      </c>
      <c r="Y208" s="12">
        <f>VLOOKUP(S208,ModelOutputs,12,FALSE)</f>
      </c>
      <c r="Z208" s="13">
        <f>VLOOKUP(S208,ModelOutputs,13,FALSE)</f>
      </c>
    </row>
    <row x14ac:dyDescent="0.25" r="209" customHeight="1" ht="18.75">
      <c r="A209" s="71"/>
      <c r="B209" s="121"/>
      <c r="C209" s="3"/>
      <c r="D209" s="12"/>
      <c r="E209" s="3"/>
      <c r="F209" s="71"/>
      <c r="G209" s="12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134" t="s">
        <v>374</v>
      </c>
      <c r="S209" s="135">
        <f>IF(R209&gt;1,R209,"")</f>
      </c>
      <c r="T209" s="136">
        <f>VLOOKUP(S209,ModelOutputs,2,FALSE)</f>
      </c>
      <c r="U209" s="136">
        <f>VLOOKUP(S209,ModelOutputs,7,FALSE)</f>
      </c>
      <c r="V209" s="135">
        <f>VLOOKUP(S209,ModelOutputs,6,FALSE)</f>
      </c>
      <c r="W209" s="12">
        <f>VLOOKUP(S209,ModelOutputs,10,FALSE)*AWC</f>
      </c>
      <c r="X209" s="13">
        <f>VLOOKUP(S209,ModelOutputs,11,FALSE)+X208</f>
      </c>
      <c r="Y209" s="12">
        <f>VLOOKUP(S209,ModelOutputs,12,FALSE)</f>
      </c>
      <c r="Z209" s="13">
        <f>VLOOKUP(S209,ModelOutputs,13,FALSE)</f>
      </c>
    </row>
    <row x14ac:dyDescent="0.25" r="210" customHeight="1" ht="18.75">
      <c r="A210" s="71"/>
      <c r="B210" s="121"/>
      <c r="C210" s="3"/>
      <c r="D210" s="12"/>
      <c r="E210" s="3"/>
      <c r="F210" s="71"/>
      <c r="G210" s="12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134" t="s">
        <v>374</v>
      </c>
      <c r="S210" s="135">
        <f>IF(R210&gt;1,R210,"")</f>
      </c>
      <c r="T210" s="136">
        <f>VLOOKUP(S210,ModelOutputs,2,FALSE)</f>
      </c>
      <c r="U210" s="136">
        <f>VLOOKUP(S210,ModelOutputs,7,FALSE)</f>
      </c>
      <c r="V210" s="135">
        <f>VLOOKUP(S210,ModelOutputs,6,FALSE)</f>
      </c>
      <c r="W210" s="12">
        <f>VLOOKUP(S210,ModelOutputs,10,FALSE)*AWC</f>
      </c>
      <c r="X210" s="13">
        <f>VLOOKUP(S210,ModelOutputs,11,FALSE)+X209</f>
      </c>
      <c r="Y210" s="12">
        <f>VLOOKUP(S210,ModelOutputs,12,FALSE)</f>
      </c>
      <c r="Z210" s="13">
        <f>VLOOKUP(S210,ModelOutputs,13,FALSE)</f>
      </c>
    </row>
    <row x14ac:dyDescent="0.25" r="211" customHeight="1" ht="18.75">
      <c r="A211" s="71"/>
      <c r="B211" s="121"/>
      <c r="C211" s="3"/>
      <c r="D211" s="12"/>
      <c r="E211" s="3"/>
      <c r="F211" s="71"/>
      <c r="G211" s="12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134" t="s">
        <v>374</v>
      </c>
      <c r="S211" s="135">
        <f>IF(R211&gt;1,R211,"")</f>
      </c>
      <c r="T211" s="136">
        <f>VLOOKUP(S211,ModelOutputs,2,FALSE)</f>
      </c>
      <c r="U211" s="136">
        <f>VLOOKUP(S211,ModelOutputs,7,FALSE)</f>
      </c>
      <c r="V211" s="135">
        <f>VLOOKUP(S211,ModelOutputs,6,FALSE)</f>
      </c>
      <c r="W211" s="12">
        <f>VLOOKUP(S211,ModelOutputs,10,FALSE)*AWC</f>
      </c>
      <c r="X211" s="13">
        <f>VLOOKUP(S211,ModelOutputs,11,FALSE)+X210</f>
      </c>
      <c r="Y211" s="12">
        <f>VLOOKUP(S211,ModelOutputs,12,FALSE)</f>
      </c>
      <c r="Z211" s="13">
        <f>VLOOKUP(S211,ModelOutputs,13,FALSE)</f>
      </c>
    </row>
    <row x14ac:dyDescent="0.25" r="212" customHeight="1" ht="18.75">
      <c r="A212" s="71"/>
      <c r="B212" s="121"/>
      <c r="C212" s="3"/>
      <c r="D212" s="12"/>
      <c r="E212" s="3"/>
      <c r="F212" s="71"/>
      <c r="G212" s="12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134" t="s">
        <v>374</v>
      </c>
      <c r="S212" s="135">
        <f>IF(R212&gt;1,R212,"")</f>
      </c>
      <c r="T212" s="136">
        <f>VLOOKUP(S212,ModelOutputs,2,FALSE)</f>
      </c>
      <c r="U212" s="136">
        <f>VLOOKUP(S212,ModelOutputs,7,FALSE)</f>
      </c>
      <c r="V212" s="135">
        <f>VLOOKUP(S212,ModelOutputs,6,FALSE)</f>
      </c>
      <c r="W212" s="12">
        <f>VLOOKUP(S212,ModelOutputs,10,FALSE)*AWC</f>
      </c>
      <c r="X212" s="13">
        <f>VLOOKUP(S212,ModelOutputs,11,FALSE)+X211</f>
      </c>
      <c r="Y212" s="12">
        <f>VLOOKUP(S212,ModelOutputs,12,FALSE)</f>
      </c>
      <c r="Z212" s="13">
        <f>VLOOKUP(S212,ModelOutputs,13,FALSE)</f>
      </c>
    </row>
    <row x14ac:dyDescent="0.25" r="213" customHeight="1" ht="18.75">
      <c r="A213" s="71"/>
      <c r="B213" s="121"/>
      <c r="C213" s="3"/>
      <c r="D213" s="12"/>
      <c r="E213" s="3"/>
      <c r="F213" s="71"/>
      <c r="G213" s="12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134" t="s">
        <v>374</v>
      </c>
      <c r="S213" s="135">
        <f>IF(R213&gt;1,R213,"")</f>
      </c>
      <c r="T213" s="136">
        <f>VLOOKUP(S213,ModelOutputs,2,FALSE)</f>
      </c>
      <c r="U213" s="136">
        <f>VLOOKUP(S213,ModelOutputs,7,FALSE)</f>
      </c>
      <c r="V213" s="135">
        <f>VLOOKUP(S213,ModelOutputs,6,FALSE)</f>
      </c>
      <c r="W213" s="12">
        <f>VLOOKUP(S213,ModelOutputs,10,FALSE)*AWC</f>
      </c>
      <c r="X213" s="13">
        <f>VLOOKUP(S213,ModelOutputs,11,FALSE)+X212</f>
      </c>
      <c r="Y213" s="12">
        <f>VLOOKUP(S213,ModelOutputs,12,FALSE)</f>
      </c>
      <c r="Z213" s="13">
        <f>VLOOKUP(S213,ModelOutputs,13,FALSE)</f>
      </c>
    </row>
    <row x14ac:dyDescent="0.25" r="214" customHeight="1" ht="18.75">
      <c r="A214" s="71"/>
      <c r="B214" s="121"/>
      <c r="C214" s="3"/>
      <c r="D214" s="12"/>
      <c r="E214" s="3"/>
      <c r="F214" s="71"/>
      <c r="G214" s="12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134" t="s">
        <v>374</v>
      </c>
      <c r="S214" s="135">
        <f>IF(R214&gt;1,R214,"")</f>
      </c>
      <c r="T214" s="136">
        <f>VLOOKUP(S214,ModelOutputs,2,FALSE)</f>
      </c>
      <c r="U214" s="136">
        <f>VLOOKUP(S214,ModelOutputs,7,FALSE)</f>
      </c>
      <c r="V214" s="135">
        <f>VLOOKUP(S214,ModelOutputs,6,FALSE)</f>
      </c>
      <c r="W214" s="12">
        <f>VLOOKUP(S214,ModelOutputs,10,FALSE)*AWC</f>
      </c>
      <c r="X214" s="13">
        <f>VLOOKUP(S214,ModelOutputs,11,FALSE)+X213</f>
      </c>
      <c r="Y214" s="12">
        <f>VLOOKUP(S214,ModelOutputs,12,FALSE)</f>
      </c>
      <c r="Z214" s="13">
        <f>VLOOKUP(S214,ModelOutputs,13,FALSE)</f>
      </c>
    </row>
    <row x14ac:dyDescent="0.25" r="215" customHeight="1" ht="18.75">
      <c r="A215" s="71"/>
      <c r="B215" s="121"/>
      <c r="C215" s="3"/>
      <c r="D215" s="12"/>
      <c r="E215" s="3"/>
      <c r="F215" s="71"/>
      <c r="G215" s="12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134" t="s">
        <v>374</v>
      </c>
      <c r="S215" s="135">
        <f>IF(R215&gt;1,R215,"")</f>
      </c>
      <c r="T215" s="136">
        <f>VLOOKUP(S215,ModelOutputs,2,FALSE)</f>
      </c>
      <c r="U215" s="136">
        <f>VLOOKUP(S215,ModelOutputs,7,FALSE)</f>
      </c>
      <c r="V215" s="135">
        <f>VLOOKUP(S215,ModelOutputs,6,FALSE)</f>
      </c>
      <c r="W215" s="12">
        <f>VLOOKUP(S215,ModelOutputs,10,FALSE)*AWC</f>
      </c>
      <c r="X215" s="13">
        <f>VLOOKUP(S215,ModelOutputs,11,FALSE)+X214</f>
      </c>
      <c r="Y215" s="12">
        <f>VLOOKUP(S215,ModelOutputs,12,FALSE)</f>
      </c>
      <c r="Z215" s="13">
        <f>VLOOKUP(S215,ModelOutputs,13,FALSE)</f>
      </c>
    </row>
    <row x14ac:dyDescent="0.25" r="216" customHeight="1" ht="18.75">
      <c r="A216" s="71"/>
      <c r="B216" s="121"/>
      <c r="C216" s="3"/>
      <c r="D216" s="12"/>
      <c r="E216" s="3"/>
      <c r="F216" s="71"/>
      <c r="G216" s="12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134" t="s">
        <v>374</v>
      </c>
      <c r="S216" s="135">
        <f>IF(R216&gt;1,R216,"")</f>
      </c>
      <c r="T216" s="136">
        <f>VLOOKUP(S216,ModelOutputs,2,FALSE)</f>
      </c>
      <c r="U216" s="136">
        <f>VLOOKUP(S216,ModelOutputs,7,FALSE)</f>
      </c>
      <c r="V216" s="135">
        <f>VLOOKUP(S216,ModelOutputs,6,FALSE)</f>
      </c>
      <c r="W216" s="12">
        <f>VLOOKUP(S216,ModelOutputs,10,FALSE)*AWC</f>
      </c>
      <c r="X216" s="13">
        <f>VLOOKUP(S216,ModelOutputs,11,FALSE)+X215</f>
      </c>
      <c r="Y216" s="12">
        <f>VLOOKUP(S216,ModelOutputs,12,FALSE)</f>
      </c>
      <c r="Z216" s="13">
        <f>VLOOKUP(S216,ModelOutputs,13,FALSE)</f>
      </c>
    </row>
    <row x14ac:dyDescent="0.25" r="217" customHeight="1" ht="18.75">
      <c r="A217" s="71"/>
      <c r="B217" s="121"/>
      <c r="C217" s="3"/>
      <c r="D217" s="12"/>
      <c r="E217" s="3"/>
      <c r="F217" s="71"/>
      <c r="G217" s="12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134" t="s">
        <v>374</v>
      </c>
      <c r="S217" s="135">
        <f>IF(R217&gt;1,R217,"")</f>
      </c>
      <c r="T217" s="136">
        <f>VLOOKUP(S217,ModelOutputs,2,FALSE)</f>
      </c>
      <c r="U217" s="136">
        <f>VLOOKUP(S217,ModelOutputs,7,FALSE)</f>
      </c>
      <c r="V217" s="135">
        <f>VLOOKUP(S217,ModelOutputs,6,FALSE)</f>
      </c>
      <c r="W217" s="12">
        <f>VLOOKUP(S217,ModelOutputs,10,FALSE)*AWC</f>
      </c>
      <c r="X217" s="13">
        <f>VLOOKUP(S217,ModelOutputs,11,FALSE)+X216</f>
      </c>
      <c r="Y217" s="12">
        <f>VLOOKUP(S217,ModelOutputs,12,FALSE)</f>
      </c>
      <c r="Z217" s="13">
        <f>VLOOKUP(S217,ModelOutputs,13,FALSE)</f>
      </c>
    </row>
    <row x14ac:dyDescent="0.25" r="218" customHeight="1" ht="18.75">
      <c r="A218" s="71"/>
      <c r="B218" s="121"/>
      <c r="C218" s="3"/>
      <c r="D218" s="12"/>
      <c r="E218" s="3"/>
      <c r="F218" s="71"/>
      <c r="G218" s="12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134" t="s">
        <v>374</v>
      </c>
      <c r="S218" s="135">
        <f>IF(R218&gt;1,R218,"")</f>
      </c>
      <c r="T218" s="136">
        <f>VLOOKUP(S218,ModelOutputs,2,FALSE)</f>
      </c>
      <c r="U218" s="136">
        <f>VLOOKUP(S218,ModelOutputs,7,FALSE)</f>
      </c>
      <c r="V218" s="135">
        <f>VLOOKUP(S218,ModelOutputs,6,FALSE)</f>
      </c>
      <c r="W218" s="12">
        <f>VLOOKUP(S218,ModelOutputs,10,FALSE)*AWC</f>
      </c>
      <c r="X218" s="13">
        <f>VLOOKUP(S218,ModelOutputs,11,FALSE)+X217</f>
      </c>
      <c r="Y218" s="12">
        <f>VLOOKUP(S218,ModelOutputs,12,FALSE)</f>
      </c>
      <c r="Z218" s="13">
        <f>VLOOKUP(S218,ModelOutputs,13,FALSE)</f>
      </c>
    </row>
    <row x14ac:dyDescent="0.25" r="219" customHeight="1" ht="18.75">
      <c r="A219" s="71"/>
      <c r="B219" s="121"/>
      <c r="C219" s="3"/>
      <c r="D219" s="12"/>
      <c r="E219" s="3"/>
      <c r="F219" s="71"/>
      <c r="G219" s="12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134" t="s">
        <v>374</v>
      </c>
      <c r="S219" s="135">
        <f>IF(R219&gt;1,R219,"")</f>
      </c>
      <c r="T219" s="136">
        <f>VLOOKUP(S219,ModelOutputs,2,FALSE)</f>
      </c>
      <c r="U219" s="136">
        <f>VLOOKUP(S219,ModelOutputs,7,FALSE)</f>
      </c>
      <c r="V219" s="135">
        <f>VLOOKUP(S219,ModelOutputs,6,FALSE)</f>
      </c>
      <c r="W219" s="12">
        <f>VLOOKUP(S219,ModelOutputs,10,FALSE)*AWC</f>
      </c>
      <c r="X219" s="13">
        <f>VLOOKUP(S219,ModelOutputs,11,FALSE)+X218</f>
      </c>
      <c r="Y219" s="12">
        <f>VLOOKUP(S219,ModelOutputs,12,FALSE)</f>
      </c>
      <c r="Z219" s="13">
        <f>VLOOKUP(S219,ModelOutputs,13,FALSE)</f>
      </c>
    </row>
    <row x14ac:dyDescent="0.25" r="220" customHeight="1" ht="18.75">
      <c r="A220" s="71"/>
      <c r="B220" s="121"/>
      <c r="C220" s="3"/>
      <c r="D220" s="12"/>
      <c r="E220" s="3"/>
      <c r="F220" s="71"/>
      <c r="G220" s="12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134" t="s">
        <v>374</v>
      </c>
      <c r="S220" s="135">
        <f>IF(R220&gt;1,R220,"")</f>
      </c>
      <c r="T220" s="136">
        <f>VLOOKUP(S220,ModelOutputs,2,FALSE)</f>
      </c>
      <c r="U220" s="136">
        <f>VLOOKUP(S220,ModelOutputs,7,FALSE)</f>
      </c>
      <c r="V220" s="135">
        <f>VLOOKUP(S220,ModelOutputs,6,FALSE)</f>
      </c>
      <c r="W220" s="12">
        <f>VLOOKUP(S220,ModelOutputs,10,FALSE)*AWC</f>
      </c>
      <c r="X220" s="13">
        <f>VLOOKUP(S220,ModelOutputs,11,FALSE)+X219</f>
      </c>
      <c r="Y220" s="12">
        <f>VLOOKUP(S220,ModelOutputs,12,FALSE)</f>
      </c>
      <c r="Z220" s="13">
        <f>VLOOKUP(S220,ModelOutputs,13,FALSE)</f>
      </c>
    </row>
    <row x14ac:dyDescent="0.25" r="221" customHeight="1" ht="18.75">
      <c r="A221" s="71"/>
      <c r="B221" s="121"/>
      <c r="C221" s="3"/>
      <c r="D221" s="12"/>
      <c r="E221" s="3"/>
      <c r="F221" s="71"/>
      <c r="G221" s="12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134" t="s">
        <v>374</v>
      </c>
      <c r="S221" s="135">
        <f>IF(R221&gt;1,R221,"")</f>
      </c>
      <c r="T221" s="136">
        <f>VLOOKUP(S221,ModelOutputs,2,FALSE)</f>
      </c>
      <c r="U221" s="136">
        <f>VLOOKUP(S221,ModelOutputs,7,FALSE)</f>
      </c>
      <c r="V221" s="135">
        <f>VLOOKUP(S221,ModelOutputs,6,FALSE)</f>
      </c>
      <c r="W221" s="12">
        <f>VLOOKUP(S221,ModelOutputs,10,FALSE)*AWC</f>
      </c>
      <c r="X221" s="13">
        <f>VLOOKUP(S221,ModelOutputs,11,FALSE)+X220</f>
      </c>
      <c r="Y221" s="12">
        <f>VLOOKUP(S221,ModelOutputs,12,FALSE)</f>
      </c>
      <c r="Z221" s="13">
        <f>VLOOKUP(S221,ModelOutputs,13,FALSE)</f>
      </c>
    </row>
    <row x14ac:dyDescent="0.25" r="222" customHeight="1" ht="18.75">
      <c r="A222" s="71"/>
      <c r="B222" s="121"/>
      <c r="C222" s="3"/>
      <c r="D222" s="12"/>
      <c r="E222" s="3"/>
      <c r="F222" s="71"/>
      <c r="G222" s="12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134" t="s">
        <v>374</v>
      </c>
      <c r="S222" s="135">
        <f>IF(R222&gt;1,R222,"")</f>
      </c>
      <c r="T222" s="136">
        <f>VLOOKUP(S222,ModelOutputs,2,FALSE)</f>
      </c>
      <c r="U222" s="136">
        <f>VLOOKUP(S222,ModelOutputs,7,FALSE)</f>
      </c>
      <c r="V222" s="135">
        <f>VLOOKUP(S222,ModelOutputs,6,FALSE)</f>
      </c>
      <c r="W222" s="12">
        <f>VLOOKUP(S222,ModelOutputs,10,FALSE)*AWC</f>
      </c>
      <c r="X222" s="13">
        <f>VLOOKUP(S222,ModelOutputs,11,FALSE)+X221</f>
      </c>
      <c r="Y222" s="12">
        <f>VLOOKUP(S222,ModelOutputs,12,FALSE)</f>
      </c>
      <c r="Z222" s="13">
        <f>VLOOKUP(S222,ModelOutputs,13,FALSE)</f>
      </c>
    </row>
    <row x14ac:dyDescent="0.25" r="223" customHeight="1" ht="18.75">
      <c r="A223" s="71"/>
      <c r="B223" s="121"/>
      <c r="C223" s="3"/>
      <c r="D223" s="12"/>
      <c r="E223" s="3"/>
      <c r="F223" s="71"/>
      <c r="G223" s="12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134" t="s">
        <v>374</v>
      </c>
      <c r="S223" s="135">
        <f>IF(R223&gt;1,R223,"")</f>
      </c>
      <c r="T223" s="136">
        <f>VLOOKUP(S223,ModelOutputs,2,FALSE)</f>
      </c>
      <c r="U223" s="136">
        <f>VLOOKUP(S223,ModelOutputs,7,FALSE)</f>
      </c>
      <c r="V223" s="135">
        <f>VLOOKUP(S223,ModelOutputs,6,FALSE)</f>
      </c>
      <c r="W223" s="12">
        <f>VLOOKUP(S223,ModelOutputs,10,FALSE)*AWC</f>
      </c>
      <c r="X223" s="13">
        <f>VLOOKUP(S223,ModelOutputs,11,FALSE)+X222</f>
      </c>
      <c r="Y223" s="12">
        <f>VLOOKUP(S223,ModelOutputs,12,FALSE)</f>
      </c>
      <c r="Z223" s="13">
        <f>VLOOKUP(S223,ModelOutputs,13,FALSE)</f>
      </c>
    </row>
    <row x14ac:dyDescent="0.25" r="224" customHeight="1" ht="18.75">
      <c r="A224" s="71"/>
      <c r="B224" s="121"/>
      <c r="C224" s="3"/>
      <c r="D224" s="12"/>
      <c r="E224" s="3"/>
      <c r="F224" s="71"/>
      <c r="G224" s="12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134" t="s">
        <v>374</v>
      </c>
      <c r="S224" s="135">
        <f>IF(R224&gt;1,R224,"")</f>
      </c>
      <c r="T224" s="136">
        <f>VLOOKUP(S224,ModelOutputs,2,FALSE)</f>
      </c>
      <c r="U224" s="136">
        <f>VLOOKUP(S224,ModelOutputs,7,FALSE)</f>
      </c>
      <c r="V224" s="135">
        <f>VLOOKUP(S224,ModelOutputs,6,FALSE)</f>
      </c>
      <c r="W224" s="12">
        <f>VLOOKUP(S224,ModelOutputs,10,FALSE)*AWC</f>
      </c>
      <c r="X224" s="13">
        <f>VLOOKUP(S224,ModelOutputs,11,FALSE)+X223</f>
      </c>
      <c r="Y224" s="12">
        <f>VLOOKUP(S224,ModelOutputs,12,FALSE)</f>
      </c>
      <c r="Z224" s="13">
        <f>VLOOKUP(S224,ModelOutputs,13,FALSE)</f>
      </c>
    </row>
    <row x14ac:dyDescent="0.25" r="225" customHeight="1" ht="18.75">
      <c r="A225" s="71"/>
      <c r="B225" s="121"/>
      <c r="C225" s="3"/>
      <c r="D225" s="12"/>
      <c r="E225" s="3"/>
      <c r="F225" s="71"/>
      <c r="G225" s="12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134" t="s">
        <v>374</v>
      </c>
      <c r="S225" s="135">
        <f>IF(R225&gt;1,R225,"")</f>
      </c>
      <c r="T225" s="136">
        <f>VLOOKUP(S225,ModelOutputs,2,FALSE)</f>
      </c>
      <c r="U225" s="136">
        <f>VLOOKUP(S225,ModelOutputs,7,FALSE)</f>
      </c>
      <c r="V225" s="135">
        <f>VLOOKUP(S225,ModelOutputs,6,FALSE)</f>
      </c>
      <c r="W225" s="12">
        <f>VLOOKUP(S225,ModelOutputs,10,FALSE)*AWC</f>
      </c>
      <c r="X225" s="13">
        <f>VLOOKUP(S225,ModelOutputs,11,FALSE)+X224</f>
      </c>
      <c r="Y225" s="12">
        <f>VLOOKUP(S225,ModelOutputs,12,FALSE)</f>
      </c>
      <c r="Z225" s="13">
        <f>VLOOKUP(S225,ModelOutputs,13,FALSE)</f>
      </c>
    </row>
    <row x14ac:dyDescent="0.25" r="226" customHeight="1" ht="18.75">
      <c r="A226" s="71"/>
      <c r="B226" s="121"/>
      <c r="C226" s="3"/>
      <c r="D226" s="12"/>
      <c r="E226" s="3"/>
      <c r="F226" s="71"/>
      <c r="G226" s="12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134" t="s">
        <v>374</v>
      </c>
      <c r="S226" s="135">
        <f>IF(R226&gt;1,R226,"")</f>
      </c>
      <c r="T226" s="136">
        <f>VLOOKUP(S226,ModelOutputs,2,FALSE)</f>
      </c>
      <c r="U226" s="136">
        <f>VLOOKUP(S226,ModelOutputs,7,FALSE)</f>
      </c>
      <c r="V226" s="135">
        <f>VLOOKUP(S226,ModelOutputs,6,FALSE)</f>
      </c>
      <c r="W226" s="12">
        <f>VLOOKUP(S226,ModelOutputs,10,FALSE)*AWC</f>
      </c>
      <c r="X226" s="13">
        <f>VLOOKUP(S226,ModelOutputs,11,FALSE)+X225</f>
      </c>
      <c r="Y226" s="12">
        <f>VLOOKUP(S226,ModelOutputs,12,FALSE)</f>
      </c>
      <c r="Z226" s="13">
        <f>VLOOKUP(S226,ModelOutputs,13,FALSE)</f>
      </c>
    </row>
    <row x14ac:dyDescent="0.25" r="227" customHeight="1" ht="18.75">
      <c r="A227" s="71"/>
      <c r="B227" s="121"/>
      <c r="C227" s="3"/>
      <c r="D227" s="12"/>
      <c r="E227" s="3"/>
      <c r="F227" s="71"/>
      <c r="G227" s="12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134" t="s">
        <v>374</v>
      </c>
      <c r="S227" s="135">
        <f>IF(R227&gt;1,R227,"")</f>
      </c>
      <c r="T227" s="136">
        <f>VLOOKUP(S227,ModelOutputs,2,FALSE)</f>
      </c>
      <c r="U227" s="136">
        <f>VLOOKUP(S227,ModelOutputs,7,FALSE)</f>
      </c>
      <c r="V227" s="135">
        <f>VLOOKUP(S227,ModelOutputs,6,FALSE)</f>
      </c>
      <c r="W227" s="12">
        <f>VLOOKUP(S227,ModelOutputs,10,FALSE)*AWC</f>
      </c>
      <c r="X227" s="13">
        <f>VLOOKUP(S227,ModelOutputs,11,FALSE)+X226</f>
      </c>
      <c r="Y227" s="12">
        <f>VLOOKUP(S227,ModelOutputs,12,FALSE)</f>
      </c>
      <c r="Z227" s="13">
        <f>VLOOKUP(S227,ModelOutputs,13,FALSE)</f>
      </c>
    </row>
    <row x14ac:dyDescent="0.25" r="228" customHeight="1" ht="18.75">
      <c r="A228" s="71"/>
      <c r="B228" s="121"/>
      <c r="C228" s="3"/>
      <c r="D228" s="12"/>
      <c r="E228" s="3"/>
      <c r="F228" s="71"/>
      <c r="G228" s="12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134" t="s">
        <v>374</v>
      </c>
      <c r="S228" s="135">
        <f>IF(R228&gt;1,R228,"")</f>
      </c>
      <c r="T228" s="136">
        <f>VLOOKUP(S228,ModelOutputs,2,FALSE)</f>
      </c>
      <c r="U228" s="136">
        <f>VLOOKUP(S228,ModelOutputs,7,FALSE)</f>
      </c>
      <c r="V228" s="135">
        <f>VLOOKUP(S228,ModelOutputs,6,FALSE)</f>
      </c>
      <c r="W228" s="12">
        <f>VLOOKUP(S228,ModelOutputs,10,FALSE)*AWC</f>
      </c>
      <c r="X228" s="13">
        <f>VLOOKUP(S228,ModelOutputs,11,FALSE)+X227</f>
      </c>
      <c r="Y228" s="12">
        <f>VLOOKUP(S228,ModelOutputs,12,FALSE)</f>
      </c>
      <c r="Z228" s="13">
        <f>VLOOKUP(S228,ModelOutputs,13,FALSE)</f>
      </c>
    </row>
    <row x14ac:dyDescent="0.25" r="229" customHeight="1" ht="18.75">
      <c r="A229" s="71"/>
      <c r="B229" s="121"/>
      <c r="C229" s="3"/>
      <c r="D229" s="12"/>
      <c r="E229" s="3"/>
      <c r="F229" s="71"/>
      <c r="G229" s="12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134" t="s">
        <v>374</v>
      </c>
      <c r="S229" s="135">
        <f>IF(R229&gt;1,R229,"")</f>
      </c>
      <c r="T229" s="136">
        <f>VLOOKUP(S229,ModelOutputs,2,FALSE)</f>
      </c>
      <c r="U229" s="136">
        <f>VLOOKUP(S229,ModelOutputs,7,FALSE)</f>
      </c>
      <c r="V229" s="135">
        <f>VLOOKUP(S229,ModelOutputs,6,FALSE)</f>
      </c>
      <c r="W229" s="12">
        <f>VLOOKUP(S229,ModelOutputs,10,FALSE)*AWC</f>
      </c>
      <c r="X229" s="13">
        <f>VLOOKUP(S229,ModelOutputs,11,FALSE)+X228</f>
      </c>
      <c r="Y229" s="12">
        <f>VLOOKUP(S229,ModelOutputs,12,FALSE)</f>
      </c>
      <c r="Z229" s="13">
        <f>VLOOKUP(S229,ModelOutputs,13,FALSE)</f>
      </c>
    </row>
    <row x14ac:dyDescent="0.25" r="230" customHeight="1" ht="18.75">
      <c r="A230" s="71"/>
      <c r="B230" s="121"/>
      <c r="C230" s="3"/>
      <c r="D230" s="12"/>
      <c r="E230" s="3"/>
      <c r="F230" s="71"/>
      <c r="G230" s="12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134" t="s">
        <v>374</v>
      </c>
      <c r="S230" s="135">
        <f>IF(R230&gt;1,R230,"")</f>
      </c>
      <c r="T230" s="136">
        <f>VLOOKUP(S230,ModelOutputs,2,FALSE)</f>
      </c>
      <c r="U230" s="136">
        <f>VLOOKUP(S230,ModelOutputs,7,FALSE)</f>
      </c>
      <c r="V230" s="135">
        <f>VLOOKUP(S230,ModelOutputs,6,FALSE)</f>
      </c>
      <c r="W230" s="12">
        <f>VLOOKUP(S230,ModelOutputs,10,FALSE)*AWC</f>
      </c>
      <c r="X230" s="13">
        <f>VLOOKUP(S230,ModelOutputs,11,FALSE)+X229</f>
      </c>
      <c r="Y230" s="12">
        <f>VLOOKUP(S230,ModelOutputs,12,FALSE)</f>
      </c>
      <c r="Z230" s="13">
        <f>VLOOKUP(S230,ModelOutputs,13,FALSE)</f>
      </c>
    </row>
    <row x14ac:dyDescent="0.25" r="231" customHeight="1" ht="18.75">
      <c r="A231" s="71"/>
      <c r="B231" s="121"/>
      <c r="C231" s="3"/>
      <c r="D231" s="12"/>
      <c r="E231" s="3"/>
      <c r="F231" s="71"/>
      <c r="G231" s="12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134" t="s">
        <v>374</v>
      </c>
      <c r="S231" s="135">
        <f>IF(R231&gt;1,R231,"")</f>
      </c>
      <c r="T231" s="136">
        <f>VLOOKUP(S231,ModelOutputs,2,FALSE)</f>
      </c>
      <c r="U231" s="136">
        <f>VLOOKUP(S231,ModelOutputs,7,FALSE)</f>
      </c>
      <c r="V231" s="135">
        <f>VLOOKUP(S231,ModelOutputs,6,FALSE)</f>
      </c>
      <c r="W231" s="12">
        <f>VLOOKUP(S231,ModelOutputs,10,FALSE)*AWC</f>
      </c>
      <c r="X231" s="13">
        <f>VLOOKUP(S231,ModelOutputs,11,FALSE)+X230</f>
      </c>
      <c r="Y231" s="12">
        <f>VLOOKUP(S231,ModelOutputs,12,FALSE)</f>
      </c>
      <c r="Z231" s="13">
        <f>VLOOKUP(S231,ModelOutputs,13,FALSE)</f>
      </c>
    </row>
    <row x14ac:dyDescent="0.25" r="232" customHeight="1" ht="18.75">
      <c r="A232" s="71"/>
      <c r="B232" s="121"/>
      <c r="C232" s="3"/>
      <c r="D232" s="12"/>
      <c r="E232" s="3"/>
      <c r="F232" s="71"/>
      <c r="G232" s="12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134" t="s">
        <v>374</v>
      </c>
      <c r="S232" s="135">
        <f>IF(R232&gt;1,R232,"")</f>
      </c>
      <c r="T232" s="136">
        <f>VLOOKUP(S232,ModelOutputs,2,FALSE)</f>
      </c>
      <c r="U232" s="136">
        <f>VLOOKUP(S232,ModelOutputs,7,FALSE)</f>
      </c>
      <c r="V232" s="135">
        <f>VLOOKUP(S232,ModelOutputs,6,FALSE)</f>
      </c>
      <c r="W232" s="12">
        <f>VLOOKUP(S232,ModelOutputs,10,FALSE)*AWC</f>
      </c>
      <c r="X232" s="13">
        <f>VLOOKUP(S232,ModelOutputs,11,FALSE)+X231</f>
      </c>
      <c r="Y232" s="12">
        <f>VLOOKUP(S232,ModelOutputs,12,FALSE)</f>
      </c>
      <c r="Z232" s="13">
        <f>VLOOKUP(S232,ModelOutputs,13,FALSE)</f>
      </c>
    </row>
    <row x14ac:dyDescent="0.25" r="233" customHeight="1" ht="18.75">
      <c r="A233" s="71"/>
      <c r="B233" s="121"/>
      <c r="C233" s="3"/>
      <c r="D233" s="12"/>
      <c r="E233" s="3"/>
      <c r="F233" s="71"/>
      <c r="G233" s="12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134" t="s">
        <v>374</v>
      </c>
      <c r="S233" s="135">
        <f>IF(R233&gt;1,R233,"")</f>
      </c>
      <c r="T233" s="136">
        <f>VLOOKUP(S233,ModelOutputs,2,FALSE)</f>
      </c>
      <c r="U233" s="136">
        <f>VLOOKUP(S233,ModelOutputs,7,FALSE)</f>
      </c>
      <c r="V233" s="135">
        <f>VLOOKUP(S233,ModelOutputs,6,FALSE)</f>
      </c>
      <c r="W233" s="12">
        <f>VLOOKUP(S233,ModelOutputs,10,FALSE)*AWC</f>
      </c>
      <c r="X233" s="13">
        <f>VLOOKUP(S233,ModelOutputs,11,FALSE)+X232</f>
      </c>
      <c r="Y233" s="12">
        <f>VLOOKUP(S233,ModelOutputs,12,FALSE)</f>
      </c>
      <c r="Z233" s="13">
        <f>VLOOKUP(S233,ModelOutputs,13,FALSE)</f>
      </c>
    </row>
    <row x14ac:dyDescent="0.25" r="234" customHeight="1" ht="18.75">
      <c r="A234" s="71"/>
      <c r="B234" s="121"/>
      <c r="C234" s="3"/>
      <c r="D234" s="12"/>
      <c r="E234" s="3"/>
      <c r="F234" s="71"/>
      <c r="G234" s="12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134" t="s">
        <v>374</v>
      </c>
      <c r="S234" s="135">
        <f>IF(R234&gt;1,R234,"")</f>
      </c>
      <c r="T234" s="136">
        <f>VLOOKUP(S234,ModelOutputs,2,FALSE)</f>
      </c>
      <c r="U234" s="136">
        <f>VLOOKUP(S234,ModelOutputs,7,FALSE)</f>
      </c>
      <c r="V234" s="135">
        <f>VLOOKUP(S234,ModelOutputs,6,FALSE)</f>
      </c>
      <c r="W234" s="12">
        <f>VLOOKUP(S234,ModelOutputs,10,FALSE)*AWC</f>
      </c>
      <c r="X234" s="13">
        <f>VLOOKUP(S234,ModelOutputs,11,FALSE)+X233</f>
      </c>
      <c r="Y234" s="12">
        <f>VLOOKUP(S234,ModelOutputs,12,FALSE)</f>
      </c>
      <c r="Z234" s="13">
        <f>VLOOKUP(S234,ModelOutputs,13,FALSE)</f>
      </c>
    </row>
    <row x14ac:dyDescent="0.25" r="235" customHeight="1" ht="18.75">
      <c r="A235" s="71"/>
      <c r="B235" s="121"/>
      <c r="C235" s="3"/>
      <c r="D235" s="12"/>
      <c r="E235" s="3"/>
      <c r="F235" s="71"/>
      <c r="G235" s="12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134" t="s">
        <v>374</v>
      </c>
      <c r="S235" s="135">
        <f>IF(R235&gt;1,R235,"")</f>
      </c>
      <c r="T235" s="136">
        <f>VLOOKUP(S235,ModelOutputs,2,FALSE)</f>
      </c>
      <c r="U235" s="136">
        <f>VLOOKUP(S235,ModelOutputs,7,FALSE)</f>
      </c>
      <c r="V235" s="135">
        <f>VLOOKUP(S235,ModelOutputs,6,FALSE)</f>
      </c>
      <c r="W235" s="12">
        <f>VLOOKUP(S235,ModelOutputs,10,FALSE)*AWC</f>
      </c>
      <c r="X235" s="13">
        <f>VLOOKUP(S235,ModelOutputs,11,FALSE)+X234</f>
      </c>
      <c r="Y235" s="12">
        <f>VLOOKUP(S235,ModelOutputs,12,FALSE)</f>
      </c>
      <c r="Z235" s="13">
        <f>VLOOKUP(S235,ModelOutputs,13,FALSE)</f>
      </c>
    </row>
    <row x14ac:dyDescent="0.25" r="236" customHeight="1" ht="18.75">
      <c r="A236" s="71"/>
      <c r="B236" s="121"/>
      <c r="C236" s="3"/>
      <c r="D236" s="12"/>
      <c r="E236" s="3"/>
      <c r="F236" s="71"/>
      <c r="G236" s="12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134" t="s">
        <v>374</v>
      </c>
      <c r="S236" s="135">
        <f>IF(R236&gt;1,R236,"")</f>
      </c>
      <c r="T236" s="136">
        <f>VLOOKUP(S236,ModelOutputs,2,FALSE)</f>
      </c>
      <c r="U236" s="136">
        <f>VLOOKUP(S236,ModelOutputs,7,FALSE)</f>
      </c>
      <c r="V236" s="135">
        <f>VLOOKUP(S236,ModelOutputs,6,FALSE)</f>
      </c>
      <c r="W236" s="12">
        <f>VLOOKUP(S236,ModelOutputs,10,FALSE)*AWC</f>
      </c>
      <c r="X236" s="13">
        <f>VLOOKUP(S236,ModelOutputs,11,FALSE)+X235</f>
      </c>
      <c r="Y236" s="12">
        <f>VLOOKUP(S236,ModelOutputs,12,FALSE)</f>
      </c>
      <c r="Z236" s="13">
        <f>VLOOKUP(S236,ModelOutputs,13,FALSE)</f>
      </c>
    </row>
    <row x14ac:dyDescent="0.25" r="237" customHeight="1" ht="18.75">
      <c r="A237" s="71"/>
      <c r="B237" s="121"/>
      <c r="C237" s="3"/>
      <c r="D237" s="12"/>
      <c r="E237" s="3"/>
      <c r="F237" s="71"/>
      <c r="G237" s="12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134" t="s">
        <v>374</v>
      </c>
      <c r="S237" s="135">
        <f>IF(R237&gt;1,R237,"")</f>
      </c>
      <c r="T237" s="136">
        <f>VLOOKUP(S237,ModelOutputs,2,FALSE)</f>
      </c>
      <c r="U237" s="136">
        <f>VLOOKUP(S237,ModelOutputs,7,FALSE)</f>
      </c>
      <c r="V237" s="135">
        <f>VLOOKUP(S237,ModelOutputs,6,FALSE)</f>
      </c>
      <c r="W237" s="12">
        <f>VLOOKUP(S237,ModelOutputs,10,FALSE)*AWC</f>
      </c>
      <c r="X237" s="13">
        <f>VLOOKUP(S237,ModelOutputs,11,FALSE)+X236</f>
      </c>
      <c r="Y237" s="12">
        <f>VLOOKUP(S237,ModelOutputs,12,FALSE)</f>
      </c>
      <c r="Z237" s="13">
        <f>VLOOKUP(S237,ModelOutputs,13,FALSE)</f>
      </c>
    </row>
    <row x14ac:dyDescent="0.25" r="238" customHeight="1" ht="18.75">
      <c r="A238" s="71"/>
      <c r="B238" s="121"/>
      <c r="C238" s="3"/>
      <c r="D238" s="12"/>
      <c r="E238" s="3"/>
      <c r="F238" s="71"/>
      <c r="G238" s="12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134" t="s">
        <v>374</v>
      </c>
      <c r="S238" s="135">
        <f>IF(R238&gt;1,R238,"")</f>
      </c>
      <c r="T238" s="136">
        <f>VLOOKUP(S238,ModelOutputs,2,FALSE)</f>
      </c>
      <c r="U238" s="136">
        <f>VLOOKUP(S238,ModelOutputs,7,FALSE)</f>
      </c>
      <c r="V238" s="135">
        <f>VLOOKUP(S238,ModelOutputs,6,FALSE)</f>
      </c>
      <c r="W238" s="12">
        <f>VLOOKUP(S238,ModelOutputs,10,FALSE)*AWC</f>
      </c>
      <c r="X238" s="13">
        <f>VLOOKUP(S238,ModelOutputs,11,FALSE)+X237</f>
      </c>
      <c r="Y238" s="12">
        <f>VLOOKUP(S238,ModelOutputs,12,FALSE)</f>
      </c>
      <c r="Z238" s="13">
        <f>VLOOKUP(S238,ModelOutputs,13,FALSE)</f>
      </c>
    </row>
    <row x14ac:dyDescent="0.25" r="239" customHeight="1" ht="18.75">
      <c r="A239" s="71"/>
      <c r="B239" s="121"/>
      <c r="C239" s="3"/>
      <c r="D239" s="12"/>
      <c r="E239" s="3"/>
      <c r="F239" s="71"/>
      <c r="G239" s="12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134" t="s">
        <v>374</v>
      </c>
      <c r="S239" s="135">
        <f>IF(R239&gt;1,R239,"")</f>
      </c>
      <c r="T239" s="136">
        <f>VLOOKUP(S239,ModelOutputs,2,FALSE)</f>
      </c>
      <c r="U239" s="136">
        <f>VLOOKUP(S239,ModelOutputs,7,FALSE)</f>
      </c>
      <c r="V239" s="135">
        <f>VLOOKUP(S239,ModelOutputs,6,FALSE)</f>
      </c>
      <c r="W239" s="12">
        <f>VLOOKUP(S239,ModelOutputs,10,FALSE)*AWC</f>
      </c>
      <c r="X239" s="13">
        <f>VLOOKUP(S239,ModelOutputs,11,FALSE)+X238</f>
      </c>
      <c r="Y239" s="12">
        <f>VLOOKUP(S239,ModelOutputs,12,FALSE)</f>
      </c>
      <c r="Z239" s="13">
        <f>VLOOKUP(S239,ModelOutputs,13,FALSE)</f>
      </c>
    </row>
    <row x14ac:dyDescent="0.25" r="240" customHeight="1" ht="18.75">
      <c r="A240" s="71"/>
      <c r="B240" s="121"/>
      <c r="C240" s="3"/>
      <c r="D240" s="12"/>
      <c r="E240" s="3"/>
      <c r="F240" s="71"/>
      <c r="G240" s="12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134" t="s">
        <v>374</v>
      </c>
      <c r="S240" s="135">
        <f>IF(R240&gt;1,R240,"")</f>
      </c>
      <c r="T240" s="136">
        <f>VLOOKUP(S240,ModelOutputs,2,FALSE)</f>
      </c>
      <c r="U240" s="136">
        <f>VLOOKUP(S240,ModelOutputs,7,FALSE)</f>
      </c>
      <c r="V240" s="135">
        <f>VLOOKUP(S240,ModelOutputs,6,FALSE)</f>
      </c>
      <c r="W240" s="12">
        <f>VLOOKUP(S240,ModelOutputs,10,FALSE)*AWC</f>
      </c>
      <c r="X240" s="13">
        <f>VLOOKUP(S240,ModelOutputs,11,FALSE)+X239</f>
      </c>
      <c r="Y240" s="12">
        <f>VLOOKUP(S240,ModelOutputs,12,FALSE)</f>
      </c>
      <c r="Z240" s="13">
        <f>VLOOKUP(S240,ModelOutputs,13,FALSE)</f>
      </c>
    </row>
    <row x14ac:dyDescent="0.25" r="241" customHeight="1" ht="18.75">
      <c r="A241" s="71"/>
      <c r="B241" s="121"/>
      <c r="C241" s="3"/>
      <c r="D241" s="12"/>
      <c r="E241" s="3"/>
      <c r="F241" s="71"/>
      <c r="G241" s="12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134" t="s">
        <v>374</v>
      </c>
      <c r="S241" s="135">
        <f>IF(R241&gt;1,R241,"")</f>
      </c>
      <c r="T241" s="136">
        <f>VLOOKUP(S241,ModelOutputs,2,FALSE)</f>
      </c>
      <c r="U241" s="136">
        <f>VLOOKUP(S241,ModelOutputs,7,FALSE)</f>
      </c>
      <c r="V241" s="135">
        <f>VLOOKUP(S241,ModelOutputs,6,FALSE)</f>
      </c>
      <c r="W241" s="12">
        <f>VLOOKUP(S241,ModelOutputs,10,FALSE)*AWC</f>
      </c>
      <c r="X241" s="13">
        <f>VLOOKUP(S241,ModelOutputs,11,FALSE)+X240</f>
      </c>
      <c r="Y241" s="12">
        <f>VLOOKUP(S241,ModelOutputs,12,FALSE)</f>
      </c>
      <c r="Z241" s="13">
        <f>VLOOKUP(S241,ModelOutputs,13,FALSE)</f>
      </c>
    </row>
    <row x14ac:dyDescent="0.25" r="242" customHeight="1" ht="18.75">
      <c r="A242" s="71"/>
      <c r="B242" s="121"/>
      <c r="C242" s="3"/>
      <c r="D242" s="12"/>
      <c r="E242" s="3"/>
      <c r="F242" s="71"/>
      <c r="G242" s="12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134" t="s">
        <v>374</v>
      </c>
      <c r="S242" s="135">
        <f>IF(R242&gt;1,R242,"")</f>
      </c>
      <c r="T242" s="136">
        <f>VLOOKUP(S242,ModelOutputs,2,FALSE)</f>
      </c>
      <c r="U242" s="136">
        <f>VLOOKUP(S242,ModelOutputs,7,FALSE)</f>
      </c>
      <c r="V242" s="135">
        <f>VLOOKUP(S242,ModelOutputs,6,FALSE)</f>
      </c>
      <c r="W242" s="12">
        <f>VLOOKUP(S242,ModelOutputs,10,FALSE)*AWC</f>
      </c>
      <c r="X242" s="13">
        <f>VLOOKUP(S242,ModelOutputs,11,FALSE)+X241</f>
      </c>
      <c r="Y242" s="12">
        <f>VLOOKUP(S242,ModelOutputs,12,FALSE)</f>
      </c>
      <c r="Z242" s="13">
        <f>VLOOKUP(S242,ModelOutputs,13,FALSE)</f>
      </c>
    </row>
    <row x14ac:dyDescent="0.25" r="243" customHeight="1" ht="18.75">
      <c r="A243" s="71"/>
      <c r="B243" s="121"/>
      <c r="C243" s="3"/>
      <c r="D243" s="12"/>
      <c r="E243" s="3"/>
      <c r="F243" s="71"/>
      <c r="G243" s="12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134" t="s">
        <v>374</v>
      </c>
      <c r="S243" s="135">
        <f>IF(R243&gt;1,R243,"")</f>
      </c>
      <c r="T243" s="136">
        <f>VLOOKUP(S243,ModelOutputs,2,FALSE)</f>
      </c>
      <c r="U243" s="136">
        <f>VLOOKUP(S243,ModelOutputs,7,FALSE)</f>
      </c>
      <c r="V243" s="135">
        <f>VLOOKUP(S243,ModelOutputs,6,FALSE)</f>
      </c>
      <c r="W243" s="12">
        <f>VLOOKUP(S243,ModelOutputs,10,FALSE)*AWC</f>
      </c>
      <c r="X243" s="13">
        <f>VLOOKUP(S243,ModelOutputs,11,FALSE)+X242</f>
      </c>
      <c r="Y243" s="12">
        <f>VLOOKUP(S243,ModelOutputs,12,FALSE)</f>
      </c>
      <c r="Z243" s="13">
        <f>VLOOKUP(S243,ModelOutputs,13,FALSE)</f>
      </c>
    </row>
    <row x14ac:dyDescent="0.25" r="244" customHeight="1" ht="18.75">
      <c r="A244" s="71"/>
      <c r="B244" s="121"/>
      <c r="C244" s="3"/>
      <c r="D244" s="12"/>
      <c r="E244" s="3"/>
      <c r="F244" s="71"/>
      <c r="G244" s="12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134" t="s">
        <v>374</v>
      </c>
      <c r="S244" s="135">
        <f>IF(R244&gt;1,R244,"")</f>
      </c>
      <c r="T244" s="136">
        <f>VLOOKUP(S244,ModelOutputs,2,FALSE)</f>
      </c>
      <c r="U244" s="136">
        <f>VLOOKUP(S244,ModelOutputs,7,FALSE)</f>
      </c>
      <c r="V244" s="135">
        <f>VLOOKUP(S244,ModelOutputs,6,FALSE)</f>
      </c>
      <c r="W244" s="12">
        <f>VLOOKUP(S244,ModelOutputs,10,FALSE)*AWC</f>
      </c>
      <c r="X244" s="13">
        <f>VLOOKUP(S244,ModelOutputs,11,FALSE)+X243</f>
      </c>
      <c r="Y244" s="12">
        <f>VLOOKUP(S244,ModelOutputs,12,FALSE)</f>
      </c>
      <c r="Z244" s="13">
        <f>VLOOKUP(S244,ModelOutputs,13,FALSE)</f>
      </c>
    </row>
    <row x14ac:dyDescent="0.25" r="245" customHeight="1" ht="18.75">
      <c r="A245" s="71"/>
      <c r="B245" s="121"/>
      <c r="C245" s="3"/>
      <c r="D245" s="12"/>
      <c r="E245" s="3"/>
      <c r="F245" s="71"/>
      <c r="G245" s="12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134" t="s">
        <v>374</v>
      </c>
      <c r="S245" s="135">
        <f>IF(R245&gt;1,R245,"")</f>
      </c>
      <c r="T245" s="136">
        <f>VLOOKUP(S245,ModelOutputs,2,FALSE)</f>
      </c>
      <c r="U245" s="136">
        <f>VLOOKUP(S245,ModelOutputs,7,FALSE)</f>
      </c>
      <c r="V245" s="135">
        <f>VLOOKUP(S245,ModelOutputs,6,FALSE)</f>
      </c>
      <c r="W245" s="12">
        <f>VLOOKUP(S245,ModelOutputs,10,FALSE)*AWC</f>
      </c>
      <c r="X245" s="13">
        <f>VLOOKUP(S245,ModelOutputs,11,FALSE)+X244</f>
      </c>
      <c r="Y245" s="12">
        <f>VLOOKUP(S245,ModelOutputs,12,FALSE)</f>
      </c>
      <c r="Z245" s="13">
        <f>VLOOKUP(S245,ModelOutputs,13,FALSE)</f>
      </c>
    </row>
    <row x14ac:dyDescent="0.25" r="246" customHeight="1" ht="18.75">
      <c r="A246" s="71"/>
      <c r="B246" s="121"/>
      <c r="C246" s="3"/>
      <c r="D246" s="12"/>
      <c r="E246" s="3"/>
      <c r="F246" s="71"/>
      <c r="G246" s="12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134" t="s">
        <v>374</v>
      </c>
      <c r="S246" s="135">
        <f>IF(R246&gt;1,R246,"")</f>
      </c>
      <c r="T246" s="136">
        <f>VLOOKUP(S246,ModelOutputs,2,FALSE)</f>
      </c>
      <c r="U246" s="136">
        <f>VLOOKUP(S246,ModelOutputs,7,FALSE)</f>
      </c>
      <c r="V246" s="135">
        <f>VLOOKUP(S246,ModelOutputs,6,FALSE)</f>
      </c>
      <c r="W246" s="12">
        <f>VLOOKUP(S246,ModelOutputs,10,FALSE)*AWC</f>
      </c>
      <c r="X246" s="13">
        <f>VLOOKUP(S246,ModelOutputs,11,FALSE)+X245</f>
      </c>
      <c r="Y246" s="12">
        <f>VLOOKUP(S246,ModelOutputs,12,FALSE)</f>
      </c>
      <c r="Z246" s="13">
        <f>VLOOKUP(S246,ModelOutputs,13,FALSE)</f>
      </c>
    </row>
    <row x14ac:dyDescent="0.25" r="247" customHeight="1" ht="18.75">
      <c r="A247" s="71"/>
      <c r="B247" s="121"/>
      <c r="C247" s="3"/>
      <c r="D247" s="12"/>
      <c r="E247" s="3"/>
      <c r="F247" s="71"/>
      <c r="G247" s="12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134" t="s">
        <v>374</v>
      </c>
      <c r="S247" s="135">
        <f>IF(R247&gt;1,R247,"")</f>
      </c>
      <c r="T247" s="136">
        <f>VLOOKUP(S247,ModelOutputs,2,FALSE)</f>
      </c>
      <c r="U247" s="136">
        <f>VLOOKUP(S247,ModelOutputs,7,FALSE)</f>
      </c>
      <c r="V247" s="135">
        <f>VLOOKUP(S247,ModelOutputs,6,FALSE)</f>
      </c>
      <c r="W247" s="12">
        <f>VLOOKUP(S247,ModelOutputs,10,FALSE)*AWC</f>
      </c>
      <c r="X247" s="13">
        <f>VLOOKUP(S247,ModelOutputs,11,FALSE)+X246</f>
      </c>
      <c r="Y247" s="12">
        <f>VLOOKUP(S247,ModelOutputs,12,FALSE)</f>
      </c>
      <c r="Z247" s="13">
        <f>VLOOKUP(S247,ModelOutputs,13,FALSE)</f>
      </c>
    </row>
    <row x14ac:dyDescent="0.25" r="248" customHeight="1" ht="18.75">
      <c r="A248" s="71"/>
      <c r="B248" s="121"/>
      <c r="C248" s="3"/>
      <c r="D248" s="12"/>
      <c r="E248" s="3"/>
      <c r="F248" s="71"/>
      <c r="G248" s="12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134" t="s">
        <v>374</v>
      </c>
      <c r="S248" s="135">
        <f>IF(R248&gt;1,R248,"")</f>
      </c>
      <c r="T248" s="136">
        <f>VLOOKUP(S248,ModelOutputs,2,FALSE)</f>
      </c>
      <c r="U248" s="136">
        <f>VLOOKUP(S248,ModelOutputs,7,FALSE)</f>
      </c>
      <c r="V248" s="135">
        <f>VLOOKUP(S248,ModelOutputs,6,FALSE)</f>
      </c>
      <c r="W248" s="12">
        <f>VLOOKUP(S248,ModelOutputs,10,FALSE)*AWC</f>
      </c>
      <c r="X248" s="13">
        <f>VLOOKUP(S248,ModelOutputs,11,FALSE)+X247</f>
      </c>
      <c r="Y248" s="12">
        <f>VLOOKUP(S248,ModelOutputs,12,FALSE)</f>
      </c>
      <c r="Z248" s="13">
        <f>VLOOKUP(S248,ModelOutputs,13,FALSE)</f>
      </c>
    </row>
    <row x14ac:dyDescent="0.25" r="249" customHeight="1" ht="18.75">
      <c r="A249" s="71"/>
      <c r="B249" s="121"/>
      <c r="C249" s="3"/>
      <c r="D249" s="12"/>
      <c r="E249" s="3"/>
      <c r="F249" s="71"/>
      <c r="G249" s="12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134" t="s">
        <v>374</v>
      </c>
      <c r="S249" s="135">
        <f>IF(R249&gt;1,R249,"")</f>
      </c>
      <c r="T249" s="136">
        <f>VLOOKUP(S249,ModelOutputs,2,FALSE)</f>
      </c>
      <c r="U249" s="136">
        <f>VLOOKUP(S249,ModelOutputs,7,FALSE)</f>
      </c>
      <c r="V249" s="135">
        <f>VLOOKUP(S249,ModelOutputs,6,FALSE)</f>
      </c>
      <c r="W249" s="12">
        <f>VLOOKUP(S249,ModelOutputs,10,FALSE)*AWC</f>
      </c>
      <c r="X249" s="13">
        <f>VLOOKUP(S249,ModelOutputs,11,FALSE)+X248</f>
      </c>
      <c r="Y249" s="12">
        <f>VLOOKUP(S249,ModelOutputs,12,FALSE)</f>
      </c>
      <c r="Z249" s="13">
        <f>VLOOKUP(S249,ModelOutputs,13,FALSE)</f>
      </c>
    </row>
    <row x14ac:dyDescent="0.25" r="250" customHeight="1" ht="18.75">
      <c r="A250" s="71"/>
      <c r="B250" s="121"/>
      <c r="C250" s="3"/>
      <c r="D250" s="12"/>
      <c r="E250" s="3"/>
      <c r="F250" s="71"/>
      <c r="G250" s="12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134" t="s">
        <v>374</v>
      </c>
      <c r="S250" s="135">
        <f>IF(R250&gt;1,R250,"")</f>
      </c>
      <c r="T250" s="136">
        <f>VLOOKUP(S250,ModelOutputs,2,FALSE)</f>
      </c>
      <c r="U250" s="136">
        <f>VLOOKUP(S250,ModelOutputs,7,FALSE)</f>
      </c>
      <c r="V250" s="135">
        <f>VLOOKUP(S250,ModelOutputs,6,FALSE)</f>
      </c>
      <c r="W250" s="12">
        <f>VLOOKUP(S250,ModelOutputs,10,FALSE)*AWC</f>
      </c>
      <c r="X250" s="13">
        <f>VLOOKUP(S250,ModelOutputs,11,FALSE)+X249</f>
      </c>
      <c r="Y250" s="12">
        <f>VLOOKUP(S250,ModelOutputs,12,FALSE)</f>
      </c>
      <c r="Z250" s="13">
        <f>VLOOKUP(S250,ModelOutputs,13,FALSE)</f>
      </c>
    </row>
    <row x14ac:dyDescent="0.25" r="251" customHeight="1" ht="18.75">
      <c r="A251" s="71"/>
      <c r="B251" s="121"/>
      <c r="C251" s="3"/>
      <c r="D251" s="12"/>
      <c r="E251" s="3"/>
      <c r="F251" s="71"/>
      <c r="G251" s="12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134" t="s">
        <v>374</v>
      </c>
      <c r="S251" s="135">
        <f>IF(R251&gt;1,R251,"")</f>
      </c>
      <c r="T251" s="136">
        <f>VLOOKUP(S251,ModelOutputs,2,FALSE)</f>
      </c>
      <c r="U251" s="136">
        <f>VLOOKUP(S251,ModelOutputs,7,FALSE)</f>
      </c>
      <c r="V251" s="135">
        <f>VLOOKUP(S251,ModelOutputs,6,FALSE)</f>
      </c>
      <c r="W251" s="12">
        <f>VLOOKUP(S251,ModelOutputs,10,FALSE)*AWC</f>
      </c>
      <c r="X251" s="13">
        <f>VLOOKUP(S251,ModelOutputs,11,FALSE)+X250</f>
      </c>
      <c r="Y251" s="12">
        <f>VLOOKUP(S251,ModelOutputs,12,FALSE)</f>
      </c>
      <c r="Z251" s="13">
        <f>VLOOKUP(S251,ModelOutputs,13,FALSE)</f>
      </c>
    </row>
    <row x14ac:dyDescent="0.25" r="252" customHeight="1" ht="18.75">
      <c r="A252" s="71"/>
      <c r="B252" s="121"/>
      <c r="C252" s="3"/>
      <c r="D252" s="12"/>
      <c r="E252" s="3"/>
      <c r="F252" s="71"/>
      <c r="G252" s="12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134" t="s">
        <v>374</v>
      </c>
      <c r="S252" s="135">
        <f>IF(R252&gt;1,R252,"")</f>
      </c>
      <c r="T252" s="136">
        <f>VLOOKUP(S252,ModelOutputs,2,FALSE)</f>
      </c>
      <c r="U252" s="136">
        <f>VLOOKUP(S252,ModelOutputs,7,FALSE)</f>
      </c>
      <c r="V252" s="135">
        <f>VLOOKUP(S252,ModelOutputs,6,FALSE)</f>
      </c>
      <c r="W252" s="12">
        <f>VLOOKUP(S252,ModelOutputs,10,FALSE)*AWC</f>
      </c>
      <c r="X252" s="13">
        <f>VLOOKUP(S252,ModelOutputs,11,FALSE)+X251</f>
      </c>
      <c r="Y252" s="12">
        <f>VLOOKUP(S252,ModelOutputs,12,FALSE)</f>
      </c>
      <c r="Z252" s="13">
        <f>VLOOKUP(S252,ModelOutputs,13,FALSE)</f>
      </c>
    </row>
    <row x14ac:dyDescent="0.25" r="253" customHeight="1" ht="18.75">
      <c r="A253" s="71"/>
      <c r="B253" s="121"/>
      <c r="C253" s="3"/>
      <c r="D253" s="12"/>
      <c r="E253" s="3"/>
      <c r="F253" s="71"/>
      <c r="G253" s="12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134" t="s">
        <v>374</v>
      </c>
      <c r="S253" s="135">
        <f>IF(R253&gt;1,R253,"")</f>
      </c>
      <c r="T253" s="136">
        <f>VLOOKUP(S253,ModelOutputs,2,FALSE)</f>
      </c>
      <c r="U253" s="136">
        <f>VLOOKUP(S253,ModelOutputs,7,FALSE)</f>
      </c>
      <c r="V253" s="135">
        <f>VLOOKUP(S253,ModelOutputs,6,FALSE)</f>
      </c>
      <c r="W253" s="12">
        <f>VLOOKUP(S253,ModelOutputs,10,FALSE)*AWC</f>
      </c>
      <c r="X253" s="13">
        <f>VLOOKUP(S253,ModelOutputs,11,FALSE)+X252</f>
      </c>
      <c r="Y253" s="12">
        <f>VLOOKUP(S253,ModelOutputs,12,FALSE)</f>
      </c>
      <c r="Z253" s="13">
        <f>VLOOKUP(S253,ModelOutputs,13,FALSE)</f>
      </c>
    </row>
    <row x14ac:dyDescent="0.25" r="254" customHeight="1" ht="18.75">
      <c r="A254" s="71"/>
      <c r="B254" s="121"/>
      <c r="C254" s="3"/>
      <c r="D254" s="12"/>
      <c r="E254" s="3"/>
      <c r="F254" s="71"/>
      <c r="G254" s="12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134" t="s">
        <v>374</v>
      </c>
      <c r="S254" s="135">
        <f>IF(R254&gt;1,R254,"")</f>
      </c>
      <c r="T254" s="136">
        <f>VLOOKUP(S254,ModelOutputs,2,FALSE)</f>
      </c>
      <c r="U254" s="136">
        <f>VLOOKUP(S254,ModelOutputs,7,FALSE)</f>
      </c>
      <c r="V254" s="135">
        <f>VLOOKUP(S254,ModelOutputs,6,FALSE)</f>
      </c>
      <c r="W254" s="12">
        <f>VLOOKUP(S254,ModelOutputs,10,FALSE)*AWC</f>
      </c>
      <c r="X254" s="13">
        <f>VLOOKUP(S254,ModelOutputs,11,FALSE)+X253</f>
      </c>
      <c r="Y254" s="12">
        <f>VLOOKUP(S254,ModelOutputs,12,FALSE)</f>
      </c>
      <c r="Z254" s="13">
        <f>VLOOKUP(S254,ModelOutputs,13,FALSE)</f>
      </c>
    </row>
    <row x14ac:dyDescent="0.25" r="255" customHeight="1" ht="18.75">
      <c r="A255" s="71"/>
      <c r="B255" s="121"/>
      <c r="C255" s="3"/>
      <c r="D255" s="12"/>
      <c r="E255" s="3"/>
      <c r="F255" s="71"/>
      <c r="G255" s="12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134" t="s">
        <v>374</v>
      </c>
      <c r="S255" s="135">
        <f>IF(R255&gt;1,R255,"")</f>
      </c>
      <c r="T255" s="136">
        <f>VLOOKUP(S255,ModelOutputs,2,FALSE)</f>
      </c>
      <c r="U255" s="136">
        <f>VLOOKUP(S255,ModelOutputs,7,FALSE)</f>
      </c>
      <c r="V255" s="135">
        <f>VLOOKUP(S255,ModelOutputs,6,FALSE)</f>
      </c>
      <c r="W255" s="12">
        <f>VLOOKUP(S255,ModelOutputs,10,FALSE)*AWC</f>
      </c>
      <c r="X255" s="13">
        <f>VLOOKUP(S255,ModelOutputs,11,FALSE)+X254</f>
      </c>
      <c r="Y255" s="12">
        <f>VLOOKUP(S255,ModelOutputs,12,FALSE)</f>
      </c>
      <c r="Z255" s="13">
        <f>VLOOKUP(S255,ModelOutputs,13,FALSE)</f>
      </c>
    </row>
    <row x14ac:dyDescent="0.25" r="256" customHeight="1" ht="18.75">
      <c r="A256" s="71"/>
      <c r="B256" s="121"/>
      <c r="C256" s="3"/>
      <c r="D256" s="12"/>
      <c r="E256" s="3"/>
      <c r="F256" s="71"/>
      <c r="G256" s="12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134" t="s">
        <v>374</v>
      </c>
      <c r="S256" s="135">
        <f>IF(R256&gt;1,R256,"")</f>
      </c>
      <c r="T256" s="136">
        <f>VLOOKUP(S256,ModelOutputs,2,FALSE)</f>
      </c>
      <c r="U256" s="136">
        <f>VLOOKUP(S256,ModelOutputs,7,FALSE)</f>
      </c>
      <c r="V256" s="135">
        <f>VLOOKUP(S256,ModelOutputs,6,FALSE)</f>
      </c>
      <c r="W256" s="12">
        <f>VLOOKUP(S256,ModelOutputs,10,FALSE)*AWC</f>
      </c>
      <c r="X256" s="13">
        <f>VLOOKUP(S256,ModelOutputs,11,FALSE)+X255</f>
      </c>
      <c r="Y256" s="12">
        <f>VLOOKUP(S256,ModelOutputs,12,FALSE)</f>
      </c>
      <c r="Z256" s="13">
        <f>VLOOKUP(S256,ModelOutputs,13,FALSE)</f>
      </c>
    </row>
    <row x14ac:dyDescent="0.25" r="257" customHeight="1" ht="18.75">
      <c r="A257" s="71"/>
      <c r="B257" s="121"/>
      <c r="C257" s="3"/>
      <c r="D257" s="12"/>
      <c r="E257" s="3"/>
      <c r="F257" s="71"/>
      <c r="G257" s="12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134" t="s">
        <v>374</v>
      </c>
      <c r="S257" s="135">
        <f>IF(R257&gt;1,R257,"")</f>
      </c>
      <c r="T257" s="136">
        <f>VLOOKUP(S257,ModelOutputs,2,FALSE)</f>
      </c>
      <c r="U257" s="136">
        <f>VLOOKUP(S257,ModelOutputs,7,FALSE)</f>
      </c>
      <c r="V257" s="135">
        <f>VLOOKUP(S257,ModelOutputs,6,FALSE)</f>
      </c>
      <c r="W257" s="12">
        <f>VLOOKUP(S257,ModelOutputs,10,FALSE)*AWC</f>
      </c>
      <c r="X257" s="13">
        <f>VLOOKUP(S257,ModelOutputs,11,FALSE)+X256</f>
      </c>
      <c r="Y257" s="12">
        <f>VLOOKUP(S257,ModelOutputs,12,FALSE)</f>
      </c>
      <c r="Z257" s="13">
        <f>VLOOKUP(S257,ModelOutputs,13,FALSE)</f>
      </c>
    </row>
    <row x14ac:dyDescent="0.25" r="258" customHeight="1" ht="18.75">
      <c r="A258" s="71"/>
      <c r="B258" s="121"/>
      <c r="C258" s="3"/>
      <c r="D258" s="12"/>
      <c r="E258" s="3"/>
      <c r="F258" s="71"/>
      <c r="G258" s="12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134" t="s">
        <v>374</v>
      </c>
      <c r="S258" s="135">
        <f>IF(R258&gt;1,R258,"")</f>
      </c>
      <c r="T258" s="136">
        <f>VLOOKUP(S258,ModelOutputs,2,FALSE)</f>
      </c>
      <c r="U258" s="136">
        <f>VLOOKUP(S258,ModelOutputs,7,FALSE)</f>
      </c>
      <c r="V258" s="135">
        <f>VLOOKUP(S258,ModelOutputs,6,FALSE)</f>
      </c>
      <c r="W258" s="12">
        <f>VLOOKUP(S258,ModelOutputs,10,FALSE)*AWC</f>
      </c>
      <c r="X258" s="13">
        <f>VLOOKUP(S258,ModelOutputs,11,FALSE)+X257</f>
      </c>
      <c r="Y258" s="12">
        <f>VLOOKUP(S258,ModelOutputs,12,FALSE)</f>
      </c>
      <c r="Z258" s="13">
        <f>VLOOKUP(S258,ModelOutputs,13,FALSE)</f>
      </c>
    </row>
    <row x14ac:dyDescent="0.25" r="259" customHeight="1" ht="18.75">
      <c r="A259" s="71"/>
      <c r="B259" s="121"/>
      <c r="C259" s="3"/>
      <c r="D259" s="12"/>
      <c r="E259" s="3"/>
      <c r="F259" s="71"/>
      <c r="G259" s="12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134" t="s">
        <v>374</v>
      </c>
      <c r="S259" s="135">
        <f>IF(R259&gt;1,R259,"")</f>
      </c>
      <c r="T259" s="136">
        <f>VLOOKUP(S259,ModelOutputs,2,FALSE)</f>
      </c>
      <c r="U259" s="136">
        <f>VLOOKUP(S259,ModelOutputs,7,FALSE)</f>
      </c>
      <c r="V259" s="135">
        <f>VLOOKUP(S259,ModelOutputs,6,FALSE)</f>
      </c>
      <c r="W259" s="12">
        <f>VLOOKUP(S259,ModelOutputs,10,FALSE)*AWC</f>
      </c>
      <c r="X259" s="13">
        <f>VLOOKUP(S259,ModelOutputs,11,FALSE)+X258</f>
      </c>
      <c r="Y259" s="12">
        <f>VLOOKUP(S259,ModelOutputs,12,FALSE)</f>
      </c>
      <c r="Z259" s="13">
        <f>VLOOKUP(S259,ModelOutputs,13,FALSE)</f>
      </c>
    </row>
    <row x14ac:dyDescent="0.25" r="260" customHeight="1" ht="18.75">
      <c r="A260" s="71"/>
      <c r="B260" s="121"/>
      <c r="C260" s="3"/>
      <c r="D260" s="12"/>
      <c r="E260" s="3"/>
      <c r="F260" s="71"/>
      <c r="G260" s="12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134" t="s">
        <v>374</v>
      </c>
      <c r="S260" s="135">
        <f>IF(R260&gt;1,R260,"")</f>
      </c>
      <c r="T260" s="136">
        <f>VLOOKUP(S260,ModelOutputs,2,FALSE)</f>
      </c>
      <c r="U260" s="136">
        <f>VLOOKUP(S260,ModelOutputs,7,FALSE)</f>
      </c>
      <c r="V260" s="135">
        <f>VLOOKUP(S260,ModelOutputs,6,FALSE)</f>
      </c>
      <c r="W260" s="12">
        <f>VLOOKUP(S260,ModelOutputs,10,FALSE)*AWC</f>
      </c>
      <c r="X260" s="13">
        <f>VLOOKUP(S260,ModelOutputs,11,FALSE)+X259</f>
      </c>
      <c r="Y260" s="12">
        <f>VLOOKUP(S260,ModelOutputs,12,FALSE)</f>
      </c>
      <c r="Z260" s="13">
        <f>VLOOKUP(S260,ModelOutputs,13,FALSE)</f>
      </c>
    </row>
    <row x14ac:dyDescent="0.25" r="261" customHeight="1" ht="18.75">
      <c r="A261" s="71"/>
      <c r="B261" s="121"/>
      <c r="C261" s="3"/>
      <c r="D261" s="12"/>
      <c r="E261" s="3"/>
      <c r="F261" s="71"/>
      <c r="G261" s="12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134" t="s">
        <v>374</v>
      </c>
      <c r="S261" s="135">
        <f>IF(R261&gt;1,R261,"")</f>
      </c>
      <c r="T261" s="136">
        <f>VLOOKUP(S261,ModelOutputs,2,FALSE)</f>
      </c>
      <c r="U261" s="136">
        <f>VLOOKUP(S261,ModelOutputs,7,FALSE)</f>
      </c>
      <c r="V261" s="135">
        <f>VLOOKUP(S261,ModelOutputs,6,FALSE)</f>
      </c>
      <c r="W261" s="12">
        <f>VLOOKUP(S261,ModelOutputs,10,FALSE)*AWC</f>
      </c>
      <c r="X261" s="13">
        <f>VLOOKUP(S261,ModelOutputs,11,FALSE)+X260</f>
      </c>
      <c r="Y261" s="12">
        <f>VLOOKUP(S261,ModelOutputs,12,FALSE)</f>
      </c>
      <c r="Z261" s="13">
        <f>VLOOKUP(S261,ModelOutputs,13,FALSE)</f>
      </c>
    </row>
    <row x14ac:dyDescent="0.25" r="262" customHeight="1" ht="18.75">
      <c r="A262" s="71"/>
      <c r="B262" s="121"/>
      <c r="C262" s="3"/>
      <c r="D262" s="12"/>
      <c r="E262" s="3"/>
      <c r="F262" s="71"/>
      <c r="G262" s="12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134" t="s">
        <v>374</v>
      </c>
      <c r="S262" s="135">
        <f>IF(R262&gt;1,R262,"")</f>
      </c>
      <c r="T262" s="136">
        <f>VLOOKUP(S262,ModelOutputs,2,FALSE)</f>
      </c>
      <c r="U262" s="136">
        <f>VLOOKUP(S262,ModelOutputs,7,FALSE)</f>
      </c>
      <c r="V262" s="135">
        <f>VLOOKUP(S262,ModelOutputs,6,FALSE)</f>
      </c>
      <c r="W262" s="12">
        <f>VLOOKUP(S262,ModelOutputs,10,FALSE)*AWC</f>
      </c>
      <c r="X262" s="13">
        <f>VLOOKUP(S262,ModelOutputs,11,FALSE)+X261</f>
      </c>
      <c r="Y262" s="12">
        <f>VLOOKUP(S262,ModelOutputs,12,FALSE)</f>
      </c>
      <c r="Z262" s="13">
        <f>VLOOKUP(S262,ModelOutputs,13,FALSE)</f>
      </c>
    </row>
    <row x14ac:dyDescent="0.25" r="263" customHeight="1" ht="18.75">
      <c r="A263" s="71"/>
      <c r="B263" s="121"/>
      <c r="C263" s="3"/>
      <c r="D263" s="12"/>
      <c r="E263" s="3"/>
      <c r="F263" s="71"/>
      <c r="G263" s="12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134" t="s">
        <v>374</v>
      </c>
      <c r="S263" s="135">
        <f>IF(R263&gt;1,R263,"")</f>
      </c>
      <c r="T263" s="136">
        <f>VLOOKUP(S263,ModelOutputs,2,FALSE)</f>
      </c>
      <c r="U263" s="136">
        <f>VLOOKUP(S263,ModelOutputs,7,FALSE)</f>
      </c>
      <c r="V263" s="135">
        <f>VLOOKUP(S263,ModelOutputs,6,FALSE)</f>
      </c>
      <c r="W263" s="12">
        <f>VLOOKUP(S263,ModelOutputs,10,FALSE)*AWC</f>
      </c>
      <c r="X263" s="13">
        <f>VLOOKUP(S263,ModelOutputs,11,FALSE)+X262</f>
      </c>
      <c r="Y263" s="12">
        <f>VLOOKUP(S263,ModelOutputs,12,FALSE)</f>
      </c>
      <c r="Z263" s="13">
        <f>VLOOKUP(S263,ModelOutputs,13,FALSE)</f>
      </c>
    </row>
    <row x14ac:dyDescent="0.25" r="264" customHeight="1" ht="18.75">
      <c r="A264" s="71"/>
      <c r="B264" s="121"/>
      <c r="C264" s="3"/>
      <c r="D264" s="12"/>
      <c r="E264" s="3"/>
      <c r="F264" s="71"/>
      <c r="G264" s="12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134" t="s">
        <v>374</v>
      </c>
      <c r="S264" s="135">
        <f>IF(R264&gt;1,R264,"")</f>
      </c>
      <c r="T264" s="136">
        <f>VLOOKUP(S264,ModelOutputs,2,FALSE)</f>
      </c>
      <c r="U264" s="136">
        <f>VLOOKUP(S264,ModelOutputs,7,FALSE)</f>
      </c>
      <c r="V264" s="135">
        <f>VLOOKUP(S264,ModelOutputs,6,FALSE)</f>
      </c>
      <c r="W264" s="12">
        <f>VLOOKUP(S264,ModelOutputs,10,FALSE)*AWC</f>
      </c>
      <c r="X264" s="13">
        <f>VLOOKUP(S264,ModelOutputs,11,FALSE)+X263</f>
      </c>
      <c r="Y264" s="12">
        <f>VLOOKUP(S264,ModelOutputs,12,FALSE)</f>
      </c>
      <c r="Z264" s="13">
        <f>VLOOKUP(S264,ModelOutputs,13,FALSE)</f>
      </c>
    </row>
    <row x14ac:dyDescent="0.25" r="265" customHeight="1" ht="18.75">
      <c r="A265" s="71"/>
      <c r="B265" s="121"/>
      <c r="C265" s="3"/>
      <c r="D265" s="12"/>
      <c r="E265" s="3"/>
      <c r="F265" s="71"/>
      <c r="G265" s="12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134" t="s">
        <v>374</v>
      </c>
      <c r="S265" s="135">
        <f>IF(R265&gt;1,R265,"")</f>
      </c>
      <c r="T265" s="136">
        <f>VLOOKUP(S265,ModelOutputs,2,FALSE)</f>
      </c>
      <c r="U265" s="136">
        <f>VLOOKUP(S265,ModelOutputs,7,FALSE)</f>
      </c>
      <c r="V265" s="135">
        <f>VLOOKUP(S265,ModelOutputs,6,FALSE)</f>
      </c>
      <c r="W265" s="12">
        <f>VLOOKUP(S265,ModelOutputs,10,FALSE)*AWC</f>
      </c>
      <c r="X265" s="13">
        <f>VLOOKUP(S265,ModelOutputs,11,FALSE)+X264</f>
      </c>
      <c r="Y265" s="12">
        <f>VLOOKUP(S265,ModelOutputs,12,FALSE)</f>
      </c>
      <c r="Z265" s="13">
        <f>VLOOKUP(S265,ModelOutputs,13,FALSE)</f>
      </c>
    </row>
    <row x14ac:dyDescent="0.25" r="266" customHeight="1" ht="18.75">
      <c r="A266" s="71"/>
      <c r="B266" s="121"/>
      <c r="C266" s="3"/>
      <c r="D266" s="12"/>
      <c r="E266" s="3"/>
      <c r="F266" s="71"/>
      <c r="G266" s="12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134" t="s">
        <v>374</v>
      </c>
      <c r="S266" s="135">
        <f>IF(R266&gt;1,R266,"")</f>
      </c>
      <c r="T266" s="136">
        <f>VLOOKUP(S266,ModelOutputs,2,FALSE)</f>
      </c>
      <c r="U266" s="136">
        <f>VLOOKUP(S266,ModelOutputs,7,FALSE)</f>
      </c>
      <c r="V266" s="135">
        <f>VLOOKUP(S266,ModelOutputs,6,FALSE)</f>
      </c>
      <c r="W266" s="12">
        <f>VLOOKUP(S266,ModelOutputs,10,FALSE)*AWC</f>
      </c>
      <c r="X266" s="13">
        <f>VLOOKUP(S266,ModelOutputs,11,FALSE)+X265</f>
      </c>
      <c r="Y266" s="12">
        <f>VLOOKUP(S266,ModelOutputs,12,FALSE)</f>
      </c>
      <c r="Z266" s="13">
        <f>VLOOKUP(S266,ModelOutputs,13,FALSE)</f>
      </c>
    </row>
    <row x14ac:dyDescent="0.25" r="267" customHeight="1" ht="18.75">
      <c r="A267" s="71"/>
      <c r="B267" s="121"/>
      <c r="C267" s="3"/>
      <c r="D267" s="12"/>
      <c r="E267" s="3"/>
      <c r="F267" s="71"/>
      <c r="G267" s="12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134" t="s">
        <v>374</v>
      </c>
      <c r="S267" s="135">
        <f>IF(R267&gt;1,R267,"")</f>
      </c>
      <c r="T267" s="136">
        <f>VLOOKUP(S267,ModelOutputs,2,FALSE)</f>
      </c>
      <c r="U267" s="136">
        <f>VLOOKUP(S267,ModelOutputs,7,FALSE)</f>
      </c>
      <c r="V267" s="135">
        <f>VLOOKUP(S267,ModelOutputs,6,FALSE)</f>
      </c>
      <c r="W267" s="12">
        <f>VLOOKUP(S267,ModelOutputs,10,FALSE)*AWC</f>
      </c>
      <c r="X267" s="13">
        <f>VLOOKUP(S267,ModelOutputs,11,FALSE)+X266</f>
      </c>
      <c r="Y267" s="12">
        <f>VLOOKUP(S267,ModelOutputs,12,FALSE)</f>
      </c>
      <c r="Z267" s="13">
        <f>VLOOKUP(S267,ModelOutputs,13,FALSE)</f>
      </c>
    </row>
    <row x14ac:dyDescent="0.25" r="268" customHeight="1" ht="18.75">
      <c r="A268" s="71"/>
      <c r="B268" s="121"/>
      <c r="C268" s="3"/>
      <c r="D268" s="12"/>
      <c r="E268" s="3"/>
      <c r="F268" s="71"/>
      <c r="G268" s="12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134" t="s">
        <v>374</v>
      </c>
      <c r="S268" s="135">
        <f>IF(R268&gt;1,R268,"")</f>
      </c>
      <c r="T268" s="136">
        <f>VLOOKUP(S268,ModelOutputs,2,FALSE)</f>
      </c>
      <c r="U268" s="136">
        <f>VLOOKUP(S268,ModelOutputs,7,FALSE)</f>
      </c>
      <c r="V268" s="135">
        <f>VLOOKUP(S268,ModelOutputs,6,FALSE)</f>
      </c>
      <c r="W268" s="12">
        <f>VLOOKUP(S268,ModelOutputs,10,FALSE)*AWC</f>
      </c>
      <c r="X268" s="13">
        <f>VLOOKUP(S268,ModelOutputs,11,FALSE)+X267</f>
      </c>
      <c r="Y268" s="12">
        <f>VLOOKUP(S268,ModelOutputs,12,FALSE)</f>
      </c>
      <c r="Z268" s="13">
        <f>VLOOKUP(S268,ModelOutputs,13,FALSE)</f>
      </c>
    </row>
    <row x14ac:dyDescent="0.25" r="269" customHeight="1" ht="18.75">
      <c r="A269" s="71"/>
      <c r="B269" s="121"/>
      <c r="C269" s="3"/>
      <c r="D269" s="12"/>
      <c r="E269" s="3"/>
      <c r="F269" s="71"/>
      <c r="G269" s="12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134" t="s">
        <v>374</v>
      </c>
      <c r="S269" s="135">
        <f>IF(R269&gt;1,R269,"")</f>
      </c>
      <c r="T269" s="136">
        <f>VLOOKUP(S269,ModelOutputs,2,FALSE)</f>
      </c>
      <c r="U269" s="136">
        <f>VLOOKUP(S269,ModelOutputs,7,FALSE)</f>
      </c>
      <c r="V269" s="135">
        <f>VLOOKUP(S269,ModelOutputs,6,FALSE)</f>
      </c>
      <c r="W269" s="12">
        <f>VLOOKUP(S269,ModelOutputs,10,FALSE)*AWC</f>
      </c>
      <c r="X269" s="13">
        <f>VLOOKUP(S269,ModelOutputs,11,FALSE)+X268</f>
      </c>
      <c r="Y269" s="12">
        <f>VLOOKUP(S269,ModelOutputs,12,FALSE)</f>
      </c>
      <c r="Z269" s="13">
        <f>VLOOKUP(S269,ModelOutputs,13,FALSE)</f>
      </c>
    </row>
    <row x14ac:dyDescent="0.25" r="270" customHeight="1" ht="18.75">
      <c r="A270" s="71"/>
      <c r="B270" s="121"/>
      <c r="C270" s="3"/>
      <c r="D270" s="12"/>
      <c r="E270" s="3"/>
      <c r="F270" s="71"/>
      <c r="G270" s="12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134" t="s">
        <v>374</v>
      </c>
      <c r="S270" s="135">
        <f>IF(R270&gt;1,R270,"")</f>
      </c>
      <c r="T270" s="136">
        <f>VLOOKUP(S270,ModelOutputs,2,FALSE)</f>
      </c>
      <c r="U270" s="136">
        <f>VLOOKUP(S270,ModelOutputs,7,FALSE)</f>
      </c>
      <c r="V270" s="135">
        <f>VLOOKUP(S270,ModelOutputs,6,FALSE)</f>
      </c>
      <c r="W270" s="12">
        <f>VLOOKUP(S270,ModelOutputs,10,FALSE)*AWC</f>
      </c>
      <c r="X270" s="13">
        <f>VLOOKUP(S270,ModelOutputs,11,FALSE)+X269</f>
      </c>
      <c r="Y270" s="12">
        <f>VLOOKUP(S270,ModelOutputs,12,FALSE)</f>
      </c>
      <c r="Z270" s="13">
        <f>VLOOKUP(S270,ModelOutputs,13,FALSE)</f>
      </c>
    </row>
    <row x14ac:dyDescent="0.25" r="271" customHeight="1" ht="18.75">
      <c r="A271" s="71"/>
      <c r="B271" s="121"/>
      <c r="C271" s="3"/>
      <c r="D271" s="12"/>
      <c r="E271" s="3"/>
      <c r="F271" s="71"/>
      <c r="G271" s="12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134" t="s">
        <v>374</v>
      </c>
      <c r="S271" s="135">
        <f>IF(R271&gt;1,R271,"")</f>
      </c>
      <c r="T271" s="136">
        <f>VLOOKUP(S271,ModelOutputs,2,FALSE)</f>
      </c>
      <c r="U271" s="136">
        <f>VLOOKUP(S271,ModelOutputs,7,FALSE)</f>
      </c>
      <c r="V271" s="135">
        <f>VLOOKUP(S271,ModelOutputs,6,FALSE)</f>
      </c>
      <c r="W271" s="12">
        <f>VLOOKUP(S271,ModelOutputs,10,FALSE)*AWC</f>
      </c>
      <c r="X271" s="13">
        <f>VLOOKUP(S271,ModelOutputs,11,FALSE)+X270</f>
      </c>
      <c r="Y271" s="12">
        <f>VLOOKUP(S271,ModelOutputs,12,FALSE)</f>
      </c>
      <c r="Z271" s="13">
        <f>VLOOKUP(S271,ModelOutputs,13,FALSE)</f>
      </c>
    </row>
    <row x14ac:dyDescent="0.25" r="272" customHeight="1" ht="18.75">
      <c r="A272" s="71"/>
      <c r="B272" s="121"/>
      <c r="C272" s="3"/>
      <c r="D272" s="12"/>
      <c r="E272" s="3"/>
      <c r="F272" s="71"/>
      <c r="G272" s="12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134" t="s">
        <v>374</v>
      </c>
      <c r="S272" s="135">
        <f>IF(R272&gt;1,R272,"")</f>
      </c>
      <c r="T272" s="136">
        <f>VLOOKUP(S272,ModelOutputs,2,FALSE)</f>
      </c>
      <c r="U272" s="136">
        <f>VLOOKUP(S272,ModelOutputs,7,FALSE)</f>
      </c>
      <c r="V272" s="135">
        <f>VLOOKUP(S272,ModelOutputs,6,FALSE)</f>
      </c>
      <c r="W272" s="12">
        <f>VLOOKUP(S272,ModelOutputs,10,FALSE)*AWC</f>
      </c>
      <c r="X272" s="13">
        <f>VLOOKUP(S272,ModelOutputs,11,FALSE)+X271</f>
      </c>
      <c r="Y272" s="12">
        <f>VLOOKUP(S272,ModelOutputs,12,FALSE)</f>
      </c>
      <c r="Z272" s="13">
        <f>VLOOKUP(S272,ModelOutputs,13,FALSE)</f>
      </c>
    </row>
    <row x14ac:dyDescent="0.25" r="273" customHeight="1" ht="18.75">
      <c r="A273" s="71"/>
      <c r="B273" s="121"/>
      <c r="C273" s="3"/>
      <c r="D273" s="12"/>
      <c r="E273" s="3"/>
      <c r="F273" s="71"/>
      <c r="G273" s="12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134" t="s">
        <v>374</v>
      </c>
      <c r="S273" s="135">
        <f>IF(R273&gt;1,R273,"")</f>
      </c>
      <c r="T273" s="136">
        <f>VLOOKUP(S273,ModelOutputs,2,FALSE)</f>
      </c>
      <c r="U273" s="136">
        <f>VLOOKUP(S273,ModelOutputs,7,FALSE)</f>
      </c>
      <c r="V273" s="135">
        <f>VLOOKUP(S273,ModelOutputs,6,FALSE)</f>
      </c>
      <c r="W273" s="12">
        <f>VLOOKUP(S273,ModelOutputs,10,FALSE)*AWC</f>
      </c>
      <c r="X273" s="13">
        <f>VLOOKUP(S273,ModelOutputs,11,FALSE)+X272</f>
      </c>
      <c r="Y273" s="12">
        <f>VLOOKUP(S273,ModelOutputs,12,FALSE)</f>
      </c>
      <c r="Z273" s="13">
        <f>VLOOKUP(S273,ModelOutputs,13,FALSE)</f>
      </c>
    </row>
    <row x14ac:dyDescent="0.25" r="274" customHeight="1" ht="18.75">
      <c r="A274" s="71"/>
      <c r="B274" s="121"/>
      <c r="C274" s="3"/>
      <c r="D274" s="12"/>
      <c r="E274" s="3"/>
      <c r="F274" s="71"/>
      <c r="G274" s="12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134" t="s">
        <v>374</v>
      </c>
      <c r="S274" s="135">
        <f>IF(R274&gt;1,R274,"")</f>
      </c>
      <c r="T274" s="136">
        <f>VLOOKUP(S274,ModelOutputs,2,FALSE)</f>
      </c>
      <c r="U274" s="136">
        <f>VLOOKUP(S274,ModelOutputs,7,FALSE)</f>
      </c>
      <c r="V274" s="135">
        <f>VLOOKUP(S274,ModelOutputs,6,FALSE)</f>
      </c>
      <c r="W274" s="12">
        <f>VLOOKUP(S274,ModelOutputs,10,FALSE)*AWC</f>
      </c>
      <c r="X274" s="13">
        <f>VLOOKUP(S274,ModelOutputs,11,FALSE)+X273</f>
      </c>
      <c r="Y274" s="12">
        <f>VLOOKUP(S274,ModelOutputs,12,FALSE)</f>
      </c>
      <c r="Z274" s="13">
        <f>VLOOKUP(S274,ModelOutputs,13,FALSE)</f>
      </c>
    </row>
    <row x14ac:dyDescent="0.25" r="275" customHeight="1" ht="18.75">
      <c r="A275" s="71"/>
      <c r="B275" s="121"/>
      <c r="C275" s="3"/>
      <c r="D275" s="12"/>
      <c r="E275" s="3"/>
      <c r="F275" s="71"/>
      <c r="G275" s="12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134" t="s">
        <v>374</v>
      </c>
      <c r="S275" s="135">
        <f>IF(R275&gt;1,R275,"")</f>
      </c>
      <c r="T275" s="136">
        <f>VLOOKUP(S275,ModelOutputs,2,FALSE)</f>
      </c>
      <c r="U275" s="136">
        <f>VLOOKUP(S275,ModelOutputs,7,FALSE)</f>
      </c>
      <c r="V275" s="135">
        <f>VLOOKUP(S275,ModelOutputs,6,FALSE)</f>
      </c>
      <c r="W275" s="12">
        <f>VLOOKUP(S275,ModelOutputs,10,FALSE)*AWC</f>
      </c>
      <c r="X275" s="13">
        <f>VLOOKUP(S275,ModelOutputs,11,FALSE)+X274</f>
      </c>
      <c r="Y275" s="12">
        <f>VLOOKUP(S275,ModelOutputs,12,FALSE)</f>
      </c>
      <c r="Z275" s="13">
        <f>VLOOKUP(S275,ModelOutputs,13,FALSE)</f>
      </c>
    </row>
    <row x14ac:dyDescent="0.25" r="276" customHeight="1" ht="18.75">
      <c r="A276" s="71"/>
      <c r="B276" s="121"/>
      <c r="C276" s="3"/>
      <c r="D276" s="12"/>
      <c r="E276" s="3"/>
      <c r="F276" s="71"/>
      <c r="G276" s="12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134" t="s">
        <v>374</v>
      </c>
      <c r="S276" s="135">
        <f>IF(R276&gt;1,R276,"")</f>
      </c>
      <c r="T276" s="136">
        <f>VLOOKUP(S276,ModelOutputs,2,FALSE)</f>
      </c>
      <c r="U276" s="136">
        <f>VLOOKUP(S276,ModelOutputs,7,FALSE)</f>
      </c>
      <c r="V276" s="135">
        <f>VLOOKUP(S276,ModelOutputs,6,FALSE)</f>
      </c>
      <c r="W276" s="12">
        <f>VLOOKUP(S276,ModelOutputs,10,FALSE)*AWC</f>
      </c>
      <c r="X276" s="13">
        <f>VLOOKUP(S276,ModelOutputs,11,FALSE)+X275</f>
      </c>
      <c r="Y276" s="12">
        <f>VLOOKUP(S276,ModelOutputs,12,FALSE)</f>
      </c>
      <c r="Z276" s="13">
        <f>VLOOKUP(S276,ModelOutputs,13,FALSE)</f>
      </c>
    </row>
    <row x14ac:dyDescent="0.25" r="277" customHeight="1" ht="18.75">
      <c r="A277" s="71"/>
      <c r="B277" s="121"/>
      <c r="C277" s="3"/>
      <c r="D277" s="12"/>
      <c r="E277" s="3"/>
      <c r="F277" s="71"/>
      <c r="G277" s="12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134" t="s">
        <v>374</v>
      </c>
      <c r="S277" s="135">
        <f>IF(R277&gt;1,R277,"")</f>
      </c>
      <c r="T277" s="136">
        <f>VLOOKUP(S277,ModelOutputs,2,FALSE)</f>
      </c>
      <c r="U277" s="136">
        <f>VLOOKUP(S277,ModelOutputs,7,FALSE)</f>
      </c>
      <c r="V277" s="135">
        <f>VLOOKUP(S277,ModelOutputs,6,FALSE)</f>
      </c>
      <c r="W277" s="12">
        <f>VLOOKUP(S277,ModelOutputs,10,FALSE)*AWC</f>
      </c>
      <c r="X277" s="13">
        <f>VLOOKUP(S277,ModelOutputs,11,FALSE)+X276</f>
      </c>
      <c r="Y277" s="12">
        <f>VLOOKUP(S277,ModelOutputs,12,FALSE)</f>
      </c>
      <c r="Z277" s="13">
        <f>VLOOKUP(S277,ModelOutputs,13,FALSE)</f>
      </c>
    </row>
    <row x14ac:dyDescent="0.25" r="278" customHeight="1" ht="18.75">
      <c r="A278" s="71"/>
      <c r="B278" s="121"/>
      <c r="C278" s="3"/>
      <c r="D278" s="12"/>
      <c r="E278" s="3"/>
      <c r="F278" s="71"/>
      <c r="G278" s="12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134" t="s">
        <v>374</v>
      </c>
      <c r="S278" s="135">
        <f>IF(R278&gt;1,R278,"")</f>
      </c>
      <c r="T278" s="136">
        <f>VLOOKUP(S278,ModelOutputs,2,FALSE)</f>
      </c>
      <c r="U278" s="136">
        <f>VLOOKUP(S278,ModelOutputs,7,FALSE)</f>
      </c>
      <c r="V278" s="135">
        <f>VLOOKUP(S278,ModelOutputs,6,FALSE)</f>
      </c>
      <c r="W278" s="12">
        <f>VLOOKUP(S278,ModelOutputs,10,FALSE)*AWC</f>
      </c>
      <c r="X278" s="13">
        <f>VLOOKUP(S278,ModelOutputs,11,FALSE)+X277</f>
      </c>
      <c r="Y278" s="12">
        <f>VLOOKUP(S278,ModelOutputs,12,FALSE)</f>
      </c>
      <c r="Z278" s="13">
        <f>VLOOKUP(S278,ModelOutputs,13,FALSE)</f>
      </c>
    </row>
    <row x14ac:dyDescent="0.25" r="279" customHeight="1" ht="18.75">
      <c r="A279" s="71"/>
      <c r="B279" s="121"/>
      <c r="C279" s="3"/>
      <c r="D279" s="12"/>
      <c r="E279" s="3"/>
      <c r="F279" s="71"/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134" t="s">
        <v>374</v>
      </c>
      <c r="S279" s="135">
        <f>IF(R279&gt;1,R279,"")</f>
      </c>
      <c r="T279" s="136">
        <f>VLOOKUP(S279,ModelOutputs,2,FALSE)</f>
      </c>
      <c r="U279" s="136">
        <f>VLOOKUP(S279,ModelOutputs,7,FALSE)</f>
      </c>
      <c r="V279" s="135">
        <f>VLOOKUP(S279,ModelOutputs,6,FALSE)</f>
      </c>
      <c r="W279" s="12">
        <f>VLOOKUP(S279,ModelOutputs,10,FALSE)*AWC</f>
      </c>
      <c r="X279" s="13">
        <f>VLOOKUP(S279,ModelOutputs,11,FALSE)+X278</f>
      </c>
      <c r="Y279" s="12">
        <f>VLOOKUP(S279,ModelOutputs,12,FALSE)</f>
      </c>
      <c r="Z279" s="13">
        <f>VLOOKUP(S279,ModelOutputs,13,FALSE)</f>
      </c>
    </row>
    <row x14ac:dyDescent="0.25" r="280" customHeight="1" ht="18.75">
      <c r="A280" s="71"/>
      <c r="B280" s="121"/>
      <c r="C280" s="3"/>
      <c r="D280" s="12"/>
      <c r="E280" s="3"/>
      <c r="F280" s="71"/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134" t="s">
        <v>374</v>
      </c>
      <c r="S280" s="135">
        <f>IF(R280&gt;1,R280,"")</f>
      </c>
      <c r="T280" s="136">
        <f>VLOOKUP(S280,ModelOutputs,2,FALSE)</f>
      </c>
      <c r="U280" s="136">
        <f>VLOOKUP(S280,ModelOutputs,7,FALSE)</f>
      </c>
      <c r="V280" s="135">
        <f>VLOOKUP(S280,ModelOutputs,6,FALSE)</f>
      </c>
      <c r="W280" s="12">
        <f>VLOOKUP(S280,ModelOutputs,10,FALSE)*AWC</f>
      </c>
      <c r="X280" s="13">
        <f>VLOOKUP(S280,ModelOutputs,11,FALSE)+X279</f>
      </c>
      <c r="Y280" s="12">
        <f>VLOOKUP(S280,ModelOutputs,12,FALSE)</f>
      </c>
      <c r="Z280" s="13">
        <f>VLOOKUP(S280,ModelOutputs,13,FALSE)</f>
      </c>
    </row>
    <row x14ac:dyDescent="0.25" r="281" customHeight="1" ht="18.75">
      <c r="A281" s="71"/>
      <c r="B281" s="121"/>
      <c r="C281" s="3"/>
      <c r="D281" s="12"/>
      <c r="E281" s="3"/>
      <c r="F281" s="71"/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134" t="s">
        <v>374</v>
      </c>
      <c r="S281" s="135">
        <f>IF(R281&gt;1,R281,"")</f>
      </c>
      <c r="T281" s="136">
        <f>VLOOKUP(S281,ModelOutputs,2,FALSE)</f>
      </c>
      <c r="U281" s="136">
        <f>VLOOKUP(S281,ModelOutputs,7,FALSE)</f>
      </c>
      <c r="V281" s="135">
        <f>VLOOKUP(S281,ModelOutputs,6,FALSE)</f>
      </c>
      <c r="W281" s="12">
        <f>VLOOKUP(S281,ModelOutputs,10,FALSE)*AWC</f>
      </c>
      <c r="X281" s="13">
        <f>VLOOKUP(S281,ModelOutputs,11,FALSE)+X280</f>
      </c>
      <c r="Y281" s="12">
        <f>VLOOKUP(S281,ModelOutputs,12,FALSE)</f>
      </c>
      <c r="Z281" s="13">
        <f>VLOOKUP(S281,ModelOutputs,13,FALSE)</f>
      </c>
    </row>
    <row x14ac:dyDescent="0.25" r="282" customHeight="1" ht="18.75">
      <c r="A282" s="71"/>
      <c r="B282" s="121"/>
      <c r="C282" s="3"/>
      <c r="D282" s="12"/>
      <c r="E282" s="3"/>
      <c r="F282" s="71"/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134" t="s">
        <v>374</v>
      </c>
      <c r="S282" s="135">
        <f>IF(R282&gt;1,R282,"")</f>
      </c>
      <c r="T282" s="136">
        <f>VLOOKUP(S282,ModelOutputs,2,FALSE)</f>
      </c>
      <c r="U282" s="136">
        <f>VLOOKUP(S282,ModelOutputs,7,FALSE)</f>
      </c>
      <c r="V282" s="135">
        <f>VLOOKUP(S282,ModelOutputs,6,FALSE)</f>
      </c>
      <c r="W282" s="12">
        <f>VLOOKUP(S282,ModelOutputs,10,FALSE)*AWC</f>
      </c>
      <c r="X282" s="13">
        <f>VLOOKUP(S282,ModelOutputs,11,FALSE)+X281</f>
      </c>
      <c r="Y282" s="12">
        <f>VLOOKUP(S282,ModelOutputs,12,FALSE)</f>
      </c>
      <c r="Z282" s="13">
        <f>VLOOKUP(S282,ModelOutputs,13,FALSE)</f>
      </c>
    </row>
    <row x14ac:dyDescent="0.25" r="283" customHeight="1" ht="18.75">
      <c r="A283" s="71"/>
      <c r="B283" s="121"/>
      <c r="C283" s="3"/>
      <c r="D283" s="12"/>
      <c r="E283" s="3"/>
      <c r="F283" s="71"/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134" t="s">
        <v>374</v>
      </c>
      <c r="S283" s="135">
        <f>IF(R283&gt;1,R283,"")</f>
      </c>
      <c r="T283" s="136">
        <f>VLOOKUP(S283,ModelOutputs,2,FALSE)</f>
      </c>
      <c r="U283" s="136">
        <f>VLOOKUP(S283,ModelOutputs,7,FALSE)</f>
      </c>
      <c r="V283" s="135">
        <f>VLOOKUP(S283,ModelOutputs,6,FALSE)</f>
      </c>
      <c r="W283" s="12">
        <f>VLOOKUP(S283,ModelOutputs,10,FALSE)*AWC</f>
      </c>
      <c r="X283" s="13">
        <f>VLOOKUP(S283,ModelOutputs,11,FALSE)+X282</f>
      </c>
      <c r="Y283" s="12">
        <f>VLOOKUP(S283,ModelOutputs,12,FALSE)</f>
      </c>
      <c r="Z283" s="13">
        <f>VLOOKUP(S283,ModelOutputs,13,FALSE)</f>
      </c>
    </row>
    <row x14ac:dyDescent="0.25" r="284" customHeight="1" ht="18.75">
      <c r="A284" s="71"/>
      <c r="B284" s="121"/>
      <c r="C284" s="3"/>
      <c r="D284" s="12"/>
      <c r="E284" s="3"/>
      <c r="F284" s="71"/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134" t="s">
        <v>374</v>
      </c>
      <c r="S284" s="135">
        <f>IF(R284&gt;1,R284,"")</f>
      </c>
      <c r="T284" s="136">
        <f>VLOOKUP(S284,ModelOutputs,2,FALSE)</f>
      </c>
      <c r="U284" s="136">
        <f>VLOOKUP(S284,ModelOutputs,7,FALSE)</f>
      </c>
      <c r="V284" s="135">
        <f>VLOOKUP(S284,ModelOutputs,6,FALSE)</f>
      </c>
      <c r="W284" s="12">
        <f>VLOOKUP(S284,ModelOutputs,10,FALSE)*AWC</f>
      </c>
      <c r="X284" s="13">
        <f>VLOOKUP(S284,ModelOutputs,11,FALSE)+X283</f>
      </c>
      <c r="Y284" s="12">
        <f>VLOOKUP(S284,ModelOutputs,12,FALSE)</f>
      </c>
      <c r="Z284" s="13">
        <f>VLOOKUP(S284,ModelOutputs,13,FALSE)</f>
      </c>
    </row>
    <row x14ac:dyDescent="0.25" r="285" customHeight="1" ht="18.75">
      <c r="A285" s="71"/>
      <c r="B285" s="121"/>
      <c r="C285" s="3"/>
      <c r="D285" s="12"/>
      <c r="E285" s="3"/>
      <c r="F285" s="71"/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134" t="s">
        <v>374</v>
      </c>
      <c r="S285" s="135">
        <f>IF(R285&gt;1,R285,"")</f>
      </c>
      <c r="T285" s="136">
        <f>VLOOKUP(S285,ModelOutputs,2,FALSE)</f>
      </c>
      <c r="U285" s="136">
        <f>VLOOKUP(S285,ModelOutputs,7,FALSE)</f>
      </c>
      <c r="V285" s="135">
        <f>VLOOKUP(S285,ModelOutputs,6,FALSE)</f>
      </c>
      <c r="W285" s="12">
        <f>VLOOKUP(S285,ModelOutputs,10,FALSE)*AWC</f>
      </c>
      <c r="X285" s="13">
        <f>VLOOKUP(S285,ModelOutputs,11,FALSE)+X284</f>
      </c>
      <c r="Y285" s="12">
        <f>VLOOKUP(S285,ModelOutputs,12,FALSE)</f>
      </c>
      <c r="Z285" s="13">
        <f>VLOOKUP(S285,ModelOutputs,13,FALSE)</f>
      </c>
    </row>
    <row x14ac:dyDescent="0.25" r="286" customHeight="1" ht="18.75">
      <c r="A286" s="71"/>
      <c r="B286" s="121"/>
      <c r="C286" s="3"/>
      <c r="D286" s="12"/>
      <c r="E286" s="3"/>
      <c r="F286" s="71"/>
      <c r="G286" s="12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134" t="s">
        <v>374</v>
      </c>
      <c r="S286" s="135">
        <f>IF(R286&gt;1,R286,"")</f>
      </c>
      <c r="T286" s="136">
        <f>VLOOKUP(S286,ModelOutputs,2,FALSE)</f>
      </c>
      <c r="U286" s="136">
        <f>VLOOKUP(S286,ModelOutputs,7,FALSE)</f>
      </c>
      <c r="V286" s="135">
        <f>VLOOKUP(S286,ModelOutputs,6,FALSE)</f>
      </c>
      <c r="W286" s="12">
        <f>VLOOKUP(S286,ModelOutputs,10,FALSE)*AWC</f>
      </c>
      <c r="X286" s="13">
        <f>VLOOKUP(S286,ModelOutputs,11,FALSE)+X285</f>
      </c>
      <c r="Y286" s="12">
        <f>VLOOKUP(S286,ModelOutputs,12,FALSE)</f>
      </c>
      <c r="Z286" s="13">
        <f>VLOOKUP(S286,ModelOutputs,13,FALSE)</f>
      </c>
    </row>
    <row x14ac:dyDescent="0.25" r="287" customHeight="1" ht="18.75">
      <c r="A287" s="71"/>
      <c r="B287" s="121"/>
      <c r="C287" s="3"/>
      <c r="D287" s="12"/>
      <c r="E287" s="3"/>
      <c r="F287" s="71"/>
      <c r="G287" s="12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134" t="s">
        <v>374</v>
      </c>
      <c r="S287" s="135">
        <f>IF(R287&gt;1,R287,"")</f>
      </c>
      <c r="T287" s="136">
        <f>VLOOKUP(S287,ModelOutputs,2,FALSE)</f>
      </c>
      <c r="U287" s="136">
        <f>VLOOKUP(S287,ModelOutputs,7,FALSE)</f>
      </c>
      <c r="V287" s="135">
        <f>VLOOKUP(S287,ModelOutputs,6,FALSE)</f>
      </c>
      <c r="W287" s="12">
        <f>VLOOKUP(S287,ModelOutputs,10,FALSE)*AWC</f>
      </c>
      <c r="X287" s="13">
        <f>VLOOKUP(S287,ModelOutputs,11,FALSE)+X286</f>
      </c>
      <c r="Y287" s="12">
        <f>VLOOKUP(S287,ModelOutputs,12,FALSE)</f>
      </c>
      <c r="Z287" s="13">
        <f>VLOOKUP(S287,ModelOutputs,13,FALSE)</f>
      </c>
    </row>
    <row x14ac:dyDescent="0.25" r="288" customHeight="1" ht="18.75">
      <c r="A288" s="71"/>
      <c r="B288" s="121"/>
      <c r="C288" s="3"/>
      <c r="D288" s="12"/>
      <c r="E288" s="3"/>
      <c r="F288" s="71"/>
      <c r="G288" s="12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134" t="s">
        <v>374</v>
      </c>
      <c r="S288" s="135">
        <f>IF(R288&gt;1,R288,"")</f>
      </c>
      <c r="T288" s="136">
        <f>VLOOKUP(S288,ModelOutputs,2,FALSE)</f>
      </c>
      <c r="U288" s="136">
        <f>VLOOKUP(S288,ModelOutputs,7,FALSE)</f>
      </c>
      <c r="V288" s="135">
        <f>VLOOKUP(S288,ModelOutputs,6,FALSE)</f>
      </c>
      <c r="W288" s="12">
        <f>VLOOKUP(S288,ModelOutputs,10,FALSE)*AWC</f>
      </c>
      <c r="X288" s="13">
        <f>VLOOKUP(S288,ModelOutputs,11,FALSE)+X287</f>
      </c>
      <c r="Y288" s="12">
        <f>VLOOKUP(S288,ModelOutputs,12,FALSE)</f>
      </c>
      <c r="Z288" s="13">
        <f>VLOOKUP(S288,ModelOutputs,13,FALSE)</f>
      </c>
    </row>
    <row x14ac:dyDescent="0.25" r="289" customHeight="1" ht="18.75">
      <c r="A289" s="71"/>
      <c r="B289" s="121"/>
      <c r="C289" s="3"/>
      <c r="D289" s="12"/>
      <c r="E289" s="3"/>
      <c r="F289" s="71"/>
      <c r="G289" s="12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134" t="s">
        <v>374</v>
      </c>
      <c r="S289" s="135">
        <f>IF(R289&gt;1,R289,"")</f>
      </c>
      <c r="T289" s="136">
        <f>VLOOKUP(S289,ModelOutputs,2,FALSE)</f>
      </c>
      <c r="U289" s="136">
        <f>VLOOKUP(S289,ModelOutputs,7,FALSE)</f>
      </c>
      <c r="V289" s="135">
        <f>VLOOKUP(S289,ModelOutputs,6,FALSE)</f>
      </c>
      <c r="W289" s="12">
        <f>VLOOKUP(S289,ModelOutputs,10,FALSE)*AWC</f>
      </c>
      <c r="X289" s="13">
        <f>VLOOKUP(S289,ModelOutputs,11,FALSE)+X288</f>
      </c>
      <c r="Y289" s="12">
        <f>VLOOKUP(S289,ModelOutputs,12,FALSE)</f>
      </c>
      <c r="Z289" s="13">
        <f>VLOOKUP(S289,ModelOutputs,13,FALSE)</f>
      </c>
    </row>
    <row x14ac:dyDescent="0.25" r="290" customHeight="1" ht="18.75">
      <c r="A290" s="71"/>
      <c r="B290" s="121"/>
      <c r="C290" s="3"/>
      <c r="D290" s="12"/>
      <c r="E290" s="3"/>
      <c r="F290" s="71"/>
      <c r="G290" s="12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134" t="s">
        <v>374</v>
      </c>
      <c r="S290" s="135">
        <f>IF(R290&gt;1,R290,"")</f>
      </c>
      <c r="T290" s="136">
        <f>VLOOKUP(S290,ModelOutputs,2,FALSE)</f>
      </c>
      <c r="U290" s="136">
        <f>VLOOKUP(S290,ModelOutputs,7,FALSE)</f>
      </c>
      <c r="V290" s="135">
        <f>VLOOKUP(S290,ModelOutputs,6,FALSE)</f>
      </c>
      <c r="W290" s="12">
        <f>VLOOKUP(S290,ModelOutputs,10,FALSE)*AWC</f>
      </c>
      <c r="X290" s="13">
        <f>VLOOKUP(S290,ModelOutputs,11,FALSE)+X289</f>
      </c>
      <c r="Y290" s="12">
        <f>VLOOKUP(S290,ModelOutputs,12,FALSE)</f>
      </c>
      <c r="Z290" s="13">
        <f>VLOOKUP(S290,ModelOutputs,13,FALSE)</f>
      </c>
    </row>
    <row x14ac:dyDescent="0.25" r="291" customHeight="1" ht="18.75">
      <c r="A291" s="71"/>
      <c r="B291" s="121"/>
      <c r="C291" s="3"/>
      <c r="D291" s="12"/>
      <c r="E291" s="3"/>
      <c r="F291" s="71"/>
      <c r="G291" s="12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134" t="s">
        <v>374</v>
      </c>
      <c r="S291" s="135">
        <f>IF(R291&gt;1,R291,"")</f>
      </c>
      <c r="T291" s="136">
        <f>VLOOKUP(S291,ModelOutputs,2,FALSE)</f>
      </c>
      <c r="U291" s="136">
        <f>VLOOKUP(S291,ModelOutputs,7,FALSE)</f>
      </c>
      <c r="V291" s="135">
        <f>VLOOKUP(S291,ModelOutputs,6,FALSE)</f>
      </c>
      <c r="W291" s="12">
        <f>VLOOKUP(S291,ModelOutputs,10,FALSE)*AWC</f>
      </c>
      <c r="X291" s="13">
        <f>VLOOKUP(S291,ModelOutputs,11,FALSE)+X290</f>
      </c>
      <c r="Y291" s="12">
        <f>VLOOKUP(S291,ModelOutputs,12,FALSE)</f>
      </c>
      <c r="Z291" s="13">
        <f>VLOOKUP(S291,ModelOutputs,13,FALSE)</f>
      </c>
    </row>
    <row x14ac:dyDescent="0.25" r="292" customHeight="1" ht="18.75">
      <c r="A292" s="71"/>
      <c r="B292" s="121"/>
      <c r="C292" s="3"/>
      <c r="D292" s="12"/>
      <c r="E292" s="3"/>
      <c r="F292" s="71"/>
      <c r="G292" s="12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134" t="s">
        <v>374</v>
      </c>
      <c r="S292" s="135">
        <f>IF(R292&gt;1,R292,"")</f>
      </c>
      <c r="T292" s="136">
        <f>VLOOKUP(S292,ModelOutputs,2,FALSE)</f>
      </c>
      <c r="U292" s="136">
        <f>VLOOKUP(S292,ModelOutputs,7,FALSE)</f>
      </c>
      <c r="V292" s="135">
        <f>VLOOKUP(S292,ModelOutputs,6,FALSE)</f>
      </c>
      <c r="W292" s="12">
        <f>VLOOKUP(S292,ModelOutputs,10,FALSE)*AWC</f>
      </c>
      <c r="X292" s="13">
        <f>VLOOKUP(S292,ModelOutputs,11,FALSE)+X291</f>
      </c>
      <c r="Y292" s="12">
        <f>VLOOKUP(S292,ModelOutputs,12,FALSE)</f>
      </c>
      <c r="Z292" s="13">
        <f>VLOOKUP(S292,ModelOutputs,13,FALSE)</f>
      </c>
    </row>
    <row x14ac:dyDescent="0.25" r="293" customHeight="1" ht="18.75">
      <c r="A293" s="71"/>
      <c r="B293" s="121"/>
      <c r="C293" s="3"/>
      <c r="D293" s="12"/>
      <c r="E293" s="3"/>
      <c r="F293" s="71"/>
      <c r="G293" s="12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134" t="s">
        <v>374</v>
      </c>
      <c r="S293" s="135">
        <f>IF(R293&gt;1,R293,"")</f>
      </c>
      <c r="T293" s="136">
        <f>VLOOKUP(S293,ModelOutputs,2,FALSE)</f>
      </c>
      <c r="U293" s="136">
        <f>VLOOKUP(S293,ModelOutputs,7,FALSE)</f>
      </c>
      <c r="V293" s="135">
        <f>VLOOKUP(S293,ModelOutputs,6,FALSE)</f>
      </c>
      <c r="W293" s="12">
        <f>VLOOKUP(S293,ModelOutputs,10,FALSE)*AWC</f>
      </c>
      <c r="X293" s="13">
        <f>VLOOKUP(S293,ModelOutputs,11,FALSE)+X292</f>
      </c>
      <c r="Y293" s="12">
        <f>VLOOKUP(S293,ModelOutputs,12,FALSE)</f>
      </c>
      <c r="Z293" s="13">
        <f>VLOOKUP(S293,ModelOutputs,13,FALSE)</f>
      </c>
    </row>
    <row x14ac:dyDescent="0.25" r="294" customHeight="1" ht="18.75">
      <c r="A294" s="71"/>
      <c r="B294" s="121"/>
      <c r="C294" s="3"/>
      <c r="D294" s="12"/>
      <c r="E294" s="3"/>
      <c r="F294" s="71"/>
      <c r="G294" s="12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134" t="s">
        <v>374</v>
      </c>
      <c r="S294" s="135">
        <f>IF(R294&gt;1,R294,"")</f>
      </c>
      <c r="T294" s="136">
        <f>VLOOKUP(S294,ModelOutputs,2,FALSE)</f>
      </c>
      <c r="U294" s="136">
        <f>VLOOKUP(S294,ModelOutputs,7,FALSE)</f>
      </c>
      <c r="V294" s="135">
        <f>VLOOKUP(S294,ModelOutputs,6,FALSE)</f>
      </c>
      <c r="W294" s="12">
        <f>VLOOKUP(S294,ModelOutputs,10,FALSE)*AWC</f>
      </c>
      <c r="X294" s="13">
        <f>VLOOKUP(S294,ModelOutputs,11,FALSE)+X293</f>
      </c>
      <c r="Y294" s="12">
        <f>VLOOKUP(S294,ModelOutputs,12,FALSE)</f>
      </c>
      <c r="Z294" s="13">
        <f>VLOOKUP(S294,ModelOutputs,13,FALSE)</f>
      </c>
    </row>
    <row x14ac:dyDescent="0.25" r="295" customHeight="1" ht="18.75">
      <c r="A295" s="71"/>
      <c r="B295" s="121"/>
      <c r="C295" s="3"/>
      <c r="D295" s="12"/>
      <c r="E295" s="3"/>
      <c r="F295" s="71"/>
      <c r="G295" s="12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134" t="s">
        <v>374</v>
      </c>
      <c r="S295" s="135">
        <f>IF(R295&gt;1,R295,"")</f>
      </c>
      <c r="T295" s="136">
        <f>VLOOKUP(S295,ModelOutputs,2,FALSE)</f>
      </c>
      <c r="U295" s="136">
        <f>VLOOKUP(S295,ModelOutputs,7,FALSE)</f>
      </c>
      <c r="V295" s="135">
        <f>VLOOKUP(S295,ModelOutputs,6,FALSE)</f>
      </c>
      <c r="W295" s="12">
        <f>VLOOKUP(S295,ModelOutputs,10,FALSE)*AWC</f>
      </c>
      <c r="X295" s="13">
        <f>VLOOKUP(S295,ModelOutputs,11,FALSE)+X294</f>
      </c>
      <c r="Y295" s="12">
        <f>VLOOKUP(S295,ModelOutputs,12,FALSE)</f>
      </c>
      <c r="Z295" s="13">
        <f>VLOOKUP(S295,ModelOutputs,13,FALSE)</f>
      </c>
    </row>
    <row x14ac:dyDescent="0.25" r="296" customHeight="1" ht="18.75">
      <c r="A296" s="71"/>
      <c r="B296" s="121"/>
      <c r="C296" s="3"/>
      <c r="D296" s="12"/>
      <c r="E296" s="3"/>
      <c r="F296" s="71"/>
      <c r="G296" s="12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134" t="s">
        <v>374</v>
      </c>
      <c r="S296" s="135">
        <f>IF(R296&gt;1,R296,"")</f>
      </c>
      <c r="T296" s="136">
        <f>VLOOKUP(S296,ModelOutputs,2,FALSE)</f>
      </c>
      <c r="U296" s="136">
        <f>VLOOKUP(S296,ModelOutputs,7,FALSE)</f>
      </c>
      <c r="V296" s="135">
        <f>VLOOKUP(S296,ModelOutputs,6,FALSE)</f>
      </c>
      <c r="W296" s="12">
        <f>VLOOKUP(S296,ModelOutputs,10,FALSE)*AWC</f>
      </c>
      <c r="X296" s="13">
        <f>VLOOKUP(S296,ModelOutputs,11,FALSE)+X295</f>
      </c>
      <c r="Y296" s="12">
        <f>VLOOKUP(S296,ModelOutputs,12,FALSE)</f>
      </c>
      <c r="Z296" s="13">
        <f>VLOOKUP(S296,ModelOutputs,13,FALSE)</f>
      </c>
    </row>
    <row x14ac:dyDescent="0.25" r="297" customHeight="1" ht="18.75">
      <c r="A297" s="71"/>
      <c r="B297" s="121"/>
      <c r="C297" s="3"/>
      <c r="D297" s="12"/>
      <c r="E297" s="3"/>
      <c r="F297" s="71"/>
      <c r="G297" s="12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134" t="s">
        <v>374</v>
      </c>
      <c r="S297" s="135">
        <f>IF(R297&gt;1,R297,"")</f>
      </c>
      <c r="T297" s="136">
        <f>VLOOKUP(S297,ModelOutputs,2,FALSE)</f>
      </c>
      <c r="U297" s="136">
        <f>VLOOKUP(S297,ModelOutputs,7,FALSE)</f>
      </c>
      <c r="V297" s="135">
        <f>VLOOKUP(S297,ModelOutputs,6,FALSE)</f>
      </c>
      <c r="W297" s="12">
        <f>VLOOKUP(S297,ModelOutputs,10,FALSE)*AWC</f>
      </c>
      <c r="X297" s="13">
        <f>VLOOKUP(S297,ModelOutputs,11,FALSE)+X296</f>
      </c>
      <c r="Y297" s="12">
        <f>VLOOKUP(S297,ModelOutputs,12,FALSE)</f>
      </c>
      <c r="Z297" s="13">
        <f>VLOOKUP(S297,ModelOutputs,13,FALSE)</f>
      </c>
    </row>
    <row x14ac:dyDescent="0.25" r="298" customHeight="1" ht="18.75">
      <c r="A298" s="71"/>
      <c r="B298" s="121"/>
      <c r="C298" s="3"/>
      <c r="D298" s="12"/>
      <c r="E298" s="3"/>
      <c r="F298" s="71"/>
      <c r="G298" s="12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134" t="s">
        <v>374</v>
      </c>
      <c r="S298" s="135">
        <f>IF(R298&gt;1,R298,"")</f>
      </c>
      <c r="T298" s="136">
        <f>VLOOKUP(S298,ModelOutputs,2,FALSE)</f>
      </c>
      <c r="U298" s="136">
        <f>VLOOKUP(S298,ModelOutputs,7,FALSE)</f>
      </c>
      <c r="V298" s="135">
        <f>VLOOKUP(S298,ModelOutputs,6,FALSE)</f>
      </c>
      <c r="W298" s="12">
        <f>VLOOKUP(S298,ModelOutputs,10,FALSE)*AWC</f>
      </c>
      <c r="X298" s="13">
        <f>VLOOKUP(S298,ModelOutputs,11,FALSE)+X297</f>
      </c>
      <c r="Y298" s="12">
        <f>VLOOKUP(S298,ModelOutputs,12,FALSE)</f>
      </c>
      <c r="Z298" s="13">
        <f>VLOOKUP(S298,ModelOutputs,13,FALSE)</f>
      </c>
    </row>
    <row x14ac:dyDescent="0.25" r="299" customHeight="1" ht="18.75">
      <c r="A299" s="71"/>
      <c r="B299" s="121"/>
      <c r="C299" s="3"/>
      <c r="D299" s="12"/>
      <c r="E299" s="3"/>
      <c r="F299" s="71"/>
      <c r="G299" s="12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134" t="s">
        <v>374</v>
      </c>
      <c r="S299" s="135">
        <f>IF(R299&gt;1,R299,"")</f>
      </c>
      <c r="T299" s="136">
        <f>VLOOKUP(S299,ModelOutputs,2,FALSE)</f>
      </c>
      <c r="U299" s="136">
        <f>VLOOKUP(S299,ModelOutputs,7,FALSE)</f>
      </c>
      <c r="V299" s="135">
        <f>VLOOKUP(S299,ModelOutputs,6,FALSE)</f>
      </c>
      <c r="W299" s="12">
        <f>VLOOKUP(S299,ModelOutputs,10,FALSE)*AWC</f>
      </c>
      <c r="X299" s="13">
        <f>VLOOKUP(S299,ModelOutputs,11,FALSE)+X298</f>
      </c>
      <c r="Y299" s="12">
        <f>VLOOKUP(S299,ModelOutputs,12,FALSE)</f>
      </c>
      <c r="Z299" s="13">
        <f>VLOOKUP(S299,ModelOutputs,13,FALSE)</f>
      </c>
    </row>
    <row x14ac:dyDescent="0.25" r="300" customHeight="1" ht="18.75">
      <c r="A300" s="71"/>
      <c r="B300" s="121"/>
      <c r="C300" s="3"/>
      <c r="D300" s="12"/>
      <c r="E300" s="3"/>
      <c r="F300" s="71"/>
      <c r="G300" s="12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134" t="s">
        <v>374</v>
      </c>
      <c r="S300" s="135">
        <f>IF(R300&gt;1,R300,"")</f>
      </c>
      <c r="T300" s="136">
        <f>VLOOKUP(S300,ModelOutputs,2,FALSE)</f>
      </c>
      <c r="U300" s="136">
        <f>VLOOKUP(S300,ModelOutputs,7,FALSE)</f>
      </c>
      <c r="V300" s="135">
        <f>VLOOKUP(S300,ModelOutputs,6,FALSE)</f>
      </c>
      <c r="W300" s="12">
        <f>VLOOKUP(S300,ModelOutputs,10,FALSE)*AWC</f>
      </c>
      <c r="X300" s="13">
        <f>VLOOKUP(S300,ModelOutputs,11,FALSE)+X299</f>
      </c>
      <c r="Y300" s="12">
        <f>VLOOKUP(S300,ModelOutputs,12,FALSE)</f>
      </c>
      <c r="Z300" s="13">
        <f>VLOOKUP(S300,ModelOutputs,13,FALSE)</f>
      </c>
    </row>
    <row x14ac:dyDescent="0.25" r="301" customHeight="1" ht="18.75">
      <c r="A301" s="71"/>
      <c r="B301" s="121"/>
      <c r="C301" s="3"/>
      <c r="D301" s="12"/>
      <c r="E301" s="3"/>
      <c r="F301" s="71"/>
      <c r="G301" s="12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134" t="s">
        <v>374</v>
      </c>
      <c r="S301" s="135">
        <f>IF(R301&gt;1,R301,"")</f>
      </c>
      <c r="T301" s="136">
        <f>VLOOKUP(S301,ModelOutputs,2,FALSE)</f>
      </c>
      <c r="U301" s="136">
        <f>VLOOKUP(S301,ModelOutputs,7,FALSE)</f>
      </c>
      <c r="V301" s="135">
        <f>VLOOKUP(S301,ModelOutputs,6,FALSE)</f>
      </c>
      <c r="W301" s="12">
        <f>VLOOKUP(S301,ModelOutputs,10,FALSE)*AWC</f>
      </c>
      <c r="X301" s="13">
        <f>VLOOKUP(S301,ModelOutputs,11,FALSE)+X300</f>
      </c>
      <c r="Y301" s="12">
        <f>VLOOKUP(S301,ModelOutputs,12,FALSE)</f>
      </c>
      <c r="Z301" s="13">
        <f>VLOOKUP(S301,ModelOutputs,13,FALSE)</f>
      </c>
    </row>
    <row x14ac:dyDescent="0.25" r="302" customHeight="1" ht="18.75">
      <c r="A302" s="71"/>
      <c r="B302" s="121"/>
      <c r="C302" s="3"/>
      <c r="D302" s="12"/>
      <c r="E302" s="3"/>
      <c r="F302" s="71"/>
      <c r="G302" s="12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134" t="s">
        <v>374</v>
      </c>
      <c r="S302" s="135">
        <f>IF(R302&gt;1,R302,"")</f>
      </c>
      <c r="T302" s="136">
        <f>VLOOKUP(S302,ModelOutputs,2,FALSE)</f>
      </c>
      <c r="U302" s="136">
        <f>VLOOKUP(S302,ModelOutputs,7,FALSE)</f>
      </c>
      <c r="V302" s="135">
        <f>VLOOKUP(S302,ModelOutputs,6,FALSE)</f>
      </c>
      <c r="W302" s="12">
        <f>VLOOKUP(S302,ModelOutputs,10,FALSE)*AWC</f>
      </c>
      <c r="X302" s="13">
        <f>VLOOKUP(S302,ModelOutputs,11,FALSE)+X301</f>
      </c>
      <c r="Y302" s="12">
        <f>VLOOKUP(S302,ModelOutputs,12,FALSE)</f>
      </c>
      <c r="Z302" s="13">
        <f>VLOOKUP(S302,ModelOutputs,13,FALSE)</f>
      </c>
    </row>
    <row x14ac:dyDescent="0.25" r="303" customHeight="1" ht="18.75">
      <c r="A303" s="71"/>
      <c r="B303" s="121"/>
      <c r="C303" s="3"/>
      <c r="D303" s="12"/>
      <c r="E303" s="3"/>
      <c r="F303" s="71"/>
      <c r="G303" s="12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134" t="s">
        <v>374</v>
      </c>
      <c r="S303" s="135">
        <f>IF(R303&gt;1,R303,"")</f>
      </c>
      <c r="T303" s="136">
        <f>VLOOKUP(S303,ModelOutputs,2,FALSE)</f>
      </c>
      <c r="U303" s="136">
        <f>VLOOKUP(S303,ModelOutputs,7,FALSE)</f>
      </c>
      <c r="V303" s="135">
        <f>VLOOKUP(S303,ModelOutputs,6,FALSE)</f>
      </c>
      <c r="W303" s="12">
        <f>VLOOKUP(S303,ModelOutputs,10,FALSE)*AWC</f>
      </c>
      <c r="X303" s="13">
        <f>VLOOKUP(S303,ModelOutputs,11,FALSE)+X302</f>
      </c>
      <c r="Y303" s="12">
        <f>VLOOKUP(S303,ModelOutputs,12,FALSE)</f>
      </c>
      <c r="Z303" s="13">
        <f>VLOOKUP(S303,ModelOutputs,13,FALSE)</f>
      </c>
    </row>
    <row x14ac:dyDescent="0.25" r="304" customHeight="1" ht="18.75">
      <c r="A304" s="71"/>
      <c r="B304" s="121"/>
      <c r="C304" s="3"/>
      <c r="D304" s="12"/>
      <c r="E304" s="3"/>
      <c r="F304" s="71"/>
      <c r="G304" s="12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134" t="s">
        <v>374</v>
      </c>
      <c r="S304" s="135">
        <f>IF(R304&gt;1,R304,"")</f>
      </c>
      <c r="T304" s="136">
        <f>VLOOKUP(S304,ModelOutputs,2,FALSE)</f>
      </c>
      <c r="U304" s="136">
        <f>VLOOKUP(S304,ModelOutputs,7,FALSE)</f>
      </c>
      <c r="V304" s="135">
        <f>VLOOKUP(S304,ModelOutputs,6,FALSE)</f>
      </c>
      <c r="W304" s="12">
        <f>VLOOKUP(S304,ModelOutputs,10,FALSE)*AWC</f>
      </c>
      <c r="X304" s="13">
        <f>VLOOKUP(S304,ModelOutputs,11,FALSE)+X303</f>
      </c>
      <c r="Y304" s="12">
        <f>VLOOKUP(S304,ModelOutputs,12,FALSE)</f>
      </c>
      <c r="Z304" s="13">
        <f>VLOOKUP(S304,ModelOutputs,13,FALSE)</f>
      </c>
    </row>
    <row x14ac:dyDescent="0.25" r="305" customHeight="1" ht="18.75">
      <c r="A305" s="71"/>
      <c r="B305" s="121"/>
      <c r="C305" s="3"/>
      <c r="D305" s="12"/>
      <c r="E305" s="3"/>
      <c r="F305" s="71"/>
      <c r="G305" s="12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134" t="s">
        <v>374</v>
      </c>
      <c r="S305" s="135">
        <f>IF(R305&gt;1,R305,"")</f>
      </c>
      <c r="T305" s="136">
        <f>VLOOKUP(S305,ModelOutputs,2,FALSE)</f>
      </c>
      <c r="U305" s="136">
        <f>VLOOKUP(S305,ModelOutputs,7,FALSE)</f>
      </c>
      <c r="V305" s="135">
        <f>VLOOKUP(S305,ModelOutputs,6,FALSE)</f>
      </c>
      <c r="W305" s="12">
        <f>VLOOKUP(S305,ModelOutputs,10,FALSE)*AWC</f>
      </c>
      <c r="X305" s="13">
        <f>VLOOKUP(S305,ModelOutputs,11,FALSE)+X304</f>
      </c>
      <c r="Y305" s="12">
        <f>VLOOKUP(S305,ModelOutputs,12,FALSE)</f>
      </c>
      <c r="Z305" s="13">
        <f>VLOOKUP(S305,ModelOutputs,13,FALSE)</f>
      </c>
    </row>
    <row x14ac:dyDescent="0.25" r="306" customHeight="1" ht="18.75">
      <c r="A306" s="71"/>
      <c r="B306" s="121"/>
      <c r="C306" s="3"/>
      <c r="D306" s="12"/>
      <c r="E306" s="3"/>
      <c r="F306" s="71"/>
      <c r="G306" s="12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134" t="s">
        <v>374</v>
      </c>
      <c r="S306" s="135">
        <f>IF(R306&gt;1,R306,"")</f>
      </c>
      <c r="T306" s="136">
        <f>VLOOKUP(S306,ModelOutputs,2,FALSE)</f>
      </c>
      <c r="U306" s="136">
        <f>VLOOKUP(S306,ModelOutputs,7,FALSE)</f>
      </c>
      <c r="V306" s="135">
        <f>VLOOKUP(S306,ModelOutputs,6,FALSE)</f>
      </c>
      <c r="W306" s="12">
        <f>VLOOKUP(S306,ModelOutputs,10,FALSE)*AWC</f>
      </c>
      <c r="X306" s="13">
        <f>VLOOKUP(S306,ModelOutputs,11,FALSE)+X305</f>
      </c>
      <c r="Y306" s="12">
        <f>VLOOKUP(S306,ModelOutputs,12,FALSE)</f>
      </c>
      <c r="Z306" s="13">
        <f>VLOOKUP(S306,ModelOutputs,13,FALSE)</f>
      </c>
    </row>
    <row x14ac:dyDescent="0.25" r="307" customHeight="1" ht="18.75">
      <c r="A307" s="71"/>
      <c r="B307" s="121"/>
      <c r="C307" s="3"/>
      <c r="D307" s="12"/>
      <c r="E307" s="3"/>
      <c r="F307" s="71"/>
      <c r="G307" s="12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134" t="s">
        <v>374</v>
      </c>
      <c r="S307" s="135">
        <f>IF(R307&gt;1,R307,"")</f>
      </c>
      <c r="T307" s="136">
        <f>VLOOKUP(S307,ModelOutputs,2,FALSE)</f>
      </c>
      <c r="U307" s="136">
        <f>VLOOKUP(S307,ModelOutputs,7,FALSE)</f>
      </c>
      <c r="V307" s="135">
        <f>VLOOKUP(S307,ModelOutputs,6,FALSE)</f>
      </c>
      <c r="W307" s="12">
        <f>VLOOKUP(S307,ModelOutputs,10,FALSE)*AWC</f>
      </c>
      <c r="X307" s="13">
        <f>VLOOKUP(S307,ModelOutputs,11,FALSE)+X306</f>
      </c>
      <c r="Y307" s="12">
        <f>VLOOKUP(S307,ModelOutputs,12,FALSE)</f>
      </c>
      <c r="Z307" s="13">
        <f>VLOOKUP(S307,ModelOutputs,13,FALSE)</f>
      </c>
    </row>
    <row x14ac:dyDescent="0.25" r="308" customHeight="1" ht="18.75">
      <c r="A308" s="71"/>
      <c r="B308" s="121"/>
      <c r="C308" s="3"/>
      <c r="D308" s="12"/>
      <c r="E308" s="3"/>
      <c r="F308" s="71"/>
      <c r="G308" s="12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134" t="s">
        <v>374</v>
      </c>
      <c r="S308" s="135">
        <f>IF(R308&gt;1,R308,"")</f>
      </c>
      <c r="T308" s="136">
        <f>VLOOKUP(S308,ModelOutputs,2,FALSE)</f>
      </c>
      <c r="U308" s="136">
        <f>VLOOKUP(S308,ModelOutputs,7,FALSE)</f>
      </c>
      <c r="V308" s="135">
        <f>VLOOKUP(S308,ModelOutputs,6,FALSE)</f>
      </c>
      <c r="W308" s="12">
        <f>VLOOKUP(S308,ModelOutputs,10,FALSE)*AWC</f>
      </c>
      <c r="X308" s="13">
        <f>VLOOKUP(S308,ModelOutputs,11,FALSE)+X307</f>
      </c>
      <c r="Y308" s="12">
        <f>VLOOKUP(S308,ModelOutputs,12,FALSE)</f>
      </c>
      <c r="Z308" s="13">
        <f>VLOOKUP(S308,ModelOutputs,13,FALSE)</f>
      </c>
    </row>
    <row x14ac:dyDescent="0.25" r="309" customHeight="1" ht="18.75">
      <c r="A309" s="71"/>
      <c r="B309" s="121"/>
      <c r="C309" s="3"/>
      <c r="D309" s="12"/>
      <c r="E309" s="3"/>
      <c r="F309" s="71"/>
      <c r="G309" s="12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134" t="s">
        <v>374</v>
      </c>
      <c r="S309" s="135">
        <f>IF(R309&gt;1,R309,"")</f>
      </c>
      <c r="T309" s="136">
        <f>VLOOKUP(S309,ModelOutputs,2,FALSE)</f>
      </c>
      <c r="U309" s="136">
        <f>VLOOKUP(S309,ModelOutputs,7,FALSE)</f>
      </c>
      <c r="V309" s="135">
        <f>VLOOKUP(S309,ModelOutputs,6,FALSE)</f>
      </c>
      <c r="W309" s="12">
        <f>VLOOKUP(S309,ModelOutputs,10,FALSE)*AWC</f>
      </c>
      <c r="X309" s="13">
        <f>VLOOKUP(S309,ModelOutputs,11,FALSE)+X308</f>
      </c>
      <c r="Y309" s="12">
        <f>VLOOKUP(S309,ModelOutputs,12,FALSE)</f>
      </c>
      <c r="Z309" s="13">
        <f>VLOOKUP(S309,ModelOutputs,13,FALSE)</f>
      </c>
    </row>
    <row x14ac:dyDescent="0.25" r="310" customHeight="1" ht="18.75">
      <c r="A310" s="71"/>
      <c r="B310" s="121"/>
      <c r="C310" s="3"/>
      <c r="D310" s="12"/>
      <c r="E310" s="3"/>
      <c r="F310" s="71"/>
      <c r="G310" s="12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134" t="s">
        <v>374</v>
      </c>
      <c r="S310" s="135">
        <f>IF(R310&gt;1,R310,"")</f>
      </c>
      <c r="T310" s="136">
        <f>VLOOKUP(S310,ModelOutputs,2,FALSE)</f>
      </c>
      <c r="U310" s="136">
        <f>VLOOKUP(S310,ModelOutputs,7,FALSE)</f>
      </c>
      <c r="V310" s="135">
        <f>VLOOKUP(S310,ModelOutputs,6,FALSE)</f>
      </c>
      <c r="W310" s="12">
        <f>VLOOKUP(S310,ModelOutputs,10,FALSE)*AWC</f>
      </c>
      <c r="X310" s="13">
        <f>VLOOKUP(S310,ModelOutputs,11,FALSE)+X309</f>
      </c>
      <c r="Y310" s="12">
        <f>VLOOKUP(S310,ModelOutputs,12,FALSE)</f>
      </c>
      <c r="Z310" s="13">
        <f>VLOOKUP(S310,ModelOutputs,13,FALSE)</f>
      </c>
    </row>
    <row x14ac:dyDescent="0.25" r="311" customHeight="1" ht="18.75">
      <c r="A311" s="71"/>
      <c r="B311" s="121"/>
      <c r="C311" s="3"/>
      <c r="D311" s="12"/>
      <c r="E311" s="3"/>
      <c r="F311" s="71"/>
      <c r="G311" s="12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134" t="s">
        <v>374</v>
      </c>
      <c r="S311" s="135">
        <f>IF(R311&gt;1,R311,"")</f>
      </c>
      <c r="T311" s="136">
        <f>VLOOKUP(S311,ModelOutputs,2,FALSE)</f>
      </c>
      <c r="U311" s="136">
        <f>VLOOKUP(S311,ModelOutputs,7,FALSE)</f>
      </c>
      <c r="V311" s="135">
        <f>VLOOKUP(S311,ModelOutputs,6,FALSE)</f>
      </c>
      <c r="W311" s="12">
        <f>VLOOKUP(S311,ModelOutputs,10,FALSE)*AWC</f>
      </c>
      <c r="X311" s="13">
        <f>VLOOKUP(S311,ModelOutputs,11,FALSE)+X310</f>
      </c>
      <c r="Y311" s="12">
        <f>VLOOKUP(S311,ModelOutputs,12,FALSE)</f>
      </c>
      <c r="Z311" s="13">
        <f>VLOOKUP(S311,ModelOutputs,13,FALSE)</f>
      </c>
    </row>
    <row x14ac:dyDescent="0.25" r="312" customHeight="1" ht="18.75">
      <c r="A312" s="71"/>
      <c r="B312" s="121"/>
      <c r="C312" s="3"/>
      <c r="D312" s="12"/>
      <c r="E312" s="3"/>
      <c r="F312" s="71"/>
      <c r="G312" s="12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134" t="s">
        <v>374</v>
      </c>
      <c r="S312" s="135">
        <f>IF(R312&gt;1,R312,"")</f>
      </c>
      <c r="T312" s="136">
        <f>VLOOKUP(S312,ModelOutputs,2,FALSE)</f>
      </c>
      <c r="U312" s="136">
        <f>VLOOKUP(S312,ModelOutputs,7,FALSE)</f>
      </c>
      <c r="V312" s="135">
        <f>VLOOKUP(S312,ModelOutputs,6,FALSE)</f>
      </c>
      <c r="W312" s="12">
        <f>VLOOKUP(S312,ModelOutputs,10,FALSE)*AWC</f>
      </c>
      <c r="X312" s="13">
        <f>VLOOKUP(S312,ModelOutputs,11,FALSE)+X311</f>
      </c>
      <c r="Y312" s="12">
        <f>VLOOKUP(S312,ModelOutputs,12,FALSE)</f>
      </c>
      <c r="Z312" s="13">
        <f>VLOOKUP(S312,ModelOutputs,13,FALSE)</f>
      </c>
    </row>
    <row x14ac:dyDescent="0.25" r="313" customHeight="1" ht="18.75">
      <c r="A313" s="71"/>
      <c r="B313" s="121"/>
      <c r="C313" s="3"/>
      <c r="D313" s="12"/>
      <c r="E313" s="3"/>
      <c r="F313" s="71"/>
      <c r="G313" s="12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134" t="s">
        <v>374</v>
      </c>
      <c r="S313" s="135">
        <f>IF(R313&gt;1,R313,"")</f>
      </c>
      <c r="T313" s="136">
        <f>VLOOKUP(S313,ModelOutputs,2,FALSE)</f>
      </c>
      <c r="U313" s="136">
        <f>VLOOKUP(S313,ModelOutputs,7,FALSE)</f>
      </c>
      <c r="V313" s="135">
        <f>VLOOKUP(S313,ModelOutputs,6,FALSE)</f>
      </c>
      <c r="W313" s="12">
        <f>VLOOKUP(S313,ModelOutputs,10,FALSE)*AWC</f>
      </c>
      <c r="X313" s="13">
        <f>VLOOKUP(S313,ModelOutputs,11,FALSE)+X312</f>
      </c>
      <c r="Y313" s="12">
        <f>VLOOKUP(S313,ModelOutputs,12,FALSE)</f>
      </c>
      <c r="Z313" s="13">
        <f>VLOOKUP(S313,ModelOutputs,13,FALSE)</f>
      </c>
    </row>
    <row x14ac:dyDescent="0.25" r="314" customHeight="1" ht="18.75">
      <c r="A314" s="71"/>
      <c r="B314" s="121"/>
      <c r="C314" s="3"/>
      <c r="D314" s="12"/>
      <c r="E314" s="3"/>
      <c r="F314" s="71"/>
      <c r="G314" s="12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134" t="s">
        <v>374</v>
      </c>
      <c r="S314" s="135">
        <f>IF(R314&gt;1,R314,"")</f>
      </c>
      <c r="T314" s="136">
        <f>VLOOKUP(S314,ModelOutputs,2,FALSE)</f>
      </c>
      <c r="U314" s="136">
        <f>VLOOKUP(S314,ModelOutputs,7,FALSE)</f>
      </c>
      <c r="V314" s="135">
        <f>VLOOKUP(S314,ModelOutputs,6,FALSE)</f>
      </c>
      <c r="W314" s="12">
        <f>VLOOKUP(S314,ModelOutputs,10,FALSE)*AWC</f>
      </c>
      <c r="X314" s="13">
        <f>VLOOKUP(S314,ModelOutputs,11,FALSE)+X313</f>
      </c>
      <c r="Y314" s="12">
        <f>VLOOKUP(S314,ModelOutputs,12,FALSE)</f>
      </c>
      <c r="Z314" s="13">
        <f>VLOOKUP(S314,ModelOutputs,13,FALSE)</f>
      </c>
    </row>
    <row x14ac:dyDescent="0.25" r="315" customHeight="1" ht="18.75">
      <c r="A315" s="71"/>
      <c r="B315" s="121"/>
      <c r="C315" s="3"/>
      <c r="D315" s="12"/>
      <c r="E315" s="3"/>
      <c r="F315" s="71"/>
      <c r="G315" s="12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134" t="s">
        <v>374</v>
      </c>
      <c r="S315" s="135">
        <f>IF(R315&gt;1,R315,"")</f>
      </c>
      <c r="T315" s="136">
        <f>VLOOKUP(S315,ModelOutputs,2,FALSE)</f>
      </c>
      <c r="U315" s="136">
        <f>VLOOKUP(S315,ModelOutputs,7,FALSE)</f>
      </c>
      <c r="V315" s="135">
        <f>VLOOKUP(S315,ModelOutputs,6,FALSE)</f>
      </c>
      <c r="W315" s="12">
        <f>VLOOKUP(S315,ModelOutputs,10,FALSE)*AWC</f>
      </c>
      <c r="X315" s="13">
        <f>VLOOKUP(S315,ModelOutputs,11,FALSE)+X314</f>
      </c>
      <c r="Y315" s="12">
        <f>VLOOKUP(S315,ModelOutputs,12,FALSE)</f>
      </c>
      <c r="Z315" s="13">
        <f>VLOOKUP(S315,ModelOutputs,13,FALSE)</f>
      </c>
    </row>
    <row x14ac:dyDescent="0.25" r="316" customHeight="1" ht="18.75">
      <c r="A316" s="71"/>
      <c r="B316" s="121"/>
      <c r="C316" s="3"/>
      <c r="D316" s="12"/>
      <c r="E316" s="3"/>
      <c r="F316" s="71"/>
      <c r="G316" s="12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134" t="s">
        <v>374</v>
      </c>
      <c r="S316" s="135">
        <f>IF(R316&gt;1,R316,"")</f>
      </c>
      <c r="T316" s="136">
        <f>VLOOKUP(S316,ModelOutputs,2,FALSE)</f>
      </c>
      <c r="U316" s="136">
        <f>VLOOKUP(S316,ModelOutputs,7,FALSE)</f>
      </c>
      <c r="V316" s="135">
        <f>VLOOKUP(S316,ModelOutputs,6,FALSE)</f>
      </c>
      <c r="W316" s="12">
        <f>VLOOKUP(S316,ModelOutputs,10,FALSE)*AWC</f>
      </c>
      <c r="X316" s="13">
        <f>VLOOKUP(S316,ModelOutputs,11,FALSE)+X315</f>
      </c>
      <c r="Y316" s="12">
        <f>VLOOKUP(S316,ModelOutputs,12,FALSE)</f>
      </c>
      <c r="Z316" s="13">
        <f>VLOOKUP(S316,ModelOutputs,13,FALSE)</f>
      </c>
    </row>
    <row x14ac:dyDescent="0.25" r="317" customHeight="1" ht="18.75">
      <c r="A317" s="71"/>
      <c r="B317" s="121"/>
      <c r="C317" s="3"/>
      <c r="D317" s="12"/>
      <c r="E317" s="3"/>
      <c r="F317" s="71"/>
      <c r="G317" s="12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134" t="s">
        <v>374</v>
      </c>
      <c r="S317" s="135">
        <f>IF(R317&gt;1,R317,"")</f>
      </c>
      <c r="T317" s="136">
        <f>VLOOKUP(S317,ModelOutputs,2,FALSE)</f>
      </c>
      <c r="U317" s="136">
        <f>VLOOKUP(S317,ModelOutputs,7,FALSE)</f>
      </c>
      <c r="V317" s="135">
        <f>VLOOKUP(S317,ModelOutputs,6,FALSE)</f>
      </c>
      <c r="W317" s="12">
        <f>VLOOKUP(S317,ModelOutputs,10,FALSE)*AWC</f>
      </c>
      <c r="X317" s="13">
        <f>VLOOKUP(S317,ModelOutputs,11,FALSE)+X316</f>
      </c>
      <c r="Y317" s="12">
        <f>VLOOKUP(S317,ModelOutputs,12,FALSE)</f>
      </c>
      <c r="Z317" s="13">
        <f>VLOOKUP(S317,ModelOutputs,13,FALSE)</f>
      </c>
    </row>
    <row x14ac:dyDescent="0.25" r="318" customHeight="1" ht="18.75">
      <c r="A318" s="71"/>
      <c r="B318" s="121"/>
      <c r="C318" s="3"/>
      <c r="D318" s="12"/>
      <c r="E318" s="3"/>
      <c r="F318" s="71"/>
      <c r="G318" s="12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134" t="s">
        <v>374</v>
      </c>
      <c r="S318" s="135">
        <f>IF(R318&gt;1,R318,"")</f>
      </c>
      <c r="T318" s="136">
        <f>VLOOKUP(S318,ModelOutputs,2,FALSE)</f>
      </c>
      <c r="U318" s="136">
        <f>VLOOKUP(S318,ModelOutputs,7,FALSE)</f>
      </c>
      <c r="V318" s="135">
        <f>VLOOKUP(S318,ModelOutputs,6,FALSE)</f>
      </c>
      <c r="W318" s="12">
        <f>VLOOKUP(S318,ModelOutputs,10,FALSE)*AWC</f>
      </c>
      <c r="X318" s="13">
        <f>VLOOKUP(S318,ModelOutputs,11,FALSE)+X317</f>
      </c>
      <c r="Y318" s="12">
        <f>VLOOKUP(S318,ModelOutputs,12,FALSE)</f>
      </c>
      <c r="Z318" s="13">
        <f>VLOOKUP(S318,ModelOutputs,13,FALSE)</f>
      </c>
    </row>
    <row x14ac:dyDescent="0.25" r="319" customHeight="1" ht="18.75">
      <c r="A319" s="71"/>
      <c r="B319" s="121"/>
      <c r="C319" s="3"/>
      <c r="D319" s="12"/>
      <c r="E319" s="3"/>
      <c r="F319" s="71"/>
      <c r="G319" s="12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134" t="s">
        <v>374</v>
      </c>
      <c r="S319" s="135">
        <f>IF(R319&gt;1,R319,"")</f>
      </c>
      <c r="T319" s="136">
        <f>VLOOKUP(S319,ModelOutputs,2,FALSE)</f>
      </c>
      <c r="U319" s="136">
        <f>VLOOKUP(S319,ModelOutputs,7,FALSE)</f>
      </c>
      <c r="V319" s="135">
        <f>VLOOKUP(S319,ModelOutputs,6,FALSE)</f>
      </c>
      <c r="W319" s="12">
        <f>VLOOKUP(S319,ModelOutputs,10,FALSE)*AWC</f>
      </c>
      <c r="X319" s="13">
        <f>VLOOKUP(S319,ModelOutputs,11,FALSE)+X318</f>
      </c>
      <c r="Y319" s="12">
        <f>VLOOKUP(S319,ModelOutputs,12,FALSE)</f>
      </c>
      <c r="Z319" s="13">
        <f>VLOOKUP(S319,ModelOutputs,13,FALSE)</f>
      </c>
    </row>
    <row x14ac:dyDescent="0.25" r="320" customHeight="1" ht="18.75">
      <c r="A320" s="71"/>
      <c r="B320" s="121"/>
      <c r="C320" s="3"/>
      <c r="D320" s="12"/>
      <c r="E320" s="3"/>
      <c r="F320" s="71"/>
      <c r="G320" s="12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134" t="s">
        <v>374</v>
      </c>
      <c r="S320" s="135">
        <f>IF(R320&gt;1,R320,"")</f>
      </c>
      <c r="T320" s="136">
        <f>VLOOKUP(S320,ModelOutputs,2,FALSE)</f>
      </c>
      <c r="U320" s="136">
        <f>VLOOKUP(S320,ModelOutputs,7,FALSE)</f>
      </c>
      <c r="V320" s="135">
        <f>VLOOKUP(S320,ModelOutputs,6,FALSE)</f>
      </c>
      <c r="W320" s="12">
        <f>VLOOKUP(S320,ModelOutputs,10,FALSE)*AWC</f>
      </c>
      <c r="X320" s="13">
        <f>VLOOKUP(S320,ModelOutputs,11,FALSE)+X319</f>
      </c>
      <c r="Y320" s="12">
        <f>VLOOKUP(S320,ModelOutputs,12,FALSE)</f>
      </c>
      <c r="Z320" s="13">
        <f>VLOOKUP(S320,ModelOutputs,13,FALSE)</f>
      </c>
    </row>
    <row x14ac:dyDescent="0.25" r="321" customHeight="1" ht="18.75">
      <c r="A321" s="71"/>
      <c r="B321" s="121"/>
      <c r="C321" s="3"/>
      <c r="D321" s="12"/>
      <c r="E321" s="3"/>
      <c r="F321" s="71"/>
      <c r="G321" s="12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134" t="s">
        <v>374</v>
      </c>
      <c r="S321" s="135">
        <f>IF(R321&gt;1,R321,"")</f>
      </c>
      <c r="T321" s="136">
        <f>VLOOKUP(S321,ModelOutputs,2,FALSE)</f>
      </c>
      <c r="U321" s="136">
        <f>VLOOKUP(S321,ModelOutputs,7,FALSE)</f>
      </c>
      <c r="V321" s="135">
        <f>VLOOKUP(S321,ModelOutputs,6,FALSE)</f>
      </c>
      <c r="W321" s="12">
        <f>VLOOKUP(S321,ModelOutputs,10,FALSE)*AWC</f>
      </c>
      <c r="X321" s="13">
        <f>VLOOKUP(S321,ModelOutputs,11,FALSE)+X320</f>
      </c>
      <c r="Y321" s="12">
        <f>VLOOKUP(S321,ModelOutputs,12,FALSE)</f>
      </c>
      <c r="Z321" s="13">
        <f>VLOOKUP(S321,ModelOutputs,13,FALSE)</f>
      </c>
    </row>
    <row x14ac:dyDescent="0.25" r="322" customHeight="1" ht="18.75">
      <c r="A322" s="71"/>
      <c r="B322" s="121"/>
      <c r="C322" s="3"/>
      <c r="D322" s="12"/>
      <c r="E322" s="3"/>
      <c r="F322" s="71"/>
      <c r="G322" s="12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134" t="s">
        <v>374</v>
      </c>
      <c r="S322" s="135">
        <f>IF(R322&gt;1,R322,"")</f>
      </c>
      <c r="T322" s="136">
        <f>VLOOKUP(S322,ModelOutputs,2,FALSE)</f>
      </c>
      <c r="U322" s="136">
        <f>VLOOKUP(S322,ModelOutputs,7,FALSE)</f>
      </c>
      <c r="V322" s="135">
        <f>VLOOKUP(S322,ModelOutputs,6,FALSE)</f>
      </c>
      <c r="W322" s="12">
        <f>VLOOKUP(S322,ModelOutputs,10,FALSE)*AWC</f>
      </c>
      <c r="X322" s="13">
        <f>VLOOKUP(S322,ModelOutputs,11,FALSE)+X321</f>
      </c>
      <c r="Y322" s="12">
        <f>VLOOKUP(S322,ModelOutputs,12,FALSE)</f>
      </c>
      <c r="Z322" s="13">
        <f>VLOOKUP(S322,ModelOutputs,13,FALSE)</f>
      </c>
    </row>
    <row x14ac:dyDescent="0.25" r="323" customHeight="1" ht="18.75">
      <c r="A323" s="71"/>
      <c r="B323" s="121"/>
      <c r="C323" s="3"/>
      <c r="D323" s="12"/>
      <c r="E323" s="3"/>
      <c r="F323" s="71"/>
      <c r="G323" s="12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134" t="s">
        <v>374</v>
      </c>
      <c r="S323" s="135">
        <f>IF(R323&gt;1,R323,"")</f>
      </c>
      <c r="T323" s="136">
        <f>VLOOKUP(S323,ModelOutputs,2,FALSE)</f>
      </c>
      <c r="U323" s="136">
        <f>VLOOKUP(S323,ModelOutputs,7,FALSE)</f>
      </c>
      <c r="V323" s="135">
        <f>VLOOKUP(S323,ModelOutputs,6,FALSE)</f>
      </c>
      <c r="W323" s="12">
        <f>VLOOKUP(S323,ModelOutputs,10,FALSE)*AWC</f>
      </c>
      <c r="X323" s="13">
        <f>VLOOKUP(S323,ModelOutputs,11,FALSE)+X322</f>
      </c>
      <c r="Y323" s="12">
        <f>VLOOKUP(S323,ModelOutputs,12,FALSE)</f>
      </c>
      <c r="Z323" s="13">
        <f>VLOOKUP(S323,ModelOutputs,13,FALSE)</f>
      </c>
    </row>
    <row x14ac:dyDescent="0.25" r="324" customHeight="1" ht="18.75">
      <c r="A324" s="71"/>
      <c r="B324" s="121"/>
      <c r="C324" s="3"/>
      <c r="D324" s="12"/>
      <c r="E324" s="3"/>
      <c r="F324" s="71"/>
      <c r="G324" s="12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134" t="s">
        <v>374</v>
      </c>
      <c r="S324" s="135">
        <f>IF(R324&gt;1,R324,"")</f>
      </c>
      <c r="T324" s="136">
        <f>VLOOKUP(S324,ModelOutputs,2,FALSE)</f>
      </c>
      <c r="U324" s="136">
        <f>VLOOKUP(S324,ModelOutputs,7,FALSE)</f>
      </c>
      <c r="V324" s="135">
        <f>VLOOKUP(S324,ModelOutputs,6,FALSE)</f>
      </c>
      <c r="W324" s="12">
        <f>VLOOKUP(S324,ModelOutputs,10,FALSE)*AWC</f>
      </c>
      <c r="X324" s="13">
        <f>VLOOKUP(S324,ModelOutputs,11,FALSE)+X323</f>
      </c>
      <c r="Y324" s="12">
        <f>VLOOKUP(S324,ModelOutputs,12,FALSE)</f>
      </c>
      <c r="Z324" s="13">
        <f>VLOOKUP(S324,ModelOutputs,13,FALSE)</f>
      </c>
    </row>
    <row x14ac:dyDescent="0.25" r="325" customHeight="1" ht="18.75">
      <c r="A325" s="71"/>
      <c r="B325" s="121"/>
      <c r="C325" s="3"/>
      <c r="D325" s="12"/>
      <c r="E325" s="3"/>
      <c r="F325" s="71"/>
      <c r="G325" s="12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134" t="s">
        <v>374</v>
      </c>
      <c r="S325" s="135">
        <f>IF(R325&gt;1,R325,"")</f>
      </c>
      <c r="T325" s="136">
        <f>VLOOKUP(S325,ModelOutputs,2,FALSE)</f>
      </c>
      <c r="U325" s="136">
        <f>VLOOKUP(S325,ModelOutputs,7,FALSE)</f>
      </c>
      <c r="V325" s="135">
        <f>VLOOKUP(S325,ModelOutputs,6,FALSE)</f>
      </c>
      <c r="W325" s="12">
        <f>VLOOKUP(S325,ModelOutputs,10,FALSE)*AWC</f>
      </c>
      <c r="X325" s="13">
        <f>VLOOKUP(S325,ModelOutputs,11,FALSE)+X324</f>
      </c>
      <c r="Y325" s="12">
        <f>VLOOKUP(S325,ModelOutputs,12,FALSE)</f>
      </c>
      <c r="Z325" s="13">
        <f>VLOOKUP(S325,ModelOutputs,13,FALSE)</f>
      </c>
    </row>
    <row x14ac:dyDescent="0.25" r="326" customHeight="1" ht="18.75">
      <c r="A326" s="71"/>
      <c r="B326" s="121"/>
      <c r="C326" s="3"/>
      <c r="D326" s="12"/>
      <c r="E326" s="3"/>
      <c r="F326" s="71"/>
      <c r="G326" s="12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134" t="s">
        <v>374</v>
      </c>
      <c r="S326" s="135">
        <f>IF(R326&gt;1,R326,"")</f>
      </c>
      <c r="T326" s="136">
        <f>VLOOKUP(S326,ModelOutputs,2,FALSE)</f>
      </c>
      <c r="U326" s="136">
        <f>VLOOKUP(S326,ModelOutputs,7,FALSE)</f>
      </c>
      <c r="V326" s="135">
        <f>VLOOKUP(S326,ModelOutputs,6,FALSE)</f>
      </c>
      <c r="W326" s="12">
        <f>VLOOKUP(S326,ModelOutputs,10,FALSE)*AWC</f>
      </c>
      <c r="X326" s="13">
        <f>VLOOKUP(S326,ModelOutputs,11,FALSE)+X325</f>
      </c>
      <c r="Y326" s="12">
        <f>VLOOKUP(S326,ModelOutputs,12,FALSE)</f>
      </c>
      <c r="Z326" s="13">
        <f>VLOOKUP(S326,ModelOutputs,13,FALSE)</f>
      </c>
    </row>
    <row x14ac:dyDescent="0.25" r="327" customHeight="1" ht="18.75">
      <c r="A327" s="71"/>
      <c r="B327" s="121"/>
      <c r="C327" s="3"/>
      <c r="D327" s="12"/>
      <c r="E327" s="3"/>
      <c r="F327" s="71"/>
      <c r="G327" s="12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134" t="s">
        <v>374</v>
      </c>
      <c r="S327" s="135">
        <f>IF(R327&gt;1,R327,"")</f>
      </c>
      <c r="T327" s="136">
        <f>VLOOKUP(S327,ModelOutputs,2,FALSE)</f>
      </c>
      <c r="U327" s="136">
        <f>VLOOKUP(S327,ModelOutputs,7,FALSE)</f>
      </c>
      <c r="V327" s="135">
        <f>VLOOKUP(S327,ModelOutputs,6,FALSE)</f>
      </c>
      <c r="W327" s="12">
        <f>VLOOKUP(S327,ModelOutputs,10,FALSE)*AWC</f>
      </c>
      <c r="X327" s="13">
        <f>VLOOKUP(S327,ModelOutputs,11,FALSE)+X326</f>
      </c>
      <c r="Y327" s="12">
        <f>VLOOKUP(S327,ModelOutputs,12,FALSE)</f>
      </c>
      <c r="Z327" s="13">
        <f>VLOOKUP(S327,ModelOutputs,13,FALSE)</f>
      </c>
    </row>
    <row x14ac:dyDescent="0.25" r="328" customHeight="1" ht="18.75">
      <c r="A328" s="71"/>
      <c r="B328" s="121"/>
      <c r="C328" s="3"/>
      <c r="D328" s="12"/>
      <c r="E328" s="3"/>
      <c r="F328" s="71"/>
      <c r="G328" s="12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134" t="s">
        <v>374</v>
      </c>
      <c r="S328" s="135">
        <f>IF(R328&gt;1,R328,"")</f>
      </c>
      <c r="T328" s="136">
        <f>VLOOKUP(S328,ModelOutputs,2,FALSE)</f>
      </c>
      <c r="U328" s="136">
        <f>VLOOKUP(S328,ModelOutputs,7,FALSE)</f>
      </c>
      <c r="V328" s="135">
        <f>VLOOKUP(S328,ModelOutputs,6,FALSE)</f>
      </c>
      <c r="W328" s="12">
        <f>VLOOKUP(S328,ModelOutputs,10,FALSE)*AWC</f>
      </c>
      <c r="X328" s="13">
        <f>VLOOKUP(S328,ModelOutputs,11,FALSE)+X327</f>
      </c>
      <c r="Y328" s="12">
        <f>VLOOKUP(S328,ModelOutputs,12,FALSE)</f>
      </c>
      <c r="Z328" s="13">
        <f>VLOOKUP(S328,ModelOutputs,13,FALSE)</f>
      </c>
    </row>
    <row x14ac:dyDescent="0.25" r="329" customHeight="1" ht="18.75">
      <c r="A329" s="71"/>
      <c r="B329" s="121"/>
      <c r="C329" s="3"/>
      <c r="D329" s="12"/>
      <c r="E329" s="3"/>
      <c r="F329" s="71"/>
      <c r="G329" s="12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134" t="s">
        <v>374</v>
      </c>
      <c r="S329" s="135">
        <f>IF(R329&gt;1,R329,"")</f>
      </c>
      <c r="T329" s="136">
        <f>VLOOKUP(S329,ModelOutputs,2,FALSE)</f>
      </c>
      <c r="U329" s="136">
        <f>VLOOKUP(S329,ModelOutputs,7,FALSE)</f>
      </c>
      <c r="V329" s="135">
        <f>VLOOKUP(S329,ModelOutputs,6,FALSE)</f>
      </c>
      <c r="W329" s="12">
        <f>VLOOKUP(S329,ModelOutputs,10,FALSE)*AWC</f>
      </c>
      <c r="X329" s="13">
        <f>VLOOKUP(S329,ModelOutputs,11,FALSE)+X328</f>
      </c>
      <c r="Y329" s="12">
        <f>VLOOKUP(S329,ModelOutputs,12,FALSE)</f>
      </c>
      <c r="Z329" s="13">
        <f>VLOOKUP(S329,ModelOutputs,13,FALSE)</f>
      </c>
    </row>
    <row x14ac:dyDescent="0.25" r="330" customHeight="1" ht="18.75">
      <c r="A330" s="71"/>
      <c r="B330" s="121"/>
      <c r="C330" s="3"/>
      <c r="D330" s="12"/>
      <c r="E330" s="3"/>
      <c r="F330" s="71"/>
      <c r="G330" s="12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134" t="s">
        <v>374</v>
      </c>
      <c r="S330" s="135">
        <f>IF(R330&gt;1,R330,"")</f>
      </c>
      <c r="T330" s="136">
        <f>VLOOKUP(S330,ModelOutputs,2,FALSE)</f>
      </c>
      <c r="U330" s="136">
        <f>VLOOKUP(S330,ModelOutputs,7,FALSE)</f>
      </c>
      <c r="V330" s="135">
        <f>VLOOKUP(S330,ModelOutputs,6,FALSE)</f>
      </c>
      <c r="W330" s="12">
        <f>VLOOKUP(S330,ModelOutputs,10,FALSE)*AWC</f>
      </c>
      <c r="X330" s="13">
        <f>VLOOKUP(S330,ModelOutputs,11,FALSE)+X329</f>
      </c>
      <c r="Y330" s="12">
        <f>VLOOKUP(S330,ModelOutputs,12,FALSE)</f>
      </c>
      <c r="Z330" s="13">
        <f>VLOOKUP(S330,ModelOutputs,13,FALSE)</f>
      </c>
    </row>
    <row x14ac:dyDescent="0.25" r="331" customHeight="1" ht="18.75">
      <c r="A331" s="71"/>
      <c r="B331" s="121"/>
      <c r="C331" s="3"/>
      <c r="D331" s="12"/>
      <c r="E331" s="3"/>
      <c r="F331" s="71"/>
      <c r="G331" s="12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134" t="s">
        <v>374</v>
      </c>
      <c r="S331" s="135">
        <f>IF(R331&gt;1,R331,"")</f>
      </c>
      <c r="T331" s="136">
        <f>VLOOKUP(S331,ModelOutputs,2,FALSE)</f>
      </c>
      <c r="U331" s="136">
        <f>VLOOKUP(S331,ModelOutputs,7,FALSE)</f>
      </c>
      <c r="V331" s="135">
        <f>VLOOKUP(S331,ModelOutputs,6,FALSE)</f>
      </c>
      <c r="W331" s="12">
        <f>VLOOKUP(S331,ModelOutputs,10,FALSE)*AWC</f>
      </c>
      <c r="X331" s="13">
        <f>VLOOKUP(S331,ModelOutputs,11,FALSE)+X330</f>
      </c>
      <c r="Y331" s="12">
        <f>VLOOKUP(S331,ModelOutputs,12,FALSE)</f>
      </c>
      <c r="Z331" s="13">
        <f>VLOOKUP(S331,ModelOutputs,13,FALSE)</f>
      </c>
    </row>
    <row x14ac:dyDescent="0.25" r="332" customHeight="1" ht="18.75">
      <c r="A332" s="71"/>
      <c r="B332" s="121"/>
      <c r="C332" s="3"/>
      <c r="D332" s="12"/>
      <c r="E332" s="3"/>
      <c r="F332" s="71"/>
      <c r="G332" s="12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134" t="s">
        <v>374</v>
      </c>
      <c r="S332" s="135">
        <f>IF(R332&gt;1,R332,"")</f>
      </c>
      <c r="T332" s="136">
        <f>VLOOKUP(S332,ModelOutputs,2,FALSE)</f>
      </c>
      <c r="U332" s="136">
        <f>VLOOKUP(S332,ModelOutputs,7,FALSE)</f>
      </c>
      <c r="V332" s="135">
        <f>VLOOKUP(S332,ModelOutputs,6,FALSE)</f>
      </c>
      <c r="W332" s="12">
        <f>VLOOKUP(S332,ModelOutputs,10,FALSE)*AWC</f>
      </c>
      <c r="X332" s="13">
        <f>VLOOKUP(S332,ModelOutputs,11,FALSE)+X331</f>
      </c>
      <c r="Y332" s="12">
        <f>VLOOKUP(S332,ModelOutputs,12,FALSE)</f>
      </c>
      <c r="Z332" s="13">
        <f>VLOOKUP(S332,ModelOutputs,13,FALSE)</f>
      </c>
    </row>
    <row x14ac:dyDescent="0.25" r="333" customHeight="1" ht="18.75">
      <c r="A333" s="71"/>
      <c r="B333" s="121"/>
      <c r="C333" s="3"/>
      <c r="D333" s="12"/>
      <c r="E333" s="3"/>
      <c r="F333" s="71"/>
      <c r="G333" s="12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134" t="s">
        <v>374</v>
      </c>
      <c r="S333" s="135">
        <f>IF(R333&gt;1,R333,"")</f>
      </c>
      <c r="T333" s="136">
        <f>VLOOKUP(S333,ModelOutputs,2,FALSE)</f>
      </c>
      <c r="U333" s="136">
        <f>VLOOKUP(S333,ModelOutputs,7,FALSE)</f>
      </c>
      <c r="V333" s="135">
        <f>VLOOKUP(S333,ModelOutputs,6,FALSE)</f>
      </c>
      <c r="W333" s="12">
        <f>VLOOKUP(S333,ModelOutputs,10,FALSE)*AWC</f>
      </c>
      <c r="X333" s="13">
        <f>VLOOKUP(S333,ModelOutputs,11,FALSE)+X332</f>
      </c>
      <c r="Y333" s="12">
        <f>VLOOKUP(S333,ModelOutputs,12,FALSE)</f>
      </c>
      <c r="Z333" s="13">
        <f>VLOOKUP(S333,ModelOutputs,13,FALSE)</f>
      </c>
    </row>
    <row x14ac:dyDescent="0.25" r="334" customHeight="1" ht="18.75">
      <c r="A334" s="71"/>
      <c r="B334" s="121"/>
      <c r="C334" s="3"/>
      <c r="D334" s="12"/>
      <c r="E334" s="3"/>
      <c r="F334" s="71"/>
      <c r="G334" s="12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134" t="s">
        <v>374</v>
      </c>
      <c r="S334" s="135">
        <f>IF(R334&gt;1,R334,"")</f>
      </c>
      <c r="T334" s="136">
        <f>VLOOKUP(S334,ModelOutputs,2,FALSE)</f>
      </c>
      <c r="U334" s="136">
        <f>VLOOKUP(S334,ModelOutputs,7,FALSE)</f>
      </c>
      <c r="V334" s="135">
        <f>VLOOKUP(S334,ModelOutputs,6,FALSE)</f>
      </c>
      <c r="W334" s="12">
        <f>VLOOKUP(S334,ModelOutputs,10,FALSE)*AWC</f>
      </c>
      <c r="X334" s="13">
        <f>VLOOKUP(S334,ModelOutputs,11,FALSE)+X333</f>
      </c>
      <c r="Y334" s="12">
        <f>VLOOKUP(S334,ModelOutputs,12,FALSE)</f>
      </c>
      <c r="Z334" s="13">
        <f>VLOOKUP(S334,ModelOutputs,13,FALSE)</f>
      </c>
    </row>
    <row x14ac:dyDescent="0.25" r="335" customHeight="1" ht="18.75">
      <c r="A335" s="71"/>
      <c r="B335" s="121"/>
      <c r="C335" s="3"/>
      <c r="D335" s="12"/>
      <c r="E335" s="3"/>
      <c r="F335" s="71"/>
      <c r="G335" s="12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134" t="s">
        <v>374</v>
      </c>
      <c r="S335" s="135">
        <f>IF(R335&gt;1,R335,"")</f>
      </c>
      <c r="T335" s="136">
        <f>VLOOKUP(S335,ModelOutputs,2,FALSE)</f>
      </c>
      <c r="U335" s="136">
        <f>VLOOKUP(S335,ModelOutputs,7,FALSE)</f>
      </c>
      <c r="V335" s="135">
        <f>VLOOKUP(S335,ModelOutputs,6,FALSE)</f>
      </c>
      <c r="W335" s="12">
        <f>VLOOKUP(S335,ModelOutputs,10,FALSE)*AWC</f>
      </c>
      <c r="X335" s="13">
        <f>VLOOKUP(S335,ModelOutputs,11,FALSE)+X334</f>
      </c>
      <c r="Y335" s="12">
        <f>VLOOKUP(S335,ModelOutputs,12,FALSE)</f>
      </c>
      <c r="Z335" s="13">
        <f>VLOOKUP(S335,ModelOutputs,13,FALSE)</f>
      </c>
    </row>
    <row x14ac:dyDescent="0.25" r="336" customHeight="1" ht="18.75">
      <c r="A336" s="71"/>
      <c r="B336" s="121"/>
      <c r="C336" s="3"/>
      <c r="D336" s="12"/>
      <c r="E336" s="3"/>
      <c r="F336" s="71"/>
      <c r="G336" s="12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134" t="s">
        <v>374</v>
      </c>
      <c r="S336" s="135">
        <f>IF(R336&gt;1,R336,"")</f>
      </c>
      <c r="T336" s="136">
        <f>VLOOKUP(S336,ModelOutputs,2,FALSE)</f>
      </c>
      <c r="U336" s="136">
        <f>VLOOKUP(S336,ModelOutputs,7,FALSE)</f>
      </c>
      <c r="V336" s="135">
        <f>VLOOKUP(S336,ModelOutputs,6,FALSE)</f>
      </c>
      <c r="W336" s="12">
        <f>VLOOKUP(S336,ModelOutputs,10,FALSE)*AWC</f>
      </c>
      <c r="X336" s="13">
        <f>VLOOKUP(S336,ModelOutputs,11,FALSE)+X335</f>
      </c>
      <c r="Y336" s="12">
        <f>VLOOKUP(S336,ModelOutputs,12,FALSE)</f>
      </c>
      <c r="Z336" s="13">
        <f>VLOOKUP(S336,ModelOutputs,13,FALSE)</f>
      </c>
    </row>
    <row x14ac:dyDescent="0.25" r="337" customHeight="1" ht="18.75">
      <c r="A337" s="71"/>
      <c r="B337" s="121"/>
      <c r="C337" s="3"/>
      <c r="D337" s="12"/>
      <c r="E337" s="3"/>
      <c r="F337" s="71"/>
      <c r="G337" s="12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134" t="s">
        <v>374</v>
      </c>
      <c r="S337" s="135">
        <f>IF(R337&gt;1,R337,"")</f>
      </c>
      <c r="T337" s="136">
        <f>VLOOKUP(S337,ModelOutputs,2,FALSE)</f>
      </c>
      <c r="U337" s="136">
        <f>VLOOKUP(S337,ModelOutputs,7,FALSE)</f>
      </c>
      <c r="V337" s="135">
        <f>VLOOKUP(S337,ModelOutputs,6,FALSE)</f>
      </c>
      <c r="W337" s="12">
        <f>VLOOKUP(S337,ModelOutputs,10,FALSE)*AWC</f>
      </c>
      <c r="X337" s="13">
        <f>VLOOKUP(S337,ModelOutputs,11,FALSE)+X336</f>
      </c>
      <c r="Y337" s="12">
        <f>VLOOKUP(S337,ModelOutputs,12,FALSE)</f>
      </c>
      <c r="Z337" s="13">
        <f>VLOOKUP(S337,ModelOutputs,13,FALSE)</f>
      </c>
    </row>
    <row x14ac:dyDescent="0.25" r="338" customHeight="1" ht="18.75">
      <c r="A338" s="71"/>
      <c r="B338" s="121"/>
      <c r="C338" s="3"/>
      <c r="D338" s="12"/>
      <c r="E338" s="3"/>
      <c r="F338" s="71"/>
      <c r="G338" s="12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134" t="s">
        <v>374</v>
      </c>
      <c r="S338" s="135">
        <f>IF(R338&gt;1,R338,"")</f>
      </c>
      <c r="T338" s="136">
        <f>VLOOKUP(S338,ModelOutputs,2,FALSE)</f>
      </c>
      <c r="U338" s="136">
        <f>VLOOKUP(S338,ModelOutputs,7,FALSE)</f>
      </c>
      <c r="V338" s="135">
        <f>VLOOKUP(S338,ModelOutputs,6,FALSE)</f>
      </c>
      <c r="W338" s="12">
        <f>VLOOKUP(S338,ModelOutputs,10,FALSE)*AWC</f>
      </c>
      <c r="X338" s="13">
        <f>VLOOKUP(S338,ModelOutputs,11,FALSE)+X337</f>
      </c>
      <c r="Y338" s="12">
        <f>VLOOKUP(S338,ModelOutputs,12,FALSE)</f>
      </c>
      <c r="Z338" s="13">
        <f>VLOOKUP(S338,ModelOutputs,13,FALSE)</f>
      </c>
    </row>
    <row x14ac:dyDescent="0.25" r="339" customHeight="1" ht="18.75">
      <c r="A339" s="71"/>
      <c r="B339" s="121"/>
      <c r="C339" s="3"/>
      <c r="D339" s="12"/>
      <c r="E339" s="3"/>
      <c r="F339" s="71"/>
      <c r="G339" s="12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134" t="s">
        <v>374</v>
      </c>
      <c r="S339" s="135">
        <f>IF(R339&gt;1,R339,"")</f>
      </c>
      <c r="T339" s="136">
        <f>VLOOKUP(S339,ModelOutputs,2,FALSE)</f>
      </c>
      <c r="U339" s="136">
        <f>VLOOKUP(S339,ModelOutputs,7,FALSE)</f>
      </c>
      <c r="V339" s="135">
        <f>VLOOKUP(S339,ModelOutputs,6,FALSE)</f>
      </c>
      <c r="W339" s="12">
        <f>VLOOKUP(S339,ModelOutputs,10,FALSE)*AWC</f>
      </c>
      <c r="X339" s="13">
        <f>VLOOKUP(S339,ModelOutputs,11,FALSE)+X338</f>
      </c>
      <c r="Y339" s="12">
        <f>VLOOKUP(S339,ModelOutputs,12,FALSE)</f>
      </c>
      <c r="Z339" s="13">
        <f>VLOOKUP(S339,ModelOutputs,13,FALSE)</f>
      </c>
    </row>
    <row x14ac:dyDescent="0.25" r="340" customHeight="1" ht="18.75">
      <c r="A340" s="71"/>
      <c r="B340" s="121"/>
      <c r="C340" s="3"/>
      <c r="D340" s="12"/>
      <c r="E340" s="3"/>
      <c r="F340" s="71"/>
      <c r="G340" s="12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134" t="s">
        <v>374</v>
      </c>
      <c r="S340" s="135">
        <f>IF(R340&gt;1,R340,"")</f>
      </c>
      <c r="T340" s="136">
        <f>VLOOKUP(S340,ModelOutputs,2,FALSE)</f>
      </c>
      <c r="U340" s="136">
        <f>VLOOKUP(S340,ModelOutputs,7,FALSE)</f>
      </c>
      <c r="V340" s="135">
        <f>VLOOKUP(S340,ModelOutputs,6,FALSE)</f>
      </c>
      <c r="W340" s="12">
        <f>VLOOKUP(S340,ModelOutputs,10,FALSE)*AWC</f>
      </c>
      <c r="X340" s="13">
        <f>VLOOKUP(S340,ModelOutputs,11,FALSE)+X339</f>
      </c>
      <c r="Y340" s="12">
        <f>VLOOKUP(S340,ModelOutputs,12,FALSE)</f>
      </c>
      <c r="Z340" s="13">
        <f>VLOOKUP(S340,ModelOutputs,13,FALSE)</f>
      </c>
    </row>
    <row x14ac:dyDescent="0.25" r="341" customHeight="1" ht="18.75">
      <c r="A341" s="71"/>
      <c r="B341" s="121"/>
      <c r="C341" s="3"/>
      <c r="D341" s="12"/>
      <c r="E341" s="3"/>
      <c r="F341" s="71"/>
      <c r="G341" s="12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134" t="s">
        <v>374</v>
      </c>
      <c r="S341" s="135">
        <f>IF(R341&gt;1,R341,"")</f>
      </c>
      <c r="T341" s="136">
        <f>VLOOKUP(S341,ModelOutputs,2,FALSE)</f>
      </c>
      <c r="U341" s="136">
        <f>VLOOKUP(S341,ModelOutputs,7,FALSE)</f>
      </c>
      <c r="V341" s="135">
        <f>VLOOKUP(S341,ModelOutputs,6,FALSE)</f>
      </c>
      <c r="W341" s="12">
        <f>VLOOKUP(S341,ModelOutputs,10,FALSE)*AWC</f>
      </c>
      <c r="X341" s="13">
        <f>VLOOKUP(S341,ModelOutputs,11,FALSE)+X340</f>
      </c>
      <c r="Y341" s="12">
        <f>VLOOKUP(S341,ModelOutputs,12,FALSE)</f>
      </c>
      <c r="Z341" s="13">
        <f>VLOOKUP(S341,ModelOutputs,13,FALSE)</f>
      </c>
    </row>
    <row x14ac:dyDescent="0.25" r="342" customHeight="1" ht="18.75">
      <c r="A342" s="71"/>
      <c r="B342" s="121"/>
      <c r="C342" s="3"/>
      <c r="D342" s="12"/>
      <c r="E342" s="3"/>
      <c r="F342" s="71"/>
      <c r="G342" s="12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134" t="s">
        <v>374</v>
      </c>
      <c r="S342" s="135">
        <f>IF(R342&gt;1,R342,"")</f>
      </c>
      <c r="T342" s="136">
        <f>VLOOKUP(S342,ModelOutputs,2,FALSE)</f>
      </c>
      <c r="U342" s="136">
        <f>VLOOKUP(S342,ModelOutputs,7,FALSE)</f>
      </c>
      <c r="V342" s="135">
        <f>VLOOKUP(S342,ModelOutputs,6,FALSE)</f>
      </c>
      <c r="W342" s="12">
        <f>VLOOKUP(S342,ModelOutputs,10,FALSE)*AWC</f>
      </c>
      <c r="X342" s="13">
        <f>VLOOKUP(S342,ModelOutputs,11,FALSE)+X341</f>
      </c>
      <c r="Y342" s="12">
        <f>VLOOKUP(S342,ModelOutputs,12,FALSE)</f>
      </c>
      <c r="Z342" s="13">
        <f>VLOOKUP(S342,ModelOutputs,13,FALSE)</f>
      </c>
    </row>
    <row x14ac:dyDescent="0.25" r="343" customHeight="1" ht="18.75">
      <c r="A343" s="71"/>
      <c r="B343" s="121"/>
      <c r="C343" s="3"/>
      <c r="D343" s="12"/>
      <c r="E343" s="3"/>
      <c r="F343" s="71"/>
      <c r="G343" s="12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134" t="s">
        <v>374</v>
      </c>
      <c r="S343" s="135">
        <f>IF(R343&gt;1,R343,"")</f>
      </c>
      <c r="T343" s="136">
        <f>VLOOKUP(S343,ModelOutputs,2,FALSE)</f>
      </c>
      <c r="U343" s="136">
        <f>VLOOKUP(S343,ModelOutputs,7,FALSE)</f>
      </c>
      <c r="V343" s="135">
        <f>VLOOKUP(S343,ModelOutputs,6,FALSE)</f>
      </c>
      <c r="W343" s="12">
        <f>VLOOKUP(S343,ModelOutputs,10,FALSE)*AWC</f>
      </c>
      <c r="X343" s="13">
        <f>VLOOKUP(S343,ModelOutputs,11,FALSE)+X342</f>
      </c>
      <c r="Y343" s="12">
        <f>VLOOKUP(S343,ModelOutputs,12,FALSE)</f>
      </c>
      <c r="Z343" s="13">
        <f>VLOOKUP(S343,ModelOutputs,13,FALSE)</f>
      </c>
    </row>
    <row x14ac:dyDescent="0.25" r="344" customHeight="1" ht="18.75">
      <c r="A344" s="71"/>
      <c r="B344" s="121"/>
      <c r="C344" s="3"/>
      <c r="D344" s="12"/>
      <c r="E344" s="3"/>
      <c r="F344" s="71"/>
      <c r="G344" s="12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134" t="s">
        <v>374</v>
      </c>
      <c r="S344" s="135">
        <f>IF(R344&gt;1,R344,"")</f>
      </c>
      <c r="T344" s="136">
        <f>VLOOKUP(S344,ModelOutputs,2,FALSE)</f>
      </c>
      <c r="U344" s="136">
        <f>VLOOKUP(S344,ModelOutputs,7,FALSE)</f>
      </c>
      <c r="V344" s="135">
        <f>VLOOKUP(S344,ModelOutputs,6,FALSE)</f>
      </c>
      <c r="W344" s="12">
        <f>VLOOKUP(S344,ModelOutputs,10,FALSE)*AWC</f>
      </c>
      <c r="X344" s="13">
        <f>VLOOKUP(S344,ModelOutputs,11,FALSE)+X343</f>
      </c>
      <c r="Y344" s="12">
        <f>VLOOKUP(S344,ModelOutputs,12,FALSE)</f>
      </c>
      <c r="Z344" s="13">
        <f>VLOOKUP(S344,ModelOutputs,13,FALSE)</f>
      </c>
    </row>
    <row x14ac:dyDescent="0.25" r="345" customHeight="1" ht="18.75">
      <c r="A345" s="71"/>
      <c r="B345" s="121"/>
      <c r="C345" s="3"/>
      <c r="D345" s="12"/>
      <c r="E345" s="3"/>
      <c r="F345" s="71"/>
      <c r="G345" s="12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134" t="s">
        <v>374</v>
      </c>
      <c r="S345" s="135">
        <f>IF(R345&gt;1,R345,"")</f>
      </c>
      <c r="T345" s="136">
        <f>VLOOKUP(S345,ModelOutputs,2,FALSE)</f>
      </c>
      <c r="U345" s="136">
        <f>VLOOKUP(S345,ModelOutputs,7,FALSE)</f>
      </c>
      <c r="V345" s="135">
        <f>VLOOKUP(S345,ModelOutputs,6,FALSE)</f>
      </c>
      <c r="W345" s="12">
        <f>VLOOKUP(S345,ModelOutputs,10,FALSE)*AWC</f>
      </c>
      <c r="X345" s="13">
        <f>VLOOKUP(S345,ModelOutputs,11,FALSE)+X344</f>
      </c>
      <c r="Y345" s="12">
        <f>VLOOKUP(S345,ModelOutputs,12,FALSE)</f>
      </c>
      <c r="Z345" s="13">
        <f>VLOOKUP(S345,ModelOutputs,13,FALSE)</f>
      </c>
    </row>
    <row x14ac:dyDescent="0.25" r="346" customHeight="1" ht="18.75">
      <c r="A346" s="71"/>
      <c r="B346" s="121"/>
      <c r="C346" s="3"/>
      <c r="D346" s="12"/>
      <c r="E346" s="3"/>
      <c r="F346" s="71"/>
      <c r="G346" s="12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134" t="s">
        <v>374</v>
      </c>
      <c r="S346" s="135">
        <f>IF(R346&gt;1,R346,"")</f>
      </c>
      <c r="T346" s="136">
        <f>VLOOKUP(S346,ModelOutputs,2,FALSE)</f>
      </c>
      <c r="U346" s="136">
        <f>VLOOKUP(S346,ModelOutputs,7,FALSE)</f>
      </c>
      <c r="V346" s="135">
        <f>VLOOKUP(S346,ModelOutputs,6,FALSE)</f>
      </c>
      <c r="W346" s="12">
        <f>VLOOKUP(S346,ModelOutputs,10,FALSE)*AWC</f>
      </c>
      <c r="X346" s="13">
        <f>VLOOKUP(S346,ModelOutputs,11,FALSE)+X345</f>
      </c>
      <c r="Y346" s="12">
        <f>VLOOKUP(S346,ModelOutputs,12,FALSE)</f>
      </c>
      <c r="Z346" s="13">
        <f>VLOOKUP(S346,ModelOutputs,13,FALSE)</f>
      </c>
    </row>
    <row x14ac:dyDescent="0.25" r="347" customHeight="1" ht="18.75">
      <c r="A347" s="71"/>
      <c r="B347" s="121"/>
      <c r="C347" s="3"/>
      <c r="D347" s="12"/>
      <c r="E347" s="3"/>
      <c r="F347" s="71"/>
      <c r="G347" s="12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134" t="s">
        <v>374</v>
      </c>
      <c r="S347" s="135">
        <f>IF(R347&gt;1,R347,"")</f>
      </c>
      <c r="T347" s="136">
        <f>VLOOKUP(S347,ModelOutputs,2,FALSE)</f>
      </c>
      <c r="U347" s="136">
        <f>VLOOKUP(S347,ModelOutputs,7,FALSE)</f>
      </c>
      <c r="V347" s="135">
        <f>VLOOKUP(S347,ModelOutputs,6,FALSE)</f>
      </c>
      <c r="W347" s="12">
        <f>VLOOKUP(S347,ModelOutputs,10,FALSE)*AWC</f>
      </c>
      <c r="X347" s="13">
        <f>VLOOKUP(S347,ModelOutputs,11,FALSE)+X346</f>
      </c>
      <c r="Y347" s="12">
        <f>VLOOKUP(S347,ModelOutputs,12,FALSE)</f>
      </c>
      <c r="Z347" s="13">
        <f>VLOOKUP(S347,ModelOutputs,13,FALSE)</f>
      </c>
    </row>
    <row x14ac:dyDescent="0.25" r="348" customHeight="1" ht="18.75">
      <c r="A348" s="71"/>
      <c r="B348" s="121"/>
      <c r="C348" s="3"/>
      <c r="D348" s="12"/>
      <c r="E348" s="3"/>
      <c r="F348" s="71"/>
      <c r="G348" s="12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134" t="s">
        <v>374</v>
      </c>
      <c r="S348" s="135">
        <f>IF(R348&gt;1,R348,"")</f>
      </c>
      <c r="T348" s="136">
        <f>VLOOKUP(S348,ModelOutputs,2,FALSE)</f>
      </c>
      <c r="U348" s="136">
        <f>VLOOKUP(S348,ModelOutputs,7,FALSE)</f>
      </c>
      <c r="V348" s="135">
        <f>VLOOKUP(S348,ModelOutputs,6,FALSE)</f>
      </c>
      <c r="W348" s="12">
        <f>VLOOKUP(S348,ModelOutputs,10,FALSE)*AWC</f>
      </c>
      <c r="X348" s="13">
        <f>VLOOKUP(S348,ModelOutputs,11,FALSE)+X347</f>
      </c>
      <c r="Y348" s="12">
        <f>VLOOKUP(S348,ModelOutputs,12,FALSE)</f>
      </c>
      <c r="Z348" s="13">
        <f>VLOOKUP(S348,ModelOutputs,13,FALSE)</f>
      </c>
    </row>
    <row x14ac:dyDescent="0.25" r="349" customHeight="1" ht="18.75">
      <c r="A349" s="71"/>
      <c r="B349" s="121"/>
      <c r="C349" s="3"/>
      <c r="D349" s="12"/>
      <c r="E349" s="3"/>
      <c r="F349" s="71"/>
      <c r="G349" s="12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134" t="s">
        <v>374</v>
      </c>
      <c r="S349" s="135">
        <f>IF(R349&gt;1,R349,"")</f>
      </c>
      <c r="T349" s="136">
        <f>VLOOKUP(S349,ModelOutputs,2,FALSE)</f>
      </c>
      <c r="U349" s="136">
        <f>VLOOKUP(S349,ModelOutputs,7,FALSE)</f>
      </c>
      <c r="V349" s="135">
        <f>VLOOKUP(S349,ModelOutputs,6,FALSE)</f>
      </c>
      <c r="W349" s="12">
        <f>VLOOKUP(S349,ModelOutputs,10,FALSE)*AWC</f>
      </c>
      <c r="X349" s="13">
        <f>VLOOKUP(S349,ModelOutputs,11,FALSE)+X348</f>
      </c>
      <c r="Y349" s="12">
        <f>VLOOKUP(S349,ModelOutputs,12,FALSE)</f>
      </c>
      <c r="Z349" s="13">
        <f>VLOOKUP(S349,ModelOutputs,13,FALSE)</f>
      </c>
    </row>
    <row x14ac:dyDescent="0.25" r="350" customHeight="1" ht="18.75">
      <c r="A350" s="71"/>
      <c r="B350" s="121"/>
      <c r="C350" s="3"/>
      <c r="D350" s="12"/>
      <c r="E350" s="3"/>
      <c r="F350" s="71"/>
      <c r="G350" s="12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134" t="s">
        <v>374</v>
      </c>
      <c r="S350" s="135">
        <f>IF(R350&gt;1,R350,"")</f>
      </c>
      <c r="T350" s="136">
        <f>VLOOKUP(S350,ModelOutputs,2,FALSE)</f>
      </c>
      <c r="U350" s="136">
        <f>VLOOKUP(S350,ModelOutputs,7,FALSE)</f>
      </c>
      <c r="V350" s="135">
        <f>VLOOKUP(S350,ModelOutputs,6,FALSE)</f>
      </c>
      <c r="W350" s="12">
        <f>VLOOKUP(S350,ModelOutputs,10,FALSE)*AWC</f>
      </c>
      <c r="X350" s="13">
        <f>VLOOKUP(S350,ModelOutputs,11,FALSE)+X349</f>
      </c>
      <c r="Y350" s="12">
        <f>VLOOKUP(S350,ModelOutputs,12,FALSE)</f>
      </c>
      <c r="Z350" s="13">
        <f>VLOOKUP(S350,ModelOutputs,13,FALSE)</f>
      </c>
    </row>
    <row x14ac:dyDescent="0.25" r="351" customHeight="1" ht="18.75">
      <c r="A351" s="71"/>
      <c r="B351" s="121"/>
      <c r="C351" s="3"/>
      <c r="D351" s="12"/>
      <c r="E351" s="3"/>
      <c r="F351" s="71"/>
      <c r="G351" s="12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134" t="s">
        <v>374</v>
      </c>
      <c r="S351" s="135">
        <f>IF(R351&gt;1,R351,"")</f>
      </c>
      <c r="T351" s="136">
        <f>VLOOKUP(S351,ModelOutputs,2,FALSE)</f>
      </c>
      <c r="U351" s="136">
        <f>VLOOKUP(S351,ModelOutputs,7,FALSE)</f>
      </c>
      <c r="V351" s="135">
        <f>VLOOKUP(S351,ModelOutputs,6,FALSE)</f>
      </c>
      <c r="W351" s="12">
        <f>VLOOKUP(S351,ModelOutputs,10,FALSE)*AWC</f>
      </c>
      <c r="X351" s="13">
        <f>VLOOKUP(S351,ModelOutputs,11,FALSE)+X350</f>
      </c>
      <c r="Y351" s="12">
        <f>VLOOKUP(S351,ModelOutputs,12,FALSE)</f>
      </c>
      <c r="Z351" s="13">
        <f>VLOOKUP(S351,ModelOutputs,13,FALSE)</f>
      </c>
    </row>
    <row x14ac:dyDescent="0.25" r="352" customHeight="1" ht="18.75">
      <c r="A352" s="71"/>
      <c r="B352" s="121"/>
      <c r="C352" s="3"/>
      <c r="D352" s="12"/>
      <c r="E352" s="3"/>
      <c r="F352" s="71"/>
      <c r="G352" s="12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134" t="s">
        <v>374</v>
      </c>
      <c r="S352" s="135">
        <f>IF(R352&gt;1,R352,"")</f>
      </c>
      <c r="T352" s="136">
        <f>VLOOKUP(S352,ModelOutputs,2,FALSE)</f>
      </c>
      <c r="U352" s="136">
        <f>VLOOKUP(S352,ModelOutputs,7,FALSE)</f>
      </c>
      <c r="V352" s="135">
        <f>VLOOKUP(S352,ModelOutputs,6,FALSE)</f>
      </c>
      <c r="W352" s="12">
        <f>VLOOKUP(S352,ModelOutputs,10,FALSE)*AWC</f>
      </c>
      <c r="X352" s="13">
        <f>VLOOKUP(S352,ModelOutputs,11,FALSE)+X351</f>
      </c>
      <c r="Y352" s="12">
        <f>VLOOKUP(S352,ModelOutputs,12,FALSE)</f>
      </c>
      <c r="Z352" s="13">
        <f>VLOOKUP(S352,ModelOutputs,13,FALSE)</f>
      </c>
    </row>
    <row x14ac:dyDescent="0.25" r="353" customHeight="1" ht="18.75">
      <c r="A353" s="71"/>
      <c r="B353" s="121"/>
      <c r="C353" s="3"/>
      <c r="D353" s="12"/>
      <c r="E353" s="3"/>
      <c r="F353" s="71"/>
      <c r="G353" s="12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134" t="s">
        <v>374</v>
      </c>
      <c r="S353" s="135">
        <f>IF(R353&gt;1,R353,"")</f>
      </c>
      <c r="T353" s="136">
        <f>VLOOKUP(S353,ModelOutputs,2,FALSE)</f>
      </c>
      <c r="U353" s="136">
        <f>VLOOKUP(S353,ModelOutputs,7,FALSE)</f>
      </c>
      <c r="V353" s="135">
        <f>VLOOKUP(S353,ModelOutputs,6,FALSE)</f>
      </c>
      <c r="W353" s="12">
        <f>VLOOKUP(S353,ModelOutputs,10,FALSE)*AWC</f>
      </c>
      <c r="X353" s="13">
        <f>VLOOKUP(S353,ModelOutputs,11,FALSE)+X352</f>
      </c>
      <c r="Y353" s="12">
        <f>VLOOKUP(S353,ModelOutputs,12,FALSE)</f>
      </c>
      <c r="Z353" s="13">
        <f>VLOOKUP(S353,ModelOutputs,13,FALSE)</f>
      </c>
    </row>
    <row x14ac:dyDescent="0.25" r="354" customHeight="1" ht="18.75">
      <c r="A354" s="71"/>
      <c r="B354" s="121"/>
      <c r="C354" s="3"/>
      <c r="D354" s="12"/>
      <c r="E354" s="3"/>
      <c r="F354" s="71"/>
      <c r="G354" s="12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134" t="s">
        <v>374</v>
      </c>
      <c r="S354" s="135">
        <f>IF(R354&gt;1,R354,"")</f>
      </c>
      <c r="T354" s="136">
        <f>VLOOKUP(S354,ModelOutputs,2,FALSE)</f>
      </c>
      <c r="U354" s="136">
        <f>VLOOKUP(S354,ModelOutputs,7,FALSE)</f>
      </c>
      <c r="V354" s="135">
        <f>VLOOKUP(S354,ModelOutputs,6,FALSE)</f>
      </c>
      <c r="W354" s="12">
        <f>VLOOKUP(S354,ModelOutputs,10,FALSE)*AWC</f>
      </c>
      <c r="X354" s="13">
        <f>VLOOKUP(S354,ModelOutputs,11,FALSE)+X353</f>
      </c>
      <c r="Y354" s="12">
        <f>VLOOKUP(S354,ModelOutputs,12,FALSE)</f>
      </c>
      <c r="Z354" s="13">
        <f>VLOOKUP(S354,ModelOutputs,13,FALSE)</f>
      </c>
    </row>
    <row x14ac:dyDescent="0.25" r="355" customHeight="1" ht="18.75">
      <c r="A355" s="71"/>
      <c r="B355" s="121"/>
      <c r="C355" s="3"/>
      <c r="D355" s="12"/>
      <c r="E355" s="3"/>
      <c r="F355" s="71"/>
      <c r="G355" s="12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134" t="s">
        <v>374</v>
      </c>
      <c r="S355" s="135">
        <f>IF(R355&gt;1,R355,"")</f>
      </c>
      <c r="T355" s="136">
        <f>VLOOKUP(S355,ModelOutputs,2,FALSE)</f>
      </c>
      <c r="U355" s="136">
        <f>VLOOKUP(S355,ModelOutputs,7,FALSE)</f>
      </c>
      <c r="V355" s="135">
        <f>VLOOKUP(S355,ModelOutputs,6,FALSE)</f>
      </c>
      <c r="W355" s="12">
        <f>VLOOKUP(S355,ModelOutputs,10,FALSE)*AWC</f>
      </c>
      <c r="X355" s="13">
        <f>VLOOKUP(S355,ModelOutputs,11,FALSE)+X354</f>
      </c>
      <c r="Y355" s="12">
        <f>VLOOKUP(S355,ModelOutputs,12,FALSE)</f>
      </c>
      <c r="Z355" s="13">
        <f>VLOOKUP(S355,ModelOutputs,13,FALSE)</f>
      </c>
    </row>
    <row x14ac:dyDescent="0.25" r="356" customHeight="1" ht="18.75">
      <c r="A356" s="71"/>
      <c r="B356" s="121"/>
      <c r="C356" s="3"/>
      <c r="D356" s="12"/>
      <c r="E356" s="3"/>
      <c r="F356" s="71"/>
      <c r="G356" s="12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134" t="s">
        <v>374</v>
      </c>
      <c r="S356" s="135">
        <f>IF(R356&gt;1,R356,"")</f>
      </c>
      <c r="T356" s="136">
        <f>VLOOKUP(S356,ModelOutputs,2,FALSE)</f>
      </c>
      <c r="U356" s="136">
        <f>VLOOKUP(S356,ModelOutputs,7,FALSE)</f>
      </c>
      <c r="V356" s="135">
        <f>VLOOKUP(S356,ModelOutputs,6,FALSE)</f>
      </c>
      <c r="W356" s="12">
        <f>VLOOKUP(S356,ModelOutputs,10,FALSE)*AWC</f>
      </c>
      <c r="X356" s="13">
        <f>VLOOKUP(S356,ModelOutputs,11,FALSE)+X355</f>
      </c>
      <c r="Y356" s="12">
        <f>VLOOKUP(S356,ModelOutputs,12,FALSE)</f>
      </c>
      <c r="Z356" s="13">
        <f>VLOOKUP(S356,ModelOutputs,13,FALSE)</f>
      </c>
    </row>
    <row x14ac:dyDescent="0.25" r="357" customHeight="1" ht="18.75">
      <c r="A357" s="71"/>
      <c r="B357" s="121"/>
      <c r="C357" s="3"/>
      <c r="D357" s="12"/>
      <c r="E357" s="3"/>
      <c r="F357" s="71"/>
      <c r="G357" s="12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134" t="s">
        <v>374</v>
      </c>
      <c r="S357" s="135">
        <f>IF(R357&gt;1,R357,"")</f>
      </c>
      <c r="T357" s="136">
        <f>VLOOKUP(S357,ModelOutputs,2,FALSE)</f>
      </c>
      <c r="U357" s="136">
        <f>VLOOKUP(S357,ModelOutputs,7,FALSE)</f>
      </c>
      <c r="V357" s="135">
        <f>VLOOKUP(S357,ModelOutputs,6,FALSE)</f>
      </c>
      <c r="W357" s="12">
        <f>VLOOKUP(S357,ModelOutputs,10,FALSE)*AWC</f>
      </c>
      <c r="X357" s="13">
        <f>VLOOKUP(S357,ModelOutputs,11,FALSE)+X356</f>
      </c>
      <c r="Y357" s="12">
        <f>VLOOKUP(S357,ModelOutputs,12,FALSE)</f>
      </c>
      <c r="Z357" s="13">
        <f>VLOOKUP(S357,ModelOutputs,13,FALSE)</f>
      </c>
    </row>
    <row x14ac:dyDescent="0.25" r="358" customHeight="1" ht="18.75">
      <c r="A358" s="71"/>
      <c r="B358" s="121"/>
      <c r="C358" s="3"/>
      <c r="D358" s="12"/>
      <c r="E358" s="3"/>
      <c r="F358" s="71"/>
      <c r="G358" s="12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134" t="s">
        <v>374</v>
      </c>
      <c r="S358" s="135">
        <f>IF(R358&gt;1,R358,"")</f>
      </c>
      <c r="T358" s="136">
        <f>VLOOKUP(S358,ModelOutputs,2,FALSE)</f>
      </c>
      <c r="U358" s="136">
        <f>VLOOKUP(S358,ModelOutputs,7,FALSE)</f>
      </c>
      <c r="V358" s="135">
        <f>VLOOKUP(S358,ModelOutputs,6,FALSE)</f>
      </c>
      <c r="W358" s="12">
        <f>VLOOKUP(S358,ModelOutputs,10,FALSE)*AWC</f>
      </c>
      <c r="X358" s="13">
        <f>VLOOKUP(S358,ModelOutputs,11,FALSE)+X357</f>
      </c>
      <c r="Y358" s="12">
        <f>VLOOKUP(S358,ModelOutputs,12,FALSE)</f>
      </c>
      <c r="Z358" s="13">
        <f>VLOOKUP(S358,ModelOutputs,13,FALSE)</f>
      </c>
    </row>
    <row x14ac:dyDescent="0.25" r="359" customHeight="1" ht="18.75">
      <c r="A359" s="71"/>
      <c r="B359" s="121"/>
      <c r="C359" s="3"/>
      <c r="D359" s="12"/>
      <c r="E359" s="3"/>
      <c r="F359" s="71"/>
      <c r="G359" s="12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134" t="s">
        <v>374</v>
      </c>
      <c r="S359" s="135">
        <f>IF(R359&gt;1,R359,"")</f>
      </c>
      <c r="T359" s="136">
        <f>VLOOKUP(S359,ModelOutputs,2,FALSE)</f>
      </c>
      <c r="U359" s="136">
        <f>VLOOKUP(S359,ModelOutputs,7,FALSE)</f>
      </c>
      <c r="V359" s="135">
        <f>VLOOKUP(S359,ModelOutputs,6,FALSE)</f>
      </c>
      <c r="W359" s="12">
        <f>VLOOKUP(S359,ModelOutputs,10,FALSE)*AWC</f>
      </c>
      <c r="X359" s="13">
        <f>VLOOKUP(S359,ModelOutputs,11,FALSE)+X358</f>
      </c>
      <c r="Y359" s="12">
        <f>VLOOKUP(S359,ModelOutputs,12,FALSE)</f>
      </c>
      <c r="Z359" s="13">
        <f>VLOOKUP(S359,ModelOutputs,13,FALSE)</f>
      </c>
    </row>
    <row x14ac:dyDescent="0.25" r="360" customHeight="1" ht="18.75">
      <c r="A360" s="71"/>
      <c r="B360" s="121"/>
      <c r="C360" s="3"/>
      <c r="D360" s="12"/>
      <c r="E360" s="3"/>
      <c r="F360" s="71"/>
      <c r="G360" s="12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134" t="s">
        <v>374</v>
      </c>
      <c r="S360" s="135">
        <f>IF(R360&gt;1,R360,"")</f>
      </c>
      <c r="T360" s="136">
        <f>VLOOKUP(S360,ModelOutputs,2,FALSE)</f>
      </c>
      <c r="U360" s="136">
        <f>VLOOKUP(S360,ModelOutputs,7,FALSE)</f>
      </c>
      <c r="V360" s="135">
        <f>VLOOKUP(S360,ModelOutputs,6,FALSE)</f>
      </c>
      <c r="W360" s="12">
        <f>VLOOKUP(S360,ModelOutputs,10,FALSE)*AWC</f>
      </c>
      <c r="X360" s="13">
        <f>VLOOKUP(S360,ModelOutputs,11,FALSE)+X359</f>
      </c>
      <c r="Y360" s="12">
        <f>VLOOKUP(S360,ModelOutputs,12,FALSE)</f>
      </c>
      <c r="Z360" s="13">
        <f>VLOOKUP(S360,ModelOutputs,13,FALSE)</f>
      </c>
    </row>
    <row x14ac:dyDescent="0.25" r="361" customHeight="1" ht="18.75">
      <c r="A361" s="71"/>
      <c r="B361" s="121"/>
      <c r="C361" s="3"/>
      <c r="D361" s="12"/>
      <c r="E361" s="3"/>
      <c r="F361" s="71"/>
      <c r="G361" s="12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134" t="s">
        <v>374</v>
      </c>
      <c r="S361" s="135">
        <f>IF(R361&gt;1,R361,"")</f>
      </c>
      <c r="T361" s="136">
        <f>VLOOKUP(S361,ModelOutputs,2,FALSE)</f>
      </c>
      <c r="U361" s="136">
        <f>VLOOKUP(S361,ModelOutputs,7,FALSE)</f>
      </c>
      <c r="V361" s="135">
        <f>VLOOKUP(S361,ModelOutputs,6,FALSE)</f>
      </c>
      <c r="W361" s="12">
        <f>VLOOKUP(S361,ModelOutputs,10,FALSE)*AWC</f>
      </c>
      <c r="X361" s="13">
        <f>VLOOKUP(S361,ModelOutputs,11,FALSE)+X360</f>
      </c>
      <c r="Y361" s="12">
        <f>VLOOKUP(S361,ModelOutputs,12,FALSE)</f>
      </c>
      <c r="Z361" s="13">
        <f>VLOOKUP(S361,ModelOutputs,13,FALSE)</f>
      </c>
    </row>
    <row x14ac:dyDescent="0.25" r="362" customHeight="1" ht="18.75">
      <c r="A362" s="71"/>
      <c r="B362" s="121"/>
      <c r="C362" s="3"/>
      <c r="D362" s="12"/>
      <c r="E362" s="3"/>
      <c r="F362" s="71"/>
      <c r="G362" s="12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134" t="s">
        <v>374</v>
      </c>
      <c r="S362" s="135">
        <f>IF(R362&gt;1,R362,"")</f>
      </c>
      <c r="T362" s="136">
        <f>VLOOKUP(S362,ModelOutputs,2,FALSE)</f>
      </c>
      <c r="U362" s="136">
        <f>VLOOKUP(S362,ModelOutputs,7,FALSE)</f>
      </c>
      <c r="V362" s="135">
        <f>VLOOKUP(S362,ModelOutputs,6,FALSE)</f>
      </c>
      <c r="W362" s="12">
        <f>VLOOKUP(S362,ModelOutputs,10,FALSE)*AWC</f>
      </c>
      <c r="X362" s="13">
        <f>VLOOKUP(S362,ModelOutputs,11,FALSE)+X361</f>
      </c>
      <c r="Y362" s="12">
        <f>VLOOKUP(S362,ModelOutputs,12,FALSE)</f>
      </c>
      <c r="Z362" s="13">
        <f>VLOOKUP(S362,ModelOutputs,13,FALSE)</f>
      </c>
    </row>
    <row x14ac:dyDescent="0.25" r="363" customHeight="1" ht="18.75">
      <c r="A363" s="71"/>
      <c r="B363" s="121"/>
      <c r="C363" s="3"/>
      <c r="D363" s="12"/>
      <c r="E363" s="3"/>
      <c r="F363" s="71"/>
      <c r="G363" s="12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134" t="s">
        <v>374</v>
      </c>
      <c r="S363" s="135">
        <f>IF(R363&gt;1,R363,"")</f>
      </c>
      <c r="T363" s="136">
        <f>VLOOKUP(S363,ModelOutputs,2,FALSE)</f>
      </c>
      <c r="U363" s="136">
        <f>VLOOKUP(S363,ModelOutputs,7,FALSE)</f>
      </c>
      <c r="V363" s="135">
        <f>VLOOKUP(S363,ModelOutputs,6,FALSE)</f>
      </c>
      <c r="W363" s="12">
        <f>VLOOKUP(S363,ModelOutputs,10,FALSE)*AWC</f>
      </c>
      <c r="X363" s="13">
        <f>VLOOKUP(S363,ModelOutputs,11,FALSE)+X362</f>
      </c>
      <c r="Y363" s="12">
        <f>VLOOKUP(S363,ModelOutputs,12,FALSE)</f>
      </c>
      <c r="Z363" s="13">
        <f>VLOOKUP(S363,ModelOutputs,13,FALSE)</f>
      </c>
    </row>
    <row x14ac:dyDescent="0.25" r="364" customHeight="1" ht="18.75">
      <c r="A364" s="71"/>
      <c r="B364" s="121"/>
      <c r="C364" s="3"/>
      <c r="D364" s="12"/>
      <c r="E364" s="3"/>
      <c r="F364" s="71"/>
      <c r="G364" s="12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134" t="s">
        <v>374</v>
      </c>
      <c r="S364" s="135">
        <f>IF(R364&gt;1,R364,"")</f>
      </c>
      <c r="T364" s="136">
        <f>VLOOKUP(S364,ModelOutputs,2,FALSE)</f>
      </c>
      <c r="U364" s="136">
        <f>VLOOKUP(S364,ModelOutputs,7,FALSE)</f>
      </c>
      <c r="V364" s="135">
        <f>VLOOKUP(S364,ModelOutputs,6,FALSE)</f>
      </c>
      <c r="W364" s="12">
        <f>VLOOKUP(S364,ModelOutputs,10,FALSE)*AWC</f>
      </c>
      <c r="X364" s="13">
        <f>VLOOKUP(S364,ModelOutputs,11,FALSE)+X363</f>
      </c>
      <c r="Y364" s="12">
        <f>VLOOKUP(S364,ModelOutputs,12,FALSE)</f>
      </c>
      <c r="Z364" s="13">
        <f>VLOOKUP(S364,ModelOutputs,13,FALSE)</f>
      </c>
    </row>
    <row x14ac:dyDescent="0.25" r="365" customHeight="1" ht="18.75">
      <c r="A365" s="71"/>
      <c r="B365" s="121"/>
      <c r="C365" s="3"/>
      <c r="D365" s="12"/>
      <c r="E365" s="3"/>
      <c r="F365" s="71"/>
      <c r="G365" s="12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134" t="s">
        <v>374</v>
      </c>
      <c r="S365" s="135">
        <f>IF(R365&gt;1,R365,"")</f>
      </c>
      <c r="T365" s="136">
        <f>VLOOKUP(S365,ModelOutputs,2,FALSE)</f>
      </c>
      <c r="U365" s="136">
        <f>VLOOKUP(S365,ModelOutputs,7,FALSE)</f>
      </c>
      <c r="V365" s="135">
        <f>VLOOKUP(S365,ModelOutputs,6,FALSE)</f>
      </c>
      <c r="W365" s="12">
        <f>VLOOKUP(S365,ModelOutputs,10,FALSE)*AWC</f>
      </c>
      <c r="X365" s="13">
        <f>VLOOKUP(S365,ModelOutputs,11,FALSE)+X364</f>
      </c>
      <c r="Y365" s="12">
        <f>VLOOKUP(S365,ModelOutputs,12,FALSE)</f>
      </c>
      <c r="Z365" s="13">
        <f>VLOOKUP(S365,ModelOutputs,13,FALSE)</f>
      </c>
    </row>
    <row x14ac:dyDescent="0.25" r="366" customHeight="1" ht="18.75">
      <c r="A366" s="71"/>
      <c r="B366" s="121"/>
      <c r="C366" s="3"/>
      <c r="D366" s="12"/>
      <c r="E366" s="3"/>
      <c r="F366" s="71"/>
      <c r="G366" s="12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134" t="s">
        <v>374</v>
      </c>
      <c r="S366" s="135">
        <f>IF(R366&gt;1,R366,"")</f>
      </c>
      <c r="T366" s="136">
        <f>VLOOKUP(S366,ModelOutputs,2,FALSE)</f>
      </c>
      <c r="U366" s="136">
        <f>VLOOKUP(S366,ModelOutputs,7,FALSE)</f>
      </c>
      <c r="V366" s="135">
        <f>VLOOKUP(S366,ModelOutputs,6,FALSE)</f>
      </c>
      <c r="W366" s="12">
        <f>VLOOKUP(S366,ModelOutputs,10,FALSE)*AWC</f>
      </c>
      <c r="X366" s="13">
        <f>VLOOKUP(S366,ModelOutputs,11,FALSE)+X365</f>
      </c>
      <c r="Y366" s="12">
        <f>VLOOKUP(S366,ModelOutputs,12,FALSE)</f>
      </c>
      <c r="Z366" s="13">
        <f>VLOOKUP(S366,ModelOutputs,13,FALSE)</f>
      </c>
    </row>
    <row x14ac:dyDescent="0.25" r="367" customHeight="1" ht="18.75">
      <c r="A367" s="71"/>
      <c r="B367" s="121"/>
      <c r="C367" s="3"/>
      <c r="D367" s="12"/>
      <c r="E367" s="3"/>
      <c r="F367" s="71"/>
      <c r="G367" s="12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134" t="s">
        <v>374</v>
      </c>
      <c r="S367" s="135">
        <f>IF(R367&gt;1,R367,"")</f>
      </c>
      <c r="T367" s="136">
        <f>VLOOKUP(S367,ModelOutputs,2,FALSE)</f>
      </c>
      <c r="U367" s="136">
        <f>VLOOKUP(S367,ModelOutputs,7,FALSE)</f>
      </c>
      <c r="V367" s="135">
        <f>VLOOKUP(S367,ModelOutputs,6,FALSE)</f>
      </c>
      <c r="W367" s="12">
        <f>VLOOKUP(S367,ModelOutputs,10,FALSE)*AWC</f>
      </c>
      <c r="X367" s="13">
        <f>VLOOKUP(S367,ModelOutputs,11,FALSE)+X366</f>
      </c>
      <c r="Y367" s="12">
        <f>VLOOKUP(S367,ModelOutputs,12,FALSE)</f>
      </c>
      <c r="Z367" s="13">
        <f>VLOOKUP(S367,ModelOutputs,13,FALSE)</f>
      </c>
    </row>
    <row x14ac:dyDescent="0.25" r="368" customHeight="1" ht="18.75">
      <c r="A368" s="71"/>
      <c r="B368" s="121"/>
      <c r="C368" s="3"/>
      <c r="D368" s="12"/>
      <c r="E368" s="3"/>
      <c r="F368" s="71"/>
      <c r="G368" s="12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134" t="s">
        <v>374</v>
      </c>
      <c r="S368" s="135">
        <f>IF(R368&gt;1,R368,"")</f>
      </c>
      <c r="T368" s="136">
        <f>VLOOKUP(S368,ModelOutputs,2,FALSE)</f>
      </c>
      <c r="U368" s="136">
        <f>VLOOKUP(S368,ModelOutputs,7,FALSE)</f>
      </c>
      <c r="V368" s="135">
        <f>VLOOKUP(S368,ModelOutputs,6,FALSE)</f>
      </c>
      <c r="W368" s="12">
        <f>VLOOKUP(S368,ModelOutputs,10,FALSE)*AWC</f>
      </c>
      <c r="X368" s="13">
        <f>VLOOKUP(S368,ModelOutputs,11,FALSE)+X367</f>
      </c>
      <c r="Y368" s="12">
        <f>VLOOKUP(S368,ModelOutputs,12,FALSE)</f>
      </c>
      <c r="Z368" s="13">
        <f>VLOOKUP(S368,ModelOutputs,13,FALSE)</f>
      </c>
    </row>
    <row x14ac:dyDescent="0.25" r="369" customHeight="1" ht="18.75">
      <c r="A369" s="71"/>
      <c r="B369" s="121"/>
      <c r="C369" s="3"/>
      <c r="D369" s="12"/>
      <c r="E369" s="3"/>
      <c r="F369" s="71"/>
      <c r="G369" s="12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134" t="s">
        <v>374</v>
      </c>
      <c r="S369" s="135">
        <f>IF(R369&gt;1,R369,"")</f>
      </c>
      <c r="T369" s="136">
        <f>VLOOKUP(S369,ModelOutputs,2,FALSE)</f>
      </c>
      <c r="U369" s="136">
        <f>VLOOKUP(S369,ModelOutputs,7,FALSE)</f>
      </c>
      <c r="V369" s="135">
        <f>VLOOKUP(S369,ModelOutputs,6,FALSE)</f>
      </c>
      <c r="W369" s="12">
        <f>VLOOKUP(S369,ModelOutputs,10,FALSE)*AWC</f>
      </c>
      <c r="X369" s="13">
        <f>VLOOKUP(S369,ModelOutputs,11,FALSE)+X368</f>
      </c>
      <c r="Y369" s="12">
        <f>VLOOKUP(S369,ModelOutputs,12,FALSE)</f>
      </c>
      <c r="Z369" s="13">
        <f>VLOOKUP(S369,ModelOutputs,13,FALSE)</f>
      </c>
    </row>
    <row x14ac:dyDescent="0.25" r="370" customHeight="1" ht="18.75">
      <c r="A370" s="71"/>
      <c r="B370" s="121"/>
      <c r="C370" s="3"/>
      <c r="D370" s="12"/>
      <c r="E370" s="3"/>
      <c r="F370" s="71"/>
      <c r="G370" s="12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134" t="s">
        <v>374</v>
      </c>
      <c r="S370" s="135">
        <f>IF(R370&gt;1,R370,"")</f>
      </c>
      <c r="T370" s="136">
        <f>VLOOKUP(S370,ModelOutputs,2,FALSE)</f>
      </c>
      <c r="U370" s="136">
        <f>VLOOKUP(S370,ModelOutputs,7,FALSE)</f>
      </c>
      <c r="V370" s="135">
        <f>VLOOKUP(S370,ModelOutputs,6,FALSE)</f>
      </c>
      <c r="W370" s="12">
        <f>VLOOKUP(S370,ModelOutputs,10,FALSE)*AWC</f>
      </c>
      <c r="X370" s="13">
        <f>VLOOKUP(S370,ModelOutputs,11,FALSE)+X369</f>
      </c>
      <c r="Y370" s="12">
        <f>VLOOKUP(S370,ModelOutputs,12,FALSE)</f>
      </c>
      <c r="Z370" s="13">
        <f>VLOOKUP(S370,ModelOutputs,13,FALSE)</f>
      </c>
    </row>
    <row x14ac:dyDescent="0.25" r="371" customHeight="1" ht="18.75">
      <c r="A371" s="71"/>
      <c r="B371" s="121"/>
      <c r="C371" s="3"/>
      <c r="D371" s="12"/>
      <c r="E371" s="3"/>
      <c r="F371" s="71"/>
      <c r="G371" s="12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134" t="s">
        <v>374</v>
      </c>
      <c r="S371" s="135">
        <f>IF(R371&gt;1,R371,"")</f>
      </c>
      <c r="T371" s="136">
        <f>VLOOKUP(S371,ModelOutputs,2,FALSE)</f>
      </c>
      <c r="U371" s="136">
        <f>VLOOKUP(S371,ModelOutputs,7,FALSE)</f>
      </c>
      <c r="V371" s="135">
        <f>VLOOKUP(S371,ModelOutputs,6,FALSE)</f>
      </c>
      <c r="W371" s="12">
        <f>VLOOKUP(S371,ModelOutputs,10,FALSE)*AWC</f>
      </c>
      <c r="X371" s="13">
        <f>VLOOKUP(S371,ModelOutputs,11,FALSE)+X370</f>
      </c>
      <c r="Y371" s="12">
        <f>VLOOKUP(S371,ModelOutputs,12,FALSE)</f>
      </c>
      <c r="Z371" s="13">
        <f>VLOOKUP(S371,ModelOutputs,13,FALSE)</f>
      </c>
    </row>
    <row x14ac:dyDescent="0.25" r="372" customHeight="1" ht="18.75">
      <c r="A372" s="71"/>
      <c r="B372" s="121"/>
      <c r="C372" s="3"/>
      <c r="D372" s="12"/>
      <c r="E372" s="3"/>
      <c r="F372" s="71"/>
      <c r="G372" s="12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134" t="s">
        <v>374</v>
      </c>
      <c r="S372" s="135">
        <f>IF(R372&gt;1,R372,"")</f>
      </c>
      <c r="T372" s="136">
        <f>VLOOKUP(S372,ModelOutputs,2,FALSE)</f>
      </c>
      <c r="U372" s="136">
        <f>VLOOKUP(S372,ModelOutputs,7,FALSE)</f>
      </c>
      <c r="V372" s="135">
        <f>VLOOKUP(S372,ModelOutputs,6,FALSE)</f>
      </c>
      <c r="W372" s="12">
        <f>VLOOKUP(S372,ModelOutputs,10,FALSE)*AWC</f>
      </c>
      <c r="X372" s="13">
        <f>VLOOKUP(S372,ModelOutputs,11,FALSE)+X371</f>
      </c>
      <c r="Y372" s="12">
        <f>VLOOKUP(S372,ModelOutputs,12,FALSE)</f>
      </c>
      <c r="Z372" s="13">
        <f>VLOOKUP(S372,ModelOutputs,13,FALSE)</f>
      </c>
    </row>
    <row x14ac:dyDescent="0.25" r="373" customHeight="1" ht="18.75">
      <c r="A373" s="71"/>
      <c r="B373" s="121"/>
      <c r="C373" s="3"/>
      <c r="D373" s="12"/>
      <c r="E373" s="3"/>
      <c r="F373" s="71"/>
      <c r="G373" s="12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134" t="s">
        <v>374</v>
      </c>
      <c r="S373" s="135">
        <f>IF(R373&gt;1,R373,"")</f>
      </c>
      <c r="T373" s="136">
        <f>VLOOKUP(S373,ModelOutputs,2,FALSE)</f>
      </c>
      <c r="U373" s="136">
        <f>VLOOKUP(S373,ModelOutputs,7,FALSE)</f>
      </c>
      <c r="V373" s="135">
        <f>VLOOKUP(S373,ModelOutputs,6,FALSE)</f>
      </c>
      <c r="W373" s="12">
        <f>VLOOKUP(S373,ModelOutputs,10,FALSE)*AWC</f>
      </c>
      <c r="X373" s="13">
        <f>VLOOKUP(S373,ModelOutputs,11,FALSE)+X372</f>
      </c>
      <c r="Y373" s="12">
        <f>VLOOKUP(S373,ModelOutputs,12,FALSE)</f>
      </c>
      <c r="Z373" s="13">
        <f>VLOOKUP(S373,ModelOutputs,13,FALSE)</f>
      </c>
    </row>
    <row x14ac:dyDescent="0.25" r="374" customHeight="1" ht="18.75">
      <c r="A374" s="71"/>
      <c r="B374" s="121"/>
      <c r="C374" s="3"/>
      <c r="D374" s="12"/>
      <c r="E374" s="3"/>
      <c r="F374" s="71"/>
      <c r="G374" s="12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134" t="s">
        <v>374</v>
      </c>
      <c r="S374" s="135">
        <f>IF(R374&gt;1,R374,"")</f>
      </c>
      <c r="T374" s="136">
        <f>VLOOKUP(S374,ModelOutputs,2,FALSE)</f>
      </c>
      <c r="U374" s="136">
        <f>VLOOKUP(S374,ModelOutputs,7,FALSE)</f>
      </c>
      <c r="V374" s="135">
        <f>VLOOKUP(S374,ModelOutputs,6,FALSE)</f>
      </c>
      <c r="W374" s="12">
        <f>VLOOKUP(S374,ModelOutputs,10,FALSE)*AWC</f>
      </c>
      <c r="X374" s="13">
        <f>VLOOKUP(S374,ModelOutputs,11,FALSE)+X373</f>
      </c>
      <c r="Y374" s="12">
        <f>VLOOKUP(S374,ModelOutputs,12,FALSE)</f>
      </c>
      <c r="Z374" s="13">
        <f>VLOOKUP(S374,ModelOutputs,13,FALSE)</f>
      </c>
    </row>
    <row x14ac:dyDescent="0.25" r="375" customHeight="1" ht="18.75">
      <c r="A375" s="71"/>
      <c r="B375" s="121"/>
      <c r="C375" s="3"/>
      <c r="D375" s="12"/>
      <c r="E375" s="3"/>
      <c r="F375" s="71"/>
      <c r="G375" s="12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134" t="s">
        <v>374</v>
      </c>
      <c r="S375" s="135">
        <f>IF(R375&gt;1,R375,"")</f>
      </c>
      <c r="T375" s="136">
        <f>VLOOKUP(S375,ModelOutputs,2,FALSE)</f>
      </c>
      <c r="U375" s="136">
        <f>VLOOKUP(S375,ModelOutputs,7,FALSE)</f>
      </c>
      <c r="V375" s="135">
        <f>VLOOKUP(S375,ModelOutputs,6,FALSE)</f>
      </c>
      <c r="W375" s="12">
        <f>VLOOKUP(S375,ModelOutputs,10,FALSE)*AWC</f>
      </c>
      <c r="X375" s="13">
        <f>VLOOKUP(S375,ModelOutputs,11,FALSE)+X374</f>
      </c>
      <c r="Y375" s="12">
        <f>VLOOKUP(S375,ModelOutputs,12,FALSE)</f>
      </c>
      <c r="Z375" s="13">
        <f>VLOOKUP(S375,ModelOutputs,13,FALSE)</f>
      </c>
    </row>
    <row x14ac:dyDescent="0.25" r="376" customHeight="1" ht="18.75">
      <c r="A376" s="71"/>
      <c r="B376" s="121"/>
      <c r="C376" s="3"/>
      <c r="D376" s="12"/>
      <c r="E376" s="3"/>
      <c r="F376" s="71"/>
      <c r="G376" s="12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134" t="s">
        <v>374</v>
      </c>
      <c r="S376" s="135">
        <f>IF(R376&gt;1,R376,"")</f>
      </c>
      <c r="T376" s="136">
        <f>VLOOKUP(S376,ModelOutputs,2,FALSE)</f>
      </c>
      <c r="U376" s="136">
        <f>VLOOKUP(S376,ModelOutputs,7,FALSE)</f>
      </c>
      <c r="V376" s="135">
        <f>VLOOKUP(S376,ModelOutputs,6,FALSE)</f>
      </c>
      <c r="W376" s="12">
        <f>VLOOKUP(S376,ModelOutputs,10,FALSE)*AWC</f>
      </c>
      <c r="X376" s="13">
        <f>VLOOKUP(S376,ModelOutputs,11,FALSE)+X375</f>
      </c>
      <c r="Y376" s="12">
        <f>VLOOKUP(S376,ModelOutputs,12,FALSE)</f>
      </c>
      <c r="Z376" s="13">
        <f>VLOOKUP(S376,ModelOutputs,13,FALSE)</f>
      </c>
    </row>
    <row x14ac:dyDescent="0.25" r="377" customHeight="1" ht="18.75">
      <c r="A377" s="71"/>
      <c r="B377" s="121"/>
      <c r="C377" s="3"/>
      <c r="D377" s="12"/>
      <c r="E377" s="3"/>
      <c r="F377" s="71"/>
      <c r="G377" s="12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134" t="s">
        <v>374</v>
      </c>
      <c r="S377" s="135">
        <f>IF(R377&gt;1,R377,"")</f>
      </c>
      <c r="T377" s="136">
        <f>VLOOKUP(S377,ModelOutputs,2,FALSE)</f>
      </c>
      <c r="U377" s="136">
        <f>VLOOKUP(S377,ModelOutputs,7,FALSE)</f>
      </c>
      <c r="V377" s="135">
        <f>VLOOKUP(S377,ModelOutputs,6,FALSE)</f>
      </c>
      <c r="W377" s="12">
        <f>VLOOKUP(S377,ModelOutputs,10,FALSE)*AWC</f>
      </c>
      <c r="X377" s="13">
        <f>VLOOKUP(S377,ModelOutputs,11,FALSE)+X376</f>
      </c>
      <c r="Y377" s="12">
        <f>VLOOKUP(S377,ModelOutputs,12,FALSE)</f>
      </c>
      <c r="Z377" s="13">
        <f>VLOOKUP(S377,ModelOutputs,13,FALSE)</f>
      </c>
    </row>
    <row x14ac:dyDescent="0.25" r="378" customHeight="1" ht="18.75">
      <c r="A378" s="71"/>
      <c r="B378" s="121"/>
      <c r="C378" s="3"/>
      <c r="D378" s="12"/>
      <c r="E378" s="3"/>
      <c r="F378" s="71"/>
      <c r="G378" s="12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134" t="s">
        <v>374</v>
      </c>
      <c r="S378" s="135">
        <f>IF(R378&gt;1,R378,"")</f>
      </c>
      <c r="T378" s="136">
        <f>VLOOKUP(S378,ModelOutputs,2,FALSE)</f>
      </c>
      <c r="U378" s="136">
        <f>VLOOKUP(S378,ModelOutputs,7,FALSE)</f>
      </c>
      <c r="V378" s="135">
        <f>VLOOKUP(S378,ModelOutputs,6,FALSE)</f>
      </c>
      <c r="W378" s="12">
        <f>VLOOKUP(S378,ModelOutputs,10,FALSE)*AWC</f>
      </c>
      <c r="X378" s="13">
        <f>VLOOKUP(S378,ModelOutputs,11,FALSE)+X377</f>
      </c>
      <c r="Y378" s="12">
        <f>VLOOKUP(S378,ModelOutputs,12,FALSE)</f>
      </c>
      <c r="Z378" s="13">
        <f>VLOOKUP(S378,ModelOutputs,13,FALSE)</f>
      </c>
    </row>
    <row x14ac:dyDescent="0.25" r="379" customHeight="1" ht="18.75">
      <c r="A379" s="71"/>
      <c r="B379" s="121"/>
      <c r="C379" s="3"/>
      <c r="D379" s="12"/>
      <c r="E379" s="3"/>
      <c r="F379" s="71"/>
      <c r="G379" s="12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134" t="s">
        <v>374</v>
      </c>
      <c r="S379" s="135">
        <f>IF(R379&gt;1,R379,"")</f>
      </c>
      <c r="T379" s="136">
        <f>VLOOKUP(S379,ModelOutputs,2,FALSE)</f>
      </c>
      <c r="U379" s="136">
        <f>VLOOKUP(S379,ModelOutputs,7,FALSE)</f>
      </c>
      <c r="V379" s="135">
        <f>VLOOKUP(S379,ModelOutputs,6,FALSE)</f>
      </c>
      <c r="W379" s="12">
        <f>VLOOKUP(S379,ModelOutputs,10,FALSE)*AWC</f>
      </c>
      <c r="X379" s="13">
        <f>VLOOKUP(S379,ModelOutputs,11,FALSE)+X378</f>
      </c>
      <c r="Y379" s="12">
        <f>VLOOKUP(S379,ModelOutputs,12,FALSE)</f>
      </c>
      <c r="Z379" s="13">
        <f>VLOOKUP(S379,ModelOutputs,13,FALSE)</f>
      </c>
    </row>
    <row x14ac:dyDescent="0.25" r="380" customHeight="1" ht="18.75">
      <c r="A380" s="71"/>
      <c r="B380" s="121"/>
      <c r="C380" s="3"/>
      <c r="D380" s="12"/>
      <c r="E380" s="3"/>
      <c r="F380" s="71"/>
      <c r="G380" s="12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134" t="s">
        <v>374</v>
      </c>
      <c r="S380" s="135">
        <f>IF(R380&gt;1,R380,"")</f>
      </c>
      <c r="T380" s="136">
        <f>VLOOKUP(S380,ModelOutputs,2,FALSE)</f>
      </c>
      <c r="U380" s="136">
        <f>VLOOKUP(S380,ModelOutputs,7,FALSE)</f>
      </c>
      <c r="V380" s="135">
        <f>VLOOKUP(S380,ModelOutputs,6,FALSE)</f>
      </c>
      <c r="W380" s="12">
        <f>VLOOKUP(S380,ModelOutputs,10,FALSE)*AWC</f>
      </c>
      <c r="X380" s="13">
        <f>VLOOKUP(S380,ModelOutputs,11,FALSE)+X379</f>
      </c>
      <c r="Y380" s="12">
        <f>VLOOKUP(S380,ModelOutputs,12,FALSE)</f>
      </c>
      <c r="Z380" s="13">
        <f>VLOOKUP(S380,ModelOutputs,13,FALSE)</f>
      </c>
    </row>
    <row x14ac:dyDescent="0.25" r="381" customHeight="1" ht="18.75">
      <c r="A381" s="71"/>
      <c r="B381" s="121"/>
      <c r="C381" s="3"/>
      <c r="D381" s="12"/>
      <c r="E381" s="3"/>
      <c r="F381" s="71"/>
      <c r="G381" s="12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134" t="s">
        <v>374</v>
      </c>
      <c r="S381" s="135">
        <f>IF(R381&gt;1,R381,"")</f>
      </c>
      <c r="T381" s="136">
        <f>VLOOKUP(S381,ModelOutputs,2,FALSE)</f>
      </c>
      <c r="U381" s="136">
        <f>VLOOKUP(S381,ModelOutputs,7,FALSE)</f>
      </c>
      <c r="V381" s="135">
        <f>VLOOKUP(S381,ModelOutputs,6,FALSE)</f>
      </c>
      <c r="W381" s="12">
        <f>VLOOKUP(S381,ModelOutputs,10,FALSE)*AWC</f>
      </c>
      <c r="X381" s="13">
        <f>VLOOKUP(S381,ModelOutputs,11,FALSE)+X380</f>
      </c>
      <c r="Y381" s="12">
        <f>VLOOKUP(S381,ModelOutputs,12,FALSE)</f>
      </c>
      <c r="Z381" s="13">
        <f>VLOOKUP(S381,ModelOutputs,13,FALSE)</f>
      </c>
    </row>
    <row x14ac:dyDescent="0.25" r="382" customHeight="1" ht="18.75">
      <c r="A382" s="71"/>
      <c r="B382" s="121"/>
      <c r="C382" s="3"/>
      <c r="D382" s="12"/>
      <c r="E382" s="3"/>
      <c r="F382" s="71"/>
      <c r="G382" s="12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134" t="s">
        <v>374</v>
      </c>
      <c r="S382" s="135">
        <f>IF(R382&gt;1,R382,"")</f>
      </c>
      <c r="T382" s="136">
        <f>VLOOKUP(S382,ModelOutputs,2,FALSE)</f>
      </c>
      <c r="U382" s="136">
        <f>VLOOKUP(S382,ModelOutputs,7,FALSE)</f>
      </c>
      <c r="V382" s="135">
        <f>VLOOKUP(S382,ModelOutputs,6,FALSE)</f>
      </c>
      <c r="W382" s="12">
        <f>VLOOKUP(S382,ModelOutputs,10,FALSE)*AWC</f>
      </c>
      <c r="X382" s="13">
        <f>VLOOKUP(S382,ModelOutputs,11,FALSE)+X381</f>
      </c>
      <c r="Y382" s="12">
        <f>VLOOKUP(S382,ModelOutputs,12,FALSE)</f>
      </c>
      <c r="Z382" s="13">
        <f>VLOOKUP(S382,ModelOutputs,13,FALSE)</f>
      </c>
    </row>
    <row x14ac:dyDescent="0.25" r="383" customHeight="1" ht="18.75">
      <c r="A383" s="71"/>
      <c r="B383" s="121"/>
      <c r="C383" s="3"/>
      <c r="D383" s="12"/>
      <c r="E383" s="3"/>
      <c r="F383" s="71"/>
      <c r="G383" s="12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134" t="s">
        <v>374</v>
      </c>
      <c r="S383" s="135">
        <f>IF(R383&gt;1,R383,"")</f>
      </c>
      <c r="T383" s="136">
        <f>VLOOKUP(S383,ModelOutputs,2,FALSE)</f>
      </c>
      <c r="U383" s="136">
        <f>VLOOKUP(S383,ModelOutputs,7,FALSE)</f>
      </c>
      <c r="V383" s="135">
        <f>VLOOKUP(S383,ModelOutputs,6,FALSE)</f>
      </c>
      <c r="W383" s="12">
        <f>VLOOKUP(S383,ModelOutputs,10,FALSE)*AWC</f>
      </c>
      <c r="X383" s="13">
        <f>VLOOKUP(S383,ModelOutputs,11,FALSE)+X382</f>
      </c>
      <c r="Y383" s="12">
        <f>VLOOKUP(S383,ModelOutputs,12,FALSE)</f>
      </c>
      <c r="Z383" s="13">
        <f>VLOOKUP(S383,ModelOutputs,13,FALSE)</f>
      </c>
    </row>
    <row x14ac:dyDescent="0.25" r="384" customHeight="1" ht="18.75">
      <c r="A384" s="71"/>
      <c r="B384" s="121"/>
      <c r="C384" s="3"/>
      <c r="D384" s="12"/>
      <c r="E384" s="3"/>
      <c r="F384" s="71"/>
      <c r="G384" s="12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134" t="s">
        <v>374</v>
      </c>
      <c r="S384" s="135">
        <f>IF(R384&gt;1,R384,"")</f>
      </c>
      <c r="T384" s="136">
        <f>VLOOKUP(S384,ModelOutputs,2,FALSE)</f>
      </c>
      <c r="U384" s="136">
        <f>VLOOKUP(S384,ModelOutputs,7,FALSE)</f>
      </c>
      <c r="V384" s="135">
        <f>VLOOKUP(S384,ModelOutputs,6,FALSE)</f>
      </c>
      <c r="W384" s="12">
        <f>VLOOKUP(S384,ModelOutputs,10,FALSE)*AWC</f>
      </c>
      <c r="X384" s="13">
        <f>VLOOKUP(S384,ModelOutputs,11,FALSE)+X383</f>
      </c>
      <c r="Y384" s="12">
        <f>VLOOKUP(S384,ModelOutputs,12,FALSE)</f>
      </c>
      <c r="Z384" s="13">
        <f>VLOOKUP(S384,ModelOutputs,13,FALSE)</f>
      </c>
    </row>
    <row x14ac:dyDescent="0.25" r="385" customHeight="1" ht="18.75">
      <c r="A385" s="71"/>
      <c r="B385" s="121"/>
      <c r="C385" s="3"/>
      <c r="D385" s="12"/>
      <c r="E385" s="3"/>
      <c r="F385" s="71"/>
      <c r="G385" s="12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134" t="s">
        <v>374</v>
      </c>
      <c r="S385" s="135">
        <f>IF(R385&gt;1,R385,"")</f>
      </c>
      <c r="T385" s="136">
        <f>VLOOKUP(S385,ModelOutputs,2,FALSE)</f>
      </c>
      <c r="U385" s="136">
        <f>VLOOKUP(S385,ModelOutputs,7,FALSE)</f>
      </c>
      <c r="V385" s="135">
        <f>VLOOKUP(S385,ModelOutputs,6,FALSE)</f>
      </c>
      <c r="W385" s="12">
        <f>VLOOKUP(S385,ModelOutputs,10,FALSE)*AWC</f>
      </c>
      <c r="X385" s="13">
        <f>VLOOKUP(S385,ModelOutputs,11,FALSE)+X384</f>
      </c>
      <c r="Y385" s="12">
        <f>VLOOKUP(S385,ModelOutputs,12,FALSE)</f>
      </c>
      <c r="Z385" s="13">
        <f>VLOOKUP(S385,ModelOutputs,13,FALSE)</f>
      </c>
    </row>
    <row x14ac:dyDescent="0.25" r="386" customHeight="1" ht="18.75">
      <c r="A386" s="71"/>
      <c r="B386" s="121"/>
      <c r="C386" s="3"/>
      <c r="D386" s="12"/>
      <c r="E386" s="3"/>
      <c r="F386" s="71"/>
      <c r="G386" s="12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134" t="s">
        <v>374</v>
      </c>
      <c r="S386" s="135">
        <f>IF(R386&gt;1,R386,"")</f>
      </c>
      <c r="T386" s="136">
        <f>VLOOKUP(S386,ModelOutputs,2,FALSE)</f>
      </c>
      <c r="U386" s="136">
        <f>VLOOKUP(S386,ModelOutputs,7,FALSE)</f>
      </c>
      <c r="V386" s="135">
        <f>VLOOKUP(S386,ModelOutputs,6,FALSE)</f>
      </c>
      <c r="W386" s="12">
        <f>VLOOKUP(S386,ModelOutputs,10,FALSE)*AWC</f>
      </c>
      <c r="X386" s="13">
        <f>VLOOKUP(S386,ModelOutputs,11,FALSE)+X385</f>
      </c>
      <c r="Y386" s="12">
        <f>VLOOKUP(S386,ModelOutputs,12,FALSE)</f>
      </c>
      <c r="Z386" s="13">
        <f>VLOOKUP(S386,ModelOutputs,13,FALSE)</f>
      </c>
    </row>
    <row x14ac:dyDescent="0.25" r="387" customHeight="1" ht="18.75">
      <c r="A387" s="71"/>
      <c r="B387" s="121"/>
      <c r="C387" s="3"/>
      <c r="D387" s="12"/>
      <c r="E387" s="3"/>
      <c r="F387" s="71"/>
      <c r="G387" s="12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134" t="s">
        <v>374</v>
      </c>
      <c r="S387" s="135">
        <f>IF(R387&gt;1,R387,"")</f>
      </c>
      <c r="T387" s="136">
        <f>VLOOKUP(S387,ModelOutputs,2,FALSE)</f>
      </c>
      <c r="U387" s="136">
        <f>VLOOKUP(S387,ModelOutputs,7,FALSE)</f>
      </c>
      <c r="V387" s="135">
        <f>VLOOKUP(S387,ModelOutputs,6,FALSE)</f>
      </c>
      <c r="W387" s="12">
        <f>VLOOKUP(S387,ModelOutputs,10,FALSE)*AWC</f>
      </c>
      <c r="X387" s="13">
        <f>VLOOKUP(S387,ModelOutputs,11,FALSE)+X386</f>
      </c>
      <c r="Y387" s="12">
        <f>VLOOKUP(S387,ModelOutputs,12,FALSE)</f>
      </c>
      <c r="Z387" s="13">
        <f>VLOOKUP(S387,ModelOutputs,13,FALSE)</f>
      </c>
    </row>
    <row x14ac:dyDescent="0.25" r="388" customHeight="1" ht="18.75">
      <c r="A388" s="71"/>
      <c r="B388" s="121"/>
      <c r="C388" s="3"/>
      <c r="D388" s="12"/>
      <c r="E388" s="3"/>
      <c r="F388" s="71"/>
      <c r="G388" s="12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134" t="s">
        <v>374</v>
      </c>
      <c r="S388" s="135">
        <f>IF(R388&gt;1,R388,"")</f>
      </c>
      <c r="T388" s="136">
        <f>VLOOKUP(S388,ModelOutputs,2,FALSE)</f>
      </c>
      <c r="U388" s="136">
        <f>VLOOKUP(S388,ModelOutputs,7,FALSE)</f>
      </c>
      <c r="V388" s="135">
        <f>VLOOKUP(S388,ModelOutputs,6,FALSE)</f>
      </c>
      <c r="W388" s="12">
        <f>VLOOKUP(S388,ModelOutputs,10,FALSE)*AWC</f>
      </c>
      <c r="X388" s="13">
        <f>VLOOKUP(S388,ModelOutputs,11,FALSE)+X387</f>
      </c>
      <c r="Y388" s="12">
        <f>VLOOKUP(S388,ModelOutputs,12,FALSE)</f>
      </c>
      <c r="Z388" s="13">
        <f>VLOOKUP(S388,ModelOutputs,13,FALSE)</f>
      </c>
    </row>
    <row x14ac:dyDescent="0.25" r="389" customHeight="1" ht="18.75">
      <c r="A389" s="71"/>
      <c r="B389" s="121"/>
      <c r="C389" s="3"/>
      <c r="D389" s="12"/>
      <c r="E389" s="3"/>
      <c r="F389" s="71"/>
      <c r="G389" s="12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134" t="s">
        <v>374</v>
      </c>
      <c r="S389" s="135">
        <f>IF(R389&gt;1,R389,"")</f>
      </c>
      <c r="T389" s="136">
        <f>VLOOKUP(S389,ModelOutputs,2,FALSE)</f>
      </c>
      <c r="U389" s="136">
        <f>VLOOKUP(S389,ModelOutputs,7,FALSE)</f>
      </c>
      <c r="V389" s="135">
        <f>VLOOKUP(S389,ModelOutputs,6,FALSE)</f>
      </c>
      <c r="W389" s="12">
        <f>VLOOKUP(S389,ModelOutputs,10,FALSE)*AWC</f>
      </c>
      <c r="X389" s="13">
        <f>VLOOKUP(S389,ModelOutputs,11,FALSE)+X388</f>
      </c>
      <c r="Y389" s="12">
        <f>VLOOKUP(S389,ModelOutputs,12,FALSE)</f>
      </c>
      <c r="Z389" s="13">
        <f>VLOOKUP(S389,ModelOutputs,13,FALSE)</f>
      </c>
    </row>
    <row x14ac:dyDescent="0.25" r="390" customHeight="1" ht="18.75">
      <c r="A390" s="71"/>
      <c r="B390" s="121"/>
      <c r="C390" s="3"/>
      <c r="D390" s="12"/>
      <c r="E390" s="3"/>
      <c r="F390" s="71"/>
      <c r="G390" s="12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134" t="s">
        <v>374</v>
      </c>
      <c r="S390" s="135">
        <f>IF(R390&gt;1,R390,"")</f>
      </c>
      <c r="T390" s="136">
        <f>VLOOKUP(S390,ModelOutputs,2,FALSE)</f>
      </c>
      <c r="U390" s="136">
        <f>VLOOKUP(S390,ModelOutputs,7,FALSE)</f>
      </c>
      <c r="V390" s="135">
        <f>VLOOKUP(S390,ModelOutputs,6,FALSE)</f>
      </c>
      <c r="W390" s="12">
        <f>VLOOKUP(S390,ModelOutputs,10,FALSE)*AWC</f>
      </c>
      <c r="X390" s="13">
        <f>VLOOKUP(S390,ModelOutputs,11,FALSE)+X389</f>
      </c>
      <c r="Y390" s="12">
        <f>VLOOKUP(S390,ModelOutputs,12,FALSE)</f>
      </c>
      <c r="Z390" s="13">
        <f>VLOOKUP(S390,ModelOutputs,13,FALSE)</f>
      </c>
    </row>
    <row x14ac:dyDescent="0.25" r="391" customHeight="1" ht="18.75">
      <c r="A391" s="71"/>
      <c r="B391" s="121"/>
      <c r="C391" s="3"/>
      <c r="D391" s="12"/>
      <c r="E391" s="3"/>
      <c r="F391" s="71"/>
      <c r="G391" s="12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134" t="s">
        <v>374</v>
      </c>
      <c r="S391" s="135">
        <f>IF(R391&gt;1,R391,"")</f>
      </c>
      <c r="T391" s="136">
        <f>VLOOKUP(S391,ModelOutputs,2,FALSE)</f>
      </c>
      <c r="U391" s="136">
        <f>VLOOKUP(S391,ModelOutputs,7,FALSE)</f>
      </c>
      <c r="V391" s="135">
        <f>VLOOKUP(S391,ModelOutputs,6,FALSE)</f>
      </c>
      <c r="W391" s="12">
        <f>VLOOKUP(S391,ModelOutputs,10,FALSE)*AWC</f>
      </c>
      <c r="X391" s="13">
        <f>VLOOKUP(S391,ModelOutputs,11,FALSE)+X390</f>
      </c>
      <c r="Y391" s="12">
        <f>VLOOKUP(S391,ModelOutputs,12,FALSE)</f>
      </c>
      <c r="Z391" s="13">
        <f>VLOOKUP(S391,ModelOutputs,13,FALSE)</f>
      </c>
    </row>
    <row x14ac:dyDescent="0.25" r="392" customHeight="1" ht="18.75">
      <c r="A392" s="71"/>
      <c r="B392" s="121"/>
      <c r="C392" s="3"/>
      <c r="D392" s="12"/>
      <c r="E392" s="3"/>
      <c r="F392" s="71"/>
      <c r="G392" s="12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134" t="s">
        <v>374</v>
      </c>
      <c r="S392" s="135">
        <f>IF(R392&gt;1,R392,"")</f>
      </c>
      <c r="T392" s="136">
        <f>VLOOKUP(S392,ModelOutputs,2,FALSE)</f>
      </c>
      <c r="U392" s="136">
        <f>VLOOKUP(S392,ModelOutputs,7,FALSE)</f>
      </c>
      <c r="V392" s="135">
        <f>VLOOKUP(S392,ModelOutputs,6,FALSE)</f>
      </c>
      <c r="W392" s="12">
        <f>VLOOKUP(S392,ModelOutputs,10,FALSE)*AWC</f>
      </c>
      <c r="X392" s="13">
        <f>VLOOKUP(S392,ModelOutputs,11,FALSE)+X391</f>
      </c>
      <c r="Y392" s="12">
        <f>VLOOKUP(S392,ModelOutputs,12,FALSE)</f>
      </c>
      <c r="Z392" s="13">
        <f>VLOOKUP(S392,ModelOutputs,13,FALSE)</f>
      </c>
    </row>
    <row x14ac:dyDescent="0.25" r="393" customHeight="1" ht="18.75">
      <c r="A393" s="71"/>
      <c r="B393" s="121"/>
      <c r="C393" s="3"/>
      <c r="D393" s="12"/>
      <c r="E393" s="3"/>
      <c r="F393" s="71"/>
      <c r="G393" s="12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134" t="s">
        <v>374</v>
      </c>
      <c r="S393" s="135">
        <f>IF(R393&gt;1,R393,"")</f>
      </c>
      <c r="T393" s="136">
        <f>VLOOKUP(S393,ModelOutputs,2,FALSE)</f>
      </c>
      <c r="U393" s="136">
        <f>VLOOKUP(S393,ModelOutputs,7,FALSE)</f>
      </c>
      <c r="V393" s="135">
        <f>VLOOKUP(S393,ModelOutputs,6,FALSE)</f>
      </c>
      <c r="W393" s="12">
        <f>VLOOKUP(S393,ModelOutputs,10,FALSE)*AWC</f>
      </c>
      <c r="X393" s="13">
        <f>VLOOKUP(S393,ModelOutputs,11,FALSE)+X392</f>
      </c>
      <c r="Y393" s="12">
        <f>VLOOKUP(S393,ModelOutputs,12,FALSE)</f>
      </c>
      <c r="Z393" s="13">
        <f>VLOOKUP(S393,ModelOutputs,13,FALSE)</f>
      </c>
    </row>
    <row x14ac:dyDescent="0.25" r="394" customHeight="1" ht="18.75">
      <c r="A394" s="71"/>
      <c r="B394" s="121"/>
      <c r="C394" s="3"/>
      <c r="D394" s="12"/>
      <c r="E394" s="3"/>
      <c r="F394" s="71"/>
      <c r="G394" s="12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134" t="s">
        <v>374</v>
      </c>
      <c r="S394" s="135">
        <f>IF(R394&gt;1,R394,"")</f>
      </c>
      <c r="T394" s="136">
        <f>VLOOKUP(S394,ModelOutputs,2,FALSE)</f>
      </c>
      <c r="U394" s="136">
        <f>VLOOKUP(S394,ModelOutputs,7,FALSE)</f>
      </c>
      <c r="V394" s="135">
        <f>VLOOKUP(S394,ModelOutputs,6,FALSE)</f>
      </c>
      <c r="W394" s="12">
        <f>VLOOKUP(S394,ModelOutputs,10,FALSE)*AWC</f>
      </c>
      <c r="X394" s="13">
        <f>VLOOKUP(S394,ModelOutputs,11,FALSE)+X393</f>
      </c>
      <c r="Y394" s="12">
        <f>VLOOKUP(S394,ModelOutputs,12,FALSE)</f>
      </c>
      <c r="Z394" s="13">
        <f>VLOOKUP(S394,ModelOutputs,13,FALSE)</f>
      </c>
    </row>
    <row x14ac:dyDescent="0.25" r="395" customHeight="1" ht="18.75">
      <c r="A395" s="71"/>
      <c r="B395" s="121"/>
      <c r="C395" s="3"/>
      <c r="D395" s="12"/>
      <c r="E395" s="3"/>
      <c r="F395" s="71"/>
      <c r="G395" s="12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134" t="s">
        <v>374</v>
      </c>
      <c r="S395" s="135">
        <f>IF(R395&gt;1,R395,"")</f>
      </c>
      <c r="T395" s="136">
        <f>VLOOKUP(S395,ModelOutputs,2,FALSE)</f>
      </c>
      <c r="U395" s="136">
        <f>VLOOKUP(S395,ModelOutputs,7,FALSE)</f>
      </c>
      <c r="V395" s="135">
        <f>VLOOKUP(S395,ModelOutputs,6,FALSE)</f>
      </c>
      <c r="W395" s="12">
        <f>VLOOKUP(S395,ModelOutputs,10,FALSE)*AWC</f>
      </c>
      <c r="X395" s="13">
        <f>VLOOKUP(S395,ModelOutputs,11,FALSE)+X394</f>
      </c>
      <c r="Y395" s="12">
        <f>VLOOKUP(S395,ModelOutputs,12,FALSE)</f>
      </c>
      <c r="Z395" s="13">
        <f>VLOOKUP(S395,ModelOutputs,13,FALSE)</f>
      </c>
    </row>
  </sheetData>
  <mergeCells count="11">
    <mergeCell ref="D1:H1"/>
    <mergeCell ref="D2:H2"/>
    <mergeCell ref="C3:H3"/>
    <mergeCell ref="R15:V15"/>
    <mergeCell ref="C17:H17"/>
    <mergeCell ref="C27:D27"/>
    <mergeCell ref="F27:G27"/>
    <mergeCell ref="C36:D36"/>
    <mergeCell ref="C46:H46"/>
    <mergeCell ref="C57:H57"/>
    <mergeCell ref="C68:H6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K495"/>
  <sheetViews>
    <sheetView workbookViewId="0"/>
  </sheetViews>
  <sheetFormatPr defaultRowHeight="15" x14ac:dyDescent="0.25"/>
  <cols>
    <col min="1" max="1" style="11" width="26.719285714285714" customWidth="1" bestFit="1"/>
    <col min="2" max="2" style="109" width="23.005" customWidth="1" bestFit="1"/>
    <col min="3" max="3" style="11" width="5.005" customWidth="1" bestFit="1"/>
    <col min="4" max="4" style="11" width="13.576428571428572" customWidth="1" bestFit="1"/>
    <col min="5" max="5" style="11" width="13.576428571428572" customWidth="1" bestFit="1"/>
    <col min="6" max="6" style="11" width="4.862142857142857" customWidth="1" bestFit="1"/>
    <col min="7" max="7" style="110" width="13.576428571428572" customWidth="1" bestFit="1"/>
    <col min="8" max="8" style="111" width="13.576428571428572" customWidth="1" bestFit="1"/>
    <col min="9" max="9" style="10" width="13.576428571428572" customWidth="1" bestFit="1"/>
    <col min="10" max="10" style="10" width="13.576428571428572" customWidth="1" bestFit="1"/>
    <col min="11" max="11" style="10" width="13.576428571428572" customWidth="1" bestFit="1"/>
    <col min="12" max="12" style="9" width="7.576428571428571" customWidth="1" bestFit="1"/>
    <col min="13" max="13" style="11" width="7.576428571428571" customWidth="1" bestFit="1"/>
    <col min="14" max="14" style="11" width="22.290714285714284" customWidth="1" bestFit="1"/>
    <col min="15" max="15" style="11" width="13.576428571428572" customWidth="1" bestFit="1"/>
    <col min="16" max="16" style="109" width="13.719285714285713" customWidth="1" bestFit="1"/>
    <col min="17" max="17" style="15" width="12.576428571428572" customWidth="1" bestFit="1"/>
    <col min="18" max="18" style="15" width="11.719285714285713" customWidth="1" bestFit="1"/>
    <col min="19" max="19" style="15" width="11.719285714285713" customWidth="1" bestFit="1"/>
    <col min="20" max="20" style="15" width="11.719285714285713" customWidth="1" bestFit="1"/>
    <col min="21" max="21" style="14" width="11.719285714285713" customWidth="1" bestFit="1"/>
    <col min="22" max="22" style="15" width="11.719285714285713" customWidth="1" bestFit="1"/>
    <col min="23" max="23" style="15" width="11.719285714285713" customWidth="1" bestFit="1"/>
    <col min="24" max="24" style="14" width="11.719285714285713" customWidth="1" bestFit="1"/>
    <col min="25" max="25" style="15" width="11.719285714285713" customWidth="1" bestFit="1"/>
    <col min="26" max="26" style="14" width="11.719285714285713" customWidth="1" bestFit="1"/>
    <col min="27" max="27" style="14" width="11.719285714285713" customWidth="1" bestFit="1"/>
    <col min="28" max="28" style="15" width="11.719285714285713" customWidth="1" bestFit="1"/>
    <col min="29" max="29" style="111" width="11.719285714285713" customWidth="1" bestFit="1"/>
    <col min="30" max="30" style="109" width="10.719285714285713" customWidth="1" bestFit="1"/>
    <col min="31" max="31" style="9" width="10.719285714285713" customWidth="1" bestFit="1"/>
    <col min="32" max="32" style="11" width="11.719285714285713" customWidth="1" bestFit="1"/>
    <col min="33" max="33" style="112" width="11.719285714285713" customWidth="1" bestFit="1"/>
    <col min="34" max="34" style="112" width="10.719285714285713" customWidth="1" bestFit="1"/>
    <col min="35" max="35" style="111" width="13.576428571428572" customWidth="1" bestFit="1"/>
    <col min="36" max="36" style="11" width="13.576428571428572" customWidth="1" bestFit="1"/>
    <col min="37" max="37" style="11" width="6.147857142857143" customWidth="1" bestFit="1"/>
  </cols>
  <sheetData>
    <row x14ac:dyDescent="0.25" r="1" customHeight="1" ht="18.75">
      <c r="A1" s="39" t="s">
        <v>423</v>
      </c>
      <c r="B1" s="40"/>
      <c r="C1" s="3"/>
      <c r="D1" s="3"/>
      <c r="E1" s="3"/>
      <c r="F1" s="3"/>
      <c r="G1" s="41"/>
      <c r="H1" s="42"/>
      <c r="I1" s="6"/>
      <c r="J1" s="6"/>
      <c r="K1" s="6"/>
      <c r="L1" s="5"/>
      <c r="M1" s="3"/>
      <c r="N1" s="3"/>
      <c r="O1" s="16" t="s">
        <v>424</v>
      </c>
      <c r="P1" s="43"/>
      <c r="Q1" s="44" t="s">
        <v>425</v>
      </c>
      <c r="R1" s="45"/>
      <c r="S1" s="44" t="s">
        <v>426</v>
      </c>
      <c r="T1" s="44" t="s">
        <v>427</v>
      </c>
      <c r="U1" s="46" t="s">
        <v>428</v>
      </c>
      <c r="V1" s="44" t="s">
        <v>426</v>
      </c>
      <c r="W1" s="44" t="s">
        <v>429</v>
      </c>
      <c r="X1" s="47" t="s">
        <v>430</v>
      </c>
      <c r="Y1" s="48"/>
      <c r="Z1" s="49"/>
      <c r="AA1" s="49"/>
      <c r="AB1" s="48"/>
      <c r="AC1" s="50" t="s">
        <v>431</v>
      </c>
      <c r="AD1" s="51" t="s">
        <v>432</v>
      </c>
      <c r="AE1" s="5"/>
      <c r="AF1" s="3"/>
      <c r="AG1" s="52"/>
      <c r="AH1" s="53"/>
      <c r="AI1" s="42"/>
      <c r="AJ1" s="3"/>
      <c r="AK1" s="3"/>
    </row>
    <row x14ac:dyDescent="0.25" r="2" customHeight="1" ht="18.75">
      <c r="A2" s="54" t="s">
        <v>433</v>
      </c>
      <c r="B2" s="55">
        <f>ConceptDemo!D69</f>
      </c>
      <c r="C2" s="3"/>
      <c r="D2" s="56">
        <f>ConceptDemo!C27</f>
      </c>
      <c r="E2" s="57"/>
      <c r="F2" s="3"/>
      <c r="G2" s="41"/>
      <c r="H2" s="42"/>
      <c r="I2" s="6"/>
      <c r="J2" s="6"/>
      <c r="K2" s="6"/>
      <c r="L2" s="5"/>
      <c r="M2" s="3"/>
      <c r="N2" s="3"/>
      <c r="O2" s="22" t="s">
        <v>434</v>
      </c>
      <c r="P2" s="58">
        <f>InitialDate</f>
        <v>25569.5</v>
      </c>
      <c r="Q2" s="59">
        <f>VLOOKUP(P2-1,ModelOutputs,2,FALSE)</f>
      </c>
      <c r="R2" s="60"/>
      <c r="S2" s="59">
        <f>SUMIF($O$6:$O$495,TRUE,S6:S495)</f>
      </c>
      <c r="T2" s="59">
        <f>SUMIF($O$6:$O$495,TRUE,T6:T495)</f>
      </c>
      <c r="U2" s="59">
        <f>SUMIF($O$6:$O$495,TRUE,U6:U495)</f>
      </c>
      <c r="V2" s="60"/>
      <c r="W2" s="13"/>
      <c r="X2" s="61"/>
      <c r="Y2" s="13"/>
      <c r="Z2" s="12"/>
      <c r="AA2" s="12"/>
      <c r="AB2" s="13"/>
      <c r="AC2" s="59">
        <f>MAX(0,AD3-AD2)</f>
      </c>
      <c r="AD2" s="59">
        <f>SUM(Q2:X2)</f>
      </c>
      <c r="AE2" s="5"/>
      <c r="AF2" s="3"/>
      <c r="AG2" s="60"/>
      <c r="AH2" s="53"/>
      <c r="AI2" s="42"/>
      <c r="AJ2" s="3"/>
      <c r="AK2" s="3"/>
    </row>
    <row x14ac:dyDescent="0.25" r="3" customHeight="1" ht="18.75">
      <c r="A3" s="22" t="s">
        <v>435</v>
      </c>
      <c r="B3" s="62">
        <f>SoilOrder</f>
      </c>
      <c r="C3" s="3"/>
      <c r="D3" s="63">
        <f>ConceptDemo!C28</f>
      </c>
      <c r="E3" s="64">
        <f>ConceptDemo!D28</f>
      </c>
      <c r="F3" s="3"/>
      <c r="G3" s="41"/>
      <c r="H3" s="42"/>
      <c r="I3" s="6" t="s">
        <v>436</v>
      </c>
      <c r="J3" s="7">
        <f>VLOOKUP(PrePlantRain,ListMembers!$Z$7:$AA$11,2,FALSE)</f>
      </c>
      <c r="K3" s="6"/>
      <c r="L3" s="5"/>
      <c r="M3" s="3"/>
      <c r="N3" s="3"/>
      <c r="O3" s="25" t="s">
        <v>437</v>
      </c>
      <c r="P3" s="65">
        <f>B33</f>
        <v>25569.5</v>
      </c>
      <c r="Q3" s="66">
        <f>VLOOKUP(P3,ModelOutputs,2,FALSE)</f>
      </c>
      <c r="R3" s="67"/>
      <c r="S3" s="28"/>
      <c r="T3" s="28"/>
      <c r="U3" s="27"/>
      <c r="V3" s="66">
        <f>(VLOOKUP($P$3,ModelOutputs,V4,FALSE)-VLOOKUP($P$2+1,ModelOutputs,V4,FALSE))-W3</f>
      </c>
      <c r="W3" s="66">
        <f>VLOOKUP($P$3,ModelOutputs,W4,FALSE)-VLOOKUP($P$2+1,ModelOutputs,W4,FALSE)</f>
      </c>
      <c r="X3" s="68">
        <f>SUMIF($O$6:$O$495,TRUE,X6:X495)</f>
      </c>
      <c r="Y3" s="60"/>
      <c r="Z3" s="60"/>
      <c r="AA3" s="60"/>
      <c r="AB3" s="60"/>
      <c r="AC3" s="59">
        <f>MAX(0,AD2-AD3)</f>
      </c>
      <c r="AD3" s="59">
        <f>SUM(Q3:X3)</f>
      </c>
      <c r="AE3" s="5"/>
      <c r="AF3" s="3"/>
      <c r="AG3" s="53"/>
      <c r="AH3" s="53"/>
      <c r="AI3" s="42"/>
      <c r="AJ3" s="3"/>
      <c r="AK3" s="3"/>
    </row>
    <row x14ac:dyDescent="0.25" r="4" customHeight="1" ht="18.75">
      <c r="A4" s="22" t="s">
        <v>438</v>
      </c>
      <c r="B4" s="62">
        <f>SampleDepth</f>
      </c>
      <c r="C4" s="3"/>
      <c r="D4" s="69">
        <f>IF(ConceptDemo!C29="","",ConceptDemo!C29)</f>
        <v>25569.5</v>
      </c>
      <c r="E4" s="70">
        <f>IF(ConceptDemo!D29="","",ConceptDemo!D29)</f>
      </c>
      <c r="F4" s="3"/>
      <c r="G4" s="41"/>
      <c r="H4" s="42">
        <f>ConceptDemo!D4</f>
      </c>
      <c r="I4" s="6" t="s">
        <v>439</v>
      </c>
      <c r="J4" s="7">
        <f>VLOOKUP(InCropRain,ListMembers!$Z$7:$AA$11,2,FALSE)</f>
      </c>
      <c r="K4" s="6"/>
      <c r="L4" s="5"/>
      <c r="M4" s="3"/>
      <c r="N4" s="3"/>
      <c r="O4" s="3"/>
      <c r="P4" s="71"/>
      <c r="Q4" s="13"/>
      <c r="R4" s="8">
        <f>SUMIF(N6:N495,FALSE,R6:R495)</f>
      </c>
      <c r="S4" s="8">
        <f>SUMIF(N6:N495,TRUE,S6:S495)</f>
      </c>
      <c r="T4" s="13"/>
      <c r="U4" s="12"/>
      <c r="V4" s="7">
        <v>7</v>
      </c>
      <c r="W4" s="7">
        <v>8</v>
      </c>
      <c r="X4" s="12"/>
      <c r="Y4" s="13"/>
      <c r="Z4" s="12"/>
      <c r="AA4" s="12"/>
      <c r="AB4" s="13"/>
      <c r="AC4" s="60"/>
      <c r="AD4" s="71"/>
      <c r="AE4" s="5"/>
      <c r="AF4" s="3"/>
      <c r="AG4" s="60"/>
      <c r="AH4" s="53"/>
      <c r="AI4" s="42"/>
      <c r="AJ4" s="3"/>
      <c r="AK4" s="3"/>
    </row>
    <row x14ac:dyDescent="0.25" r="5" customHeight="1" ht="18.75">
      <c r="A5" s="22" t="s">
        <v>440</v>
      </c>
      <c r="B5" s="72">
        <f>BulkDensity</f>
      </c>
      <c r="C5" s="3"/>
      <c r="D5" s="73">
        <f>IF(ConceptDemo!C30="","",ConceptDemo!C30)</f>
        <v>25569.5</v>
      </c>
      <c r="E5" s="74">
        <f>IF(ConceptDemo!D30="","",ConceptDemo!D30)</f>
      </c>
      <c r="F5" s="3"/>
      <c r="G5" s="41" t="s">
        <v>3</v>
      </c>
      <c r="H5" s="75" t="s">
        <v>441</v>
      </c>
      <c r="I5" s="76" t="s">
        <v>442</v>
      </c>
      <c r="J5" s="76" t="s">
        <v>1</v>
      </c>
      <c r="K5" s="77" t="s">
        <v>443</v>
      </c>
      <c r="L5" s="5"/>
      <c r="M5" s="3"/>
      <c r="N5" s="3" t="s">
        <v>444</v>
      </c>
      <c r="O5" s="3" t="s">
        <v>445</v>
      </c>
      <c r="P5" s="71">
        <f>_xll.GetDailyNBalance(H5:K495,A2:B47,D12:E18,D3:E9)</f>
      </c>
      <c r="Q5" s="78" t="s">
        <v>446</v>
      </c>
      <c r="R5" s="13" t="s">
        <v>447</v>
      </c>
      <c r="S5" s="13" t="s">
        <v>448</v>
      </c>
      <c r="T5" s="13" t="s">
        <v>449</v>
      </c>
      <c r="U5" s="12" t="s">
        <v>450</v>
      </c>
      <c r="V5" s="13" t="s">
        <v>451</v>
      </c>
      <c r="W5" s="13" t="s">
        <v>452</v>
      </c>
      <c r="X5" s="12" t="s">
        <v>453</v>
      </c>
      <c r="Y5" s="13" t="s">
        <v>454</v>
      </c>
      <c r="Z5" s="12" t="s">
        <v>455</v>
      </c>
      <c r="AA5" s="12" t="s">
        <v>391</v>
      </c>
      <c r="AB5" s="13" t="s">
        <v>456</v>
      </c>
      <c r="AC5" s="42"/>
      <c r="AD5" s="71" t="s">
        <v>457</v>
      </c>
      <c r="AE5" s="5" t="s">
        <v>458</v>
      </c>
      <c r="AF5" s="3"/>
      <c r="AG5" s="53"/>
      <c r="AH5" s="53"/>
      <c r="AI5" s="42"/>
      <c r="AJ5" s="3"/>
      <c r="AK5" s="3"/>
    </row>
    <row x14ac:dyDescent="0.25" r="6" customHeight="1" ht="18.75">
      <c r="A6" s="22" t="s">
        <v>459</v>
      </c>
      <c r="B6" s="62">
        <f>PMNtype</f>
      </c>
      <c r="C6" s="3"/>
      <c r="D6" s="73">
        <f>IF(ConceptDemo!C31="","",ConceptDemo!C31)</f>
        <v>25569.5</v>
      </c>
      <c r="E6" s="74">
        <f>IF(ConceptDemo!D31="","",ConceptDemo!D31)</f>
      </c>
      <c r="F6" s="3"/>
      <c r="G6" s="59">
        <f>H6-DATE(YEAR(H6),1,0)+1</f>
      </c>
      <c r="H6" s="79">
        <f>B20-1</f>
        <v>25569.5</v>
      </c>
      <c r="I6" s="80">
        <f>HLOOKUP($H$4,'Met Data'!$A$2:$F$368,G6,FALSE)</f>
      </c>
      <c r="J6" s="80">
        <f>HLOOKUP($H$4,'Met Data'!$H$2:$M$368,G6,FALSE)*L6</f>
      </c>
      <c r="K6" s="81">
        <f>HLOOKUP($H$4,'Met Data'!$O$2:$T$368,G6,FALSE)</f>
      </c>
      <c r="L6" s="7">
        <f>IF(H6&lt;$B$31,$J$3,$J$4)</f>
      </c>
      <c r="M6" s="3"/>
      <c r="N6" s="82">
        <f>IF(P6&lt;$P$3,TRUE,FALSE)</f>
      </c>
      <c r="O6" s="82">
        <f>AND(IF(P6&gt;($P$2-1),TRUE,FALSE),IF(P6&lt;($P$3+1),TRUE,FALSE))</f>
      </c>
      <c r="P6" s="83">
        <v>44975</v>
      </c>
      <c r="Q6" s="8">
        <v>51.19141796083949</v>
      </c>
      <c r="R6" s="8">
        <v>0.634550987193762</v>
      </c>
      <c r="S6" s="8">
        <v>0.2795834482758619</v>
      </c>
      <c r="T6" s="84">
        <v>1.5463854997573843</v>
      </c>
      <c r="U6" s="7">
        <v>0</v>
      </c>
      <c r="V6" s="8">
        <v>23.8325765491689</v>
      </c>
      <c r="W6" s="8">
        <v>21.8023941023879</v>
      </c>
      <c r="X6" s="7">
        <v>0</v>
      </c>
      <c r="Y6" s="7">
        <v>1</v>
      </c>
      <c r="Z6" s="7">
        <v>0</v>
      </c>
      <c r="AA6" s="7">
        <v>0</v>
      </c>
      <c r="AB6" s="8">
        <v>0.999990538226379</v>
      </c>
      <c r="AC6" s="42"/>
      <c r="AD6" s="83">
        <f>IFERROR(P6,$AD$4)</f>
        <v>25569.5</v>
      </c>
      <c r="AE6" s="7">
        <f>IFERROR(U6,0)</f>
      </c>
      <c r="AF6" s="3"/>
      <c r="AG6" s="60"/>
      <c r="AH6" s="60"/>
      <c r="AI6" s="42"/>
      <c r="AJ6" s="60"/>
      <c r="AK6" s="60"/>
    </row>
    <row x14ac:dyDescent="0.25" r="7" customHeight="1" ht="18.75">
      <c r="A7" s="22" t="s">
        <v>393</v>
      </c>
      <c r="B7" s="85">
        <f>HWEON</f>
      </c>
      <c r="C7" s="3"/>
      <c r="D7" s="73">
        <f>IF(ConceptDemo!C32="","",ConceptDemo!C32)</f>
        <v>25569.5</v>
      </c>
      <c r="E7" s="74">
        <f>IF(ConceptDemo!D32="","",ConceptDemo!D32)</f>
      </c>
      <c r="F7" s="3"/>
      <c r="G7" s="59">
        <f>H7-DATE(YEAR(H7),1,0)+1</f>
      </c>
      <c r="H7" s="79">
        <f>H6+1</f>
        <v>25569.5</v>
      </c>
      <c r="I7" s="80">
        <f>HLOOKUP($H$4,'Met Data'!$A$2:$F$368,G7,FALSE)</f>
      </c>
      <c r="J7" s="80">
        <f>HLOOKUP($H$4,'Met Data'!$H$2:$M$368,G7,FALSE)*L7</f>
      </c>
      <c r="K7" s="81">
        <f>HLOOKUP($H$4,'Met Data'!$O$2:$T$368,G7,FALSE)</f>
      </c>
      <c r="L7" s="7">
        <f>IF(H7&lt;$B$31,$J$3,$J$4)</f>
      </c>
      <c r="M7" s="3"/>
      <c r="N7" s="82">
        <f>IF(P7&lt;$P$3,TRUE,FALSE)</f>
      </c>
      <c r="O7" s="82">
        <f>AND(IF(P7&gt;($P$2-1),TRUE,FALSE),IF(P7&lt;($P$3+1),TRUE,FALSE))</f>
      </c>
      <c r="P7" s="83">
        <v>44976</v>
      </c>
      <c r="Q7" s="8">
        <v>52.356388881929824</v>
      </c>
      <c r="R7" s="8">
        <v>0.59244741518566</v>
      </c>
      <c r="S7" s="8">
        <v>0.2106485427081642</v>
      </c>
      <c r="T7" s="84">
        <v>1.5467697935678337</v>
      </c>
      <c r="U7" s="7">
        <v>0</v>
      </c>
      <c r="V7" s="8">
        <v>24.4250239643546</v>
      </c>
      <c r="W7" s="8">
        <v>22.3443737747984</v>
      </c>
      <c r="X7" s="7">
        <v>0</v>
      </c>
      <c r="Y7" s="8">
        <v>0.9821248559390343</v>
      </c>
      <c r="Z7" s="7">
        <v>0</v>
      </c>
      <c r="AA7" s="7">
        <v>0</v>
      </c>
      <c r="AB7" s="8">
        <v>0.999993504824839</v>
      </c>
      <c r="AC7" s="42"/>
      <c r="AD7" s="83">
        <f>IFERROR(P7,$AD$4)</f>
        <v>25569.5</v>
      </c>
      <c r="AE7" s="7">
        <f>IFERROR(U7,0)</f>
      </c>
      <c r="AF7" s="60"/>
      <c r="AG7" s="86">
        <f>Q6+S7+T7+U7</f>
      </c>
      <c r="AH7" s="86">
        <f>Q7+R7+X7</f>
      </c>
      <c r="AI7" s="59">
        <f>AH7-AG7</f>
      </c>
      <c r="AJ7" s="3"/>
      <c r="AK7" s="60"/>
    </row>
    <row x14ac:dyDescent="0.25" r="8" customHeight="1" ht="18.75">
      <c r="A8" s="22" t="s">
        <v>460</v>
      </c>
      <c r="B8" s="85">
        <f>ConceptDemo!D70</f>
      </c>
      <c r="C8" s="3"/>
      <c r="D8" s="73">
        <f>IF(ConceptDemo!C33="","",ConceptDemo!C33)</f>
        <v>25569.5</v>
      </c>
      <c r="E8" s="74">
        <f>IF(ConceptDemo!D33="","",ConceptDemo!D33)</f>
      </c>
      <c r="F8" s="3"/>
      <c r="G8" s="59">
        <f>H8-DATE(YEAR(H8),1,0)+1</f>
      </c>
      <c r="H8" s="79">
        <f>H7+1</f>
        <v>25569.5</v>
      </c>
      <c r="I8" s="80">
        <f>HLOOKUP($H$4,'Met Data'!$A$2:$F$368,G8,FALSE)</f>
      </c>
      <c r="J8" s="80">
        <f>HLOOKUP($H$4,'Met Data'!$H$2:$M$368,G8,FALSE)*L8</f>
      </c>
      <c r="K8" s="81">
        <f>HLOOKUP($H$4,'Met Data'!$O$2:$T$368,G8,FALSE)</f>
      </c>
      <c r="L8" s="7">
        <f>IF(H8&lt;$B$31,$J$3,$J$4)</f>
      </c>
      <c r="M8" s="3"/>
      <c r="N8" s="82">
        <f>IF(P8&lt;$P$3,TRUE,FALSE)</f>
      </c>
      <c r="O8" s="82">
        <f>AND(IF(P8&gt;($P$2-1),TRUE,FALSE),IF(P8&lt;($P$3+1),TRUE,FALSE))</f>
      </c>
      <c r="P8" s="83">
        <v>44977</v>
      </c>
      <c r="Q8" s="8">
        <v>54.474291858797336</v>
      </c>
      <c r="R8" s="7">
        <v>0</v>
      </c>
      <c r="S8" s="8">
        <v>0.56131511227968</v>
      </c>
      <c r="T8" s="84">
        <v>1.556587864587835</v>
      </c>
      <c r="U8" s="7">
        <v>0</v>
      </c>
      <c r="V8" s="7">
        <v>0</v>
      </c>
      <c r="W8" s="7">
        <v>0</v>
      </c>
      <c r="X8" s="7">
        <v>0</v>
      </c>
      <c r="Y8" s="8">
        <v>0.98456201563819</v>
      </c>
      <c r="Z8" s="7">
        <v>0</v>
      </c>
      <c r="AA8" s="7">
        <v>0</v>
      </c>
      <c r="AB8" s="7">
        <v>0</v>
      </c>
      <c r="AC8" s="42"/>
      <c r="AD8" s="83">
        <f>IFERROR(P8,$AD$4)</f>
        <v>25569.5</v>
      </c>
      <c r="AE8" s="7">
        <f>IFERROR(U8,0)</f>
      </c>
      <c r="AF8" s="3"/>
      <c r="AG8" s="86">
        <f>Q7+S8+T8+U8</f>
      </c>
      <c r="AH8" s="86">
        <f>Q8+R8+X8</f>
      </c>
      <c r="AI8" s="59">
        <f>AH8-AG8</f>
      </c>
      <c r="AJ8" s="3"/>
      <c r="AK8" s="3"/>
    </row>
    <row x14ac:dyDescent="0.25" r="9" customHeight="1" ht="18.75">
      <c r="A9" s="22" t="s">
        <v>461</v>
      </c>
      <c r="B9" s="85">
        <f>ConceptDemo!D71</f>
      </c>
      <c r="C9" s="3"/>
      <c r="D9" s="87">
        <f>IF(ConceptDemo!C34="","",ConceptDemo!C34)</f>
        <v>25569.5</v>
      </c>
      <c r="E9" s="64">
        <f>IF(ConceptDemo!D34="","",ConceptDemo!D34)</f>
      </c>
      <c r="F9" s="3"/>
      <c r="G9" s="59">
        <f>H9-DATE(YEAR(H9),1,0)+1</f>
      </c>
      <c r="H9" s="79">
        <f>H8+1</f>
        <v>25569.5</v>
      </c>
      <c r="I9" s="80">
        <f>HLOOKUP($H$4,'Met Data'!$A$2:$F$368,G9,FALSE)</f>
      </c>
      <c r="J9" s="80">
        <f>HLOOKUP($H$4,'Met Data'!$H$2:$M$368,G9,FALSE)*L9</f>
      </c>
      <c r="K9" s="81">
        <f>HLOOKUP($H$4,'Met Data'!$O$2:$T$368,G9,FALSE)</f>
      </c>
      <c r="L9" s="7">
        <f>IF(H9&lt;$B$31,$J$3,$J$4)</f>
      </c>
      <c r="M9" s="3"/>
      <c r="N9" s="82">
        <f>IF(P9&lt;$P$3,TRUE,FALSE)</f>
      </c>
      <c r="O9" s="82">
        <f>AND(IF(P9&gt;($P$2-1),TRUE,FALSE),IF(P9&lt;($P$3+1),TRUE,FALSE))</f>
      </c>
      <c r="P9" s="83">
        <v>44978</v>
      </c>
      <c r="Q9" s="8">
        <v>56.45163331198553</v>
      </c>
      <c r="R9" s="7">
        <v>0</v>
      </c>
      <c r="S9" s="8">
        <v>0.42804035277361524</v>
      </c>
      <c r="T9" s="84">
        <v>1.549301100414581</v>
      </c>
      <c r="U9" s="7">
        <v>0</v>
      </c>
      <c r="V9" s="7">
        <v>0</v>
      </c>
      <c r="W9" s="7">
        <v>0</v>
      </c>
      <c r="X9" s="7">
        <v>0</v>
      </c>
      <c r="Y9" s="8">
        <v>0.9789254498266174</v>
      </c>
      <c r="Z9" s="7">
        <v>0</v>
      </c>
      <c r="AA9" s="7">
        <v>0</v>
      </c>
      <c r="AB9" s="7">
        <v>0</v>
      </c>
      <c r="AC9" s="42"/>
      <c r="AD9" s="83">
        <f>IFERROR(P9,$AD$4)</f>
        <v>25569.5</v>
      </c>
      <c r="AE9" s="7">
        <f>IFERROR(U9,0)</f>
      </c>
      <c r="AF9" s="3"/>
      <c r="AG9" s="86">
        <f>Q8+S9+T9+U9</f>
      </c>
      <c r="AH9" s="86">
        <f>Q9+R9+X9</f>
      </c>
      <c r="AI9" s="59">
        <f>AH9-AG9</f>
      </c>
      <c r="AJ9" s="3"/>
      <c r="AK9" s="3"/>
    </row>
    <row x14ac:dyDescent="0.25" r="10" customHeight="1" ht="18.75">
      <c r="A10" s="22" t="s">
        <v>462</v>
      </c>
      <c r="B10" s="85">
        <f>Splits</f>
      </c>
      <c r="C10" s="3"/>
      <c r="D10" s="3"/>
      <c r="E10" s="3"/>
      <c r="F10" s="3"/>
      <c r="G10" s="59">
        <f>H10-DATE(YEAR(H10),1,0)+1</f>
      </c>
      <c r="H10" s="79">
        <f>H9+1</f>
        <v>25569.5</v>
      </c>
      <c r="I10" s="80">
        <f>HLOOKUP($H$4,'Met Data'!$A$2:$F$368,G10,FALSE)</f>
      </c>
      <c r="J10" s="80">
        <f>HLOOKUP($H$4,'Met Data'!$H$2:$M$368,G10,FALSE)*L10</f>
      </c>
      <c r="K10" s="81">
        <f>HLOOKUP($H$4,'Met Data'!$O$2:$T$368,G10,FALSE)</f>
      </c>
      <c r="L10" s="7">
        <f>IF(H10&lt;$B$31,$J$3,$J$4)</f>
      </c>
      <c r="M10" s="3"/>
      <c r="N10" s="82">
        <f>IF(P10&lt;$P$3,TRUE,FALSE)</f>
      </c>
      <c r="O10" s="82">
        <f>AND(IF(P10&gt;($P$2-1),TRUE,FALSE),IF(P10&lt;($P$3+1),TRUE,FALSE))</f>
      </c>
      <c r="P10" s="83">
        <v>44979</v>
      </c>
      <c r="Q10" s="8">
        <v>58.29871657666339</v>
      </c>
      <c r="R10" s="7">
        <v>0</v>
      </c>
      <c r="S10" s="8">
        <v>0.32110740655096104</v>
      </c>
      <c r="T10" s="84">
        <v>1.5259758581268985</v>
      </c>
      <c r="U10" s="7">
        <v>0</v>
      </c>
      <c r="V10" s="7">
        <v>0</v>
      </c>
      <c r="W10" s="7">
        <v>0</v>
      </c>
      <c r="X10" s="7">
        <v>0</v>
      </c>
      <c r="Y10" s="8">
        <v>0.9621220866082366</v>
      </c>
      <c r="Z10" s="7">
        <v>0</v>
      </c>
      <c r="AA10" s="7">
        <v>0</v>
      </c>
      <c r="AB10" s="7">
        <v>0</v>
      </c>
      <c r="AC10" s="42"/>
      <c r="AD10" s="83">
        <f>IFERROR(P10,$AD$4)</f>
        <v>25569.5</v>
      </c>
      <c r="AE10" s="7">
        <f>IFERROR(U10,0)</f>
      </c>
      <c r="AF10" s="3"/>
      <c r="AG10" s="86">
        <f>Q9+S10+T10+U10</f>
      </c>
      <c r="AH10" s="86">
        <f>Q10+R10+X10</f>
      </c>
      <c r="AI10" s="59">
        <f>AH10-AG10</f>
      </c>
      <c r="AJ10" s="3"/>
      <c r="AK10" s="3"/>
    </row>
    <row x14ac:dyDescent="0.25" r="11" customHeight="1" ht="18.75">
      <c r="A11" s="22" t="s">
        <v>463</v>
      </c>
      <c r="B11" s="85">
        <f>AWC</f>
      </c>
      <c r="C11" s="3"/>
      <c r="D11" s="56">
        <f>ConceptDemo!C36</f>
      </c>
      <c r="E11" s="57"/>
      <c r="F11" s="3"/>
      <c r="G11" s="59">
        <f>H11-DATE(YEAR(H11),1,0)+1</f>
      </c>
      <c r="H11" s="79">
        <f>H10+1</f>
        <v>25569.5</v>
      </c>
      <c r="I11" s="80">
        <f>HLOOKUP($H$4,'Met Data'!$A$2:$F$368,G11,FALSE)</f>
      </c>
      <c r="J11" s="80">
        <f>HLOOKUP($H$4,'Met Data'!$H$2:$M$368,G11,FALSE)*L11</f>
      </c>
      <c r="K11" s="81">
        <f>HLOOKUP($H$4,'Met Data'!$O$2:$T$368,G11,FALSE)</f>
      </c>
      <c r="L11" s="7">
        <f>IF(H11&lt;$B$31,$J$3,$J$4)</f>
      </c>
      <c r="M11" s="3"/>
      <c r="N11" s="82">
        <f>IF(P11&lt;$P$3,TRUE,FALSE)</f>
      </c>
      <c r="O11" s="82">
        <f>AND(IF(P11&gt;($P$2-1),TRUE,FALSE),IF(P11&lt;($P$3+1),TRUE,FALSE))</f>
      </c>
      <c r="P11" s="83">
        <v>44980</v>
      </c>
      <c r="Q11" s="8">
        <v>60.06861828418563</v>
      </c>
      <c r="R11" s="7">
        <v>0</v>
      </c>
      <c r="S11" s="8">
        <v>0.24876485242413546</v>
      </c>
      <c r="T11" s="84">
        <v>1.5211368550981053</v>
      </c>
      <c r="U11" s="7">
        <v>0</v>
      </c>
      <c r="V11" s="7">
        <v>0</v>
      </c>
      <c r="W11" s="7">
        <v>0</v>
      </c>
      <c r="X11" s="7">
        <v>0</v>
      </c>
      <c r="Y11" s="8">
        <v>0.9586814749064213</v>
      </c>
      <c r="Z11" s="7">
        <v>0</v>
      </c>
      <c r="AA11" s="7">
        <v>0</v>
      </c>
      <c r="AB11" s="7">
        <v>0</v>
      </c>
      <c r="AC11" s="42"/>
      <c r="AD11" s="83">
        <f>IFERROR(P11,$AD$4)</f>
        <v>25569.5</v>
      </c>
      <c r="AE11" s="7">
        <f>IFERROR(U11,0)</f>
      </c>
      <c r="AF11" s="3"/>
      <c r="AG11" s="86">
        <f>Q10+S11+T11+U11</f>
      </c>
      <c r="AH11" s="86">
        <f>Q11+R11+X11</f>
      </c>
      <c r="AI11" s="59">
        <f>AH11-AG11</f>
      </c>
      <c r="AJ11" s="3"/>
      <c r="AK11" s="3"/>
    </row>
    <row x14ac:dyDescent="0.25" r="12" customHeight="1" ht="18.75">
      <c r="A12" s="22" t="s">
        <v>436</v>
      </c>
      <c r="B12" s="62">
        <f>PrePlantRain</f>
      </c>
      <c r="C12" s="3"/>
      <c r="D12" s="63">
        <f>ConceptDemo!C37</f>
      </c>
      <c r="E12" s="64">
        <f>ConceptDemo!D37</f>
      </c>
      <c r="F12" s="3"/>
      <c r="G12" s="59">
        <f>H12-DATE(YEAR(H12),1,0)+1</f>
      </c>
      <c r="H12" s="79">
        <f>H11+1</f>
        <v>25569.5</v>
      </c>
      <c r="I12" s="80">
        <f>HLOOKUP($H$4,'Met Data'!$A$2:$F$368,G12,FALSE)</f>
      </c>
      <c r="J12" s="80">
        <f>HLOOKUP($H$4,'Met Data'!$H$2:$M$368,G12,FALSE)*L12</f>
      </c>
      <c r="K12" s="81">
        <f>HLOOKUP($H$4,'Met Data'!$O$2:$T$368,G12,FALSE)</f>
      </c>
      <c r="L12" s="7">
        <f>IF(H12&lt;$B$31,$J$3,$J$4)</f>
      </c>
      <c r="M12" s="3"/>
      <c r="N12" s="82">
        <f>IF(P12&lt;$P$3,TRUE,FALSE)</f>
      </c>
      <c r="O12" s="82">
        <f>AND(IF(P12&gt;($P$2-1),TRUE,FALSE),IF(P12&lt;($P$3+1),TRUE,FALSE))</f>
      </c>
      <c r="P12" s="83">
        <v>44981</v>
      </c>
      <c r="Q12" s="8">
        <v>61.69737316882756</v>
      </c>
      <c r="R12" s="7">
        <v>0</v>
      </c>
      <c r="S12" s="8">
        <v>0.1860141257441968</v>
      </c>
      <c r="T12" s="84">
        <v>1.4427407588977332</v>
      </c>
      <c r="U12" s="7">
        <v>0</v>
      </c>
      <c r="V12" s="7">
        <v>0</v>
      </c>
      <c r="W12" s="7">
        <v>0</v>
      </c>
      <c r="X12" s="7">
        <v>0</v>
      </c>
      <c r="Y12" s="8">
        <v>0.9412496859459597</v>
      </c>
      <c r="Z12" s="7">
        <v>0</v>
      </c>
      <c r="AA12" s="7">
        <v>0</v>
      </c>
      <c r="AB12" s="7">
        <v>0</v>
      </c>
      <c r="AC12" s="42"/>
      <c r="AD12" s="83">
        <f>IFERROR(P12,$AD$4)</f>
        <v>25569.5</v>
      </c>
      <c r="AE12" s="7">
        <f>IFERROR(U12,0)</f>
      </c>
      <c r="AF12" s="3"/>
      <c r="AG12" s="86">
        <f>Q11+S12+T12+U12</f>
      </c>
      <c r="AH12" s="86">
        <f>Q12+R12+X12</f>
      </c>
      <c r="AI12" s="59">
        <f>AH12-AG12</f>
      </c>
      <c r="AJ12" s="3"/>
      <c r="AK12" s="3"/>
    </row>
    <row x14ac:dyDescent="0.25" r="13" customHeight="1" ht="18.75">
      <c r="A13" s="22" t="s">
        <v>439</v>
      </c>
      <c r="B13" s="62">
        <f>InCropRain</f>
      </c>
      <c r="C13" s="3"/>
      <c r="D13" s="73">
        <f>IF(ConceptDemo!C38="","",ConceptDemo!C38)</f>
        <v>25569.5</v>
      </c>
      <c r="E13" s="74">
        <f>IF(ConceptDemo!D38="","",ConceptDemo!D38)</f>
      </c>
      <c r="F13" s="3"/>
      <c r="G13" s="59">
        <f>H13-DATE(YEAR(H13),1,0)+1</f>
      </c>
      <c r="H13" s="79">
        <f>H12+1</f>
        <v>25569.5</v>
      </c>
      <c r="I13" s="80">
        <f>HLOOKUP($H$4,'Met Data'!$A$2:$F$368,G13,FALSE)</f>
      </c>
      <c r="J13" s="80">
        <f>HLOOKUP($H$4,'Met Data'!$H$2:$M$368,G13,FALSE)*L13</f>
      </c>
      <c r="K13" s="81">
        <f>HLOOKUP($H$4,'Met Data'!$O$2:$T$368,G13,FALSE)</f>
      </c>
      <c r="L13" s="7">
        <f>IF(H13&lt;$B$31,$J$3,$J$4)</f>
      </c>
      <c r="M13" s="3"/>
      <c r="N13" s="82">
        <f>IF(P13&lt;$P$3,TRUE,FALSE)</f>
      </c>
      <c r="O13" s="82">
        <f>AND(IF(P13&gt;($P$2-1),TRUE,FALSE),IF(P13&lt;($P$3+1),TRUE,FALSE))</f>
      </c>
      <c r="P13" s="83">
        <v>44982</v>
      </c>
      <c r="Q13" s="8">
        <v>63.19230392343795</v>
      </c>
      <c r="R13" s="7">
        <v>0</v>
      </c>
      <c r="S13" s="8">
        <v>0.13955291858538088</v>
      </c>
      <c r="T13" s="84">
        <v>1.3553778360250035</v>
      </c>
      <c r="U13" s="7">
        <v>0</v>
      </c>
      <c r="V13" s="7">
        <v>0</v>
      </c>
      <c r="W13" s="7">
        <v>0</v>
      </c>
      <c r="X13" s="7">
        <v>0</v>
      </c>
      <c r="Y13" s="8">
        <v>0.9206054276269369</v>
      </c>
      <c r="Z13" s="7">
        <v>0</v>
      </c>
      <c r="AA13" s="7">
        <v>0</v>
      </c>
      <c r="AB13" s="7">
        <v>0</v>
      </c>
      <c r="AC13" s="42"/>
      <c r="AD13" s="83">
        <f>IFERROR(P13,$AD$4)</f>
        <v>25569.5</v>
      </c>
      <c r="AE13" s="7">
        <f>IFERROR(U13,0)</f>
      </c>
      <c r="AF13" s="3"/>
      <c r="AG13" s="86">
        <f>Q12+S13+T13+U13</f>
      </c>
      <c r="AH13" s="86">
        <f>Q13+R13+X13</f>
      </c>
      <c r="AI13" s="59">
        <f>AH13-AG13</f>
      </c>
      <c r="AJ13" s="3"/>
      <c r="AK13" s="3"/>
    </row>
    <row x14ac:dyDescent="0.25" r="14" customHeight="1" ht="18.75">
      <c r="A14" s="22" t="s">
        <v>391</v>
      </c>
      <c r="B14" s="62">
        <f>Irrigation</f>
      </c>
      <c r="C14" s="3"/>
      <c r="D14" s="73">
        <f>IF(ConceptDemo!C39="","",ConceptDemo!C39)</f>
        <v>25569.5</v>
      </c>
      <c r="E14" s="74">
        <f>IF(ConceptDemo!D39="","",ConceptDemo!D39)</f>
      </c>
      <c r="F14" s="3"/>
      <c r="G14" s="59">
        <f>H14-DATE(YEAR(H14),1,0)+1</f>
      </c>
      <c r="H14" s="79">
        <f>H13+1</f>
        <v>25569.5</v>
      </c>
      <c r="I14" s="80">
        <f>HLOOKUP($H$4,'Met Data'!$A$2:$F$368,G14,FALSE)</f>
      </c>
      <c r="J14" s="80">
        <f>HLOOKUP($H$4,'Met Data'!$H$2:$M$368,G14,FALSE)*L14</f>
      </c>
      <c r="K14" s="81">
        <f>HLOOKUP($H$4,'Met Data'!$O$2:$T$368,G14,FALSE)</f>
      </c>
      <c r="L14" s="7">
        <f>IF(H14&lt;$B$31,$J$3,$J$4)</f>
      </c>
      <c r="M14" s="3"/>
      <c r="N14" s="82">
        <f>IF(P14&lt;$P$3,TRUE,FALSE)</f>
      </c>
      <c r="O14" s="82">
        <f>AND(IF(P14&gt;($P$2-1),TRUE,FALSE),IF(P14&lt;($P$3+1),TRUE,FALSE))</f>
      </c>
      <c r="P14" s="83">
        <v>44983</v>
      </c>
      <c r="Q14" s="8">
        <v>64.64465660512934</v>
      </c>
      <c r="R14" s="7">
        <v>0</v>
      </c>
      <c r="S14" s="8">
        <v>0.11027187385397237</v>
      </c>
      <c r="T14" s="84">
        <v>1.3420808078374145</v>
      </c>
      <c r="U14" s="7">
        <v>0</v>
      </c>
      <c r="V14" s="7">
        <v>0</v>
      </c>
      <c r="W14" s="7">
        <v>0</v>
      </c>
      <c r="X14" s="7">
        <v>0</v>
      </c>
      <c r="Y14" s="8">
        <v>0.9063241506166975</v>
      </c>
      <c r="Z14" s="7">
        <v>0</v>
      </c>
      <c r="AA14" s="7">
        <v>0</v>
      </c>
      <c r="AB14" s="7">
        <v>0</v>
      </c>
      <c r="AC14" s="42"/>
      <c r="AD14" s="83">
        <f>IFERROR(P14,$AD$4)</f>
        <v>25569.5</v>
      </c>
      <c r="AE14" s="7">
        <f>IFERROR(U14,0)</f>
      </c>
      <c r="AF14" s="3"/>
      <c r="AG14" s="86">
        <f>Q13+S14+T14+U14</f>
      </c>
      <c r="AH14" s="86">
        <f>Q14+R14+X14</f>
      </c>
      <c r="AI14" s="59">
        <f>AH14-AG14</f>
      </c>
      <c r="AJ14" s="3"/>
      <c r="AK14" s="3"/>
    </row>
    <row x14ac:dyDescent="0.25" r="15" customHeight="1" ht="18.75">
      <c r="A15" s="88" t="s">
        <v>464</v>
      </c>
      <c r="B15" s="89">
        <f>PriorCropNameFull</f>
      </c>
      <c r="C15" s="3"/>
      <c r="D15" s="73">
        <f>IF(ConceptDemo!C40="","",ConceptDemo!C40)</f>
        <v>25569.5</v>
      </c>
      <c r="E15" s="74">
        <f>IF(ConceptDemo!D40="","",ConceptDemo!D40)</f>
      </c>
      <c r="F15" s="3"/>
      <c r="G15" s="59">
        <f>H15-DATE(YEAR(H15),1,0)+1</f>
      </c>
      <c r="H15" s="79">
        <f>H14+1</f>
        <v>25569.5</v>
      </c>
      <c r="I15" s="80">
        <f>HLOOKUP($H$4,'Met Data'!$A$2:$F$368,G15,FALSE)</f>
      </c>
      <c r="J15" s="80">
        <f>HLOOKUP($H$4,'Met Data'!$H$2:$M$368,G15,FALSE)*L15</f>
      </c>
      <c r="K15" s="81">
        <f>HLOOKUP($H$4,'Met Data'!$O$2:$T$368,G15,FALSE)</f>
      </c>
      <c r="L15" s="7">
        <f>IF(H15&lt;$B$31,$J$3,$J$4)</f>
      </c>
      <c r="M15" s="3"/>
      <c r="N15" s="82">
        <f>IF(P15&lt;$P$3,TRUE,FALSE)</f>
      </c>
      <c r="O15" s="82">
        <f>AND(IF(P15&gt;($P$2-1),TRUE,FALSE),IF(P15&lt;($P$3+1),TRUE,FALSE))</f>
      </c>
      <c r="P15" s="83">
        <v>44984</v>
      </c>
      <c r="Q15" s="8">
        <v>66.0573606774658</v>
      </c>
      <c r="R15" s="7">
        <v>0</v>
      </c>
      <c r="S15" s="8">
        <v>0.08713898169268744</v>
      </c>
      <c r="T15" s="84">
        <v>1.3255650906437693</v>
      </c>
      <c r="U15" s="7">
        <v>0</v>
      </c>
      <c r="V15" s="7">
        <v>0</v>
      </c>
      <c r="W15" s="7">
        <v>0</v>
      </c>
      <c r="X15" s="7">
        <v>0</v>
      </c>
      <c r="Y15" s="8">
        <v>0.8903371711070278</v>
      </c>
      <c r="Z15" s="7">
        <v>0</v>
      </c>
      <c r="AA15" s="7">
        <v>0</v>
      </c>
      <c r="AB15" s="7">
        <v>0</v>
      </c>
      <c r="AC15" s="42"/>
      <c r="AD15" s="83">
        <f>IFERROR(P15,$AD$4)</f>
        <v>25569.5</v>
      </c>
      <c r="AE15" s="7">
        <f>IFERROR(U15,0)</f>
      </c>
      <c r="AF15" s="3"/>
      <c r="AG15" s="86">
        <f>Q14+S15+T15+U15</f>
      </c>
      <c r="AH15" s="86">
        <f>Q15+R15+X15</f>
      </c>
      <c r="AI15" s="59">
        <f>AH15-AG15</f>
      </c>
      <c r="AJ15" s="3"/>
      <c r="AK15" s="3"/>
    </row>
    <row x14ac:dyDescent="0.25" r="16" customHeight="1" ht="18.75">
      <c r="A16" s="90" t="s">
        <v>465</v>
      </c>
      <c r="B16" s="91">
        <f>PriorYield_tperHa</f>
      </c>
      <c r="C16" s="3"/>
      <c r="D16" s="73">
        <f>IF(ConceptDemo!C41="","",ConceptDemo!C41)</f>
        <v>25569.5</v>
      </c>
      <c r="E16" s="74">
        <f>IF(ConceptDemo!D41="","",ConceptDemo!D41)</f>
      </c>
      <c r="F16" s="3"/>
      <c r="G16" s="59">
        <f>H16-DATE(YEAR(H16),1,0)+1</f>
      </c>
      <c r="H16" s="79">
        <f>H15+1</f>
        <v>25569.5</v>
      </c>
      <c r="I16" s="80">
        <f>HLOOKUP($H$4,'Met Data'!$A$2:$F$368,G16,FALSE)</f>
      </c>
      <c r="J16" s="80">
        <f>HLOOKUP($H$4,'Met Data'!$H$2:$M$368,G16,FALSE)*L16</f>
      </c>
      <c r="K16" s="81">
        <f>HLOOKUP($H$4,'Met Data'!$O$2:$T$368,G16,FALSE)</f>
      </c>
      <c r="L16" s="7">
        <f>IF(H16&lt;$B$31,$J$3,$J$4)</f>
      </c>
      <c r="M16" s="3"/>
      <c r="N16" s="82">
        <f>IF(P16&lt;$P$3,TRUE,FALSE)</f>
      </c>
      <c r="O16" s="82">
        <f>AND(IF(P16&gt;($P$2-1),TRUE,FALSE),IF(P16&lt;($P$3+1),TRUE,FALSE))</f>
      </c>
      <c r="P16" s="83">
        <v>44985</v>
      </c>
      <c r="Q16" s="8">
        <v>67.43161022336534</v>
      </c>
      <c r="R16" s="7">
        <v>0</v>
      </c>
      <c r="S16" s="8">
        <v>0.06915086615913472</v>
      </c>
      <c r="T16" s="84">
        <v>1.305098679740408</v>
      </c>
      <c r="U16" s="7">
        <v>0</v>
      </c>
      <c r="V16" s="7">
        <v>0</v>
      </c>
      <c r="W16" s="7">
        <v>0</v>
      </c>
      <c r="X16" s="7">
        <v>0</v>
      </c>
      <c r="Y16" s="8">
        <v>0.8934901573873932</v>
      </c>
      <c r="Z16" s="7">
        <v>0</v>
      </c>
      <c r="AA16" s="7">
        <v>0</v>
      </c>
      <c r="AB16" s="7">
        <v>0</v>
      </c>
      <c r="AC16" s="42"/>
      <c r="AD16" s="83">
        <f>IFERROR(P16,$AD$4)</f>
        <v>25569.5</v>
      </c>
      <c r="AE16" s="7">
        <f>IFERROR(U16,0)</f>
      </c>
      <c r="AF16" s="3"/>
      <c r="AG16" s="86">
        <f>Q15+S16+T16+U16</f>
      </c>
      <c r="AH16" s="86">
        <f>Q16+R16+X16</f>
      </c>
      <c r="AI16" s="59">
        <f>AH16-AG16</f>
      </c>
      <c r="AJ16" s="3"/>
      <c r="AK16" s="3"/>
    </row>
    <row x14ac:dyDescent="0.25" r="17" customHeight="1" ht="18.75">
      <c r="A17" s="90" t="s">
        <v>466</v>
      </c>
      <c r="B17" s="91">
        <f>PriorFieldLoss</f>
      </c>
      <c r="C17" s="3"/>
      <c r="D17" s="73">
        <f>IF(ConceptDemo!C42="","",ConceptDemo!C42)</f>
        <v>25569.5</v>
      </c>
      <c r="E17" s="74">
        <f>IF(ConceptDemo!D42="","",ConceptDemo!D42)</f>
      </c>
      <c r="F17" s="3"/>
      <c r="G17" s="59">
        <f>H17-DATE(YEAR(H17),1,0)+1</f>
      </c>
      <c r="H17" s="79">
        <f>H16+1</f>
        <v>25569.5</v>
      </c>
      <c r="I17" s="80">
        <f>HLOOKUP($H$4,'Met Data'!$A$2:$F$368,G17,FALSE)</f>
      </c>
      <c r="J17" s="80">
        <f>HLOOKUP($H$4,'Met Data'!$H$2:$M$368,G17,FALSE)*L17</f>
      </c>
      <c r="K17" s="81">
        <f>HLOOKUP($H$4,'Met Data'!$O$2:$T$368,G17,FALSE)</f>
      </c>
      <c r="L17" s="7">
        <f>IF(H17&lt;$B$31,$J$3,$J$4)</f>
      </c>
      <c r="M17" s="3"/>
      <c r="N17" s="82">
        <f>IF(P17&lt;$P$3,TRUE,FALSE)</f>
      </c>
      <c r="O17" s="82">
        <f>AND(IF(P17&gt;($P$2-1),TRUE,FALSE),IF(P17&lt;($P$3+1),TRUE,FALSE))</f>
      </c>
      <c r="P17" s="83">
        <v>44986</v>
      </c>
      <c r="Q17" s="8">
        <v>68.81109024639181</v>
      </c>
      <c r="R17" s="7">
        <v>0</v>
      </c>
      <c r="S17" s="8">
        <v>0.05625781894857461</v>
      </c>
      <c r="T17" s="84">
        <v>1.3232222040778903</v>
      </c>
      <c r="U17" s="7">
        <v>0</v>
      </c>
      <c r="V17" s="7">
        <v>0</v>
      </c>
      <c r="W17" s="7">
        <v>0</v>
      </c>
      <c r="X17" s="7">
        <v>0</v>
      </c>
      <c r="Y17" s="8">
        <v>0.9008102939610828</v>
      </c>
      <c r="Z17" s="7">
        <v>0</v>
      </c>
      <c r="AA17" s="7">
        <v>0</v>
      </c>
      <c r="AB17" s="7">
        <v>0</v>
      </c>
      <c r="AC17" s="42"/>
      <c r="AD17" s="83">
        <f>IFERROR(P17,$AD$4)</f>
        <v>25569.5</v>
      </c>
      <c r="AE17" s="7">
        <f>IFERROR(U17,0)</f>
      </c>
      <c r="AF17" s="3"/>
      <c r="AG17" s="86">
        <f>Q16+S17+T17+U17</f>
      </c>
      <c r="AH17" s="86">
        <f>Q17+R17+X17</f>
      </c>
      <c r="AI17" s="59">
        <f>AH17-AG17</f>
      </c>
      <c r="AJ17" s="3"/>
      <c r="AK17" s="3"/>
    </row>
    <row x14ac:dyDescent="0.25" r="18" customHeight="1" ht="18.75">
      <c r="A18" s="90" t="s">
        <v>467</v>
      </c>
      <c r="B18" s="91">
        <f>PriorDressingLoss</f>
      </c>
      <c r="C18" s="3"/>
      <c r="D18" s="87">
        <f>IF(ConceptDemo!C43="","",ConceptDemo!C43)</f>
        <v>25569.5</v>
      </c>
      <c r="E18" s="64">
        <f>IF(ConceptDemo!D43="","",ConceptDemo!D43)</f>
      </c>
      <c r="F18" s="3"/>
      <c r="G18" s="59">
        <f>H18-DATE(YEAR(H18),1,0)+1</f>
      </c>
      <c r="H18" s="79">
        <f>H17+1</f>
        <v>25569.5</v>
      </c>
      <c r="I18" s="80">
        <f>HLOOKUP($H$4,'Met Data'!$A$2:$F$368,G18,FALSE)</f>
      </c>
      <c r="J18" s="80">
        <f>HLOOKUP($H$4,'Met Data'!$H$2:$M$368,G18,FALSE)*L18</f>
      </c>
      <c r="K18" s="81">
        <f>HLOOKUP($H$4,'Met Data'!$O$2:$T$368,G18,FALSE)</f>
      </c>
      <c r="L18" s="7">
        <f>IF(H18&lt;$B$31,$J$3,$J$4)</f>
      </c>
      <c r="M18" s="3"/>
      <c r="N18" s="82">
        <f>IF(P18&lt;$P$3,TRUE,FALSE)</f>
      </c>
      <c r="O18" s="82">
        <f>AND(IF(P18&gt;($P$2-1),TRUE,FALSE),IF(P18&lt;($P$3+1),TRUE,FALSE))</f>
      </c>
      <c r="P18" s="83">
        <v>44987</v>
      </c>
      <c r="Q18" s="8">
        <v>70.20489610793395</v>
      </c>
      <c r="R18" s="7">
        <v>0</v>
      </c>
      <c r="S18" s="8">
        <v>0.04566988783057887</v>
      </c>
      <c r="T18" s="84">
        <v>1.3481359737115477</v>
      </c>
      <c r="U18" s="7">
        <v>0</v>
      </c>
      <c r="V18" s="7">
        <v>0</v>
      </c>
      <c r="W18" s="7">
        <v>0</v>
      </c>
      <c r="X18" s="7">
        <v>0</v>
      </c>
      <c r="Y18" s="8">
        <v>0.8928630181051922</v>
      </c>
      <c r="Z18" s="7">
        <v>0</v>
      </c>
      <c r="AA18" s="7">
        <v>0</v>
      </c>
      <c r="AB18" s="7">
        <v>0</v>
      </c>
      <c r="AC18" s="42"/>
      <c r="AD18" s="83">
        <f>IFERROR(P18,$AD$4)</f>
        <v>25569.5</v>
      </c>
      <c r="AE18" s="7">
        <f>IFERROR(U18,0)</f>
      </c>
      <c r="AF18" s="3"/>
      <c r="AG18" s="86">
        <f>Q17+S18+T18+U18</f>
      </c>
      <c r="AH18" s="86">
        <f>Q18+R18+X18</f>
      </c>
      <c r="AI18" s="59">
        <f>AH18-AG18</f>
      </c>
      <c r="AJ18" s="3"/>
      <c r="AK18" s="3"/>
    </row>
    <row x14ac:dyDescent="0.25" r="19" customHeight="1" ht="18.75">
      <c r="A19" s="90" t="s">
        <v>468</v>
      </c>
      <c r="B19" s="91">
        <f>PriorMoistureContent</f>
      </c>
      <c r="C19" s="3"/>
      <c r="D19" s="3"/>
      <c r="E19" s="3"/>
      <c r="F19" s="3"/>
      <c r="G19" s="59">
        <f>H19-DATE(YEAR(H19),1,0)+1</f>
      </c>
      <c r="H19" s="79">
        <f>H18+1</f>
        <v>25569.5</v>
      </c>
      <c r="I19" s="80">
        <f>HLOOKUP($H$4,'Met Data'!$A$2:$F$368,G19,FALSE)</f>
      </c>
      <c r="J19" s="80">
        <f>HLOOKUP($H$4,'Met Data'!$H$2:$M$368,G19,FALSE)*L19</f>
      </c>
      <c r="K19" s="81">
        <f>HLOOKUP($H$4,'Met Data'!$O$2:$T$368,G19,FALSE)</f>
      </c>
      <c r="L19" s="7">
        <f>IF(H19&lt;$B$31,$J$3,$J$4)</f>
      </c>
      <c r="M19" s="3"/>
      <c r="N19" s="82">
        <f>IF(P19&lt;$P$3,TRUE,FALSE)</f>
      </c>
      <c r="O19" s="82">
        <f>AND(IF(P19&gt;($P$2-1),TRUE,FALSE),IF(P19&lt;($P$3+1),TRUE,FALSE))</f>
      </c>
      <c r="P19" s="83">
        <v>44988</v>
      </c>
      <c r="Q19" s="8">
        <v>71.59955175787513</v>
      </c>
      <c r="R19" s="7">
        <v>0</v>
      </c>
      <c r="S19" s="8">
        <v>0.036727641826666074</v>
      </c>
      <c r="T19" s="84">
        <v>1.3579280081145135</v>
      </c>
      <c r="U19" s="7">
        <v>0</v>
      </c>
      <c r="V19" s="7">
        <v>0</v>
      </c>
      <c r="W19" s="7">
        <v>0</v>
      </c>
      <c r="X19" s="7">
        <v>0</v>
      </c>
      <c r="Y19" s="8">
        <v>0.8951821917908938</v>
      </c>
      <c r="Z19" s="7">
        <v>0</v>
      </c>
      <c r="AA19" s="7">
        <v>0</v>
      </c>
      <c r="AB19" s="7">
        <v>0</v>
      </c>
      <c r="AC19" s="42"/>
      <c r="AD19" s="83">
        <f>IFERROR(P19,$AD$4)</f>
        <v>25569.5</v>
      </c>
      <c r="AE19" s="7">
        <f>IFERROR(U19,0)</f>
      </c>
      <c r="AF19" s="3"/>
      <c r="AG19" s="86">
        <f>Q18+S19+T19+U19</f>
      </c>
      <c r="AH19" s="86">
        <f>Q19+R19+X19</f>
      </c>
      <c r="AI19" s="59">
        <f>AH19-AG19</f>
      </c>
      <c r="AJ19" s="3"/>
      <c r="AK19" s="3"/>
    </row>
    <row x14ac:dyDescent="0.25" r="20" customHeight="1" ht="18.75">
      <c r="A20" s="90" t="s">
        <v>469</v>
      </c>
      <c r="B20" s="92">
        <f>PriorEstablishDate</f>
        <v>25569.5</v>
      </c>
      <c r="C20" s="3"/>
      <c r="D20" s="3"/>
      <c r="E20" s="3"/>
      <c r="F20" s="3"/>
      <c r="G20" s="59">
        <f>H20-DATE(YEAR(H20),1,0)+1</f>
      </c>
      <c r="H20" s="79">
        <f>H19+1</f>
        <v>25569.5</v>
      </c>
      <c r="I20" s="80">
        <f>HLOOKUP($H$4,'Met Data'!$A$2:$F$368,G20,FALSE)</f>
      </c>
      <c r="J20" s="80">
        <f>HLOOKUP($H$4,'Met Data'!$H$2:$M$368,G20,FALSE)*L20</f>
      </c>
      <c r="K20" s="81">
        <f>HLOOKUP($H$4,'Met Data'!$O$2:$T$368,G20,FALSE)</f>
      </c>
      <c r="L20" s="7">
        <f>IF(H20&lt;$B$31,$J$3,$J$4)</f>
      </c>
      <c r="M20" s="3"/>
      <c r="N20" s="82">
        <f>IF(P20&lt;$P$3,TRUE,FALSE)</f>
      </c>
      <c r="O20" s="82">
        <f>AND(IF(P20&gt;($P$2-1),TRUE,FALSE),IF(P20&lt;($P$3+1),TRUE,FALSE))</f>
      </c>
      <c r="P20" s="83">
        <v>44989</v>
      </c>
      <c r="Q20" s="8">
        <v>72.94299782448017</v>
      </c>
      <c r="R20" s="7">
        <v>0</v>
      </c>
      <c r="S20" s="8">
        <v>0.028729571619871618</v>
      </c>
      <c r="T20" s="84">
        <v>1.3147164949851644</v>
      </c>
      <c r="U20" s="7">
        <v>0</v>
      </c>
      <c r="V20" s="7">
        <v>0</v>
      </c>
      <c r="W20" s="7">
        <v>0</v>
      </c>
      <c r="X20" s="7">
        <v>0</v>
      </c>
      <c r="Y20" s="8">
        <v>0.9123638617310929</v>
      </c>
      <c r="Z20" s="7">
        <v>0</v>
      </c>
      <c r="AA20" s="7">
        <v>0</v>
      </c>
      <c r="AB20" s="7">
        <v>0</v>
      </c>
      <c r="AC20" s="42"/>
      <c r="AD20" s="83">
        <f>IFERROR(P20,$AD$4)</f>
        <v>25569.5</v>
      </c>
      <c r="AE20" s="7">
        <f>IFERROR(U20,0)</f>
      </c>
      <c r="AF20" s="3"/>
      <c r="AG20" s="86">
        <f>Q19+S20+T20+U20</f>
      </c>
      <c r="AH20" s="86">
        <f>Q20+R20+X20</f>
      </c>
      <c r="AI20" s="59">
        <f>AH20-AG20</f>
      </c>
      <c r="AJ20" s="3"/>
      <c r="AK20" s="3"/>
    </row>
    <row x14ac:dyDescent="0.25" r="21" customHeight="1" ht="18.75">
      <c r="A21" s="90" t="s">
        <v>470</v>
      </c>
      <c r="B21" s="92">
        <f>PriorEstablishStage</f>
      </c>
      <c r="C21" s="3"/>
      <c r="D21" s="3"/>
      <c r="E21" s="3"/>
      <c r="F21" s="3"/>
      <c r="G21" s="59">
        <f>H21-DATE(YEAR(H21),1,0)+1</f>
      </c>
      <c r="H21" s="79">
        <f>H20+1</f>
        <v>25569.5</v>
      </c>
      <c r="I21" s="80">
        <f>HLOOKUP($H$4,'Met Data'!$A$2:$F$368,G21,FALSE)</f>
      </c>
      <c r="J21" s="80">
        <f>HLOOKUP($H$4,'Met Data'!$H$2:$M$368,G21,FALSE)*L21</f>
      </c>
      <c r="K21" s="81">
        <f>HLOOKUP($H$4,'Met Data'!$O$2:$T$368,G21,FALSE)</f>
      </c>
      <c r="L21" s="7">
        <f>IF(H21&lt;$B$31,$J$3,$J$4)</f>
      </c>
      <c r="M21" s="3"/>
      <c r="N21" s="82">
        <f>IF(P21&lt;$P$3,TRUE,FALSE)</f>
      </c>
      <c r="O21" s="82">
        <f>AND(IF(P21&gt;($P$2-1),TRUE,FALSE),IF(P21&lt;($P$3+1),TRUE,FALSE))</f>
      </c>
      <c r="P21" s="83">
        <v>44990</v>
      </c>
      <c r="Q21" s="8">
        <v>74.26164227013601</v>
      </c>
      <c r="R21" s="7">
        <v>0</v>
      </c>
      <c r="S21" s="8">
        <v>0.022788389782790967</v>
      </c>
      <c r="T21" s="84">
        <v>1.2958560558730412</v>
      </c>
      <c r="U21" s="7">
        <v>0</v>
      </c>
      <c r="V21" s="7">
        <v>0</v>
      </c>
      <c r="W21" s="7">
        <v>0</v>
      </c>
      <c r="X21" s="7">
        <v>0</v>
      </c>
      <c r="Y21" s="8">
        <v>0.9058409092035714</v>
      </c>
      <c r="Z21" s="7">
        <v>0</v>
      </c>
      <c r="AA21" s="7">
        <v>0</v>
      </c>
      <c r="AB21" s="7">
        <v>0</v>
      </c>
      <c r="AC21" s="42"/>
      <c r="AD21" s="83">
        <f>IFERROR(P21,$AD$4)</f>
        <v>25569.5</v>
      </c>
      <c r="AE21" s="7">
        <f>IFERROR(U21,0)</f>
      </c>
      <c r="AF21" s="3"/>
      <c r="AG21" s="86">
        <f>Q20+S21+T21+U21</f>
      </c>
      <c r="AH21" s="86">
        <f>Q21+R21+X21</f>
      </c>
      <c r="AI21" s="59">
        <f>AH21-AG21</f>
      </c>
      <c r="AJ21" s="3"/>
      <c r="AK21" s="3"/>
    </row>
    <row x14ac:dyDescent="0.25" r="22" customHeight="1" ht="18.75">
      <c r="A22" s="90" t="s">
        <v>471</v>
      </c>
      <c r="B22" s="92">
        <f>PriorHarvestDate</f>
        <v>25569.5</v>
      </c>
      <c r="C22" s="3"/>
      <c r="D22" s="3"/>
      <c r="E22" s="3"/>
      <c r="F22" s="3"/>
      <c r="G22" s="59">
        <f>H22-DATE(YEAR(H22),1,0)+1</f>
      </c>
      <c r="H22" s="79">
        <f>H21+1</f>
        <v>25569.5</v>
      </c>
      <c r="I22" s="80">
        <f>HLOOKUP($H$4,'Met Data'!$A$2:$F$368,G22,FALSE)</f>
      </c>
      <c r="J22" s="80">
        <f>HLOOKUP($H$4,'Met Data'!$H$2:$M$368,G22,FALSE)*L22</f>
      </c>
      <c r="K22" s="81">
        <f>HLOOKUP($H$4,'Met Data'!$O$2:$T$368,G22,FALSE)</f>
      </c>
      <c r="L22" s="7">
        <f>IF(H22&lt;$B$31,$J$3,$J$4)</f>
      </c>
      <c r="M22" s="3"/>
      <c r="N22" s="82">
        <f>IF(P22&lt;$P$3,TRUE,FALSE)</f>
      </c>
      <c r="O22" s="82">
        <f>AND(IF(P22&gt;($P$2-1),TRUE,FALSE),IF(P22&lt;($P$3+1),TRUE,FALSE))</f>
      </c>
      <c r="P22" s="83">
        <v>44991</v>
      </c>
      <c r="Q22" s="8">
        <v>75.60000135236979</v>
      </c>
      <c r="R22" s="7">
        <v>0</v>
      </c>
      <c r="S22" s="8">
        <v>0.018558077127667376</v>
      </c>
      <c r="T22" s="84">
        <v>1.3198010051061186</v>
      </c>
      <c r="U22" s="7">
        <v>0</v>
      </c>
      <c r="V22" s="8">
        <v>8.21013567537872</v>
      </c>
      <c r="W22" s="8">
        <v>6.37751610498168</v>
      </c>
      <c r="X22" s="7">
        <v>0</v>
      </c>
      <c r="Y22" s="8">
        <v>0.8959842544209177</v>
      </c>
      <c r="Z22" s="7">
        <v>0</v>
      </c>
      <c r="AA22" s="7">
        <v>0</v>
      </c>
      <c r="AB22" s="8">
        <v>0.0105984569133985</v>
      </c>
      <c r="AC22" s="42"/>
      <c r="AD22" s="83">
        <f>IFERROR(P22,$AD$4)</f>
        <v>25569.5</v>
      </c>
      <c r="AE22" s="7">
        <f>IFERROR(U22,0)</f>
      </c>
      <c r="AF22" s="3"/>
      <c r="AG22" s="86">
        <f>Q21+S22+T22+U22</f>
      </c>
      <c r="AH22" s="86">
        <f>Q22+R22+X22</f>
      </c>
      <c r="AI22" s="59">
        <f>AH22-AG22</f>
      </c>
      <c r="AJ22" s="3"/>
      <c r="AK22" s="3"/>
    </row>
    <row x14ac:dyDescent="0.25" r="23" customHeight="1" ht="18.75">
      <c r="A23" s="90" t="s">
        <v>472</v>
      </c>
      <c r="B23" s="92">
        <f>PriorHarvestStage</f>
      </c>
      <c r="C23" s="3"/>
      <c r="D23" s="3"/>
      <c r="E23" s="3"/>
      <c r="F23" s="3"/>
      <c r="G23" s="59">
        <f>H23-DATE(YEAR(H23),1,0)+1</f>
      </c>
      <c r="H23" s="79">
        <f>H22+1</f>
        <v>25569.5</v>
      </c>
      <c r="I23" s="80">
        <f>HLOOKUP($H$4,'Met Data'!$A$2:$F$368,G23,FALSE)</f>
      </c>
      <c r="J23" s="80">
        <f>HLOOKUP($H$4,'Met Data'!$H$2:$M$368,G23,FALSE)*L23</f>
      </c>
      <c r="K23" s="81">
        <f>HLOOKUP($H$4,'Met Data'!$O$2:$T$368,G23,FALSE)</f>
      </c>
      <c r="L23" s="7">
        <f>IF(H23&lt;$B$31,$J$3,$J$4)</f>
      </c>
      <c r="M23" s="3"/>
      <c r="N23" s="82">
        <f>IF(P23&lt;$P$3,TRUE,FALSE)</f>
      </c>
      <c r="O23" s="82">
        <f>AND(IF(P23&gt;($P$2-1),TRUE,FALSE),IF(P23&lt;($P$3+1),TRUE,FALSE))</f>
      </c>
      <c r="P23" s="83">
        <v>44992</v>
      </c>
      <c r="Q23" s="8">
        <v>76.27640698185247</v>
      </c>
      <c r="R23" s="8">
        <v>0.59909124607036</v>
      </c>
      <c r="S23" s="8">
        <v>0.014398118977889979</v>
      </c>
      <c r="T23" s="84">
        <v>1.2610987565751584</v>
      </c>
      <c r="U23" s="7">
        <v>0</v>
      </c>
      <c r="V23" s="8">
        <v>8.80922692144908</v>
      </c>
      <c r="W23" s="8">
        <v>6.84288162648277</v>
      </c>
      <c r="X23" s="7">
        <v>0</v>
      </c>
      <c r="Y23" s="8">
        <v>0.8939282163538261</v>
      </c>
      <c r="Z23" s="7">
        <v>0</v>
      </c>
      <c r="AA23" s="7">
        <v>0</v>
      </c>
      <c r="AB23" s="8">
        <v>0.0165090426834925</v>
      </c>
      <c r="AC23" s="42"/>
      <c r="AD23" s="83">
        <f>IFERROR(P23,$AD$4)</f>
        <v>25569.5</v>
      </c>
      <c r="AE23" s="7">
        <f>IFERROR(U23,0)</f>
      </c>
      <c r="AF23" s="3"/>
      <c r="AG23" s="86">
        <f>Q22+S23+T23+U23</f>
      </c>
      <c r="AH23" s="86">
        <f>Q23+R23+X23</f>
      </c>
      <c r="AI23" s="59">
        <f>AH23-AG23</f>
      </c>
      <c r="AJ23" s="3"/>
      <c r="AK23" s="3"/>
    </row>
    <row x14ac:dyDescent="0.25" r="24" customHeight="1" ht="18.75">
      <c r="A24" s="90" t="s">
        <v>473</v>
      </c>
      <c r="B24" s="92">
        <f>PriorResidueRemoval</f>
      </c>
      <c r="C24" s="3"/>
      <c r="D24" s="3"/>
      <c r="E24" s="3"/>
      <c r="F24" s="3"/>
      <c r="G24" s="59">
        <f>H24-DATE(YEAR(H24),1,0)+1</f>
      </c>
      <c r="H24" s="79">
        <f>H23+1</f>
        <v>25569.5</v>
      </c>
      <c r="I24" s="80">
        <f>HLOOKUP($H$4,'Met Data'!$A$2:$F$368,G24,FALSE)</f>
      </c>
      <c r="J24" s="80">
        <f>HLOOKUP($H$4,'Met Data'!$H$2:$M$368,G24,FALSE)*L24</f>
      </c>
      <c r="K24" s="81">
        <f>HLOOKUP($H$4,'Met Data'!$O$2:$T$368,G24,FALSE)</f>
      </c>
      <c r="L24" s="7">
        <f>IF(H24&lt;$B$31,$J$3,$J$4)</f>
      </c>
      <c r="M24" s="3"/>
      <c r="N24" s="82">
        <f>IF(P24&lt;$P$3,TRUE,FALSE)</f>
      </c>
      <c r="O24" s="82">
        <f>AND(IF(P24&gt;($P$2-1),TRUE,FALSE),IF(P24&lt;($P$3+1),TRUE,FALSE))</f>
      </c>
      <c r="P24" s="83">
        <v>44993</v>
      </c>
      <c r="Q24" s="8">
        <v>76.89571122225034</v>
      </c>
      <c r="R24" s="8">
        <v>0.65492821121051</v>
      </c>
      <c r="S24" s="8">
        <v>0.011617036884700454</v>
      </c>
      <c r="T24" s="84">
        <v>1.2626154147236672</v>
      </c>
      <c r="U24" s="7">
        <v>0</v>
      </c>
      <c r="V24" s="8">
        <v>9.46415513265959</v>
      </c>
      <c r="W24" s="8">
        <v>7.35162050483379</v>
      </c>
      <c r="X24" s="7">
        <v>0</v>
      </c>
      <c r="Y24" s="8">
        <v>0.874119824776954</v>
      </c>
      <c r="Z24" s="7">
        <v>0</v>
      </c>
      <c r="AA24" s="7">
        <v>0</v>
      </c>
      <c r="AB24" s="8">
        <v>0.0258527726920644</v>
      </c>
      <c r="AC24" s="42"/>
      <c r="AD24" s="83">
        <f>IFERROR(P24,$AD$4)</f>
        <v>25569.5</v>
      </c>
      <c r="AE24" s="7">
        <f>IFERROR(U24,0)</f>
      </c>
      <c r="AF24" s="3"/>
      <c r="AG24" s="86">
        <f>Q23+S24+T24+U24</f>
      </c>
      <c r="AH24" s="86">
        <f>Q24+R24+X24</f>
      </c>
      <c r="AI24" s="59">
        <f>AH24-AG24</f>
      </c>
      <c r="AJ24" s="3"/>
      <c r="AK24" s="3"/>
    </row>
    <row x14ac:dyDescent="0.25" r="25" customHeight="1" ht="18.75">
      <c r="A25" s="90" t="s">
        <v>474</v>
      </c>
      <c r="B25" s="93">
        <f>PriorResidueIncorporation</f>
      </c>
      <c r="C25" s="3"/>
      <c r="D25" s="3"/>
      <c r="E25" s="3"/>
      <c r="F25" s="3"/>
      <c r="G25" s="59">
        <f>H25-DATE(YEAR(H25),1,0)+1</f>
      </c>
      <c r="H25" s="79">
        <f>H24+1</f>
        <v>25569.5</v>
      </c>
      <c r="I25" s="80">
        <f>HLOOKUP($H$4,'Met Data'!$A$2:$F$368,G25,FALSE)</f>
      </c>
      <c r="J25" s="80">
        <f>HLOOKUP($H$4,'Met Data'!$H$2:$M$368,G25,FALSE)*L25</f>
      </c>
      <c r="K25" s="81">
        <f>HLOOKUP($H$4,'Met Data'!$O$2:$T$368,G25,FALSE)</f>
      </c>
      <c r="L25" s="7">
        <f>IF(H25&lt;$B$31,$J$3,$J$4)</f>
      </c>
      <c r="M25" s="3"/>
      <c r="N25" s="82">
        <f>IF(P25&lt;$P$3,TRUE,FALSE)</f>
      </c>
      <c r="O25" s="82">
        <f>AND(IF(P25&gt;($P$2-1),TRUE,FALSE),IF(P25&lt;($P$3+1),TRUE,FALSE))</f>
      </c>
      <c r="P25" s="83">
        <v>44994</v>
      </c>
      <c r="Q25" s="8">
        <v>77.47999396464472</v>
      </c>
      <c r="R25" s="8">
        <v>0.712065309240648</v>
      </c>
      <c r="S25" s="8">
        <v>0.00953982674778102</v>
      </c>
      <c r="T25" s="84">
        <v>1.2868082248872381</v>
      </c>
      <c r="U25" s="7">
        <v>0</v>
      </c>
      <c r="V25" s="8">
        <v>10.1762204419002</v>
      </c>
      <c r="W25" s="8">
        <v>7.90474266469036</v>
      </c>
      <c r="X25" s="7">
        <v>0</v>
      </c>
      <c r="Y25" s="8">
        <v>0.8749304757678557</v>
      </c>
      <c r="Z25" s="7">
        <v>0</v>
      </c>
      <c r="AA25" s="7">
        <v>0</v>
      </c>
      <c r="AB25" s="8">
        <v>0.0405034350428891</v>
      </c>
      <c r="AC25" s="42"/>
      <c r="AD25" s="83">
        <f>IFERROR(P25,$AD$4)</f>
        <v>25569.5</v>
      </c>
      <c r="AE25" s="7">
        <f>IFERROR(U25,0)</f>
      </c>
      <c r="AF25" s="3"/>
      <c r="AG25" s="86">
        <f>Q24+S25+T25+U25</f>
      </c>
      <c r="AH25" s="86">
        <f>Q25+R25+X25</f>
      </c>
      <c r="AI25" s="59">
        <f>AH25-AG25</f>
      </c>
      <c r="AJ25" s="3"/>
      <c r="AK25" s="3"/>
    </row>
    <row x14ac:dyDescent="0.25" r="26" customHeight="1" ht="18.75">
      <c r="A26" s="94" t="s">
        <v>475</v>
      </c>
      <c r="B26" s="95">
        <f>CurrentCropNameFull</f>
      </c>
      <c r="C26" s="3"/>
      <c r="D26" s="3"/>
      <c r="E26" s="3"/>
      <c r="F26" s="3"/>
      <c r="G26" s="59">
        <f>H26-DATE(YEAR(H26),1,0)+1</f>
      </c>
      <c r="H26" s="79">
        <f>H25+1</f>
        <v>25569.5</v>
      </c>
      <c r="I26" s="80">
        <f>HLOOKUP($H$4,'Met Data'!$A$2:$F$368,G26,FALSE)</f>
      </c>
      <c r="J26" s="80">
        <f>HLOOKUP($H$4,'Met Data'!$H$2:$M$368,G26,FALSE)*L26</f>
      </c>
      <c r="K26" s="81">
        <f>HLOOKUP($H$4,'Met Data'!$O$2:$T$368,G26,FALSE)</f>
      </c>
      <c r="L26" s="7">
        <f>IF(H26&lt;$B$31,$J$3,$J$4)</f>
      </c>
      <c r="M26" s="3"/>
      <c r="N26" s="82">
        <f>IF(P26&lt;$P$3,TRUE,FALSE)</f>
      </c>
      <c r="O26" s="82">
        <f>AND(IF(P26&gt;($P$2-1),TRUE,FALSE),IF(P26&lt;($P$3+1),TRUE,FALSE))</f>
      </c>
      <c r="P26" s="83">
        <v>44995</v>
      </c>
      <c r="Q26" s="8">
        <v>77.97253248932373</v>
      </c>
      <c r="R26" s="8">
        <v>0.752105599528804</v>
      </c>
      <c r="S26" s="8">
        <v>0.007457110966898026</v>
      </c>
      <c r="T26" s="84">
        <v>1.2371870132409086</v>
      </c>
      <c r="U26" s="7">
        <v>0</v>
      </c>
      <c r="V26" s="8">
        <v>10.928326041429</v>
      </c>
      <c r="W26" s="8">
        <v>8.48896755003863</v>
      </c>
      <c r="X26" s="7">
        <v>0</v>
      </c>
      <c r="Y26" s="8">
        <v>0.8606611952831198</v>
      </c>
      <c r="Z26" s="7">
        <v>0</v>
      </c>
      <c r="AA26" s="7">
        <v>0</v>
      </c>
      <c r="AB26" s="8">
        <v>0.0625022872217672</v>
      </c>
      <c r="AC26" s="42"/>
      <c r="AD26" s="83">
        <f>IFERROR(P26,$AD$4)</f>
        <v>25569.5</v>
      </c>
      <c r="AE26" s="7">
        <f>IFERROR(U26,0)</f>
      </c>
      <c r="AF26" s="3"/>
      <c r="AG26" s="86">
        <f>Q25+S26+T26+U26</f>
      </c>
      <c r="AH26" s="86">
        <f>Q26+R26+X26</f>
      </c>
      <c r="AI26" s="59">
        <f>AH26-AG26</f>
      </c>
      <c r="AJ26" s="3"/>
      <c r="AK26" s="3"/>
    </row>
    <row x14ac:dyDescent="0.25" r="27" customHeight="1" ht="18.75">
      <c r="A27" s="96" t="s">
        <v>476</v>
      </c>
      <c r="B27" s="97">
        <f>CurrentYield_tperHa</f>
      </c>
      <c r="C27" s="3"/>
      <c r="D27" s="3"/>
      <c r="E27" s="3"/>
      <c r="F27" s="3"/>
      <c r="G27" s="59">
        <f>H27-DATE(YEAR(H27),1,0)+1</f>
      </c>
      <c r="H27" s="79">
        <f>H26+1</f>
        <v>25569.5</v>
      </c>
      <c r="I27" s="80">
        <f>HLOOKUP($H$4,'Met Data'!$A$2:$F$368,G27,FALSE)</f>
      </c>
      <c r="J27" s="80">
        <f>HLOOKUP($H$4,'Met Data'!$H$2:$M$368,G27,FALSE)*L27</f>
      </c>
      <c r="K27" s="81">
        <f>HLOOKUP($H$4,'Met Data'!$O$2:$T$368,G27,FALSE)</f>
      </c>
      <c r="L27" s="7">
        <f>IF(H27&lt;$B$31,$J$3,$J$4)</f>
      </c>
      <c r="M27" s="3"/>
      <c r="N27" s="82">
        <f>IF(P27&lt;$P$3,TRUE,FALSE)</f>
      </c>
      <c r="O27" s="82">
        <f>AND(IF(P27&gt;($P$2-1),TRUE,FALSE),IF(P27&lt;($P$3+1),TRUE,FALSE))</f>
      </c>
      <c r="P27" s="83">
        <v>44996</v>
      </c>
      <c r="Q27" s="8">
        <v>78.45409655828446</v>
      </c>
      <c r="R27" s="8">
        <v>0.798360875067388</v>
      </c>
      <c r="S27" s="8">
        <v>0.006234769754876135</v>
      </c>
      <c r="T27" s="84">
        <v>1.2736901742732363</v>
      </c>
      <c r="U27" s="7">
        <v>0</v>
      </c>
      <c r="V27" s="8">
        <v>11.7266869164964</v>
      </c>
      <c r="W27" s="8">
        <v>9.10912287263562</v>
      </c>
      <c r="X27" s="7">
        <v>0</v>
      </c>
      <c r="Y27" s="8">
        <v>0.8933363679418299</v>
      </c>
      <c r="Z27" s="7">
        <v>0</v>
      </c>
      <c r="AA27" s="7">
        <v>0</v>
      </c>
      <c r="AB27" s="8">
        <v>0.0948975143222371</v>
      </c>
      <c r="AC27" s="42"/>
      <c r="AD27" s="83">
        <f>IFERROR(P27,$AD$4)</f>
        <v>25569.5</v>
      </c>
      <c r="AE27" s="7">
        <f>IFERROR(U27,0)</f>
      </c>
      <c r="AF27" s="3"/>
      <c r="AG27" s="86">
        <f>Q26+S27+T27+U27</f>
      </c>
      <c r="AH27" s="86">
        <f>Q27+R27+X27</f>
      </c>
      <c r="AI27" s="59">
        <f>AH27-AG27</f>
      </c>
      <c r="AJ27" s="3"/>
      <c r="AK27" s="3"/>
    </row>
    <row x14ac:dyDescent="0.25" r="28" customHeight="1" ht="18.75">
      <c r="A28" s="96" t="s">
        <v>477</v>
      </c>
      <c r="B28" s="98">
        <f>CurrentFieldLoss</f>
      </c>
      <c r="C28" s="3"/>
      <c r="D28" s="3"/>
      <c r="E28" s="3"/>
      <c r="F28" s="3"/>
      <c r="G28" s="59">
        <f>H28-DATE(YEAR(H28),1,0)+1</f>
      </c>
      <c r="H28" s="79">
        <f>H27+1</f>
        <v>25569.5</v>
      </c>
      <c r="I28" s="80">
        <f>HLOOKUP($H$4,'Met Data'!$A$2:$F$368,G28,FALSE)</f>
      </c>
      <c r="J28" s="80">
        <f>HLOOKUP($H$4,'Met Data'!$H$2:$M$368,G28,FALSE)*L28</f>
      </c>
      <c r="K28" s="81">
        <f>HLOOKUP($H$4,'Met Data'!$O$2:$T$368,G28,FALSE)</f>
      </c>
      <c r="L28" s="7">
        <f>IF(H28&lt;$B$31,$J$3,$J$4)</f>
      </c>
      <c r="M28" s="3"/>
      <c r="N28" s="82">
        <f>IF(P28&lt;$P$3,TRUE,FALSE)</f>
      </c>
      <c r="O28" s="82">
        <f>AND(IF(P28&gt;($P$2-1),TRUE,FALSE),IF(P28&lt;($P$3+1),TRUE,FALSE))</f>
      </c>
      <c r="P28" s="83">
        <v>44997</v>
      </c>
      <c r="Q28" s="8">
        <v>78.88411452349078</v>
      </c>
      <c r="R28" s="8">
        <v>0.863708511202404</v>
      </c>
      <c r="S28" s="8">
        <v>0.0050785599443835565</v>
      </c>
      <c r="T28" s="84">
        <v>1.2886479164643474</v>
      </c>
      <c r="U28" s="7">
        <v>0</v>
      </c>
      <c r="V28" s="8">
        <v>12.5903954276988</v>
      </c>
      <c r="W28" s="8">
        <v>9.78003930544463</v>
      </c>
      <c r="X28" s="7">
        <v>0</v>
      </c>
      <c r="Y28" s="8">
        <v>0.8919667259834072</v>
      </c>
      <c r="Z28" s="7">
        <v>0</v>
      </c>
      <c r="AA28" s="7">
        <v>0</v>
      </c>
      <c r="AB28" s="8">
        <v>0.142096234762646</v>
      </c>
      <c r="AC28" s="42"/>
      <c r="AD28" s="83">
        <f>IFERROR(P28,$AD$4)</f>
        <v>25569.5</v>
      </c>
      <c r="AE28" s="7">
        <f>IFERROR(U28,0)</f>
      </c>
      <c r="AF28" s="3"/>
      <c r="AG28" s="86">
        <f>Q27+S28+T28+U28</f>
      </c>
      <c r="AH28" s="86">
        <f>Q28+R28+X28</f>
      </c>
      <c r="AI28" s="59">
        <f>AH28-AG28</f>
      </c>
      <c r="AJ28" s="3"/>
      <c r="AK28" s="3"/>
    </row>
    <row x14ac:dyDescent="0.25" r="29" customHeight="1" ht="18.75">
      <c r="A29" s="96" t="s">
        <v>478</v>
      </c>
      <c r="B29" s="98">
        <f>CurrentDressingLoss</f>
      </c>
      <c r="C29" s="3"/>
      <c r="D29" s="3"/>
      <c r="E29" s="3"/>
      <c r="F29" s="3"/>
      <c r="G29" s="59">
        <f>H29-DATE(YEAR(H29),1,0)+1</f>
      </c>
      <c r="H29" s="79">
        <f>H28+1</f>
        <v>25569.5</v>
      </c>
      <c r="I29" s="80">
        <f>HLOOKUP($H$4,'Met Data'!$A$2:$F$368,G29,FALSE)</f>
      </c>
      <c r="J29" s="80">
        <f>HLOOKUP($H$4,'Met Data'!$H$2:$M$368,G29,FALSE)*L29</f>
      </c>
      <c r="K29" s="81">
        <f>HLOOKUP($H$4,'Met Data'!$O$2:$T$368,G29,FALSE)</f>
      </c>
      <c r="L29" s="7">
        <f>IF(H29&lt;$B$31,$J$3,$J$4)</f>
      </c>
      <c r="M29" s="3"/>
      <c r="N29" s="82">
        <f>IF(P29&lt;$P$3,TRUE,FALSE)</f>
      </c>
      <c r="O29" s="82">
        <f>AND(IF(P29&gt;($P$2-1),TRUE,FALSE),IF(P29&lt;($P$3+1),TRUE,FALSE))</f>
      </c>
      <c r="P29" s="83">
        <v>44998</v>
      </c>
      <c r="Q29" s="8">
        <v>79.21726365182177</v>
      </c>
      <c r="R29" s="8">
        <v>0.90565684944773</v>
      </c>
      <c r="S29" s="8">
        <v>0.003958547141577072</v>
      </c>
      <c r="T29" s="84">
        <v>1.2348474306371355</v>
      </c>
      <c r="U29" s="7">
        <v>0</v>
      </c>
      <c r="V29" s="8">
        <v>13.4960522771466</v>
      </c>
      <c r="W29" s="8">
        <v>10.4835406081406</v>
      </c>
      <c r="X29" s="7">
        <v>0</v>
      </c>
      <c r="Y29" s="8">
        <v>0.8804529604071755</v>
      </c>
      <c r="Z29" s="7">
        <v>0</v>
      </c>
      <c r="AA29" s="7">
        <v>0</v>
      </c>
      <c r="AB29" s="8">
        <v>0.205856579712734</v>
      </c>
      <c r="AC29" s="42"/>
      <c r="AD29" s="83">
        <f>IFERROR(P29,$AD$4)</f>
        <v>25569.5</v>
      </c>
      <c r="AE29" s="7">
        <f>IFERROR(U29,0)</f>
      </c>
      <c r="AF29" s="3"/>
      <c r="AG29" s="86">
        <f>Q28+S29+T29+U29</f>
      </c>
      <c r="AH29" s="86">
        <f>Q29+R29+X29</f>
      </c>
      <c r="AI29" s="59">
        <f>AH29-AG29</f>
      </c>
      <c r="AJ29" s="3"/>
      <c r="AK29" s="3"/>
    </row>
    <row x14ac:dyDescent="0.25" r="30" customHeight="1" ht="18.75">
      <c r="A30" s="96" t="s">
        <v>479</v>
      </c>
      <c r="B30" s="98">
        <f>CurrentMoistureContent</f>
      </c>
      <c r="C30" s="3"/>
      <c r="D30" s="3"/>
      <c r="E30" s="3"/>
      <c r="F30" s="3"/>
      <c r="G30" s="59">
        <f>H30-DATE(YEAR(H30),1,0)+1</f>
      </c>
      <c r="H30" s="79">
        <f>H29+1</f>
        <v>25569.5</v>
      </c>
      <c r="I30" s="80">
        <f>HLOOKUP($H$4,'Met Data'!$A$2:$F$368,G30,FALSE)</f>
      </c>
      <c r="J30" s="80">
        <f>HLOOKUP($H$4,'Met Data'!$H$2:$M$368,G30,FALSE)*L30</f>
      </c>
      <c r="K30" s="81">
        <f>HLOOKUP($H$4,'Met Data'!$O$2:$T$368,G30,FALSE)</f>
      </c>
      <c r="L30" s="7">
        <f>IF(H30&lt;$B$31,$J$3,$J$4)</f>
      </c>
      <c r="M30" s="3"/>
      <c r="N30" s="82">
        <f>IF(P30&lt;$P$3,TRUE,FALSE)</f>
      </c>
      <c r="O30" s="82">
        <f>AND(IF(P30&gt;($P$2-1),TRUE,FALSE),IF(P30&lt;($P$3+1),TRUE,FALSE))</f>
      </c>
      <c r="P30" s="83">
        <v>44999</v>
      </c>
      <c r="Q30" s="8">
        <v>79.47063798679626</v>
      </c>
      <c r="R30" s="8">
        <v>0.968730272724317</v>
      </c>
      <c r="S30" s="8">
        <v>0.003179386345566747</v>
      </c>
      <c r="T30" s="84">
        <v>1.2189252213532515</v>
      </c>
      <c r="U30" s="7">
        <v>0</v>
      </c>
      <c r="V30" s="8">
        <v>14.4647825498709</v>
      </c>
      <c r="W30" s="8">
        <v>11.236036444989</v>
      </c>
      <c r="X30" s="7">
        <v>0</v>
      </c>
      <c r="Y30" s="8">
        <v>0.8700732356066052</v>
      </c>
      <c r="Z30" s="7">
        <v>0</v>
      </c>
      <c r="AA30" s="7">
        <v>0</v>
      </c>
      <c r="AB30" s="8">
        <v>0.288622230329663</v>
      </c>
      <c r="AC30" s="42"/>
      <c r="AD30" s="83">
        <f>IFERROR(P30,$AD$4)</f>
        <v>25569.5</v>
      </c>
      <c r="AE30" s="7">
        <f>IFERROR(U30,0)</f>
      </c>
      <c r="AF30" s="3"/>
      <c r="AG30" s="86">
        <f>Q29+S30+T30+U30</f>
      </c>
      <c r="AH30" s="86">
        <f>Q30+R30+X30</f>
      </c>
      <c r="AI30" s="59">
        <f>AH30-AG30</f>
      </c>
      <c r="AJ30" s="3"/>
      <c r="AK30" s="3"/>
    </row>
    <row x14ac:dyDescent="0.25" r="31" customHeight="1" ht="18.75">
      <c r="A31" s="96" t="s">
        <v>480</v>
      </c>
      <c r="B31" s="62">
        <f>CurrentEstablishDate</f>
        <v>25569.5</v>
      </c>
      <c r="C31" s="3"/>
      <c r="D31" s="3"/>
      <c r="E31" s="3"/>
      <c r="F31" s="3"/>
      <c r="G31" s="59">
        <f>H31-DATE(YEAR(H31),1,0)+1</f>
      </c>
      <c r="H31" s="79">
        <f>H30+1</f>
        <v>25569.5</v>
      </c>
      <c r="I31" s="80">
        <f>HLOOKUP($H$4,'Met Data'!$A$2:$F$368,G31,FALSE)</f>
      </c>
      <c r="J31" s="80">
        <f>HLOOKUP($H$4,'Met Data'!$H$2:$M$368,G31,FALSE)*L31</f>
      </c>
      <c r="K31" s="81">
        <f>HLOOKUP($H$4,'Met Data'!$O$2:$T$368,G31,FALSE)</f>
      </c>
      <c r="L31" s="7">
        <f>IF(H31&lt;$B$31,$J$3,$J$4)</f>
      </c>
      <c r="M31" s="3"/>
      <c r="N31" s="82">
        <f>IF(P31&lt;$P$3,TRUE,FALSE)</f>
      </c>
      <c r="O31" s="82">
        <f>AND(IF(P31&gt;($P$2-1),TRUE,FALSE),IF(P31&lt;($P$3+1),TRUE,FALSE))</f>
      </c>
      <c r="P31" s="83">
        <v>45000</v>
      </c>
      <c r="Q31" s="8">
        <v>79.65452053636248</v>
      </c>
      <c r="R31" s="8">
        <v>1.02597051798663</v>
      </c>
      <c r="S31" s="8">
        <v>0.0025729785321940476</v>
      </c>
      <c r="T31" s="84">
        <v>1.2072800890206499</v>
      </c>
      <c r="U31" s="7">
        <v>0</v>
      </c>
      <c r="V31" s="8">
        <v>15.4907530678575</v>
      </c>
      <c r="W31" s="8">
        <v>12.0329956866393</v>
      </c>
      <c r="X31" s="7">
        <v>0</v>
      </c>
      <c r="Y31" s="8">
        <v>0.8721050154732938</v>
      </c>
      <c r="Z31" s="7">
        <v>0</v>
      </c>
      <c r="AA31" s="7">
        <v>0</v>
      </c>
      <c r="AB31" s="8">
        <v>0.387428561669014</v>
      </c>
      <c r="AC31" s="42"/>
      <c r="AD31" s="83">
        <f>IFERROR(P31,$AD$4)</f>
        <v>25569.5</v>
      </c>
      <c r="AE31" s="7">
        <f>IFERROR(U31,0)</f>
      </c>
      <c r="AF31" s="3"/>
      <c r="AG31" s="86">
        <f>Q30+S31+T31+U31</f>
      </c>
      <c r="AH31" s="86">
        <f>Q31+R31+X31</f>
      </c>
      <c r="AI31" s="59">
        <f>AH31-AG31</f>
      </c>
      <c r="AJ31" s="3"/>
      <c r="AK31" s="3"/>
    </row>
    <row x14ac:dyDescent="0.25" r="32" customHeight="1" ht="18.75">
      <c r="A32" s="96" t="s">
        <v>481</v>
      </c>
      <c r="B32" s="99">
        <f>CurrentEstablishStage</f>
      </c>
      <c r="C32" s="3"/>
      <c r="D32" s="3"/>
      <c r="E32" s="3"/>
      <c r="F32" s="3"/>
      <c r="G32" s="59">
        <f>H32-DATE(YEAR(H32),1,0)+1</f>
      </c>
      <c r="H32" s="79">
        <f>H31+1</f>
        <v>25569.5</v>
      </c>
      <c r="I32" s="80">
        <f>HLOOKUP($H$4,'Met Data'!$A$2:$F$368,G32,FALSE)</f>
      </c>
      <c r="J32" s="80">
        <f>HLOOKUP($H$4,'Met Data'!$H$2:$M$368,G32,FALSE)*L32</f>
      </c>
      <c r="K32" s="81">
        <f>HLOOKUP($H$4,'Met Data'!$O$2:$T$368,G32,FALSE)</f>
      </c>
      <c r="L32" s="7">
        <f>IF(H32&lt;$B$31,$J$3,$J$4)</f>
      </c>
      <c r="M32" s="3"/>
      <c r="N32" s="82">
        <f>IF(P32&lt;$P$3,TRUE,FALSE)</f>
      </c>
      <c r="O32" s="82">
        <f>AND(IF(P32&gt;($P$2-1),TRUE,FALSE),IF(P32&lt;($P$3+1),TRUE,FALSE))</f>
      </c>
      <c r="P32" s="83">
        <v>45001</v>
      </c>
      <c r="Q32" s="8">
        <v>79.77224279426957</v>
      </c>
      <c r="R32" s="8">
        <v>1.10490282873094</v>
      </c>
      <c r="S32" s="8">
        <v>0.0021166724380559756</v>
      </c>
      <c r="T32" s="84">
        <v>1.2205084141999776</v>
      </c>
      <c r="U32" s="7">
        <v>0</v>
      </c>
      <c r="V32" s="8">
        <v>16.5956558965884</v>
      </c>
      <c r="W32" s="8">
        <v>12.8912684196714</v>
      </c>
      <c r="X32" s="7">
        <v>0</v>
      </c>
      <c r="Y32" s="8">
        <v>0.8722125769489052</v>
      </c>
      <c r="Z32" s="7">
        <v>0</v>
      </c>
      <c r="AA32" s="7">
        <v>0</v>
      </c>
      <c r="AB32" s="8">
        <v>0.497346641328785</v>
      </c>
      <c r="AC32" s="42"/>
      <c r="AD32" s="83">
        <f>IFERROR(P32,$AD$4)</f>
        <v>25569.5</v>
      </c>
      <c r="AE32" s="7">
        <f>IFERROR(U32,0)</f>
      </c>
      <c r="AF32" s="3"/>
      <c r="AG32" s="86">
        <f>Q31+S32+T32+U32</f>
      </c>
      <c r="AH32" s="86">
        <f>Q32+R32+X32</f>
      </c>
      <c r="AI32" s="59">
        <f>AH32-AG32</f>
      </c>
      <c r="AJ32" s="3"/>
      <c r="AK32" s="3"/>
    </row>
    <row x14ac:dyDescent="0.25" r="33" customHeight="1" ht="18.75">
      <c r="A33" s="96" t="s">
        <v>482</v>
      </c>
      <c r="B33" s="62">
        <f>CurrentHarvestDate</f>
        <v>25569.5</v>
      </c>
      <c r="C33" s="3"/>
      <c r="D33" s="3"/>
      <c r="E33" s="3"/>
      <c r="F33" s="3"/>
      <c r="G33" s="59">
        <f>H33-DATE(YEAR(H33),1,0)+1</f>
      </c>
      <c r="H33" s="79">
        <f>H32+1</f>
        <v>25569.5</v>
      </c>
      <c r="I33" s="80">
        <f>HLOOKUP($H$4,'Met Data'!$A$2:$F$368,G33,FALSE)</f>
      </c>
      <c r="J33" s="80">
        <f>HLOOKUP($H$4,'Met Data'!$H$2:$M$368,G33,FALSE)*L33</f>
      </c>
      <c r="K33" s="81">
        <f>HLOOKUP($H$4,'Met Data'!$O$2:$T$368,G33,FALSE)</f>
      </c>
      <c r="L33" s="7">
        <f>IF(H33&lt;$B$31,$J$3,$J$4)</f>
      </c>
      <c r="M33" s="3"/>
      <c r="N33" s="82">
        <f>IF(P33&lt;$P$3,TRUE,FALSE)</f>
      </c>
      <c r="O33" s="82">
        <f>AND(IF(P33&gt;($P$2-1),TRUE,FALSE),IF(P33&lt;($P$3+1),TRUE,FALSE))</f>
      </c>
      <c r="P33" s="83">
        <v>45002</v>
      </c>
      <c r="Q33" s="8">
        <v>79.80554028109808</v>
      </c>
      <c r="R33" s="8">
        <v>1.17851062360161</v>
      </c>
      <c r="S33" s="8">
        <v>0.0017113120126941062</v>
      </c>
      <c r="T33" s="84">
        <v>1.2100967984174196</v>
      </c>
      <c r="U33" s="7">
        <v>0</v>
      </c>
      <c r="V33" s="8">
        <v>17.7741665201901</v>
      </c>
      <c r="W33" s="8">
        <v>13.8067186362191</v>
      </c>
      <c r="X33" s="7">
        <v>0</v>
      </c>
      <c r="Y33" s="8">
        <v>0.8670521087343948</v>
      </c>
      <c r="Z33" s="7">
        <v>0</v>
      </c>
      <c r="AA33" s="7">
        <v>0</v>
      </c>
      <c r="AB33" s="8">
        <v>0.607366425873424</v>
      </c>
      <c r="AC33" s="42"/>
      <c r="AD33" s="83">
        <f>IFERROR(P33,$AD$4)</f>
        <v>25569.5</v>
      </c>
      <c r="AE33" s="7">
        <f>IFERROR(U33,0)</f>
      </c>
      <c r="AF33" s="3"/>
      <c r="AG33" s="86">
        <f>Q32+S33+T33+U33</f>
      </c>
      <c r="AH33" s="86">
        <f>Q33+R33+X33</f>
      </c>
      <c r="AI33" s="59">
        <f>AH33-AG33</f>
      </c>
      <c r="AJ33" s="3"/>
      <c r="AK33" s="3"/>
    </row>
    <row x14ac:dyDescent="0.25" r="34" customHeight="1" ht="18.75">
      <c r="A34" s="96" t="s">
        <v>483</v>
      </c>
      <c r="B34" s="99">
        <f>CurrentHarvestStage</f>
      </c>
      <c r="C34" s="3"/>
      <c r="D34" s="3"/>
      <c r="E34" s="3"/>
      <c r="F34" s="3"/>
      <c r="G34" s="59">
        <f>H34-DATE(YEAR(H34),1,0)+1</f>
      </c>
      <c r="H34" s="79">
        <f>H33+1</f>
        <v>25569.5</v>
      </c>
      <c r="I34" s="80">
        <f>HLOOKUP($H$4,'Met Data'!$A$2:$F$368,G34,FALSE)</f>
      </c>
      <c r="J34" s="80">
        <f>HLOOKUP($H$4,'Met Data'!$H$2:$M$368,G34,FALSE)*L34</f>
      </c>
      <c r="K34" s="81">
        <f>HLOOKUP($H$4,'Met Data'!$O$2:$T$368,G34,FALSE)</f>
      </c>
      <c r="L34" s="7">
        <f>IF(H34&lt;$B$31,$J$3,$J$4)</f>
      </c>
      <c r="M34" s="3"/>
      <c r="N34" s="82">
        <f>IF(P34&lt;$P$3,TRUE,FALSE)</f>
      </c>
      <c r="O34" s="82">
        <f>AND(IF(P34&gt;($P$2-1),TRUE,FALSE),IF(P34&lt;($P$3+1),TRUE,FALSE))</f>
      </c>
      <c r="P34" s="83">
        <v>45003</v>
      </c>
      <c r="Q34" s="8">
        <v>79.7398739389635</v>
      </c>
      <c r="R34" s="8">
        <v>1.25254274982183</v>
      </c>
      <c r="S34" s="8">
        <v>0.001371799788928002</v>
      </c>
      <c r="T34" s="84">
        <v>1.1855046078983225</v>
      </c>
      <c r="U34" s="7">
        <v>0</v>
      </c>
      <c r="V34" s="8">
        <v>19.0267092700119</v>
      </c>
      <c r="W34" s="8">
        <v>14.7796759508128</v>
      </c>
      <c r="X34" s="7">
        <v>0</v>
      </c>
      <c r="Y34" s="8">
        <v>0.8556969156637388</v>
      </c>
      <c r="Z34" s="7">
        <v>0</v>
      </c>
      <c r="AA34" s="7">
        <v>0</v>
      </c>
      <c r="AB34" s="8">
        <v>0.707059776689555</v>
      </c>
      <c r="AC34" s="42"/>
      <c r="AD34" s="83">
        <f>IFERROR(P34,$AD$4)</f>
        <v>25569.5</v>
      </c>
      <c r="AE34" s="7">
        <f>IFERROR(U34,0)</f>
      </c>
      <c r="AF34" s="3"/>
      <c r="AG34" s="86">
        <f>Q33+S34+T34+U34</f>
      </c>
      <c r="AH34" s="86">
        <f>Q34+R34+X34</f>
      </c>
      <c r="AI34" s="59">
        <f>AH34-AG34</f>
      </c>
      <c r="AJ34" s="3"/>
      <c r="AK34" s="3"/>
    </row>
    <row x14ac:dyDescent="0.25" r="35" customHeight="1" ht="18.75">
      <c r="A35" s="96" t="s">
        <v>484</v>
      </c>
      <c r="B35" s="99">
        <f>CurrentResidueRemoval</f>
      </c>
      <c r="C35" s="3"/>
      <c r="D35" s="3"/>
      <c r="E35" s="3"/>
      <c r="F35" s="3"/>
      <c r="G35" s="59">
        <f>H35-DATE(YEAR(H35),1,0)+1</f>
      </c>
      <c r="H35" s="79">
        <f>H34+1</f>
        <v>25569.5</v>
      </c>
      <c r="I35" s="80">
        <f>HLOOKUP($H$4,'Met Data'!$A$2:$F$368,G35,FALSE)</f>
      </c>
      <c r="J35" s="80">
        <f>HLOOKUP($H$4,'Met Data'!$H$2:$M$368,G35,FALSE)*L35</f>
      </c>
      <c r="K35" s="81">
        <f>HLOOKUP($H$4,'Met Data'!$O$2:$T$368,G35,FALSE)</f>
      </c>
      <c r="L35" s="7">
        <f>IF(H35&lt;$B$31,$J$3,$J$4)</f>
      </c>
      <c r="M35" s="3"/>
      <c r="N35" s="82">
        <f>IF(P35&lt;$P$3,TRUE,FALSE)</f>
      </c>
      <c r="O35" s="82">
        <f>AND(IF(P35&gt;($P$2-1),TRUE,FALSE),IF(P35&lt;($P$3+1),TRUE,FALSE))</f>
      </c>
      <c r="P35" s="83">
        <v>45004</v>
      </c>
      <c r="Q35" s="8">
        <v>79.56360156222883</v>
      </c>
      <c r="R35" s="8">
        <v>1.30117534307472</v>
      </c>
      <c r="S35" s="8">
        <v>0.0010761261049014163</v>
      </c>
      <c r="T35" s="84">
        <v>1.1238268402351377</v>
      </c>
      <c r="U35" s="7">
        <v>0</v>
      </c>
      <c r="V35" s="8">
        <v>20.3278846130866</v>
      </c>
      <c r="W35" s="8">
        <v>15.7904103690941</v>
      </c>
      <c r="X35" s="7">
        <v>0</v>
      </c>
      <c r="Y35" s="8">
        <v>0.8410198096841434</v>
      </c>
      <c r="Z35" s="7">
        <v>0</v>
      </c>
      <c r="AA35" s="7">
        <v>0</v>
      </c>
      <c r="AB35" s="8">
        <v>0.788294509991812</v>
      </c>
      <c r="AC35" s="42"/>
      <c r="AD35" s="83">
        <f>IFERROR(P35,$AD$4)</f>
        <v>25569.5</v>
      </c>
      <c r="AE35" s="7">
        <f>IFERROR(U35,0)</f>
      </c>
      <c r="AF35" s="3"/>
      <c r="AG35" s="86">
        <f>Q34+S35+T35+U35</f>
      </c>
      <c r="AH35" s="86">
        <f>Q35+R35+X35</f>
      </c>
      <c r="AI35" s="59">
        <f>AH35-AG35</f>
      </c>
      <c r="AJ35" s="3"/>
      <c r="AK35" s="3"/>
    </row>
    <row x14ac:dyDescent="0.25" r="36" customHeight="1" ht="18.75">
      <c r="A36" s="96" t="s">
        <v>485</v>
      </c>
      <c r="B36" s="99">
        <f>CurrentResidueIncorporation</f>
      </c>
      <c r="C36" s="3"/>
      <c r="D36" s="3"/>
      <c r="E36" s="3"/>
      <c r="F36" s="3"/>
      <c r="G36" s="59">
        <f>H36-DATE(YEAR(H36),1,0)+1</f>
      </c>
      <c r="H36" s="79">
        <f>H35+1</f>
        <v>25569.5</v>
      </c>
      <c r="I36" s="80">
        <f>HLOOKUP($H$4,'Met Data'!$A$2:$F$368,G36,FALSE)</f>
      </c>
      <c r="J36" s="80">
        <f>HLOOKUP($H$4,'Met Data'!$H$2:$M$368,G36,FALSE)*L36</f>
      </c>
      <c r="K36" s="81">
        <f>HLOOKUP($H$4,'Met Data'!$O$2:$T$368,G36,FALSE)</f>
      </c>
      <c r="L36" s="7">
        <f>IF(H36&lt;$B$31,$J$3,$J$4)</f>
      </c>
      <c r="M36" s="3"/>
      <c r="N36" s="82">
        <f>IF(P36&lt;$P$3,TRUE,FALSE)</f>
      </c>
      <c r="O36" s="82">
        <f>AND(IF(P36&gt;($P$2-1),TRUE,FALSE),IF(P36&lt;($P$3+1),TRUE,FALSE))</f>
      </c>
      <c r="P36" s="83">
        <v>45005</v>
      </c>
      <c r="Q36" s="8">
        <v>79.30843469530684</v>
      </c>
      <c r="R36" s="8">
        <v>1.38983194301172</v>
      </c>
      <c r="S36" s="8">
        <v>0.0008962730267504308</v>
      </c>
      <c r="T36" s="8">
        <v>1.1337688030629756</v>
      </c>
      <c r="U36" s="7">
        <v>0</v>
      </c>
      <c r="V36" s="8">
        <v>21.7177165560983</v>
      </c>
      <c r="W36" s="8">
        <v>16.8700119676835</v>
      </c>
      <c r="X36" s="7">
        <v>0</v>
      </c>
      <c r="Y36" s="8">
        <v>0.8446562198558216</v>
      </c>
      <c r="Z36" s="7">
        <v>0</v>
      </c>
      <c r="AA36" s="7">
        <v>0</v>
      </c>
      <c r="AB36" s="8">
        <v>0.851896197673253</v>
      </c>
      <c r="AC36" s="42"/>
      <c r="AD36" s="83">
        <f>IFERROR(P36,$AD$4)</f>
        <v>25569.5</v>
      </c>
      <c r="AE36" s="7">
        <f>IFERROR(U36,0)</f>
      </c>
      <c r="AF36" s="3"/>
      <c r="AG36" s="86">
        <f>Q35+S36+T36+U36</f>
      </c>
      <c r="AH36" s="86">
        <f>Q36+R36+X36</f>
      </c>
      <c r="AI36" s="59">
        <f>AH36-AG36</f>
      </c>
      <c r="AJ36" s="3"/>
      <c r="AK36" s="3"/>
    </row>
    <row x14ac:dyDescent="0.25" r="37" customHeight="1" ht="18.75">
      <c r="A37" s="88" t="s">
        <v>486</v>
      </c>
      <c r="B37" s="89">
        <f>FollowingCropFullName</f>
      </c>
      <c r="C37" s="3"/>
      <c r="D37" s="3"/>
      <c r="E37" s="3"/>
      <c r="F37" s="3"/>
      <c r="G37" s="59">
        <f>H37-DATE(YEAR(H37),1,0)+1</f>
      </c>
      <c r="H37" s="79">
        <f>H36+1</f>
        <v>25569.5</v>
      </c>
      <c r="I37" s="80">
        <f>HLOOKUP($H$4,'Met Data'!$A$2:$F$368,G37,FALSE)</f>
      </c>
      <c r="J37" s="80">
        <f>HLOOKUP($H$4,'Met Data'!$H$2:$M$368,G37,FALSE)*L37</f>
      </c>
      <c r="K37" s="81">
        <f>HLOOKUP($H$4,'Met Data'!$O$2:$T$368,G37,FALSE)</f>
      </c>
      <c r="L37" s="7">
        <f>IF(H37&lt;$B$31,$J$3,$J$4)</f>
      </c>
      <c r="M37" s="3"/>
      <c r="N37" s="82">
        <f>IF(P37&lt;$P$3,TRUE,FALSE)</f>
      </c>
      <c r="O37" s="82">
        <f>AND(IF(P37&gt;($P$2-1),TRUE,FALSE),IF(P37&lt;($P$3+1),TRUE,FALSE))</f>
      </c>
      <c r="P37" s="83">
        <v>45006</v>
      </c>
      <c r="Q37" s="8">
        <v>78.93307423455597</v>
      </c>
      <c r="R37" s="8">
        <v>1.50377557096972</v>
      </c>
      <c r="S37" s="8">
        <v>0.0007333704488071215</v>
      </c>
      <c r="T37" s="8">
        <v>1.1276817397700403</v>
      </c>
      <c r="U37" s="7">
        <v>0</v>
      </c>
      <c r="V37" s="8">
        <v>23.2214921270681</v>
      </c>
      <c r="W37" s="8">
        <v>18.0381233487046</v>
      </c>
      <c r="X37" s="7">
        <v>0</v>
      </c>
      <c r="Y37" s="8">
        <v>0.82414798818621</v>
      </c>
      <c r="Z37" s="7">
        <v>0</v>
      </c>
      <c r="AA37" s="7">
        <v>0</v>
      </c>
      <c r="AB37" s="8">
        <v>0.899471894534282</v>
      </c>
      <c r="AC37" s="42"/>
      <c r="AD37" s="83">
        <f>IFERROR(P37,$AD$4)</f>
        <v>25569.5</v>
      </c>
      <c r="AE37" s="7">
        <f>IFERROR(U37,0)</f>
      </c>
      <c r="AF37" s="3"/>
      <c r="AG37" s="86">
        <f>Q36+S37+T37+U37</f>
      </c>
      <c r="AH37" s="86">
        <f>Q37+R37+X37</f>
      </c>
      <c r="AI37" s="59">
        <f>AH37-AG37</f>
      </c>
      <c r="AJ37" s="3"/>
      <c r="AK37" s="3"/>
    </row>
    <row x14ac:dyDescent="0.25" r="38" customHeight="1" ht="18.75">
      <c r="A38" s="90" t="s">
        <v>487</v>
      </c>
      <c r="B38" s="91">
        <f>FollowingYield_tperHa</f>
      </c>
      <c r="C38" s="3"/>
      <c r="D38" s="3"/>
      <c r="E38" s="3"/>
      <c r="F38" s="3"/>
      <c r="G38" s="59">
        <f>H38-DATE(YEAR(H38),1,0)+1</f>
      </c>
      <c r="H38" s="79">
        <f>H37+1</f>
        <v>25569.5</v>
      </c>
      <c r="I38" s="80">
        <f>HLOOKUP($H$4,'Met Data'!$A$2:$F$368,G38,FALSE)</f>
      </c>
      <c r="J38" s="80">
        <f>HLOOKUP($H$4,'Met Data'!$H$2:$M$368,G38,FALSE)*L38</f>
      </c>
      <c r="K38" s="81">
        <f>HLOOKUP($H$4,'Met Data'!$O$2:$T$368,G38,FALSE)</f>
      </c>
      <c r="L38" s="7">
        <f>IF(H38&lt;$B$31,$J$3,$J$4)</f>
      </c>
      <c r="M38" s="3"/>
      <c r="N38" s="82">
        <f>IF(P38&lt;$P$3,TRUE,FALSE)</f>
      </c>
      <c r="O38" s="82">
        <f>AND(IF(P38&gt;($P$2-1),TRUE,FALSE),IF(P38&lt;($P$3+1),TRUE,FALSE))</f>
      </c>
      <c r="P38" s="83">
        <v>45007</v>
      </c>
      <c r="Q38" s="8">
        <v>78.45550415788013</v>
      </c>
      <c r="R38" s="8">
        <v>1.59128547681329</v>
      </c>
      <c r="S38" s="8">
        <v>0.0006000476107880145</v>
      </c>
      <c r="T38" s="8">
        <v>1.1131153525266422</v>
      </c>
      <c r="U38" s="7">
        <v>0</v>
      </c>
      <c r="V38" s="8">
        <v>24.8127776038814</v>
      </c>
      <c r="W38" s="8">
        <v>19.2742111744435</v>
      </c>
      <c r="X38" s="7">
        <v>0</v>
      </c>
      <c r="Y38" s="8">
        <v>0.8205021367419916</v>
      </c>
      <c r="Z38" s="7">
        <v>0</v>
      </c>
      <c r="AA38" s="7">
        <v>0</v>
      </c>
      <c r="AB38" s="8">
        <v>0.932796544736241</v>
      </c>
      <c r="AC38" s="42"/>
      <c r="AD38" s="83">
        <f>IFERROR(P38,$AD$4)</f>
        <v>25569.5</v>
      </c>
      <c r="AE38" s="7">
        <f>IFERROR(U38,0)</f>
      </c>
      <c r="AF38" s="3"/>
      <c r="AG38" s="86">
        <f>Q37+S38+T38+U38</f>
      </c>
      <c r="AH38" s="86">
        <f>Q38+R38+X38</f>
      </c>
      <c r="AI38" s="59">
        <f>AH38-AG38</f>
      </c>
      <c r="AJ38" s="3"/>
      <c r="AK38" s="3"/>
    </row>
    <row x14ac:dyDescent="0.25" r="39" customHeight="1" ht="18.75">
      <c r="A39" s="90" t="s">
        <v>488</v>
      </c>
      <c r="B39" s="91">
        <f>FollowingFieldLoss</f>
      </c>
      <c r="C39" s="3"/>
      <c r="D39" s="3"/>
      <c r="E39" s="3"/>
      <c r="F39" s="3"/>
      <c r="G39" s="59">
        <f>H39-DATE(YEAR(H39),1,0)+1</f>
      </c>
      <c r="H39" s="79">
        <f>H38+1</f>
        <v>25569.5</v>
      </c>
      <c r="I39" s="80">
        <f>HLOOKUP($H$4,'Met Data'!$A$2:$F$368,G39,FALSE)</f>
      </c>
      <c r="J39" s="80">
        <f>HLOOKUP($H$4,'Met Data'!$H$2:$M$368,G39,FALSE)*L39</f>
      </c>
      <c r="K39" s="81">
        <f>HLOOKUP($H$4,'Met Data'!$O$2:$T$368,G39,FALSE)</f>
      </c>
      <c r="L39" s="7">
        <f>IF(H39&lt;$B$31,$J$3,$J$4)</f>
      </c>
      <c r="M39" s="3"/>
      <c r="N39" s="82">
        <f>IF(P39&lt;$P$3,TRUE,FALSE)</f>
      </c>
      <c r="O39" s="82">
        <f>AND(IF(P39&gt;($P$2-1),TRUE,FALSE),IF(P39&lt;($P$3+1),TRUE,FALSE))</f>
      </c>
      <c r="P39" s="83">
        <v>45008</v>
      </c>
      <c r="Q39" s="8">
        <v>77.87948057224546</v>
      </c>
      <c r="R39" s="8">
        <v>1.65931505344641</v>
      </c>
      <c r="S39" s="8">
        <v>0.0004869298843104497</v>
      </c>
      <c r="T39" s="8">
        <v>1.0828045379274094</v>
      </c>
      <c r="U39" s="7">
        <v>0</v>
      </c>
      <c r="V39" s="8">
        <v>26.4720926573278</v>
      </c>
      <c r="W39" s="8">
        <v>20.56314340346</v>
      </c>
      <c r="X39" s="7">
        <v>0</v>
      </c>
      <c r="Y39" s="8">
        <v>0.8192613072519617</v>
      </c>
      <c r="Z39" s="7">
        <v>0</v>
      </c>
      <c r="AA39" s="7">
        <v>0</v>
      </c>
      <c r="AB39" s="8">
        <v>0.95525701336007</v>
      </c>
      <c r="AC39" s="42"/>
      <c r="AD39" s="83">
        <f>IFERROR(P39,$AD$4)</f>
        <v>25569.5</v>
      </c>
      <c r="AE39" s="7">
        <f>IFERROR(U39,0)</f>
      </c>
      <c r="AF39" s="3"/>
      <c r="AG39" s="86">
        <f>Q38+S39+T39+U39</f>
      </c>
      <c r="AH39" s="86">
        <f>Q39+R39+X39</f>
      </c>
      <c r="AI39" s="59">
        <f>AH39-AG39</f>
      </c>
      <c r="AJ39" s="3"/>
      <c r="AK39" s="3"/>
    </row>
    <row x14ac:dyDescent="0.25" r="40" customHeight="1" ht="18.75">
      <c r="A40" s="90" t="s">
        <v>489</v>
      </c>
      <c r="B40" s="91">
        <f>FollowingDressingLoss</f>
      </c>
      <c r="C40" s="3"/>
      <c r="D40" s="3"/>
      <c r="E40" s="3"/>
      <c r="F40" s="3"/>
      <c r="G40" s="59">
        <f>H40-DATE(YEAR(H40),1,0)+1</f>
      </c>
      <c r="H40" s="79">
        <f>H39+1</f>
        <v>25569.5</v>
      </c>
      <c r="I40" s="80">
        <f>HLOOKUP($H$4,'Met Data'!$A$2:$F$368,G40,FALSE)</f>
      </c>
      <c r="J40" s="80">
        <f>HLOOKUP($H$4,'Met Data'!$H$2:$M$368,G40,FALSE)*L40</f>
      </c>
      <c r="K40" s="81">
        <f>HLOOKUP($H$4,'Met Data'!$O$2:$T$368,G40,FALSE)</f>
      </c>
      <c r="L40" s="7">
        <f>IF(H40&lt;$B$31,$J$3,$J$4)</f>
      </c>
      <c r="M40" s="3"/>
      <c r="N40" s="82">
        <f>IF(P40&lt;$P$3,TRUE,FALSE)</f>
      </c>
      <c r="O40" s="82">
        <f>AND(IF(P40&gt;($P$2-1),TRUE,FALSE),IF(P40&lt;($P$3+1),TRUE,FALSE))</f>
      </c>
      <c r="P40" s="83">
        <v>45009</v>
      </c>
      <c r="Q40" s="8">
        <v>77.18727650221334</v>
      </c>
      <c r="R40" s="8">
        <v>1.75392200940494</v>
      </c>
      <c r="S40" s="8">
        <v>0.0003981517776822412</v>
      </c>
      <c r="T40" s="8">
        <v>1.0613197875951355</v>
      </c>
      <c r="U40" s="7">
        <v>0</v>
      </c>
      <c r="V40" s="8">
        <v>28.2260146667327</v>
      </c>
      <c r="W40" s="8">
        <v>21.925564964337</v>
      </c>
      <c r="X40" s="7">
        <v>0</v>
      </c>
      <c r="Y40" s="8">
        <v>0.808616738363151</v>
      </c>
      <c r="Z40" s="7">
        <v>0</v>
      </c>
      <c r="AA40" s="7">
        <v>0</v>
      </c>
      <c r="AB40" s="8">
        <v>0.970390664955631</v>
      </c>
      <c r="AC40" s="42"/>
      <c r="AD40" s="83">
        <f>IFERROR(P40,$AD$4)</f>
        <v>25569.5</v>
      </c>
      <c r="AE40" s="7">
        <f>IFERROR(U40,0)</f>
      </c>
      <c r="AF40" s="3"/>
      <c r="AG40" s="86">
        <f>Q39+S40+T40+U40</f>
      </c>
      <c r="AH40" s="86">
        <f>Q40+R40+X40</f>
      </c>
      <c r="AI40" s="59">
        <f>AH40-AG40</f>
      </c>
      <c r="AJ40" s="3"/>
      <c r="AK40" s="3"/>
    </row>
    <row x14ac:dyDescent="0.25" r="41" customHeight="1" ht="18.75">
      <c r="A41" s="90" t="s">
        <v>490</v>
      </c>
      <c r="B41" s="91">
        <f>FollowingMoistureLoss</f>
      </c>
      <c r="C41" s="3"/>
      <c r="D41" s="3"/>
      <c r="E41" s="3"/>
      <c r="F41" s="3"/>
      <c r="G41" s="59">
        <f>H41-DATE(YEAR(H41),1,0)+1</f>
      </c>
      <c r="H41" s="79">
        <f>H40+1</f>
        <v>25569.5</v>
      </c>
      <c r="I41" s="80">
        <f>HLOOKUP($H$4,'Met Data'!$A$2:$F$368,G41,FALSE)</f>
      </c>
      <c r="J41" s="80">
        <f>HLOOKUP($H$4,'Met Data'!$H$2:$M$368,G41,FALSE)*L41</f>
      </c>
      <c r="K41" s="81">
        <f>HLOOKUP($H$4,'Met Data'!$O$2:$T$368,G41,FALSE)</f>
      </c>
      <c r="L41" s="7">
        <f>IF(H41&lt;$B$31,$J$3,$J$4)</f>
      </c>
      <c r="M41" s="3"/>
      <c r="N41" s="82">
        <f>IF(P41&lt;$P$3,TRUE,FALSE)</f>
      </c>
      <c r="O41" s="82">
        <f>AND(IF(P41&gt;($P$2-1),TRUE,FALSE),IF(P41&lt;($P$3+1),TRUE,FALSE))</f>
      </c>
      <c r="P41" s="83">
        <v>45010</v>
      </c>
      <c r="Q41" s="8">
        <v>76.37326260500113</v>
      </c>
      <c r="R41" s="8">
        <v>1.86266062490207</v>
      </c>
      <c r="S41" s="8">
        <v>0.00032862305351213385</v>
      </c>
      <c r="T41" s="8">
        <v>1.0483181046363614</v>
      </c>
      <c r="U41" s="7">
        <v>0</v>
      </c>
      <c r="V41" s="8">
        <v>30.0886752916348</v>
      </c>
      <c r="W41" s="8">
        <v>23.3724531283234</v>
      </c>
      <c r="X41" s="7">
        <v>0</v>
      </c>
      <c r="Y41" s="8">
        <v>0.7984554913606368</v>
      </c>
      <c r="Z41" s="7">
        <v>0</v>
      </c>
      <c r="AA41" s="7">
        <v>0</v>
      </c>
      <c r="AB41" s="8">
        <v>0.980515648736775</v>
      </c>
      <c r="AC41" s="42"/>
      <c r="AD41" s="83">
        <f>IFERROR(P41,$AD$4)</f>
        <v>25569.5</v>
      </c>
      <c r="AE41" s="7">
        <f>IFERROR(U41,0)</f>
      </c>
      <c r="AF41" s="3"/>
      <c r="AG41" s="86">
        <f>Q40+S41+T41+U41</f>
      </c>
      <c r="AH41" s="86">
        <f>Q41+R41+X41</f>
      </c>
      <c r="AI41" s="59">
        <f>AH41-AG41</f>
      </c>
      <c r="AJ41" s="3"/>
      <c r="AK41" s="3"/>
    </row>
    <row x14ac:dyDescent="0.25" r="42" customHeight="1" ht="18.75">
      <c r="A42" s="90" t="s">
        <v>491</v>
      </c>
      <c r="B42" s="92">
        <f>FollowingEstablishDate</f>
        <v>25569.5</v>
      </c>
      <c r="C42" s="3"/>
      <c r="D42" s="3"/>
      <c r="E42" s="3"/>
      <c r="F42" s="3"/>
      <c r="G42" s="59">
        <f>H42-DATE(YEAR(H42),1,0)+1</f>
      </c>
      <c r="H42" s="79">
        <f>H41+1</f>
        <v>25569.5</v>
      </c>
      <c r="I42" s="80">
        <f>HLOOKUP($H$4,'Met Data'!$A$2:$F$368,G42,FALSE)</f>
      </c>
      <c r="J42" s="80">
        <f>HLOOKUP($H$4,'Met Data'!$H$2:$M$368,G42,FALSE)*L42</f>
      </c>
      <c r="K42" s="81">
        <f>HLOOKUP($H$4,'Met Data'!$O$2:$T$368,G42,FALSE)</f>
      </c>
      <c r="L42" s="7">
        <f>IF(H42&lt;$B$31,$J$3,$J$4)</f>
      </c>
      <c r="M42" s="3"/>
      <c r="N42" s="82">
        <f>IF(P42&lt;$P$3,TRUE,FALSE)</f>
      </c>
      <c r="O42" s="82">
        <f>AND(IF(P42&gt;($P$2-1),TRUE,FALSE),IF(P42&lt;($P$3+1),TRUE,FALSE))</f>
      </c>
      <c r="P42" s="83">
        <v>45011</v>
      </c>
      <c r="Q42" s="8">
        <v>75.44667221333509</v>
      </c>
      <c r="R42" s="8">
        <v>1.98515474510332</v>
      </c>
      <c r="S42" s="8">
        <v>0.00027730487793835046</v>
      </c>
      <c r="T42" s="8">
        <v>1.0582870485593343</v>
      </c>
      <c r="U42" s="7">
        <v>0</v>
      </c>
      <c r="V42" s="8">
        <v>32.0738300367381</v>
      </c>
      <c r="W42" s="8">
        <v>24.9144929749662</v>
      </c>
      <c r="X42" s="7">
        <v>0</v>
      </c>
      <c r="Y42" s="8">
        <v>0.8009806889466415</v>
      </c>
      <c r="Z42" s="7">
        <v>0</v>
      </c>
      <c r="AA42" s="7">
        <v>0</v>
      </c>
      <c r="AB42" s="8">
        <v>0.987249251793099</v>
      </c>
      <c r="AC42" s="42"/>
      <c r="AD42" s="83">
        <f>IFERROR(P42,$AD$4)</f>
        <v>25569.5</v>
      </c>
      <c r="AE42" s="7">
        <f>IFERROR(U42,0)</f>
      </c>
      <c r="AF42" s="3"/>
      <c r="AG42" s="86">
        <f>Q41+S42+T42+U42</f>
      </c>
      <c r="AH42" s="86">
        <f>Q42+R42+X42</f>
      </c>
      <c r="AI42" s="59">
        <f>AH42-AG42</f>
      </c>
      <c r="AJ42" s="3"/>
      <c r="AK42" s="3"/>
    </row>
    <row x14ac:dyDescent="0.25" r="43" customHeight="1" ht="18.75">
      <c r="A43" s="90" t="s">
        <v>492</v>
      </c>
      <c r="B43" s="92">
        <f>FollowingEstablishStage</f>
      </c>
      <c r="C43" s="3"/>
      <c r="D43" s="3"/>
      <c r="E43" s="3"/>
      <c r="F43" s="3"/>
      <c r="G43" s="59">
        <f>H43-DATE(YEAR(H43),1,0)+1</f>
      </c>
      <c r="H43" s="79">
        <f>H42+1</f>
        <v>25569.5</v>
      </c>
      <c r="I43" s="80">
        <f>HLOOKUP($H$4,'Met Data'!$A$2:$F$368,G43,FALSE)</f>
      </c>
      <c r="J43" s="80">
        <f>HLOOKUP($H$4,'Met Data'!$H$2:$M$368,G43,FALSE)*L43</f>
      </c>
      <c r="K43" s="81">
        <f>HLOOKUP($H$4,'Met Data'!$O$2:$T$368,G43,FALSE)</f>
      </c>
      <c r="L43" s="7">
        <f>IF(H43&lt;$B$31,$J$3,$J$4)</f>
      </c>
      <c r="M43" s="3"/>
      <c r="N43" s="82">
        <f>IF(P43&lt;$P$3,TRUE,FALSE)</f>
      </c>
      <c r="O43" s="82">
        <f>AND(IF(P43&gt;($P$2-1),TRUE,FALSE),IF(P43&lt;($P$3+1),TRUE,FALSE))</f>
      </c>
      <c r="P43" s="83">
        <v>45012</v>
      </c>
      <c r="Q43" s="8">
        <v>74.36925395678654</v>
      </c>
      <c r="R43" s="8">
        <v>2.12300582055276</v>
      </c>
      <c r="S43" s="8">
        <v>0.00022854194618949342</v>
      </c>
      <c r="T43" s="8">
        <v>1.0453590220580227</v>
      </c>
      <c r="U43" s="7">
        <v>0</v>
      </c>
      <c r="V43" s="8">
        <v>34.1968358572908</v>
      </c>
      <c r="W43" s="8">
        <v>26.563613567717</v>
      </c>
      <c r="X43" s="7">
        <v>0</v>
      </c>
      <c r="Y43" s="8">
        <v>0.7830628374689412</v>
      </c>
      <c r="Z43" s="7">
        <v>0</v>
      </c>
      <c r="AA43" s="7">
        <v>0</v>
      </c>
      <c r="AB43" s="8">
        <v>0.991705410816525</v>
      </c>
      <c r="AC43" s="42"/>
      <c r="AD43" s="83">
        <f>IFERROR(P43,$AD$4)</f>
        <v>25569.5</v>
      </c>
      <c r="AE43" s="7">
        <f>IFERROR(U43,0)</f>
      </c>
      <c r="AF43" s="3"/>
      <c r="AG43" s="86">
        <f>Q42+S43+T43+U43</f>
      </c>
      <c r="AH43" s="86">
        <f>Q43+R43+X43</f>
      </c>
      <c r="AI43" s="59">
        <f>AH43-AG43</f>
      </c>
      <c r="AJ43" s="3"/>
      <c r="AK43" s="3"/>
    </row>
    <row x14ac:dyDescent="0.25" r="44" customHeight="1" ht="18.75">
      <c r="A44" s="90" t="s">
        <v>493</v>
      </c>
      <c r="B44" s="92">
        <f>FollowingHarvestDate</f>
        <v>25569.5</v>
      </c>
      <c r="C44" s="3"/>
      <c r="D44" s="3"/>
      <c r="E44" s="3"/>
      <c r="F44" s="3"/>
      <c r="G44" s="59">
        <f>H44-DATE(YEAR(H44),1,0)+1</f>
      </c>
      <c r="H44" s="79">
        <f>H43+1</f>
        <v>25569.5</v>
      </c>
      <c r="I44" s="80">
        <f>HLOOKUP($H$4,'Met Data'!$A$2:$F$368,G44,FALSE)</f>
      </c>
      <c r="J44" s="80">
        <f>HLOOKUP($H$4,'Met Data'!$H$2:$M$368,G44,FALSE)*L44</f>
      </c>
      <c r="K44" s="81">
        <f>HLOOKUP($H$4,'Met Data'!$O$2:$T$368,G44,FALSE)</f>
      </c>
      <c r="L44" s="7">
        <f>IF(H44&lt;$B$31,$J$3,$J$4)</f>
      </c>
      <c r="M44" s="3"/>
      <c r="N44" s="82">
        <f>IF(P44&lt;$P$3,TRUE,FALSE)</f>
      </c>
      <c r="O44" s="82">
        <f>AND(IF(P44&gt;($P$2-1),TRUE,FALSE),IF(P44&lt;($P$3+1),TRUE,FALSE))</f>
      </c>
      <c r="P44" s="83">
        <v>45013</v>
      </c>
      <c r="Q44" s="8">
        <v>73.1653690839975</v>
      </c>
      <c r="R44" s="8">
        <v>2.24154004358969</v>
      </c>
      <c r="S44" s="8">
        <v>0.00019039113406450991</v>
      </c>
      <c r="T44" s="8">
        <v>1.0374647796665932</v>
      </c>
      <c r="U44" s="7">
        <v>0</v>
      </c>
      <c r="V44" s="8">
        <v>36.4383759008805</v>
      </c>
      <c r="W44" s="8">
        <v>28.3048098515768</v>
      </c>
      <c r="X44" s="7">
        <v>0</v>
      </c>
      <c r="Y44" s="8">
        <v>0.781190406068842</v>
      </c>
      <c r="Z44" s="7">
        <v>0</v>
      </c>
      <c r="AA44" s="7">
        <v>0</v>
      </c>
      <c r="AB44" s="8">
        <v>0.994603729452013</v>
      </c>
      <c r="AC44" s="42"/>
      <c r="AD44" s="83">
        <f>IFERROR(P44,$AD$4)</f>
        <v>25569.5</v>
      </c>
      <c r="AE44" s="7">
        <f>IFERROR(U44,0)</f>
      </c>
      <c r="AF44" s="3"/>
      <c r="AG44" s="86">
        <f>Q43+S44+T44+U44</f>
      </c>
      <c r="AH44" s="86">
        <f>Q44+R44+X44</f>
      </c>
      <c r="AI44" s="59">
        <f>AH44-AG44</f>
      </c>
      <c r="AJ44" s="3"/>
      <c r="AK44" s="3"/>
    </row>
    <row x14ac:dyDescent="0.25" r="45" customHeight="1" ht="18.75">
      <c r="A45" s="90" t="s">
        <v>494</v>
      </c>
      <c r="B45" s="92">
        <f>FollowingHarvestStage</f>
      </c>
      <c r="C45" s="3"/>
      <c r="D45" s="3"/>
      <c r="E45" s="3"/>
      <c r="F45" s="3"/>
      <c r="G45" s="59">
        <f>H45-DATE(YEAR(H45),1,0)+1</f>
      </c>
      <c r="H45" s="79">
        <f>H44+1</f>
        <v>25569.5</v>
      </c>
      <c r="I45" s="80">
        <f>HLOOKUP($H$4,'Met Data'!$A$2:$F$368,G45,FALSE)</f>
      </c>
      <c r="J45" s="80">
        <f>HLOOKUP($H$4,'Met Data'!$H$2:$M$368,G45,FALSE)*L45</f>
      </c>
      <c r="K45" s="81">
        <f>HLOOKUP($H$4,'Met Data'!$O$2:$T$368,G45,FALSE)</f>
      </c>
      <c r="L45" s="7">
        <f>IF(H45&lt;$B$31,$J$3,$J$4)</f>
      </c>
      <c r="M45" s="3"/>
      <c r="N45" s="82">
        <f>IF(P45&lt;$P$3,TRUE,FALSE)</f>
      </c>
      <c r="O45" s="82">
        <f>AND(IF(P45&gt;($P$2-1),TRUE,FALSE),IF(P45&lt;($P$3+1),TRUE,FALSE))</f>
      </c>
      <c r="P45" s="83">
        <v>45014</v>
      </c>
      <c r="Q45" s="8">
        <v>71.81742459345072</v>
      </c>
      <c r="R45" s="8">
        <v>2.40188096434039</v>
      </c>
      <c r="S45" s="8">
        <v>0.00016169909895642908</v>
      </c>
      <c r="T45" s="8">
        <v>1.0537747746946602</v>
      </c>
      <c r="U45" s="7">
        <v>0</v>
      </c>
      <c r="V45" s="8">
        <v>38.8402568652209</v>
      </c>
      <c r="W45" s="8">
        <v>30.1705566720913</v>
      </c>
      <c r="X45" s="7">
        <v>0</v>
      </c>
      <c r="Y45" s="8">
        <v>0.7815225767143306</v>
      </c>
      <c r="Z45" s="7">
        <v>0</v>
      </c>
      <c r="AA45" s="7">
        <v>0</v>
      </c>
      <c r="AB45" s="8">
        <v>0.996510202330967</v>
      </c>
      <c r="AC45" s="42"/>
      <c r="AD45" s="83">
        <f>IFERROR(P45,$AD$4)</f>
        <v>25569.5</v>
      </c>
      <c r="AE45" s="7">
        <f>IFERROR(U45,0)</f>
      </c>
      <c r="AF45" s="3"/>
      <c r="AG45" s="86">
        <f>Q44+S45+T45+U45</f>
      </c>
      <c r="AH45" s="86">
        <f>Q45+R45+X45</f>
      </c>
      <c r="AI45" s="59">
        <f>AH45-AG45</f>
      </c>
      <c r="AJ45" s="3"/>
      <c r="AK45" s="3"/>
    </row>
    <row x14ac:dyDescent="0.25" r="46" customHeight="1" ht="18.75">
      <c r="A46" s="100" t="s">
        <v>495</v>
      </c>
      <c r="B46" s="101">
        <f>FollowingResidueRemoval</f>
      </c>
      <c r="C46" s="3"/>
      <c r="D46" s="3"/>
      <c r="E46" s="3"/>
      <c r="F46" s="3"/>
      <c r="G46" s="59">
        <f>H46-DATE(YEAR(H46),1,0)+1</f>
      </c>
      <c r="H46" s="79">
        <f>H45+1</f>
        <v>25569.5</v>
      </c>
      <c r="I46" s="80">
        <f>HLOOKUP($H$4,'Met Data'!$A$2:$F$368,G46,FALSE)</f>
      </c>
      <c r="J46" s="80">
        <f>HLOOKUP($H$4,'Met Data'!$H$2:$M$368,G46,FALSE)*L46</f>
      </c>
      <c r="K46" s="81">
        <f>HLOOKUP($H$4,'Met Data'!$O$2:$T$368,G46,FALSE)</f>
      </c>
      <c r="L46" s="7">
        <f>IF(H46&lt;$B$31,$J$3,$J$4)</f>
      </c>
      <c r="M46" s="3"/>
      <c r="N46" s="82">
        <f>IF(P46&lt;$P$3,TRUE,FALSE)</f>
      </c>
      <c r="O46" s="82">
        <f>AND(IF(P46&gt;($P$2-1),TRUE,FALSE),IF(P46&lt;($P$3+1),TRUE,FALSE))</f>
      </c>
      <c r="P46" s="83">
        <v>45015</v>
      </c>
      <c r="Q46" s="8">
        <v>70.31966298837125</v>
      </c>
      <c r="R46" s="8">
        <v>2.51282925232136</v>
      </c>
      <c r="S46" s="8">
        <v>0.0001309585972701426</v>
      </c>
      <c r="T46" s="8">
        <v>1.0149366886446118</v>
      </c>
      <c r="U46" s="7">
        <v>0</v>
      </c>
      <c r="V46" s="8">
        <v>41.3530861175423</v>
      </c>
      <c r="W46" s="8">
        <v>32.1224865377337</v>
      </c>
      <c r="X46" s="7">
        <v>0</v>
      </c>
      <c r="Y46" s="8">
        <v>0.7647676312751964</v>
      </c>
      <c r="Z46" s="7">
        <v>0</v>
      </c>
      <c r="AA46" s="7">
        <v>0</v>
      </c>
      <c r="AB46" s="8">
        <v>0.997733142600173</v>
      </c>
      <c r="AC46" s="42"/>
      <c r="AD46" s="83">
        <f>IFERROR(P46,$AD$4)</f>
        <v>25569.5</v>
      </c>
      <c r="AE46" s="7">
        <f>IFERROR(U46,0)</f>
      </c>
      <c r="AF46" s="3"/>
      <c r="AG46" s="86">
        <f>Q45+S46+T46+U46</f>
      </c>
      <c r="AH46" s="86">
        <f>Q46+R46+X46</f>
      </c>
      <c r="AI46" s="59">
        <f>AH46-AG46</f>
      </c>
      <c r="AJ46" s="3"/>
      <c r="AK46" s="3"/>
    </row>
    <row x14ac:dyDescent="0.25" r="47" customHeight="1" ht="18.75">
      <c r="A47" s="90" t="s">
        <v>496</v>
      </c>
      <c r="B47" s="71">
        <f>FollowingResidueIncorporation</f>
      </c>
      <c r="C47" s="3"/>
      <c r="D47" s="3"/>
      <c r="E47" s="3"/>
      <c r="F47" s="3"/>
      <c r="G47" s="59">
        <f>H47-DATE(YEAR(H47),1,0)+1</f>
      </c>
      <c r="H47" s="79">
        <f>H46+1</f>
        <v>25569.5</v>
      </c>
      <c r="I47" s="80">
        <f>HLOOKUP($H$4,'Met Data'!$A$2:$F$368,G47,FALSE)</f>
      </c>
      <c r="J47" s="80">
        <f>HLOOKUP($H$4,'Met Data'!$H$2:$M$368,G47,FALSE)*L47</f>
      </c>
      <c r="K47" s="81">
        <f>HLOOKUP($H$4,'Met Data'!$O$2:$T$368,G47,FALSE)</f>
      </c>
      <c r="L47" s="7">
        <f>IF(H47&lt;$B$31,$J$3,$J$4)</f>
      </c>
      <c r="M47" s="3"/>
      <c r="N47" s="82">
        <f>IF(P47&lt;$P$3,TRUE,FALSE)</f>
      </c>
      <c r="O47" s="82">
        <f>AND(IF(P47&gt;($P$2-1),TRUE,FALSE),IF(P47&lt;($P$3+1),TRUE,FALSE))</f>
      </c>
      <c r="P47" s="83">
        <v>45016</v>
      </c>
      <c r="Q47" s="8">
        <v>68.6966611264691</v>
      </c>
      <c r="R47" s="8">
        <v>2.62278671296109</v>
      </c>
      <c r="S47" s="8">
        <v>0.00010914354492997535</v>
      </c>
      <c r="T47" s="8">
        <v>0.9996757075139975</v>
      </c>
      <c r="U47" s="7">
        <v>0</v>
      </c>
      <c r="V47" s="8">
        <v>43.9758728305034</v>
      </c>
      <c r="W47" s="8">
        <v>34.1598297879803</v>
      </c>
      <c r="X47" s="7">
        <v>0</v>
      </c>
      <c r="Y47" s="8">
        <v>0.7658675270034898</v>
      </c>
      <c r="Z47" s="7">
        <v>0</v>
      </c>
      <c r="AA47" s="7">
        <v>0</v>
      </c>
      <c r="AB47" s="8">
        <v>0.998520202360768</v>
      </c>
      <c r="AC47" s="42"/>
      <c r="AD47" s="83">
        <f>IFERROR(P47,$AD$4)</f>
        <v>25569.5</v>
      </c>
      <c r="AE47" s="7">
        <f>IFERROR(U47,0)</f>
      </c>
      <c r="AF47" s="3"/>
      <c r="AG47" s="86">
        <f>Q46+S47+T47+U47</f>
      </c>
      <c r="AH47" s="86">
        <f>Q47+R47+X47</f>
      </c>
      <c r="AI47" s="59">
        <f>AH47-AG47</f>
      </c>
      <c r="AJ47" s="3"/>
      <c r="AK47" s="3"/>
    </row>
    <row x14ac:dyDescent="0.25" r="48" customHeight="1" ht="18.75">
      <c r="A48" s="22"/>
      <c r="B48" s="62"/>
      <c r="C48" s="3"/>
      <c r="D48" s="3"/>
      <c r="E48" s="3"/>
      <c r="F48" s="3"/>
      <c r="G48" s="59">
        <f>H48-DATE(YEAR(H48),1,0)+1</f>
      </c>
      <c r="H48" s="79">
        <f>H47+1</f>
        <v>25569.5</v>
      </c>
      <c r="I48" s="80">
        <f>HLOOKUP($H$4,'Met Data'!$A$2:$F$368,G48,FALSE)</f>
      </c>
      <c r="J48" s="80">
        <f>HLOOKUP($H$4,'Met Data'!$H$2:$M$368,G48,FALSE)*L48</f>
      </c>
      <c r="K48" s="81">
        <f>HLOOKUP($H$4,'Met Data'!$O$2:$T$368,G48,FALSE)</f>
      </c>
      <c r="L48" s="7">
        <f>IF(H48&lt;$B$31,$J$3,$J$4)</f>
      </c>
      <c r="M48" s="3"/>
      <c r="N48" s="82">
        <f>IF(P48&lt;$P$3,TRUE,FALSE)</f>
      </c>
      <c r="O48" s="82">
        <f>AND(IF(P48&gt;($P$2-1),TRUE,FALSE),IF(P48&lt;($P$3+1),TRUE,FALSE))</f>
      </c>
      <c r="P48" s="83">
        <v>45017</v>
      </c>
      <c r="Q48" s="8">
        <v>66.94229006489822</v>
      </c>
      <c r="R48" s="8">
        <v>2.71972010514565</v>
      </c>
      <c r="S48" s="8">
        <v>0.00008948276488051667</v>
      </c>
      <c r="T48" s="8">
        <v>0.9652595608098941</v>
      </c>
      <c r="U48" s="7">
        <v>0</v>
      </c>
      <c r="V48" s="8">
        <v>46.695592935649</v>
      </c>
      <c r="W48" s="8">
        <v>36.2724695125131</v>
      </c>
      <c r="X48" s="7">
        <v>0</v>
      </c>
      <c r="Y48" s="8">
        <v>0.7566198082513427</v>
      </c>
      <c r="Z48" s="7">
        <v>0</v>
      </c>
      <c r="AA48" s="7">
        <v>0</v>
      </c>
      <c r="AB48" s="8">
        <v>0.999027107378999</v>
      </c>
      <c r="AC48" s="42"/>
      <c r="AD48" s="83">
        <f>IFERROR(P48,$AD$4)</f>
        <v>25569.5</v>
      </c>
      <c r="AE48" s="7">
        <f>IFERROR(U48,0)</f>
      </c>
      <c r="AF48" s="3"/>
      <c r="AG48" s="86">
        <f>Q47+S48+T48+U48</f>
      </c>
      <c r="AH48" s="86">
        <f>Q48+R48+X48</f>
      </c>
      <c r="AI48" s="59">
        <f>AH48-AG48</f>
      </c>
      <c r="AJ48" s="3"/>
      <c r="AK48" s="3"/>
    </row>
    <row x14ac:dyDescent="0.25" r="49" customHeight="1" ht="18.75">
      <c r="A49" s="25"/>
      <c r="B49" s="102"/>
      <c r="C49" s="3"/>
      <c r="D49" s="3"/>
      <c r="E49" s="3"/>
      <c r="F49" s="3"/>
      <c r="G49" s="59">
        <f>H49-DATE(YEAR(H49),1,0)+1</f>
      </c>
      <c r="H49" s="79">
        <f>H48+1</f>
        <v>25569.5</v>
      </c>
      <c r="I49" s="80">
        <f>HLOOKUP($H$4,'Met Data'!$A$2:$F$368,G49,FALSE)</f>
      </c>
      <c r="J49" s="80">
        <f>HLOOKUP($H$4,'Met Data'!$H$2:$M$368,G49,FALSE)*L49</f>
      </c>
      <c r="K49" s="81">
        <f>HLOOKUP($H$4,'Met Data'!$O$2:$T$368,G49,FALSE)</f>
      </c>
      <c r="L49" s="7">
        <f>IF(H49&lt;$B$31,$J$3,$J$4)</f>
      </c>
      <c r="M49" s="3"/>
      <c r="N49" s="82">
        <f>IF(P49&lt;$P$3,TRUE,FALSE)</f>
      </c>
      <c r="O49" s="82">
        <f>AND(IF(P49&gt;($P$2-1),TRUE,FALSE),IF(P49&lt;($P$3+1),TRUE,FALSE))</f>
      </c>
      <c r="P49" s="83">
        <v>45018</v>
      </c>
      <c r="Q49" s="8">
        <v>65.0591040442389</v>
      </c>
      <c r="R49" s="8">
        <v>2.84973161273801</v>
      </c>
      <c r="S49" s="8">
        <v>0.00007619682683912903</v>
      </c>
      <c r="T49" s="8">
        <v>0.9664693952518435</v>
      </c>
      <c r="U49" s="7">
        <v>0</v>
      </c>
      <c r="V49" s="8">
        <v>49.5453245483871</v>
      </c>
      <c r="W49" s="8">
        <v>38.4861003188364</v>
      </c>
      <c r="X49" s="7">
        <v>0</v>
      </c>
      <c r="Y49" s="8">
        <v>0.7630869065325891</v>
      </c>
      <c r="Z49" s="7">
        <v>0</v>
      </c>
      <c r="AA49" s="7">
        <v>0</v>
      </c>
      <c r="AB49" s="8">
        <v>0.999358995738127</v>
      </c>
      <c r="AC49" s="42"/>
      <c r="AD49" s="83">
        <f>IFERROR(P49,$AD$4)</f>
        <v>25569.5</v>
      </c>
      <c r="AE49" s="7">
        <f>IFERROR(U49,0)</f>
      </c>
      <c r="AF49" s="3"/>
      <c r="AG49" s="86">
        <f>Q48+S49+T49+U49</f>
      </c>
      <c r="AH49" s="86">
        <f>Q49+R49+X49</f>
      </c>
      <c r="AI49" s="59">
        <f>AH49-AG49</f>
      </c>
      <c r="AJ49" s="3"/>
      <c r="AK49" s="3"/>
    </row>
    <row x14ac:dyDescent="0.25" r="50" customHeight="1" ht="18.75">
      <c r="A50" s="3"/>
      <c r="B50" s="71"/>
      <c r="C50" s="3"/>
      <c r="D50" s="3"/>
      <c r="E50" s="3"/>
      <c r="F50" s="3"/>
      <c r="G50" s="59">
        <f>H50-DATE(YEAR(H50),1,0)+1</f>
      </c>
      <c r="H50" s="79">
        <f>H49+1</f>
        <v>25569.5</v>
      </c>
      <c r="I50" s="80">
        <f>HLOOKUP($H$4,'Met Data'!$A$2:$F$368,G50,FALSE)</f>
      </c>
      <c r="J50" s="80">
        <f>HLOOKUP($H$4,'Met Data'!$H$2:$M$368,G50,FALSE)*L50</f>
      </c>
      <c r="K50" s="81">
        <f>HLOOKUP($H$4,'Met Data'!$O$2:$T$368,G50,FALSE)</f>
      </c>
      <c r="L50" s="7">
        <f>IF(H50&lt;$B$31,$J$3,$J$4)</f>
      </c>
      <c r="M50" s="3"/>
      <c r="N50" s="82">
        <f>IF(P50&lt;$P$3,TRUE,FALSE)</f>
      </c>
      <c r="O50" s="82">
        <f>AND(IF(P50&gt;($P$2-1),TRUE,FALSE),IF(P50&lt;($P$3+1),TRUE,FALSE))</f>
      </c>
      <c r="P50" s="83">
        <v>45019</v>
      </c>
      <c r="Q50" s="8">
        <v>63.008729958007294</v>
      </c>
      <c r="R50" s="8">
        <v>3.02831979649872</v>
      </c>
      <c r="S50" s="8">
        <v>0.00006523399183728657</v>
      </c>
      <c r="T50" s="8">
        <v>0.9778804762752855</v>
      </c>
      <c r="U50" s="7">
        <v>0</v>
      </c>
      <c r="V50" s="8">
        <v>52.5736443448858</v>
      </c>
      <c r="W50" s="8">
        <v>40.8384558750452</v>
      </c>
      <c r="X50" s="7">
        <v>0</v>
      </c>
      <c r="Y50" s="8">
        <v>0.7627318139319832</v>
      </c>
      <c r="Z50" s="7">
        <v>0</v>
      </c>
      <c r="AA50" s="7">
        <v>0</v>
      </c>
      <c r="AB50" s="8">
        <v>0.999579363583877</v>
      </c>
      <c r="AC50" s="42"/>
      <c r="AD50" s="83">
        <f>IFERROR(P50,$AD$4)</f>
        <v>25569.5</v>
      </c>
      <c r="AE50" s="7">
        <f>IFERROR(U50,0)</f>
      </c>
      <c r="AF50" s="3"/>
      <c r="AG50" s="86">
        <f>Q49+S50+T50+U50</f>
      </c>
      <c r="AH50" s="86">
        <f>Q50+R50+X50</f>
      </c>
      <c r="AI50" s="59">
        <f>AH50-AG50</f>
      </c>
      <c r="AJ50" s="3"/>
      <c r="AK50" s="3"/>
    </row>
    <row x14ac:dyDescent="0.25" r="51" customHeight="1" ht="18.75">
      <c r="A51" s="3"/>
      <c r="B51" s="71"/>
      <c r="C51" s="3"/>
      <c r="D51" s="3"/>
      <c r="E51" s="3"/>
      <c r="F51" s="3"/>
      <c r="G51" s="59">
        <f>H51-DATE(YEAR(H51),1,0)+1</f>
      </c>
      <c r="H51" s="79">
        <f>H50+1</f>
        <v>25569.5</v>
      </c>
      <c r="I51" s="80">
        <f>HLOOKUP($H$4,'Met Data'!$A$2:$F$368,G51,FALSE)</f>
      </c>
      <c r="J51" s="80">
        <f>HLOOKUP($H$4,'Met Data'!$H$2:$M$368,G51,FALSE)*L51</f>
      </c>
      <c r="K51" s="81">
        <f>HLOOKUP($H$4,'Met Data'!$O$2:$T$368,G51,FALSE)</f>
      </c>
      <c r="L51" s="7">
        <f>IF(H51&lt;$B$31,$J$3,$J$4)</f>
      </c>
      <c r="M51" s="3"/>
      <c r="N51" s="82">
        <f>IF(P51&lt;$P$3,TRUE,FALSE)</f>
      </c>
      <c r="O51" s="82">
        <f>AND(IF(P51&gt;($P$2-1),TRUE,FALSE),IF(P51&lt;($P$3+1),TRUE,FALSE))</f>
      </c>
      <c r="P51" s="83">
        <v>45020</v>
      </c>
      <c r="Q51" s="8">
        <v>60.832500285626615</v>
      </c>
      <c r="R51" s="8">
        <v>3.10705897356421</v>
      </c>
      <c r="S51" s="8">
        <v>0.000052989690620483196</v>
      </c>
      <c r="T51" s="8">
        <v>0.9307763114929094</v>
      </c>
      <c r="U51" s="7">
        <v>0</v>
      </c>
      <c r="V51" s="8">
        <v>55.68070331845</v>
      </c>
      <c r="W51" s="8">
        <v>43.2519748991531</v>
      </c>
      <c r="X51" s="7">
        <v>0</v>
      </c>
      <c r="Y51" s="8">
        <v>0.7493994377221609</v>
      </c>
      <c r="Z51" s="7">
        <v>0</v>
      </c>
      <c r="AA51" s="7">
        <v>0</v>
      </c>
      <c r="AB51" s="8">
        <v>0.999721170358043</v>
      </c>
      <c r="AC51" s="42"/>
      <c r="AD51" s="83">
        <f>IFERROR(P51,$AD$4)</f>
        <v>25569.5</v>
      </c>
      <c r="AE51" s="7">
        <f>IFERROR(U51,0)</f>
      </c>
      <c r="AF51" s="3"/>
      <c r="AG51" s="86">
        <f>Q50+S51+T51+U51</f>
      </c>
      <c r="AH51" s="86">
        <f>Q51+R51+X51</f>
      </c>
      <c r="AI51" s="59">
        <f>AH51-AG51</f>
      </c>
      <c r="AJ51" s="3"/>
      <c r="AK51" s="3"/>
    </row>
    <row x14ac:dyDescent="0.25" r="52" customHeight="1" ht="18.75">
      <c r="A52" s="3"/>
      <c r="B52" s="71"/>
      <c r="C52" s="3"/>
      <c r="D52" s="3"/>
      <c r="E52" s="3"/>
      <c r="F52" s="3"/>
      <c r="G52" s="59">
        <f>H52-DATE(YEAR(H52),1,0)+1</f>
      </c>
      <c r="H52" s="79">
        <f>H51+1</f>
        <v>25569.5</v>
      </c>
      <c r="I52" s="80">
        <f>HLOOKUP($H$4,'Met Data'!$A$2:$F$368,G52,FALSE)</f>
      </c>
      <c r="J52" s="80">
        <f>HLOOKUP($H$4,'Met Data'!$H$2:$M$368,G52,FALSE)*L52</f>
      </c>
      <c r="K52" s="81">
        <f>HLOOKUP($H$4,'Met Data'!$O$2:$T$368,G52,FALSE)</f>
      </c>
      <c r="L52" s="7">
        <f>IF(H52&lt;$B$31,$J$3,$J$4)</f>
      </c>
      <c r="M52" s="3"/>
      <c r="N52" s="82">
        <f>IF(P52&lt;$P$3,TRUE,FALSE)</f>
      </c>
      <c r="O52" s="82">
        <f>AND(IF(P52&gt;($P$2-1),TRUE,FALSE),IF(P52&lt;($P$3+1),TRUE,FALSE))</f>
      </c>
      <c r="P52" s="83">
        <v>45021</v>
      </c>
      <c r="Q52" s="8">
        <v>58.4900769663408</v>
      </c>
      <c r="R52" s="8">
        <v>3.25952641463724</v>
      </c>
      <c r="S52" s="8">
        <v>0.000044556417724933106</v>
      </c>
      <c r="T52" s="8">
        <v>0.9170585389337056</v>
      </c>
      <c r="U52" s="7">
        <v>0</v>
      </c>
      <c r="V52" s="8">
        <v>58.9402297330872</v>
      </c>
      <c r="W52" s="8">
        <v>45.7839284533802</v>
      </c>
      <c r="X52" s="7">
        <v>0</v>
      </c>
      <c r="Y52" s="8">
        <v>0.7387400421629341</v>
      </c>
      <c r="Z52" s="7">
        <v>0</v>
      </c>
      <c r="AA52" s="7">
        <v>0</v>
      </c>
      <c r="AB52" s="8">
        <v>0.999815132793405</v>
      </c>
      <c r="AC52" s="42"/>
      <c r="AD52" s="83">
        <f>IFERROR(P52,$AD$4)</f>
        <v>25569.5</v>
      </c>
      <c r="AE52" s="7">
        <f>IFERROR(U52,0)</f>
      </c>
      <c r="AF52" s="3"/>
      <c r="AG52" s="86">
        <f>Q51+S52+T52+U52</f>
      </c>
      <c r="AH52" s="86">
        <f>Q52+R52+X52</f>
      </c>
      <c r="AI52" s="59">
        <f>AH52-AG52</f>
      </c>
      <c r="AJ52" s="3"/>
      <c r="AK52" s="3"/>
    </row>
    <row x14ac:dyDescent="0.25" r="53" customHeight="1" ht="18.75">
      <c r="A53" s="3"/>
      <c r="B53" s="71"/>
      <c r="C53" s="3"/>
      <c r="D53" s="3"/>
      <c r="E53" s="3"/>
      <c r="F53" s="3"/>
      <c r="G53" s="59">
        <f>H53-DATE(YEAR(H53),1,0)+1</f>
      </c>
      <c r="H53" s="79">
        <f>H52+1</f>
        <v>25569.5</v>
      </c>
      <c r="I53" s="80">
        <f>HLOOKUP($H$4,'Met Data'!$A$2:$F$368,G53,FALSE)</f>
      </c>
      <c r="J53" s="80">
        <f>HLOOKUP($H$4,'Met Data'!$H$2:$M$368,G53,FALSE)*L53</f>
      </c>
      <c r="K53" s="81">
        <f>HLOOKUP($H$4,'Met Data'!$O$2:$T$368,G53,FALSE)</f>
      </c>
      <c r="L53" s="7">
        <f>IF(H53&lt;$B$31,$J$3,$J$4)</f>
      </c>
      <c r="M53" s="3"/>
      <c r="N53" s="82">
        <f>IF(P53&lt;$P$3,TRUE,FALSE)</f>
      </c>
      <c r="O53" s="82">
        <f>AND(IF(P53&gt;($P$2-1),TRUE,FALSE),IF(P53&lt;($P$3+1),TRUE,FALSE))</f>
      </c>
      <c r="P53" s="83">
        <v>45022</v>
      </c>
      <c r="Q53" s="8">
        <v>55.9906527905658</v>
      </c>
      <c r="R53" s="8">
        <v>3.41986027782679</v>
      </c>
      <c r="S53" s="8">
        <v>0.000038261870592781966</v>
      </c>
      <c r="T53" s="8">
        <v>0.9203978401811933</v>
      </c>
      <c r="U53" s="7">
        <v>0</v>
      </c>
      <c r="V53" s="8">
        <v>62.360090010914</v>
      </c>
      <c r="W53" s="8">
        <v>48.4404270620493</v>
      </c>
      <c r="X53" s="7">
        <v>0</v>
      </c>
      <c r="Y53" s="8">
        <v>0.7409929425833539</v>
      </c>
      <c r="Z53" s="7">
        <v>0</v>
      </c>
      <c r="AA53" s="7">
        <v>0</v>
      </c>
      <c r="AB53" s="8">
        <v>0.999877460616004</v>
      </c>
      <c r="AC53" s="42"/>
      <c r="AD53" s="83">
        <f>IFERROR(P53,$AD$4)</f>
        <v>25569.5</v>
      </c>
      <c r="AE53" s="7">
        <f>IFERROR(U53,0)</f>
      </c>
      <c r="AF53" s="3"/>
      <c r="AG53" s="86">
        <f>Q52+S53+T53+U53</f>
      </c>
      <c r="AH53" s="86">
        <f>Q53+R53+X53</f>
      </c>
      <c r="AI53" s="59">
        <f>AH53-AG53</f>
      </c>
      <c r="AJ53" s="3"/>
      <c r="AK53" s="3"/>
    </row>
    <row x14ac:dyDescent="0.25" r="54" customHeight="1" ht="18.75">
      <c r="A54" s="3"/>
      <c r="B54" s="71"/>
      <c r="C54" s="3"/>
      <c r="D54" s="3"/>
      <c r="E54" s="3"/>
      <c r="F54" s="3"/>
      <c r="G54" s="59">
        <f>H54-DATE(YEAR(H54),1,0)+1</f>
      </c>
      <c r="H54" s="79">
        <f>H53+1</f>
        <v>25569.5</v>
      </c>
      <c r="I54" s="80">
        <f>HLOOKUP($H$4,'Met Data'!$A$2:$F$368,G54,FALSE)</f>
      </c>
      <c r="J54" s="103">
        <f>HLOOKUP($H$4,'Met Data'!$H$2:$M$368,G54,FALSE)*L54</f>
      </c>
      <c r="K54" s="81">
        <f>HLOOKUP($H$4,'Met Data'!$O$2:$T$368,G54,FALSE)</f>
      </c>
      <c r="L54" s="7">
        <f>IF(H54&lt;$B$31,$J$3,$J$4)</f>
      </c>
      <c r="M54" s="3"/>
      <c r="N54" s="82">
        <f>IF(P54&lt;$P$3,TRUE,FALSE)</f>
      </c>
      <c r="O54" s="82">
        <f>AND(IF(P54&gt;($P$2-1),TRUE,FALSE),IF(P54&lt;($P$3+1),TRUE,FALSE))</f>
      </c>
      <c r="P54" s="83">
        <v>45023</v>
      </c>
      <c r="Q54" s="8">
        <v>53.33007030374401</v>
      </c>
      <c r="R54" s="8">
        <v>3.57330049392841</v>
      </c>
      <c r="S54" s="8">
        <v>0.00003246571983802892</v>
      </c>
      <c r="T54" s="8">
        <v>0.9126855413867782</v>
      </c>
      <c r="U54" s="7">
        <v>0</v>
      </c>
      <c r="V54" s="8">
        <v>65.9333905048424</v>
      </c>
      <c r="W54" s="8">
        <v>51.2161158385829</v>
      </c>
      <c r="X54" s="7">
        <v>0</v>
      </c>
      <c r="Y54" s="8">
        <v>0.7370768332541141</v>
      </c>
      <c r="Z54" s="7">
        <v>0</v>
      </c>
      <c r="AA54" s="7">
        <v>0</v>
      </c>
      <c r="AB54" s="8">
        <v>0.999918692599604</v>
      </c>
      <c r="AC54" s="42"/>
      <c r="AD54" s="83">
        <f>IFERROR(P54,$AD$4)</f>
        <v>25569.5</v>
      </c>
      <c r="AE54" s="7">
        <f>IFERROR(U54,0)</f>
      </c>
      <c r="AF54" s="3"/>
      <c r="AG54" s="86">
        <f>Q53+S54+T54+U54</f>
      </c>
      <c r="AH54" s="86">
        <f>Q54+R54+X54</f>
      </c>
      <c r="AI54" s="59">
        <f>AH54-AG54</f>
      </c>
      <c r="AJ54" s="3"/>
      <c r="AK54" s="3"/>
    </row>
    <row x14ac:dyDescent="0.25" r="55" customHeight="1" ht="18.75">
      <c r="A55" s="3"/>
      <c r="B55" s="71"/>
      <c r="C55" s="3"/>
      <c r="D55" s="3"/>
      <c r="E55" s="3"/>
      <c r="F55" s="3"/>
      <c r="G55" s="59">
        <f>H55-DATE(YEAR(H55),1,0)+1</f>
      </c>
      <c r="H55" s="79">
        <f>H54+1</f>
        <v>25569.5</v>
      </c>
      <c r="I55" s="80">
        <f>HLOOKUP($H$4,'Met Data'!$A$2:$F$368,G55,FALSE)</f>
      </c>
      <c r="J55" s="80">
        <f>HLOOKUP($H$4,'Met Data'!$H$2:$M$368,G55,FALSE)*L55</f>
      </c>
      <c r="K55" s="81">
        <f>HLOOKUP($H$4,'Met Data'!$O$2:$T$368,G55,FALSE)</f>
      </c>
      <c r="L55" s="7">
        <f>IF(H55&lt;$B$31,$J$3,$J$4)</f>
      </c>
      <c r="M55" s="3"/>
      <c r="N55" s="82">
        <f>IF(P55&lt;$P$3,TRUE,FALSE)</f>
      </c>
      <c r="O55" s="82">
        <f>AND(IF(P55&gt;($P$2-1),TRUE,FALSE),IF(P55&lt;($P$3+1),TRUE,FALSE))</f>
      </c>
      <c r="P55" s="83">
        <v>45024</v>
      </c>
      <c r="Q55" s="8">
        <v>50.551180627497494</v>
      </c>
      <c r="R55" s="8">
        <v>3.67854906190135</v>
      </c>
      <c r="S55" s="8">
        <v>0.00002753213854688477</v>
      </c>
      <c r="T55" s="8">
        <v>0.8996318535162887</v>
      </c>
      <c r="U55" s="7">
        <v>0</v>
      </c>
      <c r="V55" s="8">
        <v>69.6119395667438</v>
      </c>
      <c r="W55" s="8">
        <v>54.073560199167</v>
      </c>
      <c r="X55" s="7">
        <v>0</v>
      </c>
      <c r="Y55" s="8">
        <v>0.7416368769105011</v>
      </c>
      <c r="Z55" s="7">
        <v>0</v>
      </c>
      <c r="AA55" s="7">
        <v>0</v>
      </c>
      <c r="AB55" s="8">
        <v>0.999945702388413</v>
      </c>
      <c r="AC55" s="42"/>
      <c r="AD55" s="83">
        <f>IFERROR(P55,$AD$4)</f>
        <v>25569.5</v>
      </c>
      <c r="AE55" s="7">
        <f>IFERROR(U55,0)</f>
      </c>
      <c r="AF55" s="3"/>
      <c r="AG55" s="86">
        <f>Q54+S55+T55+U55</f>
      </c>
      <c r="AH55" s="86">
        <f>Q55+R55+X55</f>
      </c>
      <c r="AI55" s="59">
        <f>AH55-AG55</f>
      </c>
      <c r="AJ55" s="3"/>
      <c r="AK55" s="3"/>
    </row>
    <row x14ac:dyDescent="0.25" r="56" customHeight="1" ht="18.75">
      <c r="A56" s="3"/>
      <c r="B56" s="71"/>
      <c r="C56" s="3"/>
      <c r="D56" s="3"/>
      <c r="E56" s="3"/>
      <c r="F56" s="3"/>
      <c r="G56" s="59">
        <f>H56-DATE(YEAR(H56),1,0)+1</f>
      </c>
      <c r="H56" s="79">
        <f>H55+1</f>
        <v>25569.5</v>
      </c>
      <c r="I56" s="80">
        <f>HLOOKUP($H$4,'Met Data'!$A$2:$F$368,G56,FALSE)</f>
      </c>
      <c r="J56" s="80">
        <f>HLOOKUP($H$4,'Met Data'!$H$2:$M$368,G56,FALSE)*L56</f>
      </c>
      <c r="K56" s="81">
        <f>HLOOKUP($H$4,'Met Data'!$O$2:$T$368,G56,FALSE)</f>
      </c>
      <c r="L56" s="7">
        <f>IF(H56&lt;$B$31,$J$3,$J$4)</f>
      </c>
      <c r="M56" s="3"/>
      <c r="N56" s="82">
        <f>IF(P56&lt;$P$3,TRUE,FALSE)</f>
      </c>
      <c r="O56" s="82">
        <f>AND(IF(P56&gt;($P$2-1),TRUE,FALSE),IF(P56&lt;($P$3+1),TRUE,FALSE))</f>
      </c>
      <c r="P56" s="83">
        <v>45025</v>
      </c>
      <c r="Q56" s="8">
        <v>47.68131381444481</v>
      </c>
      <c r="R56" s="8">
        <v>3.77012077398351</v>
      </c>
      <c r="S56" s="8">
        <v>0.000023757132529181073</v>
      </c>
      <c r="T56" s="8">
        <v>0.9002302037982969</v>
      </c>
      <c r="U56" s="7">
        <v>0</v>
      </c>
      <c r="V56" s="8">
        <v>73.3820603407273</v>
      </c>
      <c r="W56" s="8">
        <v>57.0021361575292</v>
      </c>
      <c r="X56" s="7">
        <v>0</v>
      </c>
      <c r="Y56" s="8">
        <v>0.7600160338556928</v>
      </c>
      <c r="Z56" s="7">
        <v>0</v>
      </c>
      <c r="AA56" s="7">
        <v>0</v>
      </c>
      <c r="AB56" s="8">
        <v>0.999963471771583</v>
      </c>
      <c r="AC56" s="42"/>
      <c r="AD56" s="83">
        <f>IFERROR(P56,$AD$4)</f>
        <v>25569.5</v>
      </c>
      <c r="AE56" s="7">
        <f>IFERROR(U56,0)</f>
      </c>
      <c r="AF56" s="3"/>
      <c r="AG56" s="86">
        <f>Q55+S56+T56+U56</f>
      </c>
      <c r="AH56" s="86">
        <f>Q56+R56+X56</f>
      </c>
      <c r="AI56" s="59">
        <f>AH56-AG56</f>
      </c>
      <c r="AJ56" s="3"/>
      <c r="AK56" s="3"/>
    </row>
    <row x14ac:dyDescent="0.25" r="57" customHeight="1" ht="18.75">
      <c r="A57" s="21"/>
      <c r="B57" s="104"/>
      <c r="C57" s="3"/>
      <c r="D57" s="3"/>
      <c r="E57" s="3"/>
      <c r="F57" s="3"/>
      <c r="G57" s="59">
        <f>H57-DATE(YEAR(H57),1,0)+1</f>
      </c>
      <c r="H57" s="79">
        <f>H56+1</f>
        <v>25569.5</v>
      </c>
      <c r="I57" s="80">
        <f>HLOOKUP($H$4,'Met Data'!$A$2:$F$368,G57,FALSE)</f>
      </c>
      <c r="J57" s="80">
        <f>HLOOKUP($H$4,'Met Data'!$H$2:$M$368,G57,FALSE)*L57</f>
      </c>
      <c r="K57" s="81">
        <f>HLOOKUP($H$4,'Met Data'!$O$2:$T$368,G57,FALSE)</f>
      </c>
      <c r="L57" s="7">
        <f>IF(H57&lt;$B$31,$J$3,$J$4)</f>
      </c>
      <c r="M57" s="3"/>
      <c r="N57" s="82">
        <f>IF(P57&lt;$P$3,TRUE,FALSE)</f>
      </c>
      <c r="O57" s="82">
        <f>AND(IF(P57&gt;($P$2-1),TRUE,FALSE),IF(P57&lt;($P$3+1),TRUE,FALSE))</f>
      </c>
      <c r="P57" s="83">
        <v>45026</v>
      </c>
      <c r="Q57" s="8">
        <v>44.67175129921524</v>
      </c>
      <c r="R57" s="8">
        <v>3.90597764365963</v>
      </c>
      <c r="S57" s="8">
        <v>0.000020301305281863768</v>
      </c>
      <c r="T57" s="8">
        <v>0.8963948271247716</v>
      </c>
      <c r="U57" s="7">
        <v>0</v>
      </c>
      <c r="V57" s="8">
        <v>77.2880379843869</v>
      </c>
      <c r="W57" s="8">
        <v>60.0362437914434</v>
      </c>
      <c r="X57" s="7">
        <v>0</v>
      </c>
      <c r="Y57" s="8">
        <v>0.7625286349749092</v>
      </c>
      <c r="Z57" s="7">
        <v>0</v>
      </c>
      <c r="AA57" s="7">
        <v>0</v>
      </c>
      <c r="AB57" s="8">
        <v>0.999975368129201</v>
      </c>
      <c r="AC57" s="42"/>
      <c r="AD57" s="83">
        <f>IFERROR(P57,$AD$4)</f>
        <v>25569.5</v>
      </c>
      <c r="AE57" s="7">
        <f>IFERROR(U57,0)</f>
      </c>
      <c r="AF57" s="3"/>
      <c r="AG57" s="86">
        <f>Q56+S57+T57+U57</f>
      </c>
      <c r="AH57" s="86">
        <f>Q57+R57+X57</f>
      </c>
      <c r="AI57" s="59">
        <f>AH57-AG57</f>
      </c>
      <c r="AJ57" s="3"/>
      <c r="AK57" s="3"/>
    </row>
    <row x14ac:dyDescent="0.25" r="58" customHeight="1" ht="18.75">
      <c r="A58" s="3"/>
      <c r="B58" s="71"/>
      <c r="C58" s="3"/>
      <c r="D58" s="3"/>
      <c r="E58" s="3"/>
      <c r="F58" s="3"/>
      <c r="G58" s="59">
        <f>H58-DATE(YEAR(H58),1,0)+1</f>
      </c>
      <c r="H58" s="79">
        <f>H57+1</f>
        <v>25569.5</v>
      </c>
      <c r="I58" s="80">
        <f>HLOOKUP($H$4,'Met Data'!$A$2:$F$368,G58,FALSE)</f>
      </c>
      <c r="J58" s="80">
        <f>HLOOKUP($H$4,'Met Data'!$H$2:$M$368,G58,FALSE)*L58</f>
      </c>
      <c r="K58" s="81">
        <f>HLOOKUP($H$4,'Met Data'!$O$2:$T$368,G58,FALSE)</f>
      </c>
      <c r="L58" s="7">
        <f>IF(H58&lt;$B$31,$J$3,$J$4)</f>
      </c>
      <c r="M58" s="3"/>
      <c r="N58" s="82">
        <f>IF(P58&lt;$P$3,TRUE,FALSE)</f>
      </c>
      <c r="O58" s="82">
        <f>AND(IF(P58&gt;($P$2-1),TRUE,FALSE),IF(P58&lt;($P$3+1),TRUE,FALSE))</f>
      </c>
      <c r="P58" s="83">
        <v>45027</v>
      </c>
      <c r="Q58" s="8">
        <v>41.55718280511631</v>
      </c>
      <c r="R58" s="8">
        <v>3.99355529152933</v>
      </c>
      <c r="S58" s="8">
        <v>0.00001714257199687298</v>
      </c>
      <c r="T58" s="8">
        <v>0.8789696548584058</v>
      </c>
      <c r="U58" s="7">
        <v>0</v>
      </c>
      <c r="V58" s="8">
        <v>81.2815932759162</v>
      </c>
      <c r="W58" s="8">
        <v>63.1383804911135</v>
      </c>
      <c r="X58" s="7">
        <v>0</v>
      </c>
      <c r="Y58" s="8">
        <v>0.7644614907557996</v>
      </c>
      <c r="Z58" s="7">
        <v>0</v>
      </c>
      <c r="AA58" s="7">
        <v>0</v>
      </c>
      <c r="AB58" s="8">
        <v>0.999983275873644</v>
      </c>
      <c r="AC58" s="42"/>
      <c r="AD58" s="83">
        <f>IFERROR(P58,$AD$4)</f>
        <v>25569.5</v>
      </c>
      <c r="AE58" s="7">
        <f>IFERROR(U58,0)</f>
      </c>
      <c r="AF58" s="3"/>
      <c r="AG58" s="86">
        <f>Q57+S58+T58+U58</f>
      </c>
      <c r="AH58" s="86">
        <f>Q58+R58+X58</f>
      </c>
      <c r="AI58" s="59">
        <f>AH58-AG58</f>
      </c>
      <c r="AJ58" s="3"/>
      <c r="AK58" s="3"/>
    </row>
    <row x14ac:dyDescent="0.25" r="59" customHeight="1" ht="18.75">
      <c r="A59" s="3"/>
      <c r="B59" s="71"/>
      <c r="C59" s="3"/>
      <c r="D59" s="3"/>
      <c r="E59" s="3"/>
      <c r="F59" s="3"/>
      <c r="G59" s="59">
        <f>H59-DATE(YEAR(H59),1,0)+1</f>
      </c>
      <c r="H59" s="79">
        <f>H58+1</f>
        <v>25569.5</v>
      </c>
      <c r="I59" s="80">
        <f>HLOOKUP($H$4,'Met Data'!$A$2:$F$368,G59,FALSE)</f>
      </c>
      <c r="J59" s="80">
        <f>HLOOKUP($H$4,'Met Data'!$H$2:$M$368,G59,FALSE)*L59</f>
      </c>
      <c r="K59" s="81">
        <f>HLOOKUP($H$4,'Met Data'!$O$2:$T$368,G59,FALSE)</f>
      </c>
      <c r="L59" s="7">
        <f>IF(H59&lt;$B$31,$J$3,$J$4)</f>
      </c>
      <c r="M59" s="3"/>
      <c r="N59" s="82">
        <f>IF(P59&lt;$P$3,TRUE,FALSE)</f>
      </c>
      <c r="O59" s="82">
        <f>AND(IF(P59&gt;($P$2-1),TRUE,FALSE),IF(P59&lt;($P$3+1),TRUE,FALSE))</f>
      </c>
      <c r="P59" s="83">
        <v>45028</v>
      </c>
      <c r="Q59" s="8">
        <v>38.29039078814831</v>
      </c>
      <c r="R59" s="8">
        <v>4.16474449272727</v>
      </c>
      <c r="S59" s="8">
        <v>0.000015031844921277405</v>
      </c>
      <c r="T59" s="8">
        <v>0.8979374439143466</v>
      </c>
      <c r="U59" s="7">
        <v>0</v>
      </c>
      <c r="V59" s="8">
        <v>85.4463377686435</v>
      </c>
      <c r="W59" s="8">
        <v>66.3734945167141</v>
      </c>
      <c r="X59" s="7">
        <v>0</v>
      </c>
      <c r="Y59" s="8">
        <v>0.7772007480903568</v>
      </c>
      <c r="Z59" s="7">
        <v>0</v>
      </c>
      <c r="AA59" s="7">
        <v>0</v>
      </c>
      <c r="AB59" s="8">
        <v>0.999988661202399</v>
      </c>
      <c r="AC59" s="42"/>
      <c r="AD59" s="83">
        <f>IFERROR(P59,$AD$4)</f>
        <v>25569.5</v>
      </c>
      <c r="AE59" s="7">
        <f>IFERROR(U59,0)</f>
      </c>
      <c r="AF59" s="3"/>
      <c r="AG59" s="86">
        <f>Q58+S59+T59+U59</f>
      </c>
      <c r="AH59" s="86">
        <f>Q59+R59+X59</f>
      </c>
      <c r="AI59" s="59">
        <f>AH59-AG59</f>
      </c>
      <c r="AJ59" s="3"/>
      <c r="AK59" s="3"/>
    </row>
    <row x14ac:dyDescent="0.25" r="60" customHeight="1" ht="18.75">
      <c r="A60" s="3"/>
      <c r="B60" s="71"/>
      <c r="C60" s="3"/>
      <c r="D60" s="3"/>
      <c r="E60" s="3"/>
      <c r="F60" s="3"/>
      <c r="G60" s="59">
        <f>H60-DATE(YEAR(H60),1,0)+1</f>
      </c>
      <c r="H60" s="79">
        <f>H59+1</f>
        <v>25569.5</v>
      </c>
      <c r="I60" s="80">
        <f>HLOOKUP($H$4,'Met Data'!$A$2:$F$368,G60,FALSE)</f>
      </c>
      <c r="J60" s="80">
        <f>HLOOKUP($H$4,'Met Data'!$H$2:$M$368,G60,FALSE)*L60</f>
      </c>
      <c r="K60" s="81">
        <f>HLOOKUP($H$4,'Met Data'!$O$2:$T$368,G60,FALSE)</f>
      </c>
      <c r="L60" s="7">
        <f>IF(H60&lt;$B$31,$J$3,$J$4)</f>
      </c>
      <c r="M60" s="3"/>
      <c r="N60" s="82">
        <f>IF(P60&lt;$P$3,TRUE,FALSE)</f>
      </c>
      <c r="O60" s="82">
        <f>AND(IF(P60&gt;($P$2-1),TRUE,FALSE),IF(P60&lt;($P$3+1),TRUE,FALSE))</f>
      </c>
      <c r="P60" s="83">
        <v>45029</v>
      </c>
      <c r="Q60" s="8">
        <v>34.81151753207611</v>
      </c>
      <c r="R60" s="8">
        <v>4.39482148308878</v>
      </c>
      <c r="S60" s="8">
        <v>0.000013075665209428542</v>
      </c>
      <c r="T60" s="8">
        <v>0.9159351513513767</v>
      </c>
      <c r="U60" s="7">
        <v>0</v>
      </c>
      <c r="V60" s="8">
        <v>89.8411592517323</v>
      </c>
      <c r="W60" s="8">
        <v>69.7873290616134</v>
      </c>
      <c r="X60" s="7">
        <v>0</v>
      </c>
      <c r="Y60" s="8">
        <v>0.7765828375374099</v>
      </c>
      <c r="Z60" s="7">
        <v>0</v>
      </c>
      <c r="AA60" s="7">
        <v>0</v>
      </c>
      <c r="AB60" s="8">
        <v>0.999992361464258</v>
      </c>
      <c r="AC60" s="42"/>
      <c r="AD60" s="83">
        <f>IFERROR(P60,$AD$4)</f>
        <v>25569.5</v>
      </c>
      <c r="AE60" s="7">
        <f>IFERROR(U60,0)</f>
      </c>
      <c r="AF60" s="3"/>
      <c r="AG60" s="86">
        <f>Q59+S60+T60+U60</f>
      </c>
      <c r="AH60" s="86">
        <f>Q60+R60+X60</f>
      </c>
      <c r="AI60" s="59">
        <f>AH60-AG60</f>
      </c>
      <c r="AJ60" s="3"/>
      <c r="AK60" s="3"/>
    </row>
    <row x14ac:dyDescent="0.25" r="61" customHeight="1" ht="18.75">
      <c r="A61" s="3"/>
      <c r="B61" s="71"/>
      <c r="C61" s="3"/>
      <c r="D61" s="3"/>
      <c r="E61" s="3"/>
      <c r="F61" s="3"/>
      <c r="G61" s="59">
        <f>H61-DATE(YEAR(H61),1,0)+1</f>
      </c>
      <c r="H61" s="79">
        <f>H60+1</f>
        <v>25569.5</v>
      </c>
      <c r="I61" s="80">
        <f>HLOOKUP($H$4,'Met Data'!$A$2:$F$368,G61,FALSE)</f>
      </c>
      <c r="J61" s="80">
        <f>HLOOKUP($H$4,'Met Data'!$H$2:$M$368,G61,FALSE)*L61</f>
      </c>
      <c r="K61" s="81">
        <f>HLOOKUP($H$4,'Met Data'!$O$2:$T$368,G61,FALSE)</f>
      </c>
      <c r="L61" s="7">
        <f>IF(H61&lt;$B$31,$J$3,$J$4)</f>
      </c>
      <c r="M61" s="3"/>
      <c r="N61" s="82">
        <f>IF(P61&lt;$P$3,TRUE,FALSE)</f>
      </c>
      <c r="O61" s="82">
        <f>AND(IF(P61&gt;($P$2-1),TRUE,FALSE),IF(P61&lt;($P$3+1),TRUE,FALSE))</f>
      </c>
      <c r="P61" s="83">
        <v>45030</v>
      </c>
      <c r="Q61" s="8">
        <v>31.246722052836464</v>
      </c>
      <c r="R61" s="8">
        <v>4.46850465464819</v>
      </c>
      <c r="S61" s="8">
        <v>0.000011074039236647012</v>
      </c>
      <c r="T61" s="8">
        <v>0.9036981013693105</v>
      </c>
      <c r="U61" s="7">
        <v>0</v>
      </c>
      <c r="V61" s="8">
        <v>94.30966390638051</v>
      </c>
      <c r="W61" s="8">
        <v>73.2583996415634</v>
      </c>
      <c r="X61" s="7">
        <v>0</v>
      </c>
      <c r="Y61" s="8">
        <v>0.7850969371291424</v>
      </c>
      <c r="Z61" s="7">
        <v>0</v>
      </c>
      <c r="AA61" s="7">
        <v>0</v>
      </c>
      <c r="AB61" s="8">
        <v>0.999994814865213</v>
      </c>
      <c r="AC61" s="42"/>
      <c r="AD61" s="83">
        <f>IFERROR(P61,$AD$4)</f>
        <v>25569.5</v>
      </c>
      <c r="AE61" s="7">
        <f>IFERROR(U61,0)</f>
      </c>
      <c r="AF61" s="3"/>
      <c r="AG61" s="86">
        <f>Q60+S61+T61+U61</f>
      </c>
      <c r="AH61" s="86">
        <f>Q61+R61+X61</f>
      </c>
      <c r="AI61" s="59">
        <f>AH61-AG61</f>
      </c>
      <c r="AJ61" s="3"/>
      <c r="AK61" s="3"/>
    </row>
    <row x14ac:dyDescent="0.25" r="62" customHeight="1" ht="18.75">
      <c r="A62" s="3"/>
      <c r="B62" s="71"/>
      <c r="C62" s="3"/>
      <c r="D62" s="3"/>
      <c r="E62" s="3"/>
      <c r="F62" s="3"/>
      <c r="G62" s="59">
        <f>H62-DATE(YEAR(H62),1,0)+1</f>
      </c>
      <c r="H62" s="79">
        <f>H61+1</f>
        <v>25569.5</v>
      </c>
      <c r="I62" s="80">
        <f>HLOOKUP($H$4,'Met Data'!$A$2:$F$368,G62,FALSE)</f>
      </c>
      <c r="J62" s="80">
        <f>HLOOKUP($H$4,'Met Data'!$H$2:$M$368,G62,FALSE)*L62</f>
      </c>
      <c r="K62" s="81">
        <f>HLOOKUP($H$4,'Met Data'!$O$2:$T$368,G62,FALSE)</f>
      </c>
      <c r="L62" s="7">
        <f>IF(H62&lt;$B$31,$J$3,$J$4)</f>
      </c>
      <c r="M62" s="3"/>
      <c r="N62" s="82">
        <f>IF(P62&lt;$P$3,TRUE,FALSE)</f>
      </c>
      <c r="O62" s="82">
        <f>AND(IF(P62&gt;($P$2-1),TRUE,FALSE),IF(P62&lt;($P$3+1),TRUE,FALSE))</f>
      </c>
      <c r="P62" s="83">
        <v>45031</v>
      </c>
      <c r="Q62" s="8">
        <v>262.77266064823317</v>
      </c>
      <c r="R62" s="8">
        <v>4.56918441164001</v>
      </c>
      <c r="S62" s="8">
        <v>0.000009410287028968308</v>
      </c>
      <c r="T62" s="8">
        <v>0.8951135967496929</v>
      </c>
      <c r="U62" s="7">
        <v>294</v>
      </c>
      <c r="V62" s="8">
        <v>98.8788483180205</v>
      </c>
      <c r="W62" s="8">
        <v>76.8076768184623</v>
      </c>
      <c r="X62" s="8">
        <v>58.79999999999999</v>
      </c>
      <c r="Y62" s="8">
        <v>0.7892546991135815</v>
      </c>
      <c r="Z62" s="7">
        <v>0</v>
      </c>
      <c r="AA62" s="7">
        <v>0</v>
      </c>
      <c r="AB62" s="8">
        <v>0.999996464032991</v>
      </c>
      <c r="AC62" s="42"/>
      <c r="AD62" s="83">
        <f>IFERROR(P62,$AD$4)</f>
        <v>25569.5</v>
      </c>
      <c r="AE62" s="7">
        <f>IFERROR(U62,0)</f>
      </c>
      <c r="AF62" s="3"/>
      <c r="AG62" s="86">
        <f>Q61+S62+T62+U62</f>
      </c>
      <c r="AH62" s="86">
        <f>Q62+R62+X62</f>
      </c>
      <c r="AI62" s="59">
        <f>AH62-AG62</f>
      </c>
      <c r="AJ62" s="3"/>
      <c r="AK62" s="3"/>
    </row>
    <row x14ac:dyDescent="0.25" r="63" customHeight="1" ht="18.75">
      <c r="A63" s="3"/>
      <c r="B63" s="71"/>
      <c r="C63" s="3"/>
      <c r="D63" s="3"/>
      <c r="E63" s="3"/>
      <c r="F63" s="3"/>
      <c r="G63" s="59">
        <f>H63-DATE(YEAR(H63),1,0)+1</f>
      </c>
      <c r="H63" s="79">
        <f>H62+1</f>
        <v>25569.5</v>
      </c>
      <c r="I63" s="80">
        <f>HLOOKUP($H$4,'Met Data'!$A$2:$F$368,G63,FALSE)</f>
      </c>
      <c r="J63" s="80">
        <f>HLOOKUP($H$4,'Met Data'!$H$2:$M$368,G63,FALSE)*L63</f>
      </c>
      <c r="K63" s="81">
        <f>HLOOKUP($H$4,'Met Data'!$O$2:$T$368,G63,FALSE)</f>
      </c>
      <c r="L63" s="7">
        <f>IF(H63&lt;$B$31,$J$3,$J$4)</f>
      </c>
      <c r="M63" s="3"/>
      <c r="N63" s="82">
        <f>IF(P63&lt;$P$3,TRUE,FALSE)</f>
      </c>
      <c r="O63" s="82">
        <f>AND(IF(P63&gt;($P$2-1),TRUE,FALSE),IF(P63&lt;($P$3+1),TRUE,FALSE))</f>
      </c>
      <c r="P63" s="83">
        <v>45032</v>
      </c>
      <c r="Q63" s="8">
        <v>258.84110768058093</v>
      </c>
      <c r="R63" s="8">
        <v>4.87832644092035</v>
      </c>
      <c r="S63" s="8">
        <v>0.000008448198474923202</v>
      </c>
      <c r="T63" s="8">
        <v>0.9467650250696211</v>
      </c>
      <c r="U63" s="7">
        <v>0</v>
      </c>
      <c r="V63" s="8">
        <v>103.757174758941</v>
      </c>
      <c r="W63" s="8">
        <v>80.5970911073915</v>
      </c>
      <c r="X63" s="7">
        <v>0</v>
      </c>
      <c r="Y63" s="8">
        <v>0.801118042095096</v>
      </c>
      <c r="Z63" s="7">
        <v>0</v>
      </c>
      <c r="AA63" s="7">
        <v>0</v>
      </c>
      <c r="AB63" s="8">
        <v>0.999997618729569</v>
      </c>
      <c r="AC63" s="42"/>
      <c r="AD63" s="83">
        <f>IFERROR(P63,$AD$4)</f>
        <v>25569.5</v>
      </c>
      <c r="AE63" s="7">
        <f>IFERROR(U63,0)</f>
      </c>
      <c r="AF63" s="3"/>
      <c r="AG63" s="86">
        <f>Q62+S63+T63+U63</f>
      </c>
      <c r="AH63" s="86">
        <f>Q63+R63+X63</f>
      </c>
      <c r="AI63" s="59">
        <f>AH63-AG63</f>
      </c>
      <c r="AJ63" s="3"/>
      <c r="AK63" s="3"/>
    </row>
    <row x14ac:dyDescent="0.25" r="64" customHeight="1" ht="18.75">
      <c r="A64" s="3"/>
      <c r="B64" s="71"/>
      <c r="C64" s="3"/>
      <c r="D64" s="3"/>
      <c r="E64" s="3"/>
      <c r="F64" s="3"/>
      <c r="G64" s="59">
        <f>H64-DATE(YEAR(H64),1,0)+1</f>
      </c>
      <c r="H64" s="79">
        <f>H63+1</f>
        <v>25569.5</v>
      </c>
      <c r="I64" s="80">
        <f>HLOOKUP($H$4,'Met Data'!$A$2:$F$368,G64,FALSE)</f>
      </c>
      <c r="J64" s="80">
        <f>HLOOKUP($H$4,'Met Data'!$H$2:$M$368,G64,FALSE)*L64</f>
      </c>
      <c r="K64" s="81">
        <f>HLOOKUP($H$4,'Met Data'!$O$2:$T$368,G64,FALSE)</f>
      </c>
      <c r="L64" s="7">
        <f>IF(H64&lt;$B$31,$J$3,$J$4)</f>
      </c>
      <c r="M64" s="3"/>
      <c r="N64" s="82">
        <f>IF(P64&lt;$P$3,TRUE,FALSE)</f>
      </c>
      <c r="O64" s="82">
        <f>AND(IF(P64&gt;($P$2-1),TRUE,FALSE),IF(P64&lt;($P$3+1),TRUE,FALSE))</f>
      </c>
      <c r="P64" s="83">
        <v>45033</v>
      </c>
      <c r="Q64" s="8">
        <v>254.8179809561418</v>
      </c>
      <c r="R64" s="8">
        <v>4.95687735094313</v>
      </c>
      <c r="S64" s="8">
        <v>0.000007106003250061306</v>
      </c>
      <c r="T64" s="8">
        <v>0.9337435205007529</v>
      </c>
      <c r="U64" s="7">
        <v>0</v>
      </c>
      <c r="V64" s="8">
        <v>108.714052109884</v>
      </c>
      <c r="W64" s="8">
        <v>84.4475226210706</v>
      </c>
      <c r="X64" s="7">
        <v>0</v>
      </c>
      <c r="Y64" s="8">
        <v>0.806117723891162</v>
      </c>
      <c r="Z64" s="7">
        <v>0</v>
      </c>
      <c r="AA64" s="7">
        <v>0</v>
      </c>
      <c r="AB64" s="8">
        <v>0.999998386197201</v>
      </c>
      <c r="AC64" s="42"/>
      <c r="AD64" s="83">
        <f>IFERROR(P64,$AD$4)</f>
        <v>25569.5</v>
      </c>
      <c r="AE64" s="7">
        <f>IFERROR(U64,0)</f>
      </c>
      <c r="AF64" s="3"/>
      <c r="AG64" s="86">
        <f>Q63+S64+T64+U64</f>
      </c>
      <c r="AH64" s="86">
        <f>Q64+R64+X64</f>
      </c>
      <c r="AI64" s="59">
        <f>AH64-AG64</f>
      </c>
      <c r="AJ64" s="3"/>
      <c r="AK64" s="3"/>
    </row>
    <row x14ac:dyDescent="0.25" r="65" customHeight="1" ht="18.75">
      <c r="A65" s="3"/>
      <c r="B65" s="71"/>
      <c r="C65" s="3"/>
      <c r="D65" s="3"/>
      <c r="E65" s="3"/>
      <c r="F65" s="3"/>
      <c r="G65" s="59">
        <f>H65-DATE(YEAR(H65),1,0)+1</f>
      </c>
      <c r="H65" s="79">
        <f>H64+1</f>
        <v>25569.5</v>
      </c>
      <c r="I65" s="80">
        <f>HLOOKUP($H$4,'Met Data'!$A$2:$F$368,G65,FALSE)</f>
      </c>
      <c r="J65" s="80">
        <f>HLOOKUP($H$4,'Met Data'!$H$2:$M$368,G65,FALSE)*L65</f>
      </c>
      <c r="K65" s="81">
        <f>HLOOKUP($H$4,'Met Data'!$O$2:$T$368,G65,FALSE)</f>
      </c>
      <c r="L65" s="7">
        <f>IF(H65&lt;$B$31,$J$3,$J$4)</f>
      </c>
      <c r="M65" s="3"/>
      <c r="N65" s="82">
        <f>IF(P65&lt;$P$3,TRUE,FALSE)</f>
      </c>
      <c r="O65" s="82">
        <f>AND(IF(P65&gt;($P$2-1),TRUE,FALSE),IF(P65&lt;($P$3+1),TRUE,FALSE))</f>
      </c>
      <c r="P65" s="83">
        <v>45034</v>
      </c>
      <c r="Q65" s="8">
        <v>250.64566100505965</v>
      </c>
      <c r="R65" s="8">
        <v>5.11397016763391</v>
      </c>
      <c r="S65" s="8">
        <v>0.000006094471676518671</v>
      </c>
      <c r="T65" s="8">
        <v>0.9416441220800703</v>
      </c>
      <c r="U65" s="7">
        <v>0</v>
      </c>
      <c r="V65" s="8">
        <v>113.828022277518</v>
      </c>
      <c r="W65" s="8">
        <v>88.4199815905719</v>
      </c>
      <c r="X65" s="7">
        <v>0</v>
      </c>
      <c r="Y65" s="8">
        <v>0.8117846157730373</v>
      </c>
      <c r="Z65" s="7">
        <v>0</v>
      </c>
      <c r="AA65" s="7">
        <v>0</v>
      </c>
      <c r="AB65" s="8">
        <v>0.999998906671646</v>
      </c>
      <c r="AC65" s="42"/>
      <c r="AD65" s="83">
        <f>IFERROR(P65,$AD$4)</f>
        <v>25569.5</v>
      </c>
      <c r="AE65" s="7">
        <f>IFERROR(U65,0)</f>
      </c>
      <c r="AF65" s="3"/>
      <c r="AG65" s="86">
        <f>Q64+S65+T65+U65</f>
      </c>
      <c r="AH65" s="86">
        <f>Q65+R65+X65</f>
      </c>
      <c r="AI65" s="59">
        <f>AH65-AG65</f>
      </c>
      <c r="AJ65" s="3"/>
      <c r="AK65" s="3"/>
    </row>
    <row x14ac:dyDescent="0.25" r="66" customHeight="1" ht="18.75">
      <c r="A66" s="3"/>
      <c r="B66" s="71"/>
      <c r="C66" s="3"/>
      <c r="D66" s="3"/>
      <c r="E66" s="3"/>
      <c r="F66" s="3"/>
      <c r="G66" s="59">
        <f>H66-DATE(YEAR(H66),1,0)+1</f>
      </c>
      <c r="H66" s="79">
        <f>H65+1</f>
        <v>25569.5</v>
      </c>
      <c r="I66" s="80">
        <f>HLOOKUP($H$4,'Met Data'!$A$2:$F$368,G66,FALSE)</f>
      </c>
      <c r="J66" s="80">
        <f>HLOOKUP($H$4,'Met Data'!$H$2:$M$368,G66,FALSE)*L66</f>
      </c>
      <c r="K66" s="81">
        <f>HLOOKUP($H$4,'Met Data'!$O$2:$T$368,G66,FALSE)</f>
      </c>
      <c r="L66" s="7">
        <f>IF(H66&lt;$B$31,$J$3,$J$4)</f>
      </c>
      <c r="M66" s="3"/>
      <c r="N66" s="82">
        <f>IF(P66&lt;$P$3,TRUE,FALSE)</f>
      </c>
      <c r="O66" s="82">
        <f>AND(IF(P66&gt;($P$2-1),TRUE,FALSE),IF(P66&lt;($P$3+1),TRUE,FALSE))</f>
      </c>
      <c r="P66" s="83">
        <v>45035</v>
      </c>
      <c r="Q66" s="8">
        <v>246.38609463464186</v>
      </c>
      <c r="R66" s="8">
        <v>5.18509048673806</v>
      </c>
      <c r="S66" s="8">
        <v>0.0000051092706120527296</v>
      </c>
      <c r="T66" s="8">
        <v>0.9255190070496635</v>
      </c>
      <c r="U66" s="7">
        <v>0</v>
      </c>
      <c r="V66" s="8">
        <v>119.013112764256</v>
      </c>
      <c r="W66" s="8">
        <v>92.4476858079488</v>
      </c>
      <c r="X66" s="7">
        <v>0</v>
      </c>
      <c r="Y66" s="8">
        <v>0.8128503894187316</v>
      </c>
      <c r="Z66" s="7">
        <v>0</v>
      </c>
      <c r="AA66" s="7">
        <v>0</v>
      </c>
      <c r="AB66" s="8">
        <v>0.999999255020244</v>
      </c>
      <c r="AC66" s="42"/>
      <c r="AD66" s="83">
        <f>IFERROR(P66,$AD$4)</f>
        <v>25569.5</v>
      </c>
      <c r="AE66" s="7">
        <f>IFERROR(U66,0)</f>
      </c>
      <c r="AF66" s="3"/>
      <c r="AG66" s="86">
        <f>Q65+S66+T66+U66</f>
      </c>
      <c r="AH66" s="86">
        <f>Q66+R66+X66</f>
      </c>
      <c r="AI66" s="59">
        <f>AH66-AG66</f>
      </c>
      <c r="AJ66" s="3"/>
      <c r="AK66" s="3"/>
    </row>
    <row x14ac:dyDescent="0.25" r="67" customHeight="1" ht="18.75">
      <c r="A67" s="3"/>
      <c r="B67" s="71"/>
      <c r="C67" s="3"/>
      <c r="D67" s="3"/>
      <c r="E67" s="3"/>
      <c r="F67" s="3"/>
      <c r="G67" s="59">
        <f>H67-DATE(YEAR(H67),1,0)+1</f>
      </c>
      <c r="H67" s="79">
        <f>H66+1</f>
        <v>25569.5</v>
      </c>
      <c r="I67" s="80">
        <f>HLOOKUP($H$4,'Met Data'!$A$2:$F$368,G67,FALSE)</f>
      </c>
      <c r="J67" s="80">
        <f>HLOOKUP($H$4,'Met Data'!$H$2:$M$368,G67,FALSE)*L67</f>
      </c>
      <c r="K67" s="81">
        <f>HLOOKUP($H$4,'Met Data'!$O$2:$T$368,G67,FALSE)</f>
      </c>
      <c r="L67" s="7">
        <f>IF(H67&lt;$B$31,$J$3,$J$4)</f>
      </c>
      <c r="M67" s="3"/>
      <c r="N67" s="82">
        <f>IF(P67&lt;$P$3,TRUE,FALSE)</f>
      </c>
      <c r="O67" s="82">
        <f>AND(IF(P67&gt;($P$2-1),TRUE,FALSE),IF(P67&lt;($P$3+1),TRUE,FALSE))</f>
      </c>
      <c r="P67" s="83">
        <v>45036</v>
      </c>
      <c r="Q67" s="8">
        <v>241.91870283685574</v>
      </c>
      <c r="R67" s="8">
        <v>5.40350064392733</v>
      </c>
      <c r="S67" s="8">
        <v>0.000004387407924971603</v>
      </c>
      <c r="T67" s="8">
        <v>0.9361044587332878</v>
      </c>
      <c r="U67" s="7">
        <v>0</v>
      </c>
      <c r="V67" s="8">
        <v>124.416613408183</v>
      </c>
      <c r="W67" s="8">
        <v>96.6450479152852</v>
      </c>
      <c r="X67" s="7">
        <v>0</v>
      </c>
      <c r="Y67" s="8">
        <v>0.8079570186147225</v>
      </c>
      <c r="Z67" s="7">
        <v>0</v>
      </c>
      <c r="AA67" s="7">
        <v>0</v>
      </c>
      <c r="AB67" s="8">
        <v>0.999999495143094</v>
      </c>
      <c r="AC67" s="42"/>
      <c r="AD67" s="83">
        <f>IFERROR(P67,$AD$4)</f>
        <v>25569.5</v>
      </c>
      <c r="AE67" s="7">
        <f>IFERROR(U67,0)</f>
      </c>
      <c r="AF67" s="3"/>
      <c r="AG67" s="86">
        <f>Q66+S67+T67+U67</f>
      </c>
      <c r="AH67" s="86">
        <f>Q67+R67+X67</f>
      </c>
      <c r="AI67" s="59">
        <f>AH67-AG67</f>
      </c>
      <c r="AJ67" s="3"/>
      <c r="AK67" s="3"/>
    </row>
    <row x14ac:dyDescent="0.25" r="68" customHeight="1" ht="18.75">
      <c r="A68" s="3"/>
      <c r="B68" s="71"/>
      <c r="C68" s="3"/>
      <c r="D68" s="3"/>
      <c r="E68" s="3"/>
      <c r="F68" s="3"/>
      <c r="G68" s="59">
        <f>H68-DATE(YEAR(H68),1,0)+1</f>
      </c>
      <c r="H68" s="79">
        <f>H67+1</f>
        <v>25569.5</v>
      </c>
      <c r="I68" s="80">
        <f>HLOOKUP($H$4,'Met Data'!$A$2:$F$368,G68,FALSE)</f>
      </c>
      <c r="J68" s="80">
        <f>HLOOKUP($H$4,'Met Data'!$H$2:$M$368,G68,FALSE)*L68</f>
      </c>
      <c r="K68" s="81">
        <f>HLOOKUP($H$4,'Met Data'!$O$2:$T$368,G68,FALSE)</f>
      </c>
      <c r="L68" s="7">
        <f>IF(H68&lt;$B$31,$J$3,$J$4)</f>
      </c>
      <c r="M68" s="3"/>
      <c r="N68" s="82">
        <f>IF(P68&lt;$P$3,TRUE,FALSE)</f>
      </c>
      <c r="O68" s="82">
        <f>AND(IF(P68&gt;($P$2-1),TRUE,FALSE),IF(P68&lt;($P$3+1),TRUE,FALSE))</f>
      </c>
      <c r="P68" s="83">
        <v>45037</v>
      </c>
      <c r="Q68" s="8">
        <v>237.3700051697732</v>
      </c>
      <c r="R68" s="8">
        <v>5.49052830155892</v>
      </c>
      <c r="S68" s="8">
        <v>0.000003760261767672879</v>
      </c>
      <c r="T68" s="8">
        <v>0.9418268742146046</v>
      </c>
      <c r="U68" s="7">
        <v>0</v>
      </c>
      <c r="V68" s="8">
        <v>129.907141709742</v>
      </c>
      <c r="W68" s="8">
        <v>100.910011863818</v>
      </c>
      <c r="X68" s="7">
        <v>0</v>
      </c>
      <c r="Y68" s="8">
        <v>0.8219903411426794</v>
      </c>
      <c r="Z68" s="7">
        <v>0</v>
      </c>
      <c r="AA68" s="7">
        <v>0</v>
      </c>
      <c r="AB68" s="8">
        <v>0.999999656588272</v>
      </c>
      <c r="AC68" s="42"/>
      <c r="AD68" s="83">
        <f>IFERROR(P68,$AD$4)</f>
        <v>25569.5</v>
      </c>
      <c r="AE68" s="7">
        <f>IFERROR(U68,0)</f>
      </c>
      <c r="AF68" s="3"/>
      <c r="AG68" s="86">
        <f>Q67+S68+T68+U68</f>
      </c>
      <c r="AH68" s="86">
        <f>Q68+R68+X68</f>
      </c>
      <c r="AI68" s="59">
        <f>AH68-AG68</f>
      </c>
      <c r="AJ68" s="3"/>
      <c r="AK68" s="3"/>
    </row>
    <row x14ac:dyDescent="0.25" r="69" customHeight="1" ht="18.75">
      <c r="A69" s="3"/>
      <c r="B69" s="71"/>
      <c r="C69" s="3"/>
      <c r="D69" s="3"/>
      <c r="E69" s="3"/>
      <c r="F69" s="3"/>
      <c r="G69" s="59">
        <f>H69-DATE(YEAR(H69),1,0)+1</f>
      </c>
      <c r="H69" s="79">
        <f>H68+1</f>
        <v>25569.5</v>
      </c>
      <c r="I69" s="80">
        <f>HLOOKUP($H$4,'Met Data'!$A$2:$F$368,G69,FALSE)</f>
      </c>
      <c r="J69" s="80">
        <f>HLOOKUP($H$4,'Met Data'!$H$2:$M$368,G69,FALSE)*L69</f>
      </c>
      <c r="K69" s="81">
        <f>HLOOKUP($H$4,'Met Data'!$O$2:$T$368,G69,FALSE)</f>
      </c>
      <c r="L69" s="7">
        <f>IF(H69&lt;$B$31,$J$3,$J$4)</f>
      </c>
      <c r="M69" s="3"/>
      <c r="N69" s="82">
        <f>IF(P69&lt;$P$3,TRUE,FALSE)</f>
      </c>
      <c r="O69" s="82">
        <f>AND(IF(P69&gt;($P$2-1),TRUE,FALSE),IF(P69&lt;($P$3+1),TRUE,FALSE))</f>
      </c>
      <c r="P69" s="83">
        <v>45038</v>
      </c>
      <c r="Q69" s="8">
        <v>232.9184943754796</v>
      </c>
      <c r="R69" s="8">
        <v>5.35020981176206</v>
      </c>
      <c r="S69" s="8">
        <v>0.000003081012848083254</v>
      </c>
      <c r="T69" s="8">
        <v>0.8986959364556202</v>
      </c>
      <c r="U69" s="7">
        <v>0</v>
      </c>
      <c r="V69" s="8">
        <v>135.257351521504</v>
      </c>
      <c r="W69" s="8">
        <v>105.065978414026</v>
      </c>
      <c r="X69" s="7">
        <v>0</v>
      </c>
      <c r="Y69" s="8">
        <v>0.832884974504512</v>
      </c>
      <c r="Z69" s="7">
        <v>0</v>
      </c>
      <c r="AA69" s="7">
        <v>0</v>
      </c>
      <c r="AB69" s="8">
        <v>0.999999762040331</v>
      </c>
      <c r="AC69" s="42"/>
      <c r="AD69" s="83">
        <f>IFERROR(P69,$AD$4)</f>
        <v>25569.5</v>
      </c>
      <c r="AE69" s="7">
        <f>IFERROR(U69,0)</f>
      </c>
      <c r="AF69" s="3"/>
      <c r="AG69" s="86">
        <f>Q68+S69+T69+U69</f>
      </c>
      <c r="AH69" s="86">
        <f>Q69+R69+X69</f>
      </c>
      <c r="AI69" s="59">
        <f>AH69-AG69</f>
      </c>
      <c r="AJ69" s="3"/>
      <c r="AK69" s="3"/>
    </row>
    <row x14ac:dyDescent="0.25" r="70" customHeight="1" ht="18.75">
      <c r="A70" s="3"/>
      <c r="B70" s="71"/>
      <c r="C70" s="3"/>
      <c r="D70" s="3"/>
      <c r="E70" s="3"/>
      <c r="F70" s="3"/>
      <c r="G70" s="59">
        <f>H70-DATE(YEAR(H70),1,0)+1</f>
      </c>
      <c r="H70" s="79">
        <f>H69+1</f>
        <v>25569.5</v>
      </c>
      <c r="I70" s="80">
        <f>HLOOKUP($H$4,'Met Data'!$A$2:$F$368,G70,FALSE)</f>
      </c>
      <c r="J70" s="80">
        <f>HLOOKUP($H$4,'Met Data'!$H$2:$M$368,G70,FALSE)*L70</f>
      </c>
      <c r="K70" s="81">
        <f>HLOOKUP($H$4,'Met Data'!$O$2:$T$368,G70,FALSE)</f>
      </c>
      <c r="L70" s="7">
        <f>IF(H70&lt;$B$31,$J$3,$J$4)</f>
      </c>
      <c r="M70" s="3"/>
      <c r="N70" s="82">
        <f>IF(P70&lt;$P$3,TRUE,FALSE)</f>
      </c>
      <c r="O70" s="82">
        <f>AND(IF(P70&gt;($P$2-1),TRUE,FALSE),IF(P70&lt;($P$3+1),TRUE,FALSE))</f>
      </c>
      <c r="P70" s="83">
        <v>45039</v>
      </c>
      <c r="Q70" s="8">
        <v>228.30612086900754</v>
      </c>
      <c r="R70" s="8">
        <v>5.52291286811223</v>
      </c>
      <c r="S70" s="8">
        <v>0.0000026620076012599498</v>
      </c>
      <c r="T70" s="8">
        <v>0.9105366996325798</v>
      </c>
      <c r="U70" s="7">
        <v>0</v>
      </c>
      <c r="V70" s="8">
        <v>140.780264389616</v>
      </c>
      <c r="W70" s="8">
        <v>109.35609823122</v>
      </c>
      <c r="X70" s="7">
        <v>0</v>
      </c>
      <c r="Y70" s="8">
        <v>0.8331604783979004</v>
      </c>
      <c r="Z70" s="7">
        <v>0</v>
      </c>
      <c r="AA70" s="7">
        <v>0</v>
      </c>
      <c r="AB70" s="8">
        <v>0.99999983574127</v>
      </c>
      <c r="AC70" s="42"/>
      <c r="AD70" s="83">
        <f>IFERROR(P70,$AD$4)</f>
        <v>25569.5</v>
      </c>
      <c r="AE70" s="7">
        <f>IFERROR(U70,0)</f>
      </c>
      <c r="AF70" s="3"/>
      <c r="AG70" s="86">
        <f>Q69+S70+T70+U70</f>
      </c>
      <c r="AH70" s="86">
        <f>Q70+R70+X70</f>
      </c>
      <c r="AI70" s="59">
        <f>AH70-AG70</f>
      </c>
      <c r="AJ70" s="3"/>
      <c r="AK70" s="3"/>
    </row>
    <row x14ac:dyDescent="0.25" r="71" customHeight="1" ht="18.75">
      <c r="A71" s="3"/>
      <c r="B71" s="71"/>
      <c r="C71" s="3"/>
      <c r="D71" s="3"/>
      <c r="E71" s="3"/>
      <c r="F71" s="3"/>
      <c r="G71" s="59">
        <f>H71-DATE(YEAR(H71),1,0)+1</f>
      </c>
      <c r="H71" s="79">
        <f>H70+1</f>
        <v>25569.5</v>
      </c>
      <c r="I71" s="80">
        <f>HLOOKUP($H$4,'Met Data'!$A$2:$F$368,G71,FALSE)</f>
      </c>
      <c r="J71" s="80">
        <f>HLOOKUP($H$4,'Met Data'!$H$2:$M$368,G71,FALSE)*L71</f>
      </c>
      <c r="K71" s="81">
        <f>HLOOKUP($H$4,'Met Data'!$O$2:$T$368,G71,FALSE)</f>
      </c>
      <c r="L71" s="7">
        <f>IF(H71&lt;$B$31,$J$3,$J$4)</f>
      </c>
      <c r="M71" s="3"/>
      <c r="N71" s="82">
        <f>IF(P71&lt;$P$3,TRUE,FALSE)</f>
      </c>
      <c r="O71" s="82">
        <f>AND(IF(P71&gt;($P$2-1),TRUE,FALSE),IF(P71&lt;($P$3+1),TRUE,FALSE))</f>
      </c>
      <c r="P71" s="83">
        <v>45040</v>
      </c>
      <c r="Q71" s="8">
        <v>223.66102283027587</v>
      </c>
      <c r="R71" s="8">
        <v>5.56192651238987</v>
      </c>
      <c r="S71" s="8">
        <v>0.000002289504610705102</v>
      </c>
      <c r="T71" s="8">
        <v>0.9168261841535662</v>
      </c>
      <c r="U71" s="7">
        <v>0</v>
      </c>
      <c r="V71" s="8">
        <v>146.342190902006</v>
      </c>
      <c r="W71" s="8">
        <v>113.676523289951</v>
      </c>
      <c r="X71" s="7">
        <v>0</v>
      </c>
      <c r="Y71" s="8">
        <v>0.8506527701041228</v>
      </c>
      <c r="Z71" s="7">
        <v>0</v>
      </c>
      <c r="AA71" s="7">
        <v>0</v>
      </c>
      <c r="AB71" s="8">
        <v>0.999999886079872</v>
      </c>
      <c r="AC71" s="42"/>
      <c r="AD71" s="83">
        <f>IFERROR(P71,$AD$4)</f>
        <v>25569.5</v>
      </c>
      <c r="AE71" s="7">
        <f>IFERROR(U71,0)</f>
      </c>
      <c r="AF71" s="3"/>
      <c r="AG71" s="86">
        <f>Q70+S71+T71+U71</f>
      </c>
      <c r="AH71" s="86">
        <f>Q71+R71+X71</f>
      </c>
      <c r="AI71" s="59">
        <f>AH71-AG71</f>
      </c>
      <c r="AJ71" s="3"/>
      <c r="AK71" s="3"/>
    </row>
    <row x14ac:dyDescent="0.25" r="72" customHeight="1" ht="18.75">
      <c r="A72" s="3"/>
      <c r="B72" s="71"/>
      <c r="C72" s="3"/>
      <c r="D72" s="3"/>
      <c r="E72" s="3"/>
      <c r="F72" s="3"/>
      <c r="G72" s="59">
        <f>H72-DATE(YEAR(H72),1,0)+1</f>
      </c>
      <c r="H72" s="79">
        <f>H71+1</f>
        <v>25569.5</v>
      </c>
      <c r="I72" s="80">
        <f>HLOOKUP($H$4,'Met Data'!$A$2:$F$368,G72,FALSE)</f>
      </c>
      <c r="J72" s="80">
        <f>HLOOKUP($H$4,'Met Data'!$H$2:$M$368,G72,FALSE)*L72</f>
      </c>
      <c r="K72" s="81">
        <f>HLOOKUP($H$4,'Met Data'!$O$2:$T$368,G72,FALSE)</f>
      </c>
      <c r="L72" s="7">
        <f>IF(H72&lt;$B$31,$J$3,$J$4)</f>
      </c>
      <c r="M72" s="3"/>
      <c r="N72" s="82">
        <f>IF(P72&lt;$P$3,TRUE,FALSE)</f>
      </c>
      <c r="O72" s="82">
        <f>AND(IF(P72&gt;($P$2-1),TRUE,FALSE),IF(P72&lt;($P$3+1),TRUE,FALSE))</f>
      </c>
      <c r="P72" s="83">
        <v>45041</v>
      </c>
      <c r="Q72" s="8">
        <v>218.87096262523565</v>
      </c>
      <c r="R72" s="8">
        <v>5.77428547389377</v>
      </c>
      <c r="S72" s="8">
        <v>0.0000020750980251603177</v>
      </c>
      <c r="T72" s="8">
        <v>0.9842231937555341</v>
      </c>
      <c r="U72" s="7">
        <v>0</v>
      </c>
      <c r="V72" s="8">
        <v>152.1164763759</v>
      </c>
      <c r="W72" s="8">
        <v>118.16190575628</v>
      </c>
      <c r="X72" s="7">
        <v>0</v>
      </c>
      <c r="Y72" s="8">
        <v>0.887711486889658</v>
      </c>
      <c r="Z72" s="7">
        <v>0</v>
      </c>
      <c r="AA72" s="7">
        <v>0</v>
      </c>
      <c r="AB72" s="8">
        <v>0.999999921548347</v>
      </c>
      <c r="AC72" s="42"/>
      <c r="AD72" s="83">
        <f>IFERROR(P72,$AD$4)</f>
        <v>25569.5</v>
      </c>
      <c r="AE72" s="7">
        <f>IFERROR(U72,0)</f>
      </c>
      <c r="AF72" s="3"/>
      <c r="AG72" s="86">
        <f>Q71+S72+T72+U72</f>
      </c>
      <c r="AH72" s="86">
        <f>Q72+R72+X72</f>
      </c>
      <c r="AI72" s="59">
        <f>AH72-AG72</f>
      </c>
      <c r="AJ72" s="3"/>
      <c r="AK72" s="3"/>
    </row>
    <row x14ac:dyDescent="0.25" r="73" customHeight="1" ht="18.75">
      <c r="A73" s="3"/>
      <c r="B73" s="71"/>
      <c r="C73" s="3"/>
      <c r="D73" s="3"/>
      <c r="E73" s="3"/>
      <c r="F73" s="3"/>
      <c r="G73" s="59">
        <f>H73-DATE(YEAR(H73),1,0)+1</f>
      </c>
      <c r="H73" s="79">
        <f>H72+1</f>
        <v>25569.5</v>
      </c>
      <c r="I73" s="80">
        <f>HLOOKUP($H$4,'Met Data'!$A$2:$F$368,G73,FALSE)</f>
      </c>
      <c r="J73" s="80">
        <f>HLOOKUP($H$4,'Met Data'!$H$2:$M$368,G73,FALSE)*L73</f>
      </c>
      <c r="K73" s="81">
        <f>HLOOKUP($H$4,'Met Data'!$O$2:$T$368,G73,FALSE)</f>
      </c>
      <c r="L73" s="7">
        <f>IF(H73&lt;$B$31,$J$3,$J$4)</f>
      </c>
      <c r="M73" s="3"/>
      <c r="N73" s="82">
        <f>IF(P73&lt;$P$3,TRUE,FALSE)</f>
      </c>
      <c r="O73" s="82">
        <f>AND(IF(P73&gt;($P$2-1),TRUE,FALSE),IF(P73&lt;($P$3+1),TRUE,FALSE))</f>
      </c>
      <c r="P73" s="83">
        <v>45042</v>
      </c>
      <c r="Q73" s="8">
        <v>213.9222821747474</v>
      </c>
      <c r="R73" s="8">
        <v>5.96283931593339</v>
      </c>
      <c r="S73" s="8">
        <v>0.0000017928408864811265</v>
      </c>
      <c r="T73" s="8">
        <v>1.014157072604243</v>
      </c>
      <c r="U73" s="7">
        <v>0</v>
      </c>
      <c r="V73" s="8">
        <v>158.079315691834</v>
      </c>
      <c r="W73" s="8">
        <v>122.793754153478</v>
      </c>
      <c r="X73" s="7">
        <v>0</v>
      </c>
      <c r="Y73" s="8">
        <v>0.8965517216196697</v>
      </c>
      <c r="Z73" s="7">
        <v>0</v>
      </c>
      <c r="AA73" s="7">
        <v>0</v>
      </c>
      <c r="AB73" s="8">
        <v>0.999999946279943</v>
      </c>
      <c r="AC73" s="42"/>
      <c r="AD73" s="83">
        <f>IFERROR(P73,$AD$4)</f>
        <v>25569.5</v>
      </c>
      <c r="AE73" s="7">
        <f>IFERROR(U73,0)</f>
      </c>
      <c r="AF73" s="3"/>
      <c r="AG73" s="86">
        <f>Q72+S73+T73+U73</f>
      </c>
      <c r="AH73" s="86">
        <f>Q73+R73+X73</f>
      </c>
      <c r="AI73" s="59">
        <f>AH73-AG73</f>
      </c>
      <c r="AJ73" s="3"/>
      <c r="AK73" s="3"/>
    </row>
    <row x14ac:dyDescent="0.25" r="74" customHeight="1" ht="18.75">
      <c r="A74" s="3"/>
      <c r="B74" s="71"/>
      <c r="C74" s="3"/>
      <c r="D74" s="3"/>
      <c r="E74" s="3"/>
      <c r="F74" s="3"/>
      <c r="G74" s="59">
        <f>H74-DATE(YEAR(H74),1,0)+1</f>
      </c>
      <c r="H74" s="79">
        <f>H73+1</f>
        <v>25569.5</v>
      </c>
      <c r="I74" s="80">
        <f>HLOOKUP($H$4,'Met Data'!$A$2:$F$368,G74,FALSE)</f>
      </c>
      <c r="J74" s="80">
        <f>HLOOKUP($H$4,'Met Data'!$H$2:$M$368,G74,FALSE)*L74</f>
      </c>
      <c r="K74" s="81">
        <f>HLOOKUP($H$4,'Met Data'!$O$2:$T$368,G74,FALSE)</f>
      </c>
      <c r="L74" s="7">
        <f>IF(H74&lt;$B$31,$J$3,$J$4)</f>
      </c>
      <c r="M74" s="3"/>
      <c r="N74" s="82">
        <f>IF(P74&lt;$P$3,TRUE,FALSE)</f>
      </c>
      <c r="O74" s="82">
        <f>AND(IF(P74&gt;($P$2-1),TRUE,FALSE),IF(P74&lt;($P$3+1),TRUE,FALSE))</f>
      </c>
      <c r="P74" s="83">
        <v>45043</v>
      </c>
      <c r="Q74" s="8">
        <v>208.76107493346038</v>
      </c>
      <c r="R74" s="8">
        <v>6.21702352526552</v>
      </c>
      <c r="S74" s="8">
        <v>0.0000015536098721891692</v>
      </c>
      <c r="T74" s="8">
        <v>1.0558147303686216</v>
      </c>
      <c r="U74" s="7">
        <v>0</v>
      </c>
      <c r="V74" s="8">
        <v>164.296339217099</v>
      </c>
      <c r="W74" s="8">
        <v>127.623049213282</v>
      </c>
      <c r="X74" s="7">
        <v>0</v>
      </c>
      <c r="Y74" s="8">
        <v>0.902534937525882</v>
      </c>
      <c r="Z74" s="7">
        <v>0</v>
      </c>
      <c r="AA74" s="7">
        <v>0</v>
      </c>
      <c r="AB74" s="8">
        <v>0.999999963581576</v>
      </c>
      <c r="AC74" s="42"/>
      <c r="AD74" s="83">
        <f>IFERROR(P74,$AD$4)</f>
        <v>25569.5</v>
      </c>
      <c r="AE74" s="7">
        <f>IFERROR(U74,0)</f>
      </c>
      <c r="AF74" s="3"/>
      <c r="AG74" s="86">
        <f>Q73+S74+T74+U74</f>
      </c>
      <c r="AH74" s="86">
        <f>Q74+R74+X74</f>
      </c>
      <c r="AI74" s="59">
        <f>AH74-AG74</f>
      </c>
      <c r="AJ74" s="3"/>
      <c r="AK74" s="3"/>
    </row>
    <row x14ac:dyDescent="0.25" r="75" customHeight="1" ht="18.75">
      <c r="A75" s="3"/>
      <c r="B75" s="71"/>
      <c r="C75" s="3"/>
      <c r="D75" s="3"/>
      <c r="E75" s="3"/>
      <c r="F75" s="3"/>
      <c r="G75" s="59">
        <f>H75-DATE(YEAR(H75),1,0)+1</f>
      </c>
      <c r="H75" s="79">
        <f>H74+1</f>
        <v>25569.5</v>
      </c>
      <c r="I75" s="80">
        <f>HLOOKUP($H$4,'Met Data'!$A$2:$F$368,G75,FALSE)</f>
      </c>
      <c r="J75" s="80">
        <f>HLOOKUP($H$4,'Met Data'!$H$2:$M$368,G75,FALSE)*L75</f>
      </c>
      <c r="K75" s="81">
        <f>HLOOKUP($H$4,'Met Data'!$O$2:$T$368,G75,FALSE)</f>
      </c>
      <c r="L75" s="7">
        <f>IF(H75&lt;$B$31,$J$3,$J$4)</f>
      </c>
      <c r="M75" s="3"/>
      <c r="N75" s="82">
        <f>IF(P75&lt;$P$3,TRUE,FALSE)</f>
      </c>
      <c r="O75" s="82">
        <f>AND(IF(P75&gt;($P$2-1),TRUE,FALSE),IF(P75&lt;($P$3+1),TRUE,FALSE))</f>
      </c>
      <c r="P75" s="83">
        <v>45044</v>
      </c>
      <c r="Q75" s="8">
        <v>203.45137091744343</v>
      </c>
      <c r="R75" s="8">
        <v>6.40647551445414</v>
      </c>
      <c r="S75" s="8">
        <v>0.0000013359984486143696</v>
      </c>
      <c r="T75" s="8">
        <v>1.0967701624387538</v>
      </c>
      <c r="U75" s="7">
        <v>0</v>
      </c>
      <c r="V75" s="8">
        <v>170.702814731553</v>
      </c>
      <c r="W75" s="8">
        <v>132.599507871831</v>
      </c>
      <c r="X75" s="7">
        <v>0</v>
      </c>
      <c r="Y75" s="8">
        <v>0.9167462593747878</v>
      </c>
      <c r="Z75" s="7">
        <v>0</v>
      </c>
      <c r="AA75" s="7">
        <v>0</v>
      </c>
      <c r="AB75" s="8">
        <v>0.999999975463979</v>
      </c>
      <c r="AC75" s="42"/>
      <c r="AD75" s="83">
        <f>IFERROR(P75,$AD$4)</f>
        <v>25569.5</v>
      </c>
      <c r="AE75" s="7">
        <f>IFERROR(U75,0)</f>
      </c>
      <c r="AF75" s="3"/>
      <c r="AG75" s="86">
        <f>Q74+S75+T75+U75</f>
      </c>
      <c r="AH75" s="86">
        <f>Q75+R75+X75</f>
      </c>
      <c r="AI75" s="59">
        <f>AH75-AG75</f>
      </c>
      <c r="AJ75" s="3"/>
      <c r="AK75" s="3"/>
    </row>
    <row x14ac:dyDescent="0.25" r="76" customHeight="1" ht="18.75">
      <c r="A76" s="3"/>
      <c r="B76" s="71"/>
      <c r="C76" s="3"/>
      <c r="D76" s="3"/>
      <c r="E76" s="3"/>
      <c r="F76" s="3"/>
      <c r="G76" s="59">
        <f>H76-DATE(YEAR(H76),1,0)+1</f>
      </c>
      <c r="H76" s="79">
        <f>H75+1</f>
        <v>25569.5</v>
      </c>
      <c r="I76" s="80">
        <f>HLOOKUP($H$4,'Met Data'!$A$2:$F$368,G76,FALSE)</f>
      </c>
      <c r="J76" s="80">
        <f>HLOOKUP($H$4,'Met Data'!$H$2:$M$368,G76,FALSE)*L76</f>
      </c>
      <c r="K76" s="81">
        <f>HLOOKUP($H$4,'Met Data'!$O$2:$T$368,G76,FALSE)</f>
      </c>
      <c r="L76" s="7">
        <f>IF(H76&lt;$B$31,$J$3,$J$4)</f>
      </c>
      <c r="M76" s="3"/>
      <c r="N76" s="82">
        <f>IF(P76&lt;$P$3,TRUE,FALSE)</f>
      </c>
      <c r="O76" s="82">
        <f>AND(IF(P76&gt;($P$2-1),TRUE,FALSE),IF(P76&lt;($P$3+1),TRUE,FALSE))</f>
      </c>
      <c r="P76" s="83">
        <v>45045</v>
      </c>
      <c r="Q76" s="8">
        <v>198.37452483663913</v>
      </c>
      <c r="R76" s="8">
        <v>6.10736369491931</v>
      </c>
      <c r="S76" s="8">
        <v>0.0000010531559468119232</v>
      </c>
      <c r="T76" s="8">
        <v>1.030516560959056</v>
      </c>
      <c r="U76" s="7">
        <v>0</v>
      </c>
      <c r="V76" s="8">
        <v>176.810178426472</v>
      </c>
      <c r="W76" s="8">
        <v>137.343620741992</v>
      </c>
      <c r="X76" s="7">
        <v>0</v>
      </c>
      <c r="Y76" s="8">
        <v>0.9266874697299446</v>
      </c>
      <c r="Z76" s="7">
        <v>0</v>
      </c>
      <c r="AA76" s="7">
        <v>0</v>
      </c>
      <c r="AB76" s="8">
        <v>0.999999983085831</v>
      </c>
      <c r="AC76" s="42"/>
      <c r="AD76" s="83">
        <f>IFERROR(P76,$AD$4)</f>
        <v>25569.5</v>
      </c>
      <c r="AE76" s="7">
        <f>IFERROR(U76,0)</f>
      </c>
      <c r="AF76" s="3"/>
      <c r="AG76" s="86">
        <f>Q75+S76+T76+U76</f>
      </c>
      <c r="AH76" s="86">
        <f>Q76+R76+X76</f>
      </c>
      <c r="AI76" s="59">
        <f>AH76-AG76</f>
      </c>
      <c r="AJ76" s="3"/>
      <c r="AK76" s="3"/>
    </row>
    <row x14ac:dyDescent="0.25" r="77" customHeight="1" ht="18.75">
      <c r="A77" s="3"/>
      <c r="B77" s="71"/>
      <c r="C77" s="3"/>
      <c r="D77" s="3"/>
      <c r="E77" s="3"/>
      <c r="F77" s="3"/>
      <c r="G77" s="59">
        <f>H77-DATE(YEAR(H77),1,0)+1</f>
      </c>
      <c r="H77" s="79">
        <f>H76+1</f>
        <v>25569.5</v>
      </c>
      <c r="I77" s="80">
        <f>HLOOKUP($H$4,'Met Data'!$A$2:$F$368,G77,FALSE)</f>
      </c>
      <c r="J77" s="80">
        <f>HLOOKUP($H$4,'Met Data'!$H$2:$M$368,G77,FALSE)*L77</f>
      </c>
      <c r="K77" s="81">
        <f>HLOOKUP($H$4,'Met Data'!$O$2:$T$368,G77,FALSE)</f>
      </c>
      <c r="L77" s="7">
        <f>IF(H77&lt;$B$31,$J$3,$J$4)</f>
      </c>
      <c r="M77" s="3"/>
      <c r="N77" s="82">
        <f>IF(P77&lt;$P$3,TRUE,FALSE)</f>
      </c>
      <c r="O77" s="82">
        <f>AND(IF(P77&gt;($P$2-1),TRUE,FALSE),IF(P77&lt;($P$3+1),TRUE,FALSE))</f>
      </c>
      <c r="P77" s="83">
        <v>45046</v>
      </c>
      <c r="Q77" s="8">
        <v>193.3994070718472</v>
      </c>
      <c r="R77" s="8">
        <v>6.00009783247185</v>
      </c>
      <c r="S77" s="8">
        <v>8.77547585198747e-7</v>
      </c>
      <c r="T77" s="8">
        <v>1.024979190132356</v>
      </c>
      <c r="U77" s="7">
        <v>0</v>
      </c>
      <c r="V77" s="8">
        <v>182.810276258944</v>
      </c>
      <c r="W77" s="8">
        <v>142.004411022573</v>
      </c>
      <c r="X77" s="7">
        <v>0</v>
      </c>
      <c r="Y77" s="8">
        <v>0.9492311927038373</v>
      </c>
      <c r="Z77" s="7">
        <v>0</v>
      </c>
      <c r="AA77" s="7">
        <v>0</v>
      </c>
      <c r="AB77" s="8">
        <v>0.999999988221677</v>
      </c>
      <c r="AC77" s="42"/>
      <c r="AD77" s="83">
        <f>IFERROR(P77,$AD$4)</f>
        <v>25569.5</v>
      </c>
      <c r="AE77" s="7">
        <f>IFERROR(U77,0)</f>
      </c>
      <c r="AF77" s="3"/>
      <c r="AG77" s="86">
        <f>Q76+S77+T77+U77</f>
      </c>
      <c r="AH77" s="86">
        <f>Q77+R77+X77</f>
      </c>
      <c r="AI77" s="59">
        <f>AH77-AG77</f>
      </c>
      <c r="AJ77" s="3"/>
      <c r="AK77" s="3"/>
    </row>
    <row x14ac:dyDescent="0.25" r="78" customHeight="1" ht="18.75">
      <c r="A78" s="3"/>
      <c r="B78" s="71"/>
      <c r="C78" s="3"/>
      <c r="D78" s="3"/>
      <c r="E78" s="3"/>
      <c r="F78" s="3"/>
      <c r="G78" s="59">
        <f>H78-DATE(YEAR(H78),1,0)+1</f>
      </c>
      <c r="H78" s="79">
        <f>H77+1</f>
        <v>25569.5</v>
      </c>
      <c r="I78" s="80">
        <f>HLOOKUP($H$4,'Met Data'!$A$2:$F$368,G78,FALSE)</f>
      </c>
      <c r="J78" s="80">
        <f>HLOOKUP($H$4,'Met Data'!$H$2:$M$368,G78,FALSE)*L78</f>
      </c>
      <c r="K78" s="81">
        <f>HLOOKUP($H$4,'Met Data'!$O$2:$T$368,G78,FALSE)</f>
      </c>
      <c r="L78" s="7">
        <f>IF(H78&lt;$B$31,$J$3,$J$4)</f>
      </c>
      <c r="M78" s="3"/>
      <c r="N78" s="82">
        <f>IF(P78&lt;$P$3,TRUE,FALSE)</f>
      </c>
      <c r="O78" s="82">
        <f>AND(IF(P78&gt;($P$2-1),TRUE,FALSE),IF(P78&lt;($P$3+1),TRUE,FALSE))</f>
      </c>
      <c r="P78" s="83">
        <v>45047</v>
      </c>
      <c r="Q78" s="8">
        <v>188.36739789312816</v>
      </c>
      <c r="R78" s="8">
        <v>6.07615522672953</v>
      </c>
      <c r="S78" s="8">
        <v>7.457212476644085e-7</v>
      </c>
      <c r="T78" s="8">
        <v>1.0441453022892322</v>
      </c>
      <c r="U78" s="7">
        <v>0</v>
      </c>
      <c r="V78" s="8">
        <v>188.886431485674</v>
      </c>
      <c r="W78" s="8">
        <v>146.724281600479</v>
      </c>
      <c r="X78" s="7">
        <v>0</v>
      </c>
      <c r="Y78" s="8">
        <v>0.9596375688064206</v>
      </c>
      <c r="Z78" s="7">
        <v>0</v>
      </c>
      <c r="AA78" s="7">
        <v>0</v>
      </c>
      <c r="AB78" s="8">
        <v>0.999999991811623</v>
      </c>
      <c r="AC78" s="42"/>
      <c r="AD78" s="83">
        <f>IFERROR(P78,$AD$4)</f>
        <v>25569.5</v>
      </c>
      <c r="AE78" s="7">
        <f>IFERROR(U78,0)</f>
      </c>
      <c r="AF78" s="3"/>
      <c r="AG78" s="86">
        <f>Q77+S78+T78+U78</f>
      </c>
      <c r="AH78" s="86">
        <f>Q78+R78+X78</f>
      </c>
      <c r="AI78" s="59">
        <f>AH78-AG78</f>
      </c>
      <c r="AJ78" s="3"/>
      <c r="AK78" s="3"/>
    </row>
    <row x14ac:dyDescent="0.25" r="79" customHeight="1" ht="18.75">
      <c r="A79" s="3"/>
      <c r="B79" s="71"/>
      <c r="C79" s="3"/>
      <c r="D79" s="3"/>
      <c r="E79" s="3"/>
      <c r="F79" s="3"/>
      <c r="G79" s="59">
        <f>H79-DATE(YEAR(H79),1,0)+1</f>
      </c>
      <c r="H79" s="79">
        <f>H78+1</f>
        <v>25569.5</v>
      </c>
      <c r="I79" s="80">
        <f>HLOOKUP($H$4,'Met Data'!$A$2:$F$368,G79,FALSE)</f>
      </c>
      <c r="J79" s="80">
        <f>HLOOKUP($H$4,'Met Data'!$H$2:$M$368,G79,FALSE)*L79</f>
      </c>
      <c r="K79" s="81">
        <f>HLOOKUP($H$4,'Met Data'!$O$2:$T$368,G79,FALSE)</f>
      </c>
      <c r="L79" s="7">
        <f>IF(H79&lt;$B$31,$J$3,$J$4)</f>
      </c>
      <c r="M79" s="3"/>
      <c r="N79" s="82">
        <f>IF(P79&lt;$P$3,TRUE,FALSE)</f>
      </c>
      <c r="O79" s="82">
        <f>AND(IF(P79&gt;($P$2-1),TRUE,FALSE),IF(P79&lt;($P$3+1),TRUE,FALSE))</f>
      </c>
      <c r="P79" s="83">
        <v>45048</v>
      </c>
      <c r="Q79" s="8">
        <v>183.33193276446968</v>
      </c>
      <c r="R79" s="8">
        <v>6.07184684067371</v>
      </c>
      <c r="S79" s="8">
        <v>6.424731915022841e-7</v>
      </c>
      <c r="T79" s="8">
        <v>1.0363810695420597</v>
      </c>
      <c r="U79" s="7">
        <v>0</v>
      </c>
      <c r="V79" s="8">
        <v>194.958278326348</v>
      </c>
      <c r="W79" s="8">
        <v>151.440805485645</v>
      </c>
      <c r="X79" s="7">
        <v>0</v>
      </c>
      <c r="Y79" s="8">
        <v>0.9981461140588324</v>
      </c>
      <c r="Z79" s="7">
        <v>0</v>
      </c>
      <c r="AA79" s="7">
        <v>0</v>
      </c>
      <c r="AB79" s="8">
        <v>0.999999994292757</v>
      </c>
      <c r="AC79" s="42"/>
      <c r="AD79" s="83">
        <f>IFERROR(P79,$AD$4)</f>
        <v>25569.5</v>
      </c>
      <c r="AE79" s="7">
        <f>IFERROR(U79,0)</f>
      </c>
      <c r="AF79" s="3"/>
      <c r="AG79" s="86">
        <f>Q78+S79+T79+U79</f>
      </c>
      <c r="AH79" s="86">
        <f>Q79+R79+X79</f>
      </c>
      <c r="AI79" s="59">
        <f>AH79-AG79</f>
      </c>
      <c r="AJ79" s="3"/>
      <c r="AK79" s="3"/>
    </row>
    <row x14ac:dyDescent="0.25" r="80" customHeight="1" ht="18.75">
      <c r="A80" s="3"/>
      <c r="B80" s="71"/>
      <c r="C80" s="3"/>
      <c r="D80" s="3"/>
      <c r="E80" s="3"/>
      <c r="F80" s="3"/>
      <c r="G80" s="59">
        <f>H80-DATE(YEAR(H80),1,0)+1</f>
      </c>
      <c r="H80" s="79">
        <f>H79+1</f>
        <v>25569.5</v>
      </c>
      <c r="I80" s="80">
        <f>HLOOKUP($H$4,'Met Data'!$A$2:$F$368,G80,FALSE)</f>
      </c>
      <c r="J80" s="80">
        <f>HLOOKUP($H$4,'Met Data'!$H$2:$M$368,G80,FALSE)*L80</f>
      </c>
      <c r="K80" s="81">
        <f>HLOOKUP($H$4,'Met Data'!$O$2:$T$368,G80,FALSE)</f>
      </c>
      <c r="L80" s="7">
        <f>IF(H80&lt;$B$31,$J$3,$J$4)</f>
      </c>
      <c r="M80" s="3"/>
      <c r="N80" s="82">
        <f>IF(P80&lt;$P$3,TRUE,FALSE)</f>
      </c>
      <c r="O80" s="82">
        <f>AND(IF(P80&gt;($P$2-1),TRUE,FALSE),IF(P80&lt;($P$3+1),TRUE,FALSE))</f>
      </c>
      <c r="P80" s="83">
        <v>45049</v>
      </c>
      <c r="Q80" s="8">
        <v>178.30527757099833</v>
      </c>
      <c r="R80" s="8">
        <v>6.05339535298839</v>
      </c>
      <c r="S80" s="8">
        <v>5.293394046147876e-7</v>
      </c>
      <c r="T80" s="8">
        <v>1.0267396301776028</v>
      </c>
      <c r="U80" s="7">
        <v>0</v>
      </c>
      <c r="V80" s="8">
        <v>201.011673679336</v>
      </c>
      <c r="W80" s="8">
        <v>156.14299651877</v>
      </c>
      <c r="X80" s="7">
        <v>0</v>
      </c>
      <c r="Y80" s="7">
        <v>1</v>
      </c>
      <c r="Z80" s="8">
        <v>0.502630323348356</v>
      </c>
      <c r="AA80" s="7">
        <v>0</v>
      </c>
      <c r="AB80" s="8">
        <v>0.999999996011027</v>
      </c>
      <c r="AC80" s="42"/>
      <c r="AD80" s="83">
        <f>IFERROR(P80,$AD$4)</f>
        <v>25569.5</v>
      </c>
      <c r="AE80" s="7">
        <f>IFERROR(U80,0)</f>
      </c>
      <c r="AF80" s="3"/>
      <c r="AG80" s="86">
        <f>Q79+S80+T80+U80</f>
      </c>
      <c r="AH80" s="86">
        <f>Q80+R80+X80</f>
      </c>
      <c r="AI80" s="59">
        <f>AH80-AG80</f>
      </c>
      <c r="AJ80" s="3"/>
      <c r="AK80" s="3"/>
    </row>
    <row x14ac:dyDescent="0.25" r="81" customHeight="1" ht="18.75">
      <c r="A81" s="3"/>
      <c r="B81" s="71"/>
      <c r="C81" s="3"/>
      <c r="D81" s="3"/>
      <c r="E81" s="3"/>
      <c r="F81" s="3"/>
      <c r="G81" s="59">
        <f>H81-DATE(YEAR(H81),1,0)+1</f>
      </c>
      <c r="H81" s="79">
        <f>H80+1</f>
        <v>25569.5</v>
      </c>
      <c r="I81" s="80">
        <f>HLOOKUP($H$4,'Met Data'!$A$2:$F$368,G81,FALSE)</f>
      </c>
      <c r="J81" s="80">
        <f>HLOOKUP($H$4,'Met Data'!$H$2:$M$368,G81,FALSE)*L81</f>
      </c>
      <c r="K81" s="81">
        <f>HLOOKUP($H$4,'Met Data'!$O$2:$T$368,G81,FALSE)</f>
      </c>
      <c r="L81" s="7">
        <f>IF(H81&lt;$B$31,$J$3,$J$4)</f>
      </c>
      <c r="M81" s="3"/>
      <c r="N81" s="82">
        <f>IF(P81&lt;$P$3,TRUE,FALSE)</f>
      </c>
      <c r="O81" s="82">
        <f>AND(IF(P81&gt;($P$2-1),TRUE,FALSE),IF(P81&lt;($P$3+1),TRUE,FALSE))</f>
      </c>
      <c r="P81" s="83">
        <v>45050</v>
      </c>
      <c r="Q81" s="8">
        <v>173.35436514688413</v>
      </c>
      <c r="R81" s="8">
        <v>5.95375650443819</v>
      </c>
      <c r="S81" s="8">
        <v>4.3069890669171793e-7</v>
      </c>
      <c r="T81" s="8">
        <v>1.0028436496251107</v>
      </c>
      <c r="U81" s="7">
        <v>0</v>
      </c>
      <c r="V81" s="8">
        <v>206.965430183774</v>
      </c>
      <c r="W81" s="8">
        <v>160.767789517753</v>
      </c>
      <c r="X81" s="7">
        <v>0</v>
      </c>
      <c r="Y81" s="7">
        <v>1</v>
      </c>
      <c r="Z81" s="8">
        <v>0.3907186747754139</v>
      </c>
      <c r="AA81" s="7">
        <v>0</v>
      </c>
      <c r="AB81" s="8">
        <v>0.999999997192527</v>
      </c>
      <c r="AC81" s="42"/>
      <c r="AD81" s="83">
        <f>IFERROR(P81,$AD$4)</f>
        <v>25569.5</v>
      </c>
      <c r="AE81" s="7">
        <f>IFERROR(U81,0)</f>
      </c>
      <c r="AF81" s="3"/>
      <c r="AG81" s="86">
        <f>Q80+S81+T81+U81</f>
      </c>
      <c r="AH81" s="86">
        <f>Q81+R81+X81</f>
      </c>
      <c r="AI81" s="59">
        <f>AH81-AG81</f>
      </c>
      <c r="AJ81" s="3"/>
      <c r="AK81" s="3"/>
    </row>
    <row x14ac:dyDescent="0.25" r="82" customHeight="1" ht="18.75">
      <c r="A82" s="3"/>
      <c r="B82" s="71"/>
      <c r="C82" s="3"/>
      <c r="D82" s="3"/>
      <c r="E82" s="3"/>
      <c r="F82" s="3"/>
      <c r="G82" s="59">
        <f>H82-DATE(YEAR(H82),1,0)+1</f>
      </c>
      <c r="H82" s="79">
        <f>H81+1</f>
        <v>25569.5</v>
      </c>
      <c r="I82" s="80">
        <f>HLOOKUP($H$4,'Met Data'!$A$2:$F$368,G82,FALSE)</f>
      </c>
      <c r="J82" s="80">
        <f>HLOOKUP($H$4,'Met Data'!$H$2:$M$368,G82,FALSE)*L82</f>
      </c>
      <c r="K82" s="81">
        <f>HLOOKUP($H$4,'Met Data'!$O$2:$T$368,G82,FALSE)</f>
      </c>
      <c r="L82" s="7">
        <f>IF(H82&lt;$B$31,$J$3,$J$4)</f>
      </c>
      <c r="M82" s="3"/>
      <c r="N82" s="82">
        <f>IF(P82&lt;$P$3,TRUE,FALSE)</f>
      </c>
      <c r="O82" s="82">
        <f>AND(IF(P82&gt;($P$2-1),TRUE,FALSE),IF(P82&lt;($P$3+1),TRUE,FALSE))</f>
      </c>
      <c r="P82" s="83">
        <v>45051</v>
      </c>
      <c r="Q82" s="8">
        <v>168.3659544954643</v>
      </c>
      <c r="R82" s="8">
        <v>5.99862650846325</v>
      </c>
      <c r="S82" s="8">
        <v>3.6100200282165677e-7</v>
      </c>
      <c r="T82" s="8">
        <v>1.0102154960414185</v>
      </c>
      <c r="U82" s="7">
        <v>0</v>
      </c>
      <c r="V82" s="8">
        <v>212.964056692237</v>
      </c>
      <c r="W82" s="8">
        <v>165.427436894863</v>
      </c>
      <c r="X82" s="7">
        <v>0</v>
      </c>
      <c r="Y82" s="7">
        <v>1</v>
      </c>
      <c r="Z82" s="8">
        <v>1.2734649378683685</v>
      </c>
      <c r="AA82" s="7">
        <v>0</v>
      </c>
      <c r="AB82" s="8">
        <v>0.999999998028332</v>
      </c>
      <c r="AC82" s="42"/>
      <c r="AD82" s="83">
        <f>IFERROR(P82,$AD$4)</f>
        <v>25569.5</v>
      </c>
      <c r="AE82" s="7">
        <f>IFERROR(U82,0)</f>
      </c>
      <c r="AF82" s="3"/>
      <c r="AG82" s="86">
        <f>Q81+S82+T82+U82</f>
      </c>
      <c r="AH82" s="86">
        <f>Q82+R82+X82</f>
      </c>
      <c r="AI82" s="59">
        <f>AH82-AG82</f>
      </c>
      <c r="AJ82" s="3"/>
      <c r="AK82" s="3"/>
    </row>
    <row x14ac:dyDescent="0.25" r="83" customHeight="1" ht="18.75">
      <c r="A83" s="3"/>
      <c r="B83" s="71"/>
      <c r="C83" s="3"/>
      <c r="D83" s="3"/>
      <c r="E83" s="3"/>
      <c r="F83" s="3"/>
      <c r="G83" s="59">
        <f>H83-DATE(YEAR(H83),1,0)+1</f>
      </c>
      <c r="H83" s="79">
        <f>H82+1</f>
        <v>25569.5</v>
      </c>
      <c r="I83" s="80">
        <f>HLOOKUP($H$4,'Met Data'!$A$2:$F$368,G83,FALSE)</f>
      </c>
      <c r="J83" s="80">
        <f>HLOOKUP($H$4,'Met Data'!$H$2:$M$368,G83,FALSE)*L83</f>
      </c>
      <c r="K83" s="81">
        <f>HLOOKUP($H$4,'Met Data'!$O$2:$T$368,G83,FALSE)</f>
      </c>
      <c r="L83" s="7">
        <f>IF(H83&lt;$B$31,$J$3,$J$4)</f>
      </c>
      <c r="M83" s="3"/>
      <c r="N83" s="82">
        <f>IF(P83&lt;$P$3,TRUE,FALSE)</f>
      </c>
      <c r="O83" s="82">
        <f>AND(IF(P83&gt;($P$2-1),TRUE,FALSE),IF(P83&lt;($P$3+1),TRUE,FALSE))</f>
      </c>
      <c r="P83" s="83">
        <v>45052</v>
      </c>
      <c r="Q83" s="8">
        <v>163.32311127155992</v>
      </c>
      <c r="R83" s="8">
        <v>6.06722595335953</v>
      </c>
      <c r="S83" s="8">
        <v>3.038663129849343e-7</v>
      </c>
      <c r="T83" s="8">
        <v>1.0243824255888407</v>
      </c>
      <c r="U83" s="7">
        <v>0</v>
      </c>
      <c r="V83" s="8">
        <v>219.031282645597</v>
      </c>
      <c r="W83" s="8">
        <v>170.140371340776</v>
      </c>
      <c r="X83" s="7">
        <v>0</v>
      </c>
      <c r="Y83" s="7">
        <v>1</v>
      </c>
      <c r="Z83" s="8">
        <v>1.6606067766300754</v>
      </c>
      <c r="AA83" s="7">
        <v>0</v>
      </c>
      <c r="AB83" s="8">
        <v>0.999999998620999</v>
      </c>
      <c r="AC83" s="42"/>
      <c r="AD83" s="83">
        <f>IFERROR(P83,$AD$4)</f>
        <v>25569.5</v>
      </c>
      <c r="AE83" s="7">
        <f>IFERROR(U83,0)</f>
      </c>
      <c r="AF83" s="3"/>
      <c r="AG83" s="86">
        <f>Q82+S83+T83+U83</f>
      </c>
      <c r="AH83" s="86">
        <f>Q83+R83+X83</f>
      </c>
      <c r="AI83" s="59">
        <f>AH83-AG83</f>
      </c>
      <c r="AJ83" s="3"/>
      <c r="AK83" s="3"/>
    </row>
    <row x14ac:dyDescent="0.25" r="84" customHeight="1" ht="18.75">
      <c r="A84" s="3"/>
      <c r="B84" s="71"/>
      <c r="C84" s="3"/>
      <c r="D84" s="3"/>
      <c r="E84" s="3"/>
      <c r="F84" s="3"/>
      <c r="G84" s="59">
        <f>H84-DATE(YEAR(H84),1,0)+1</f>
      </c>
      <c r="H84" s="79">
        <f>H83+1</f>
        <v>25569.5</v>
      </c>
      <c r="I84" s="80">
        <f>HLOOKUP($H$4,'Met Data'!$A$2:$F$368,G84,FALSE)</f>
      </c>
      <c r="J84" s="80">
        <f>HLOOKUP($H$4,'Met Data'!$H$2:$M$368,G84,FALSE)*L84</f>
      </c>
      <c r="K84" s="81">
        <f>HLOOKUP($H$4,'Met Data'!$O$2:$T$368,G84,FALSE)</f>
      </c>
      <c r="L84" s="7">
        <f>IF(H84&lt;$B$31,$J$3,$J$4)</f>
      </c>
      <c r="M84" s="3"/>
      <c r="N84" s="82">
        <f>IF(P84&lt;$P$3,TRUE,FALSE)</f>
      </c>
      <c r="O84" s="82">
        <f>AND(IF(P84&gt;($P$2-1),TRUE,FALSE),IF(P84&lt;($P$3+1),TRUE,FALSE))</f>
      </c>
      <c r="P84" s="83">
        <v>45053</v>
      </c>
      <c r="Q84" s="8">
        <v>158.40016185270997</v>
      </c>
      <c r="R84" s="8">
        <v>5.91969069409595</v>
      </c>
      <c r="S84" s="8">
        <v>2.4646531850365724e-7</v>
      </c>
      <c r="T84" s="8">
        <v>0.9967410287806652</v>
      </c>
      <c r="U84" s="7">
        <v>0</v>
      </c>
      <c r="V84" s="8">
        <v>224.950973339693</v>
      </c>
      <c r="W84" s="8">
        <v>174.73870250494</v>
      </c>
      <c r="X84" s="7">
        <v>0</v>
      </c>
      <c r="Y84" s="8">
        <v>0.999674079273855</v>
      </c>
      <c r="Z84" s="7">
        <v>0</v>
      </c>
      <c r="AA84" s="7">
        <v>0</v>
      </c>
      <c r="AB84" s="8">
        <v>0.999999999027707</v>
      </c>
      <c r="AC84" s="42"/>
      <c r="AD84" s="83">
        <f>IFERROR(P84,$AD$4)</f>
        <v>25569.5</v>
      </c>
      <c r="AE84" s="7">
        <f>IFERROR(U84,0)</f>
      </c>
      <c r="AF84" s="3"/>
      <c r="AG84" s="86">
        <f>Q83+S84+T84+U84</f>
      </c>
      <c r="AH84" s="86">
        <f>Q84+R84+X84</f>
      </c>
      <c r="AI84" s="59">
        <f>AH84-AG84</f>
      </c>
      <c r="AJ84" s="3"/>
      <c r="AK84" s="3"/>
    </row>
    <row x14ac:dyDescent="0.25" r="85" customHeight="1" ht="18.75">
      <c r="A85" s="3"/>
      <c r="B85" s="71"/>
      <c r="C85" s="3"/>
      <c r="D85" s="3"/>
      <c r="E85" s="3"/>
      <c r="F85" s="3"/>
      <c r="G85" s="59">
        <f>H85-DATE(YEAR(H85),1,0)+1</f>
      </c>
      <c r="H85" s="79">
        <f>H84+1</f>
        <v>25569.5</v>
      </c>
      <c r="I85" s="80">
        <f>HLOOKUP($H$4,'Met Data'!$A$2:$F$368,G85,FALSE)</f>
      </c>
      <c r="J85" s="80">
        <f>HLOOKUP($H$4,'Met Data'!$H$2:$M$368,G85,FALSE)*L85</f>
      </c>
      <c r="K85" s="81">
        <f>HLOOKUP($H$4,'Met Data'!$O$2:$T$368,G85,FALSE)</f>
      </c>
      <c r="L85" s="7">
        <f>IF(H85&lt;$B$31,$J$3,$J$4)</f>
      </c>
      <c r="M85" s="3"/>
      <c r="N85" s="82">
        <f>IF(P85&lt;$P$3,TRUE,FALSE)</f>
      </c>
      <c r="O85" s="82">
        <f>AND(IF(P85&gt;($P$2-1),TRUE,FALSE),IF(P85&lt;($P$3+1),TRUE,FALSE))</f>
      </c>
      <c r="P85" s="83">
        <v>45054</v>
      </c>
      <c r="Q85" s="8">
        <v>153.58646608701633</v>
      </c>
      <c r="R85" s="8">
        <v>5.78802796708504</v>
      </c>
      <c r="S85" s="8">
        <v>2.0170606976683632e-7</v>
      </c>
      <c r="T85" s="8">
        <v>0.9743319996853161</v>
      </c>
      <c r="U85" s="7">
        <v>0</v>
      </c>
      <c r="V85" s="8">
        <v>230.739001306778</v>
      </c>
      <c r="W85" s="8">
        <v>179.234759943658</v>
      </c>
      <c r="X85" s="7">
        <v>0</v>
      </c>
      <c r="Y85" s="7">
        <v>1</v>
      </c>
      <c r="Z85" s="8">
        <v>1.517573376225684</v>
      </c>
      <c r="AA85" s="7">
        <v>0</v>
      </c>
      <c r="AB85" s="8">
        <v>0.999999999309899</v>
      </c>
      <c r="AC85" s="42"/>
      <c r="AD85" s="83">
        <f>IFERROR(P85,$AD$4)</f>
        <v>25569.5</v>
      </c>
      <c r="AE85" s="7">
        <f>IFERROR(U85,0)</f>
      </c>
      <c r="AF85" s="3"/>
      <c r="AG85" s="86">
        <f>Q84+S85+T85+U85</f>
      </c>
      <c r="AH85" s="86">
        <f>Q85+R85+X85</f>
      </c>
      <c r="AI85" s="59">
        <f>AH85-AG85</f>
      </c>
      <c r="AJ85" s="3"/>
      <c r="AK85" s="3"/>
    </row>
    <row x14ac:dyDescent="0.25" r="86" customHeight="1" ht="18.75">
      <c r="A86" s="3"/>
      <c r="B86" s="71"/>
      <c r="C86" s="3"/>
      <c r="D86" s="3"/>
      <c r="E86" s="3"/>
      <c r="F86" s="3"/>
      <c r="G86" s="59">
        <f>H86-DATE(YEAR(H86),1,0)+1</f>
      </c>
      <c r="H86" s="79">
        <f>H85+1</f>
        <v>25569.5</v>
      </c>
      <c r="I86" s="80">
        <f>HLOOKUP($H$4,'Met Data'!$A$2:$F$368,G86,FALSE)</f>
      </c>
      <c r="J86" s="80">
        <f>HLOOKUP($H$4,'Met Data'!$H$2:$M$368,G86,FALSE)*L86</f>
      </c>
      <c r="K86" s="81">
        <f>HLOOKUP($H$4,'Met Data'!$O$2:$T$368,G86,FALSE)</f>
      </c>
      <c r="L86" s="7">
        <f>IF(H86&lt;$B$31,$J$3,$J$4)</f>
      </c>
      <c r="M86" s="3"/>
      <c r="N86" s="82">
        <f>IF(P86&lt;$P$3,TRUE,FALSE)</f>
      </c>
      <c r="O86" s="82">
        <f>AND(IF(P86&gt;($P$2-1),TRUE,FALSE),IF(P86&lt;($P$3+1),TRUE,FALSE))</f>
      </c>
      <c r="P86" s="83">
        <v>45055</v>
      </c>
      <c r="Q86" s="8">
        <v>148.94163924765283</v>
      </c>
      <c r="R86" s="8">
        <v>5.58432675048923</v>
      </c>
      <c r="S86" s="8">
        <v>1.636675133471424e-7</v>
      </c>
      <c r="T86" s="8">
        <v>0.9394997474582261</v>
      </c>
      <c r="U86" s="7">
        <v>0</v>
      </c>
      <c r="V86" s="8">
        <v>236.323328057267</v>
      </c>
      <c r="W86" s="8">
        <v>183.572585187341</v>
      </c>
      <c r="X86" s="7">
        <v>0</v>
      </c>
      <c r="Y86" s="7">
        <v>1</v>
      </c>
      <c r="Z86" s="8">
        <v>0.5939733693276281</v>
      </c>
      <c r="AA86" s="7">
        <v>0</v>
      </c>
      <c r="AB86" s="8">
        <v>0.999999999505016</v>
      </c>
      <c r="AC86" s="42"/>
      <c r="AD86" s="83">
        <f>IFERROR(P86,$AD$4)</f>
        <v>25569.5</v>
      </c>
      <c r="AE86" s="7">
        <f>IFERROR(U86,0)</f>
      </c>
      <c r="AF86" s="3"/>
      <c r="AG86" s="86">
        <f>Q85+S86+T86+U86</f>
      </c>
      <c r="AH86" s="86">
        <f>Q86+R86+X86</f>
      </c>
      <c r="AI86" s="59">
        <f>AH86-AG86</f>
      </c>
      <c r="AJ86" s="3"/>
      <c r="AK86" s="3"/>
    </row>
    <row x14ac:dyDescent="0.25" r="87" customHeight="1" ht="18.75">
      <c r="A87" s="3"/>
      <c r="B87" s="71"/>
      <c r="C87" s="3"/>
      <c r="D87" s="3"/>
      <c r="E87" s="3"/>
      <c r="F87" s="3"/>
      <c r="G87" s="59">
        <f>H87-DATE(YEAR(H87),1,0)+1</f>
      </c>
      <c r="H87" s="79">
        <f>H86+1</f>
        <v>25569.5</v>
      </c>
      <c r="I87" s="80">
        <f>HLOOKUP($H$4,'Met Data'!$A$2:$F$368,G87,FALSE)</f>
      </c>
      <c r="J87" s="80">
        <f>HLOOKUP($H$4,'Met Data'!$H$2:$M$368,G87,FALSE)*L87</f>
      </c>
      <c r="K87" s="81">
        <f>HLOOKUP($H$4,'Met Data'!$O$2:$T$368,G87,FALSE)</f>
      </c>
      <c r="L87" s="7">
        <f>IF(H87&lt;$B$31,$J$3,$J$4)</f>
      </c>
      <c r="M87" s="3"/>
      <c r="N87" s="82">
        <f>IF(P87&lt;$P$3,TRUE,FALSE)</f>
      </c>
      <c r="O87" s="82">
        <f>AND(IF(P87&gt;($P$2-1),TRUE,FALSE),IF(P87&lt;($P$3+1),TRUE,FALSE))</f>
      </c>
      <c r="P87" s="83">
        <v>45056</v>
      </c>
      <c r="Q87" s="8">
        <v>144.28638746171055</v>
      </c>
      <c r="R87" s="8">
        <v>5.60560341005416</v>
      </c>
      <c r="S87" s="8">
        <v>1.391866577660426e-7</v>
      </c>
      <c r="T87" s="8">
        <v>0.9503514849252296</v>
      </c>
      <c r="U87" s="7">
        <v>0</v>
      </c>
      <c r="V87" s="8">
        <v>241.928931467321</v>
      </c>
      <c r="W87" s="8">
        <v>187.926937836223</v>
      </c>
      <c r="X87" s="7">
        <v>0</v>
      </c>
      <c r="Y87" s="7">
        <v>1</v>
      </c>
      <c r="Z87" s="8">
        <v>1.5077961298284634</v>
      </c>
      <c r="AA87" s="7">
        <v>0</v>
      </c>
      <c r="AB87" s="8">
        <v>0.999999999646135</v>
      </c>
      <c r="AC87" s="42"/>
      <c r="AD87" s="83">
        <f>IFERROR(P87,$AD$4)</f>
        <v>25569.5</v>
      </c>
      <c r="AE87" s="7">
        <f>IFERROR(U87,0)</f>
      </c>
      <c r="AF87" s="3"/>
      <c r="AG87" s="86">
        <f>Q86+S87+T87+U87</f>
      </c>
      <c r="AH87" s="86">
        <f>Q87+R87+X87</f>
      </c>
      <c r="AI87" s="59">
        <f>AH87-AG87</f>
      </c>
      <c r="AJ87" s="3"/>
      <c r="AK87" s="3"/>
    </row>
    <row x14ac:dyDescent="0.25" r="88" customHeight="1" ht="18.75">
      <c r="A88" s="3"/>
      <c r="B88" s="71"/>
      <c r="C88" s="3"/>
      <c r="D88" s="3"/>
      <c r="E88" s="3"/>
      <c r="F88" s="3"/>
      <c r="G88" s="59">
        <f>H88-DATE(YEAR(H88),1,0)+1</f>
      </c>
      <c r="H88" s="79">
        <f>H87+1</f>
        <v>25569.5</v>
      </c>
      <c r="I88" s="80">
        <f>HLOOKUP($H$4,'Met Data'!$A$2:$F$368,G88,FALSE)</f>
      </c>
      <c r="J88" s="80">
        <f>HLOOKUP($H$4,'Met Data'!$H$2:$M$368,G88,FALSE)*L88</f>
      </c>
      <c r="K88" s="81">
        <f>HLOOKUP($H$4,'Met Data'!$O$2:$T$368,G88,FALSE)</f>
      </c>
      <c r="L88" s="7">
        <f>IF(H88&lt;$B$31,$J$3,$J$4)</f>
      </c>
      <c r="M88" s="3"/>
      <c r="N88" s="82">
        <f>IF(P88&lt;$P$3,TRUE,FALSE)</f>
      </c>
      <c r="O88" s="82">
        <f>AND(IF(P88&gt;($P$2-1),TRUE,FALSE),IF(P88&lt;($P$3+1),TRUE,FALSE))</f>
      </c>
      <c r="P88" s="83">
        <v>45057</v>
      </c>
      <c r="Q88" s="8">
        <v>139.57812292277993</v>
      </c>
      <c r="R88" s="8">
        <v>5.68259665811451</v>
      </c>
      <c r="S88" s="8">
        <v>1.194985580043586e-7</v>
      </c>
      <c r="T88" s="8">
        <v>0.9743319996853161</v>
      </c>
      <c r="U88" s="7">
        <v>0</v>
      </c>
      <c r="V88" s="8">
        <v>247.611528125436</v>
      </c>
      <c r="W88" s="8">
        <v>192.341097740294</v>
      </c>
      <c r="X88" s="7">
        <v>0</v>
      </c>
      <c r="Y88" s="7">
        <v>1</v>
      </c>
      <c r="Z88" s="8">
        <v>0.5991735840166115</v>
      </c>
      <c r="AA88" s="7">
        <v>0</v>
      </c>
      <c r="AB88" s="8">
        <v>0.999999999748839</v>
      </c>
      <c r="AC88" s="42"/>
      <c r="AD88" s="83">
        <f>IFERROR(P88,$AD$4)</f>
        <v>25569.5</v>
      </c>
      <c r="AE88" s="7">
        <f>IFERROR(U88,0)</f>
      </c>
      <c r="AF88" s="3"/>
      <c r="AG88" s="86">
        <f>Q87+S88+T88+U88</f>
      </c>
      <c r="AH88" s="86">
        <f>Q88+R88+X88</f>
      </c>
      <c r="AI88" s="59">
        <f>AH88-AG88</f>
      </c>
      <c r="AJ88" s="3"/>
      <c r="AK88" s="3"/>
    </row>
    <row x14ac:dyDescent="0.25" r="89" customHeight="1" ht="18.75">
      <c r="A89" s="3"/>
      <c r="B89" s="71"/>
      <c r="C89" s="3"/>
      <c r="D89" s="3"/>
      <c r="E89" s="3"/>
      <c r="F89" s="3"/>
      <c r="G89" s="59">
        <f>H89-DATE(YEAR(H89),1,0)+1</f>
      </c>
      <c r="H89" s="79">
        <f>H88+1</f>
        <v>25569.5</v>
      </c>
      <c r="I89" s="80">
        <f>HLOOKUP($H$4,'Met Data'!$A$2:$F$368,G89,FALSE)</f>
      </c>
      <c r="J89" s="80">
        <f>HLOOKUP($H$4,'Met Data'!$H$2:$M$368,G89,FALSE)*L89</f>
      </c>
      <c r="K89" s="81">
        <f>HLOOKUP($H$4,'Met Data'!$O$2:$T$368,G89,FALSE)</f>
      </c>
      <c r="L89" s="7">
        <f>IF(H89&lt;$B$31,$J$3,$J$4)</f>
      </c>
      <c r="M89" s="3"/>
      <c r="N89" s="82">
        <f>IF(P89&lt;$P$3,TRUE,FALSE)</f>
      </c>
      <c r="O89" s="82">
        <f>AND(IF(P89&gt;($P$2-1),TRUE,FALSE),IF(P89&lt;($P$3+1),TRUE,FALSE))</f>
      </c>
      <c r="P89" s="83">
        <v>45058</v>
      </c>
      <c r="Q89" s="8">
        <v>134.81658316398386</v>
      </c>
      <c r="R89" s="8">
        <v>5.76327224827398</v>
      </c>
      <c r="S89" s="8">
        <v>1.0239343573845873e-7</v>
      </c>
      <c r="T89" s="8">
        <v>1.0017323870844759</v>
      </c>
      <c r="U89" s="7">
        <v>0</v>
      </c>
      <c r="V89" s="8">
        <v>253.37480037371</v>
      </c>
      <c r="W89" s="8">
        <v>196.817925290292</v>
      </c>
      <c r="X89" s="7">
        <v>0</v>
      </c>
      <c r="Y89" s="7">
        <v>1</v>
      </c>
      <c r="Z89" s="8">
        <v>1.9788298361560948</v>
      </c>
      <c r="AA89" s="7">
        <v>0</v>
      </c>
      <c r="AB89" s="8">
        <v>0.999999999823173</v>
      </c>
      <c r="AC89" s="42"/>
      <c r="AD89" s="83">
        <f>IFERROR(P89,$AD$4)</f>
        <v>25569.5</v>
      </c>
      <c r="AE89" s="7">
        <f>IFERROR(U89,0)</f>
      </c>
      <c r="AF89" s="3"/>
      <c r="AG89" s="86">
        <f>Q88+S89+T89+U89</f>
      </c>
      <c r="AH89" s="86">
        <f>Q89+R89+X89</f>
      </c>
      <c r="AI89" s="59">
        <f>AH89-AG89</f>
      </c>
      <c r="AJ89" s="3"/>
      <c r="AK89" s="3"/>
    </row>
    <row x14ac:dyDescent="0.25" r="90" customHeight="1" ht="18.75">
      <c r="A90" s="3"/>
      <c r="B90" s="71"/>
      <c r="C90" s="3"/>
      <c r="D90" s="3"/>
      <c r="E90" s="3"/>
      <c r="F90" s="3"/>
      <c r="G90" s="59">
        <f>H90-DATE(YEAR(H90),1,0)+1</f>
      </c>
      <c r="H90" s="79">
        <f>H89+1</f>
        <v>25569.5</v>
      </c>
      <c r="I90" s="80">
        <f>HLOOKUP($H$4,'Met Data'!$A$2:$F$368,G90,FALSE)</f>
      </c>
      <c r="J90" s="80">
        <f>HLOOKUP($H$4,'Met Data'!$H$2:$M$368,G90,FALSE)*L90</f>
      </c>
      <c r="K90" s="81">
        <f>HLOOKUP($H$4,'Met Data'!$O$2:$T$368,G90,FALSE)</f>
      </c>
      <c r="L90" s="7">
        <f>IF(H90&lt;$B$31,$J$3,$J$4)</f>
      </c>
      <c r="M90" s="3"/>
      <c r="N90" s="82">
        <f>IF(P90&lt;$P$3,TRUE,FALSE)</f>
      </c>
      <c r="O90" s="82">
        <f>AND(IF(P90&gt;($P$2-1),TRUE,FALSE),IF(P90&lt;($P$3+1),TRUE,FALSE))</f>
      </c>
      <c r="P90" s="83">
        <v>45059</v>
      </c>
      <c r="Q90" s="8">
        <v>130.14289367988437</v>
      </c>
      <c r="R90" s="8">
        <v>5.66863191103806</v>
      </c>
      <c r="S90" s="8">
        <v>8.483104758573392e-8</v>
      </c>
      <c r="T90" s="8">
        <v>0.9949423421075384</v>
      </c>
      <c r="U90" s="7">
        <v>0</v>
      </c>
      <c r="V90" s="8">
        <v>259.043432284748</v>
      </c>
      <c r="W90" s="8">
        <v>201.221237578331</v>
      </c>
      <c r="X90" s="7">
        <v>0</v>
      </c>
      <c r="Y90" s="7">
        <v>1</v>
      </c>
      <c r="Z90" s="8">
        <v>1.6257506441505427</v>
      </c>
      <c r="AA90" s="7">
        <v>0</v>
      </c>
      <c r="AB90" s="8">
        <v>0.999999999875258</v>
      </c>
      <c r="AC90" s="42"/>
      <c r="AD90" s="83">
        <f>IFERROR(P90,$AD$4)</f>
        <v>25569.5</v>
      </c>
      <c r="AE90" s="7">
        <f>IFERROR(U90,0)</f>
      </c>
      <c r="AF90" s="3"/>
      <c r="AG90" s="86">
        <f>Q89+S90+T90+U90</f>
      </c>
      <c r="AH90" s="86">
        <f>Q90+R90+X90</f>
      </c>
      <c r="AI90" s="59">
        <f>AH90-AG90</f>
      </c>
      <c r="AJ90" s="3"/>
      <c r="AK90" s="3"/>
    </row>
    <row x14ac:dyDescent="0.25" r="91" customHeight="1" ht="18.75">
      <c r="A91" s="3"/>
      <c r="B91" s="71"/>
      <c r="C91" s="3"/>
      <c r="D91" s="3"/>
      <c r="E91" s="3"/>
      <c r="F91" s="3"/>
      <c r="G91" s="59">
        <f>H91-DATE(YEAR(H91),1,0)+1</f>
      </c>
      <c r="H91" s="79">
        <f>H90+1</f>
        <v>25569.5</v>
      </c>
      <c r="I91" s="80">
        <f>HLOOKUP($H$4,'Met Data'!$A$2:$F$368,G91,FALSE)</f>
      </c>
      <c r="J91" s="80">
        <f>HLOOKUP($H$4,'Met Data'!$H$2:$M$368,G91,FALSE)*L91</f>
      </c>
      <c r="K91" s="81">
        <f>HLOOKUP($H$4,'Met Data'!$O$2:$T$368,G91,FALSE)</f>
      </c>
      <c r="L91" s="7">
        <f>IF(H91&lt;$B$31,$J$3,$J$4)</f>
      </c>
      <c r="M91" s="3"/>
      <c r="N91" s="82">
        <f>IF(P91&lt;$P$3,TRUE,FALSE)</f>
      </c>
      <c r="O91" s="82">
        <f>AND(IF(P91&gt;($P$2-1),TRUE,FALSE),IF(P91&lt;($P$3+1),TRUE,FALSE))</f>
      </c>
      <c r="P91" s="83">
        <v>45060</v>
      </c>
      <c r="Q91" s="8">
        <v>125.64319020769874</v>
      </c>
      <c r="R91" s="8">
        <v>5.46665333240162</v>
      </c>
      <c r="S91" s="8">
        <v>6.907683057209278e-8</v>
      </c>
      <c r="T91" s="8">
        <v>0.9669497911391614</v>
      </c>
      <c r="U91" s="7">
        <v>0</v>
      </c>
      <c r="V91" s="8">
        <v>264.510085617149</v>
      </c>
      <c r="W91" s="8">
        <v>205.467655791893</v>
      </c>
      <c r="X91" s="7">
        <v>0</v>
      </c>
      <c r="Y91" s="7">
        <v>1</v>
      </c>
      <c r="Z91" s="8">
        <v>1.2119786820522194</v>
      </c>
      <c r="AA91" s="7">
        <v>0</v>
      </c>
      <c r="AB91" s="8">
        <v>0.999999999911267</v>
      </c>
      <c r="AC91" s="42"/>
      <c r="AD91" s="83">
        <f>IFERROR(P91,$AD$4)</f>
        <v>25569.5</v>
      </c>
      <c r="AE91" s="7">
        <f>IFERROR(U91,0)</f>
      </c>
      <c r="AF91" s="3"/>
      <c r="AG91" s="86">
        <f>Q90+S91+T91+U91</f>
      </c>
      <c r="AH91" s="86">
        <f>Q91+R91+X91</f>
      </c>
      <c r="AI91" s="59">
        <f>AH91-AG91</f>
      </c>
      <c r="AJ91" s="3"/>
      <c r="AK91" s="3"/>
    </row>
    <row x14ac:dyDescent="0.25" r="92" customHeight="1" ht="18.75">
      <c r="A92" s="3"/>
      <c r="B92" s="71"/>
      <c r="C92" s="3"/>
      <c r="D92" s="3"/>
      <c r="E92" s="3"/>
      <c r="F92" s="3"/>
      <c r="G92" s="59">
        <f>H92-DATE(YEAR(H92),1,0)+1</f>
      </c>
      <c r="H92" s="79">
        <f>H91+1</f>
        <v>25569.5</v>
      </c>
      <c r="I92" s="80">
        <f>HLOOKUP($H$4,'Met Data'!$A$2:$F$368,G92,FALSE)</f>
      </c>
      <c r="J92" s="80">
        <f>HLOOKUP($H$4,'Met Data'!$H$2:$M$368,G92,FALSE)*L92</f>
      </c>
      <c r="K92" s="81">
        <f>HLOOKUP($H$4,'Met Data'!$O$2:$T$368,G92,FALSE)</f>
      </c>
      <c r="L92" s="7">
        <f>IF(H92&lt;$B$31,$J$3,$J$4)</f>
      </c>
      <c r="M92" s="3"/>
      <c r="N92" s="82">
        <f>IF(P92&lt;$P$3,TRUE,FALSE)</f>
      </c>
      <c r="O92" s="82">
        <f>AND(IF(P92&gt;($P$2-1),TRUE,FALSE),IF(P92&lt;($P$3+1),TRUE,FALSE))</f>
      </c>
      <c r="P92" s="83">
        <v>45061</v>
      </c>
      <c r="Q92" s="8">
        <v>121.2420415652366</v>
      </c>
      <c r="R92" s="8">
        <v>5.36121065781526</v>
      </c>
      <c r="S92" s="8">
        <v>5.754303290806701e-8</v>
      </c>
      <c r="T92" s="8">
        <v>0.9600619578101044</v>
      </c>
      <c r="U92" s="7">
        <v>0</v>
      </c>
      <c r="V92" s="8">
        <v>269.871296274965</v>
      </c>
      <c r="W92" s="8">
        <v>209.63216764216</v>
      </c>
      <c r="X92" s="7">
        <v>0</v>
      </c>
      <c r="Y92" s="7">
        <v>1</v>
      </c>
      <c r="Z92" s="8">
        <v>2.3369812874923213</v>
      </c>
      <c r="AA92" s="7">
        <v>0</v>
      </c>
      <c r="AB92" s="8">
        <v>0.99999999993675</v>
      </c>
      <c r="AC92" s="42"/>
      <c r="AD92" s="83">
        <f>IFERROR(P92,$AD$4)</f>
        <v>25569.5</v>
      </c>
      <c r="AE92" s="7">
        <f>IFERROR(U92,0)</f>
      </c>
      <c r="AF92" s="3"/>
      <c r="AG92" s="86">
        <f>Q91+S92+T92+U92</f>
      </c>
      <c r="AH92" s="86">
        <f>Q92+R92+X92</f>
      </c>
      <c r="AI92" s="59">
        <f>AH92-AG92</f>
      </c>
      <c r="AJ92" s="3"/>
      <c r="AK92" s="3"/>
    </row>
    <row x14ac:dyDescent="0.25" r="93" customHeight="1" ht="18.75">
      <c r="A93" s="3"/>
      <c r="B93" s="71"/>
      <c r="C93" s="3"/>
      <c r="D93" s="3"/>
      <c r="E93" s="3"/>
      <c r="F93" s="3"/>
      <c r="G93" s="59">
        <f>H93-DATE(YEAR(H93),1,0)+1</f>
      </c>
      <c r="H93" s="79">
        <f>H92+1</f>
        <v>25569.5</v>
      </c>
      <c r="I93" s="80">
        <f>HLOOKUP($H$4,'Met Data'!$A$2:$F$368,G93,FALSE)</f>
      </c>
      <c r="J93" s="80">
        <f>HLOOKUP($H$4,'Met Data'!$H$2:$M$368,G93,FALSE)*L93</f>
      </c>
      <c r="K93" s="81">
        <f>HLOOKUP($H$4,'Met Data'!$O$2:$T$368,G93,FALSE)</f>
      </c>
      <c r="L93" s="7">
        <f>IF(H93&lt;$B$31,$J$3,$J$4)</f>
      </c>
      <c r="M93" s="3"/>
      <c r="N93" s="82">
        <f>IF(P93&lt;$P$3,TRUE,FALSE)</f>
      </c>
      <c r="O93" s="82">
        <f>AND(IF(P93&gt;($P$2-1),TRUE,FALSE),IF(P93&lt;($P$3+1),TRUE,FALSE))</f>
      </c>
      <c r="P93" s="83">
        <v>45062</v>
      </c>
      <c r="Q93" s="8">
        <v>116.91573703750312</v>
      </c>
      <c r="R93" s="8">
        <v>5.2873138473991</v>
      </c>
      <c r="S93" s="8">
        <v>4.8325202759321073e-8</v>
      </c>
      <c r="T93" s="8">
        <v>0.9610092713404194</v>
      </c>
      <c r="U93" s="7">
        <v>0</v>
      </c>
      <c r="V93" s="8">
        <v>275.158610122364</v>
      </c>
      <c r="W93" s="8">
        <v>213.739277505765</v>
      </c>
      <c r="X93" s="7">
        <v>0</v>
      </c>
      <c r="Y93" s="7">
        <v>1</v>
      </c>
      <c r="Z93" s="8">
        <v>2.3412689420328974</v>
      </c>
      <c r="AA93" s="7">
        <v>0</v>
      </c>
      <c r="AB93" s="8">
        <v>0.999999999954928</v>
      </c>
      <c r="AC93" s="42"/>
      <c r="AD93" s="83">
        <f>IFERROR(P93,$AD$4)</f>
        <v>25569.5</v>
      </c>
      <c r="AE93" s="7">
        <f>IFERROR(U93,0)</f>
      </c>
      <c r="AF93" s="3"/>
      <c r="AG93" s="86">
        <f>Q92+S93+T93+U93</f>
      </c>
      <c r="AH93" s="86">
        <f>Q93+R93+X93</f>
      </c>
      <c r="AI93" s="59">
        <f>AH93-AG93</f>
      </c>
      <c r="AJ93" s="3"/>
      <c r="AK93" s="3"/>
    </row>
    <row x14ac:dyDescent="0.25" r="94" customHeight="1" ht="18.75">
      <c r="A94" s="3"/>
      <c r="B94" s="71"/>
      <c r="C94" s="3"/>
      <c r="D94" s="3"/>
      <c r="E94" s="3"/>
      <c r="F94" s="3"/>
      <c r="G94" s="59">
        <f>H94-DATE(YEAR(H94),1,0)+1</f>
      </c>
      <c r="H94" s="79">
        <f>H93+1</f>
        <v>25569.5</v>
      </c>
      <c r="I94" s="80">
        <f>HLOOKUP($H$4,'Met Data'!$A$2:$F$368,G94,FALSE)</f>
      </c>
      <c r="J94" s="80">
        <f>HLOOKUP($H$4,'Met Data'!$H$2:$M$368,G94,FALSE)*L94</f>
      </c>
      <c r="K94" s="81">
        <f>HLOOKUP($H$4,'Met Data'!$O$2:$T$368,G94,FALSE)</f>
      </c>
      <c r="L94" s="7">
        <f>IF(H94&lt;$B$31,$J$3,$J$4)</f>
      </c>
      <c r="M94" s="3"/>
      <c r="N94" s="82">
        <f>IF(P94&lt;$P$3,TRUE,FALSE)</f>
      </c>
      <c r="O94" s="82">
        <f>AND(IF(P94&gt;($P$2-1),TRUE,FALSE),IF(P94&lt;($P$3+1),TRUE,FALSE))</f>
      </c>
      <c r="P94" s="83">
        <v>45063</v>
      </c>
      <c r="Q94" s="8">
        <v>112.7948521323265</v>
      </c>
      <c r="R94" s="8">
        <v>5.04854963019335</v>
      </c>
      <c r="S94" s="8">
        <v>3.932991144511581e-8</v>
      </c>
      <c r="T94" s="8">
        <v>0.9276646856868206</v>
      </c>
      <c r="U94" s="7">
        <v>0</v>
      </c>
      <c r="V94" s="8">
        <v>280.207159752557</v>
      </c>
      <c r="W94" s="8">
        <v>217.660918736361</v>
      </c>
      <c r="X94" s="7">
        <v>0</v>
      </c>
      <c r="Y94" s="7">
        <v>1</v>
      </c>
      <c r="Z94" s="8">
        <v>2.185190196861882</v>
      </c>
      <c r="AA94" s="7">
        <v>0</v>
      </c>
      <c r="AB94" s="8">
        <v>0.999999999967554</v>
      </c>
      <c r="AC94" s="42"/>
      <c r="AD94" s="83">
        <f>IFERROR(P94,$AD$4)</f>
        <v>25569.5</v>
      </c>
      <c r="AE94" s="7">
        <f>IFERROR(U94,0)</f>
      </c>
      <c r="AF94" s="3"/>
      <c r="AG94" s="86">
        <f>Q93+S94+T94+U94</f>
      </c>
      <c r="AH94" s="86">
        <f>Q94+R94+X94</f>
      </c>
      <c r="AI94" s="59">
        <f>AH94-AG94</f>
      </c>
      <c r="AJ94" s="3"/>
      <c r="AK94" s="3"/>
    </row>
    <row x14ac:dyDescent="0.25" r="95" customHeight="1" ht="18.75">
      <c r="A95" s="3"/>
      <c r="B95" s="71"/>
      <c r="C95" s="3"/>
      <c r="D95" s="3"/>
      <c r="E95" s="3"/>
      <c r="F95" s="3"/>
      <c r="G95" s="59">
        <f>H95-DATE(YEAR(H95),1,0)+1</f>
      </c>
      <c r="H95" s="79">
        <f>H94+1</f>
        <v>25569.5</v>
      </c>
      <c r="I95" s="80">
        <f>HLOOKUP($H$4,'Met Data'!$A$2:$F$368,G95,FALSE)</f>
      </c>
      <c r="J95" s="80">
        <f>HLOOKUP($H$4,'Met Data'!$H$2:$M$368,G95,FALSE)*L95</f>
      </c>
      <c r="K95" s="81">
        <f>HLOOKUP($H$4,'Met Data'!$O$2:$T$368,G95,FALSE)</f>
      </c>
      <c r="L95" s="7">
        <f>IF(H95&lt;$B$31,$J$3,$J$4)</f>
      </c>
      <c r="M95" s="3"/>
      <c r="N95" s="82">
        <f>IF(P95&lt;$P$3,TRUE,FALSE)</f>
      </c>
      <c r="O95" s="82">
        <f>AND(IF(P95&gt;($P$2-1),TRUE,FALSE),IF(P95&lt;($P$3+1),TRUE,FALSE))</f>
      </c>
      <c r="P95" s="83">
        <v>45064</v>
      </c>
      <c r="Q95" s="8">
        <v>108.79987479504433</v>
      </c>
      <c r="R95" s="8">
        <v>4.91116234138184</v>
      </c>
      <c r="S95" s="8">
        <v>3.2828348062020824e-8</v>
      </c>
      <c r="T95" s="8">
        <v>0.9161849712713208</v>
      </c>
      <c r="U95" s="7">
        <v>0</v>
      </c>
      <c r="V95" s="8">
        <v>285.118322093939</v>
      </c>
      <c r="W95" s="8">
        <v>221.475839483685</v>
      </c>
      <c r="X95" s="7">
        <v>0</v>
      </c>
      <c r="Y95" s="7">
        <v>1</v>
      </c>
      <c r="Z95" s="8">
        <v>2.032063936865484</v>
      </c>
      <c r="AA95" s="7">
        <v>0</v>
      </c>
      <c r="AB95" s="8">
        <v>0.99999999997656</v>
      </c>
      <c r="AC95" s="42"/>
      <c r="AD95" s="83">
        <f>IFERROR(P95,$AD$4)</f>
        <v>25569.5</v>
      </c>
      <c r="AE95" s="7">
        <f>IFERROR(U95,0)</f>
      </c>
      <c r="AF95" s="3"/>
      <c r="AG95" s="86">
        <f>Q94+S95+T95+U95</f>
      </c>
      <c r="AH95" s="86">
        <f>Q95+R95+X95</f>
      </c>
      <c r="AI95" s="59">
        <f>AH95-AG95</f>
      </c>
      <c r="AJ95" s="3"/>
      <c r="AK95" s="3"/>
    </row>
    <row x14ac:dyDescent="0.25" r="96" customHeight="1" ht="18.75">
      <c r="A96" s="3"/>
      <c r="B96" s="71"/>
      <c r="C96" s="3"/>
      <c r="D96" s="3"/>
      <c r="E96" s="3"/>
      <c r="F96" s="3"/>
      <c r="G96" s="59">
        <f>H96-DATE(YEAR(H96),1,0)+1</f>
      </c>
      <c r="H96" s="79">
        <f>H95+1</f>
        <v>25569.5</v>
      </c>
      <c r="I96" s="80">
        <f>HLOOKUP($H$4,'Met Data'!$A$2:$F$368,G96,FALSE)</f>
      </c>
      <c r="J96" s="80">
        <f>HLOOKUP($H$4,'Met Data'!$H$2:$M$368,G96,FALSE)*L96</f>
      </c>
      <c r="K96" s="81">
        <f>HLOOKUP($H$4,'Met Data'!$O$2:$T$368,G96,FALSE)</f>
      </c>
      <c r="L96" s="7">
        <f>IF(H96&lt;$B$31,$J$3,$J$4)</f>
      </c>
      <c r="M96" s="3"/>
      <c r="N96" s="82">
        <f>IF(P96&lt;$P$3,TRUE,FALSE)</f>
      </c>
      <c r="O96" s="82">
        <f>AND(IF(P96&gt;($P$2-1),TRUE,FALSE),IF(P96&lt;($P$3+1),TRUE,FALSE))</f>
      </c>
      <c r="P96" s="83">
        <v>45065</v>
      </c>
      <c r="Q96" s="8">
        <v>104.7518555377159</v>
      </c>
      <c r="R96" s="8">
        <v>5.00429773241007</v>
      </c>
      <c r="S96" s="8">
        <v>2.8712321249699704e-8</v>
      </c>
      <c r="T96" s="8">
        <v>0.9562784463693268</v>
      </c>
      <c r="U96" s="7">
        <v>0</v>
      </c>
      <c r="V96" s="8">
        <v>290.122619826349</v>
      </c>
      <c r="W96" s="8">
        <v>225.363106472253</v>
      </c>
      <c r="X96" s="7">
        <v>0</v>
      </c>
      <c r="Y96" s="8">
        <v>0.9968931033377056</v>
      </c>
      <c r="Z96" s="7">
        <v>0</v>
      </c>
      <c r="AA96" s="7">
        <v>0</v>
      </c>
      <c r="AB96" s="8">
        <v>0.999999999983273</v>
      </c>
      <c r="AC96" s="42"/>
      <c r="AD96" s="83">
        <f>IFERROR(P96,$AD$4)</f>
        <v>25569.5</v>
      </c>
      <c r="AE96" s="7">
        <f>IFERROR(U96,0)</f>
      </c>
      <c r="AF96" s="3"/>
      <c r="AG96" s="86">
        <f>Q95+S96+T96+U96</f>
      </c>
      <c r="AH96" s="86">
        <f>Q96+R96+X96</f>
      </c>
      <c r="AI96" s="59">
        <f>AH96-AG96</f>
      </c>
      <c r="AJ96" s="3"/>
      <c r="AK96" s="3"/>
    </row>
    <row x14ac:dyDescent="0.25" r="97" customHeight="1" ht="18.75">
      <c r="A97" s="3"/>
      <c r="B97" s="71"/>
      <c r="C97" s="3"/>
      <c r="D97" s="3"/>
      <c r="E97" s="3"/>
      <c r="F97" s="3"/>
      <c r="G97" s="59">
        <f>H97-DATE(YEAR(H97),1,0)+1</f>
      </c>
      <c r="H97" s="79">
        <f>H96+1</f>
        <v>25569.5</v>
      </c>
      <c r="I97" s="80">
        <f>HLOOKUP($H$4,'Met Data'!$A$2:$F$368,G97,FALSE)</f>
      </c>
      <c r="J97" s="80">
        <f>HLOOKUP($H$4,'Met Data'!$H$2:$M$368,G97,FALSE)*L97</f>
      </c>
      <c r="K97" s="81">
        <f>HLOOKUP($H$4,'Met Data'!$O$2:$T$368,G97,FALSE)</f>
      </c>
      <c r="L97" s="7">
        <f>IF(H97&lt;$B$31,$J$3,$J$4)</f>
      </c>
      <c r="M97" s="3"/>
      <c r="N97" s="82">
        <f>IF(P97&lt;$P$3,TRUE,FALSE)</f>
      </c>
      <c r="O97" s="82">
        <f>AND(IF(P97&gt;($P$2-1),TRUE,FALSE),IF(P97&lt;($P$3+1),TRUE,FALSE))</f>
      </c>
      <c r="P97" s="83">
        <v>45066</v>
      </c>
      <c r="Q97" s="8">
        <v>100.81556453844843</v>
      </c>
      <c r="R97" s="8">
        <v>4.8885259002642</v>
      </c>
      <c r="S97" s="8">
        <v>2.411002612065026e-8</v>
      </c>
      <c r="T97" s="8">
        <v>0.9522348768866963</v>
      </c>
      <c r="U97" s="7">
        <v>0</v>
      </c>
      <c r="V97" s="8">
        <v>295.011145726613</v>
      </c>
      <c r="W97" s="8">
        <v>229.160443555494</v>
      </c>
      <c r="X97" s="7">
        <v>0</v>
      </c>
      <c r="Y97" s="7">
        <v>1</v>
      </c>
      <c r="Z97" s="8">
        <v>3.386617582173841</v>
      </c>
      <c r="AA97" s="7">
        <v>0</v>
      </c>
      <c r="AB97" s="8">
        <v>0.999999999988049</v>
      </c>
      <c r="AC97" s="42"/>
      <c r="AD97" s="83">
        <f>IFERROR(P97,$AD$4)</f>
        <v>25569.5</v>
      </c>
      <c r="AE97" s="7">
        <f>IFERROR(U97,0)</f>
      </c>
      <c r="AF97" s="3"/>
      <c r="AG97" s="86">
        <f>Q96+S97+T97+U97</f>
      </c>
      <c r="AH97" s="86">
        <f>Q97+R97+X97</f>
      </c>
      <c r="AI97" s="59">
        <f>AH97-AG97</f>
      </c>
      <c r="AJ97" s="3"/>
      <c r="AK97" s="3"/>
    </row>
    <row x14ac:dyDescent="0.25" r="98" customHeight="1" ht="18.75">
      <c r="A98" s="3"/>
      <c r="B98" s="71"/>
      <c r="C98" s="3"/>
      <c r="D98" s="3"/>
      <c r="E98" s="3"/>
      <c r="F98" s="3"/>
      <c r="G98" s="59">
        <f>H98-DATE(YEAR(H98),1,0)+1</f>
      </c>
      <c r="H98" s="79">
        <f>H97+1</f>
        <v>25569.5</v>
      </c>
      <c r="I98" s="80">
        <f>HLOOKUP($H$4,'Met Data'!$A$2:$F$368,G98,FALSE)</f>
      </c>
      <c r="J98" s="80">
        <f>HLOOKUP($H$4,'Met Data'!$H$2:$M$368,G98,FALSE)*L98</f>
      </c>
      <c r="K98" s="81">
        <f>HLOOKUP($H$4,'Met Data'!$O$2:$T$368,G98,FALSE)</f>
      </c>
      <c r="L98" s="7">
        <f>IF(H98&lt;$B$31,$J$3,$J$4)</f>
      </c>
      <c r="M98" s="3"/>
      <c r="N98" s="82">
        <f>IF(P98&lt;$P$3,TRUE,FALSE)</f>
      </c>
      <c r="O98" s="82">
        <f>AND(IF(P98&gt;($P$2-1),TRUE,FALSE),IF(P98&lt;($P$3+1),TRUE,FALSE))</f>
      </c>
      <c r="P98" s="83">
        <v>45067</v>
      </c>
      <c r="Q98" s="8">
        <v>96.90372552302992</v>
      </c>
      <c r="R98" s="8">
        <v>4.88794680302999</v>
      </c>
      <c r="S98" s="8">
        <v>2.0689772190554083e-8</v>
      </c>
      <c r="T98" s="8">
        <v>0.976107766921686</v>
      </c>
      <c r="U98" s="7">
        <v>0</v>
      </c>
      <c r="V98" s="8">
        <v>299.899092529643</v>
      </c>
      <c r="W98" s="8">
        <v>232.957330804276</v>
      </c>
      <c r="X98" s="7">
        <v>0</v>
      </c>
      <c r="Y98" s="7">
        <v>1</v>
      </c>
      <c r="Z98" s="8">
        <v>3.6573517089451997</v>
      </c>
      <c r="AA98" s="7">
        <v>0</v>
      </c>
      <c r="AB98" s="8">
        <v>0.999999999991522</v>
      </c>
      <c r="AC98" s="42"/>
      <c r="AD98" s="83">
        <f>IFERROR(P98,$AD$4)</f>
        <v>25569.5</v>
      </c>
      <c r="AE98" s="7">
        <f>IFERROR(U98,0)</f>
      </c>
      <c r="AF98" s="3"/>
      <c r="AG98" s="86">
        <f>Q97+S98+T98+U98</f>
      </c>
      <c r="AH98" s="86">
        <f>Q98+R98+X98</f>
      </c>
      <c r="AI98" s="59">
        <f>AH98-AG98</f>
      </c>
      <c r="AJ98" s="3"/>
      <c r="AK98" s="3"/>
    </row>
    <row x14ac:dyDescent="0.25" r="99" customHeight="1" ht="18.75">
      <c r="A99" s="3"/>
      <c r="B99" s="71"/>
      <c r="C99" s="3"/>
      <c r="D99" s="3"/>
      <c r="E99" s="3"/>
      <c r="F99" s="3"/>
      <c r="G99" s="59">
        <f>H99-DATE(YEAR(H99),1,0)+1</f>
      </c>
      <c r="H99" s="79">
        <f>H98+1</f>
        <v>25569.5</v>
      </c>
      <c r="I99" s="80">
        <f>HLOOKUP($H$4,'Met Data'!$A$2:$F$368,G99,FALSE)</f>
      </c>
      <c r="J99" s="80">
        <f>HLOOKUP($H$4,'Met Data'!$H$2:$M$368,G99,FALSE)*L99</f>
      </c>
      <c r="K99" s="81">
        <f>HLOOKUP($H$4,'Met Data'!$O$2:$T$368,G99,FALSE)</f>
      </c>
      <c r="L99" s="7">
        <f>IF(H99&lt;$B$31,$J$3,$J$4)</f>
      </c>
      <c r="M99" s="3"/>
      <c r="N99" s="82">
        <f>IF(P99&lt;$P$3,TRUE,FALSE)</f>
      </c>
      <c r="O99" s="82">
        <f>AND(IF(P99&gt;($P$2-1),TRUE,FALSE),IF(P99&lt;($P$3+1),TRUE,FALSE))</f>
      </c>
      <c r="P99" s="83">
        <v>45068</v>
      </c>
      <c r="Q99" s="8">
        <v>93.23989106302994</v>
      </c>
      <c r="R99" s="8">
        <v>4.59614235893923</v>
      </c>
      <c r="S99" s="8">
        <v>1.664619337238742e-8</v>
      </c>
      <c r="T99" s="8">
        <v>0.9323078822930657</v>
      </c>
      <c r="U99" s="7">
        <v>0</v>
      </c>
      <c r="V99" s="8">
        <v>304.495234888583</v>
      </c>
      <c r="W99" s="8">
        <v>236.527548529524</v>
      </c>
      <c r="X99" s="7">
        <v>0</v>
      </c>
      <c r="Y99" s="7">
        <v>1</v>
      </c>
      <c r="Z99" s="8">
        <v>3.3251396957355013</v>
      </c>
      <c r="AA99" s="7">
        <v>0</v>
      </c>
      <c r="AB99" s="8">
        <v>0.999999999993906</v>
      </c>
      <c r="AC99" s="42"/>
      <c r="AD99" s="83">
        <f>IFERROR(P99,$AD$4)</f>
        <v>25569.5</v>
      </c>
      <c r="AE99" s="7">
        <f>IFERROR(U99,0)</f>
      </c>
      <c r="AF99" s="3"/>
      <c r="AG99" s="86">
        <f>Q98+S99+T99+U99</f>
      </c>
      <c r="AH99" s="86">
        <f>Q99+R99+X99</f>
      </c>
      <c r="AI99" s="59">
        <f>AH99-AG99</f>
      </c>
      <c r="AJ99" s="3"/>
      <c r="AK99" s="3"/>
    </row>
    <row x14ac:dyDescent="0.25" r="100" customHeight="1" ht="18.75">
      <c r="A100" s="3"/>
      <c r="B100" s="71"/>
      <c r="C100" s="3"/>
      <c r="D100" s="3"/>
      <c r="E100" s="3"/>
      <c r="F100" s="3"/>
      <c r="G100" s="59">
        <f>H100-DATE(YEAR(H100),1,0)+1</f>
      </c>
      <c r="H100" s="79">
        <f>H99+1</f>
        <v>25569.5</v>
      </c>
      <c r="I100" s="80">
        <f>HLOOKUP($H$4,'Met Data'!$A$2:$F$368,G100,FALSE)</f>
      </c>
      <c r="J100" s="80">
        <f>HLOOKUP($H$4,'Met Data'!$H$2:$M$368,G100,FALSE)*L100</f>
      </c>
      <c r="K100" s="81">
        <f>HLOOKUP($H$4,'Met Data'!$O$2:$T$368,G100,FALSE)</f>
      </c>
      <c r="L100" s="7">
        <f>IF(H100&lt;$B$31,$J$3,$J$4)</f>
      </c>
      <c r="M100" s="3"/>
      <c r="N100" s="82">
        <f>IF(P100&lt;$P$3,TRUE,FALSE)</f>
      </c>
      <c r="O100" s="82">
        <f>AND(IF(P100&gt;($P$2-1),TRUE,FALSE),IF(P100&lt;($P$3+1),TRUE,FALSE))</f>
      </c>
      <c r="P100" s="83">
        <v>45069</v>
      </c>
      <c r="Q100" s="8">
        <v>89.74234453233942</v>
      </c>
      <c r="R100" s="8">
        <v>4.41018679468641</v>
      </c>
      <c r="S100" s="8">
        <v>1.377659109628414e-8</v>
      </c>
      <c r="T100" s="8">
        <v>0.9126402502192708</v>
      </c>
      <c r="U100" s="7">
        <v>0</v>
      </c>
      <c r="V100" s="8">
        <v>308.905421683269</v>
      </c>
      <c r="W100" s="8">
        <v>239.953318628968</v>
      </c>
      <c r="X100" s="7">
        <v>0</v>
      </c>
      <c r="Y100" s="7">
        <v>1</v>
      </c>
      <c r="Z100" s="8">
        <v>6.360007920286179</v>
      </c>
      <c r="AA100" s="7">
        <v>0</v>
      </c>
      <c r="AB100" s="8">
        <v>0.999999999995592</v>
      </c>
      <c r="AC100" s="42"/>
      <c r="AD100" s="83">
        <f>IFERROR(P100,$AD$4)</f>
        <v>25569.5</v>
      </c>
      <c r="AE100" s="7">
        <f>IFERROR(U100,0)</f>
      </c>
      <c r="AF100" s="3"/>
      <c r="AG100" s="86">
        <f>Q99+S100+T100+U100</f>
      </c>
      <c r="AH100" s="86">
        <f>Q100+R100+X100</f>
      </c>
      <c r="AI100" s="59">
        <f>AH100-AG100</f>
      </c>
      <c r="AJ100" s="3"/>
      <c r="AK100" s="3"/>
    </row>
    <row x14ac:dyDescent="0.25" r="101" customHeight="1" ht="18.75">
      <c r="A101" s="3"/>
      <c r="B101" s="71"/>
      <c r="C101" s="3"/>
      <c r="D101" s="3"/>
      <c r="E101" s="3"/>
      <c r="F101" s="3"/>
      <c r="G101" s="59">
        <f>H101-DATE(YEAR(H101),1,0)+1</f>
      </c>
      <c r="H101" s="79">
        <f>H100+1</f>
        <v>25569.5</v>
      </c>
      <c r="I101" s="80">
        <f>HLOOKUP($H$4,'Met Data'!$A$2:$F$368,G101,FALSE)</f>
      </c>
      <c r="J101" s="80">
        <f>HLOOKUP($H$4,'Met Data'!$H$2:$M$368,G101,FALSE)*L101</f>
      </c>
      <c r="K101" s="81">
        <f>HLOOKUP($H$4,'Met Data'!$O$2:$T$368,G101,FALSE)</f>
      </c>
      <c r="L101" s="7">
        <f>IF(H101&lt;$B$31,$J$3,$J$4)</f>
      </c>
      <c r="M101" s="3"/>
      <c r="N101" s="82">
        <f>IF(P101&lt;$P$3,TRUE,FALSE)</f>
      </c>
      <c r="O101" s="82">
        <f>AND(IF(P101&gt;($P$2-1),TRUE,FALSE),IF(P101&lt;($P$3+1),TRUE,FALSE))</f>
      </c>
      <c r="P101" s="83">
        <v>45070</v>
      </c>
      <c r="Q101" s="8">
        <v>86.36592395394572</v>
      </c>
      <c r="R101" s="8">
        <v>4.28317184835129</v>
      </c>
      <c r="S101" s="8">
        <v>1.1588994050194835e-8</v>
      </c>
      <c r="T101" s="8">
        <v>0.9067512583686181</v>
      </c>
      <c r="U101" s="7">
        <v>0</v>
      </c>
      <c r="V101" s="8">
        <v>313.18859353162</v>
      </c>
      <c r="W101" s="8">
        <v>243.280425332598</v>
      </c>
      <c r="X101" s="7">
        <v>0</v>
      </c>
      <c r="Y101" s="7">
        <v>1</v>
      </c>
      <c r="Z101" s="8">
        <v>3.8288114340229527</v>
      </c>
      <c r="AA101" s="7">
        <v>0</v>
      </c>
      <c r="AB101" s="8">
        <v>0.999999999996807</v>
      </c>
      <c r="AC101" s="42"/>
      <c r="AD101" s="83">
        <f>IFERROR(P101,$AD$4)</f>
        <v>25569.5</v>
      </c>
      <c r="AE101" s="7">
        <f>IFERROR(U101,0)</f>
      </c>
      <c r="AF101" s="3"/>
      <c r="AG101" s="86">
        <f>Q100+S101+T101+U101</f>
      </c>
      <c r="AH101" s="86">
        <f>Q101+R101+X101</f>
      </c>
      <c r="AI101" s="59">
        <f>AH101-AG101</f>
      </c>
      <c r="AJ101" s="3"/>
      <c r="AK101" s="3"/>
    </row>
    <row x14ac:dyDescent="0.25" r="102" customHeight="1" ht="18.75">
      <c r="A102" s="3"/>
      <c r="B102" s="71"/>
      <c r="C102" s="3"/>
      <c r="D102" s="3"/>
      <c r="E102" s="3"/>
      <c r="F102" s="3"/>
      <c r="G102" s="59">
        <f>H102-DATE(YEAR(H102),1,0)+1</f>
      </c>
      <c r="H102" s="79">
        <f>H101+1</f>
        <v>25569.5</v>
      </c>
      <c r="I102" s="80">
        <f>HLOOKUP($H$4,'Met Data'!$A$2:$F$368,G102,FALSE)</f>
      </c>
      <c r="J102" s="80">
        <f>HLOOKUP($H$4,'Met Data'!$H$2:$M$368,G102,FALSE)*L102</f>
      </c>
      <c r="K102" s="81">
        <f>HLOOKUP($H$4,'Met Data'!$O$2:$T$368,G102,FALSE)</f>
      </c>
      <c r="L102" s="7">
        <f>IF(H102&lt;$B$31,$J$3,$J$4)</f>
      </c>
      <c r="M102" s="3"/>
      <c r="N102" s="82">
        <f>IF(P102&lt;$P$3,TRUE,FALSE)</f>
      </c>
      <c r="O102" s="82">
        <f>AND(IF(P102&gt;($P$2-1),TRUE,FALSE),IF(P102&lt;($P$3+1),TRUE,FALSE))</f>
      </c>
      <c r="P102" s="83">
        <v>45071</v>
      </c>
      <c r="Q102" s="8">
        <v>83.02591408571331</v>
      </c>
      <c r="R102" s="8">
        <v>4.26950360163789</v>
      </c>
      <c r="S102" s="8">
        <v>1.0028654703570451e-8</v>
      </c>
      <c r="T102" s="8">
        <v>0.9294937233768313</v>
      </c>
      <c r="U102" s="7">
        <v>0</v>
      </c>
      <c r="V102" s="8">
        <v>317.458097133258</v>
      </c>
      <c r="W102" s="8">
        <v>246.596914737442</v>
      </c>
      <c r="X102" s="7">
        <v>0</v>
      </c>
      <c r="Y102" s="7">
        <v>1</v>
      </c>
      <c r="Z102" s="8">
        <v>4.47195617704881</v>
      </c>
      <c r="AA102" s="7">
        <v>0</v>
      </c>
      <c r="AB102" s="8">
        <v>0.999999999997702</v>
      </c>
      <c r="AC102" s="42"/>
      <c r="AD102" s="83">
        <f>IFERROR(P102,$AD$4)</f>
        <v>25569.5</v>
      </c>
      <c r="AE102" s="7">
        <f>IFERROR(U102,0)</f>
      </c>
      <c r="AF102" s="3"/>
      <c r="AG102" s="86">
        <f>Q101+S102+T102+U102</f>
      </c>
      <c r="AH102" s="86">
        <f>Q102+R102+X102</f>
      </c>
      <c r="AI102" s="59">
        <f>AH102-AG102</f>
      </c>
      <c r="AJ102" s="3"/>
      <c r="AK102" s="3"/>
    </row>
    <row x14ac:dyDescent="0.25" r="103" customHeight="1" ht="18.75">
      <c r="A103" s="3"/>
      <c r="B103" s="71"/>
      <c r="C103" s="3"/>
      <c r="D103" s="3"/>
      <c r="E103" s="3"/>
      <c r="F103" s="3"/>
      <c r="G103" s="59">
        <f>H103-DATE(YEAR(H103),1,0)+1</f>
      </c>
      <c r="H103" s="79">
        <f>H102+1</f>
        <v>25569.5</v>
      </c>
      <c r="I103" s="80">
        <f>HLOOKUP($H$4,'Met Data'!$A$2:$F$368,G103,FALSE)</f>
      </c>
      <c r="J103" s="80">
        <f>HLOOKUP($H$4,'Met Data'!$H$2:$M$368,G103,FALSE)*L103</f>
      </c>
      <c r="K103" s="81">
        <f>HLOOKUP($H$4,'Met Data'!$O$2:$T$368,G103,FALSE)</f>
      </c>
      <c r="L103" s="7">
        <f>IF(H103&lt;$B$31,$J$3,$J$4)</f>
      </c>
      <c r="M103" s="3"/>
      <c r="N103" s="82">
        <f>IF(P103&lt;$P$3,TRUE,FALSE)</f>
      </c>
      <c r="O103" s="82">
        <f>AND(IF(P103&gt;($P$2-1),TRUE,FALSE),IF(P103&lt;($P$3+1),TRUE,FALSE))</f>
      </c>
      <c r="P103" s="83">
        <v>45072</v>
      </c>
      <c r="Q103" s="8">
        <v>79.70340558595404</v>
      </c>
      <c r="R103" s="8">
        <v>4.28525149576484</v>
      </c>
      <c r="S103" s="8">
        <v>8.718860717873405e-9</v>
      </c>
      <c r="T103" s="8">
        <v>0.9627429872867024</v>
      </c>
      <c r="U103" s="7">
        <v>0</v>
      </c>
      <c r="V103" s="8">
        <v>321.743348629023</v>
      </c>
      <c r="W103" s="8">
        <v>249.925636881473</v>
      </c>
      <c r="X103" s="7">
        <v>0</v>
      </c>
      <c r="Y103" s="7">
        <v>1</v>
      </c>
      <c r="Z103" s="8">
        <v>5.457447882000977</v>
      </c>
      <c r="AA103" s="7">
        <v>0</v>
      </c>
      <c r="AB103" s="8">
        <v>0.999999999998364</v>
      </c>
      <c r="AC103" s="42"/>
      <c r="AD103" s="83">
        <f>IFERROR(P103,$AD$4)</f>
        <v>25569.5</v>
      </c>
      <c r="AE103" s="7">
        <f>IFERROR(U103,0)</f>
      </c>
      <c r="AF103" s="3"/>
      <c r="AG103" s="86">
        <f>Q102+S103+T103+U103</f>
      </c>
      <c r="AH103" s="86">
        <f>Q103+R103+X103</f>
      </c>
      <c r="AI103" s="59">
        <f>AH103-AG103</f>
      </c>
      <c r="AJ103" s="3"/>
      <c r="AK103" s="3"/>
    </row>
    <row x14ac:dyDescent="0.25" r="104" customHeight="1" ht="18.75">
      <c r="A104" s="3"/>
      <c r="B104" s="71"/>
      <c r="C104" s="3"/>
      <c r="D104" s="3"/>
      <c r="E104" s="3"/>
      <c r="F104" s="3"/>
      <c r="G104" s="59">
        <f>H104-DATE(YEAR(H104),1,0)+1</f>
      </c>
      <c r="H104" s="79">
        <f>H103+1</f>
        <v>25569.5</v>
      </c>
      <c r="I104" s="80">
        <f>HLOOKUP($H$4,'Met Data'!$A$2:$F$368,G104,FALSE)</f>
      </c>
      <c r="J104" s="80">
        <f>HLOOKUP($H$4,'Met Data'!$H$2:$M$368,G104,FALSE)*L104</f>
      </c>
      <c r="K104" s="81">
        <f>HLOOKUP($H$4,'Met Data'!$O$2:$T$368,G104,FALSE)</f>
      </c>
      <c r="L104" s="7">
        <f>IF(H104&lt;$B$31,$J$3,$J$4)</f>
      </c>
      <c r="M104" s="3"/>
      <c r="N104" s="82">
        <f>IF(P104&lt;$P$3,TRUE,FALSE)</f>
      </c>
      <c r="O104" s="82">
        <f>AND(IF(P104&gt;($P$2-1),TRUE,FALSE),IF(P104&lt;($P$3+1),TRUE,FALSE))</f>
      </c>
      <c r="P104" s="83">
        <v>45073</v>
      </c>
      <c r="Q104" s="8">
        <v>76.63804627719344</v>
      </c>
      <c r="R104" s="8">
        <v>3.976736900947</v>
      </c>
      <c r="S104" s="8">
        <v>6.974435005731404e-9</v>
      </c>
      <c r="T104" s="8">
        <v>0.911377585211971</v>
      </c>
      <c r="U104" s="7">
        <v>0</v>
      </c>
      <c r="V104" s="8">
        <v>325.72008552997</v>
      </c>
      <c r="W104" s="8">
        <v>253.014709295602</v>
      </c>
      <c r="X104" s="7">
        <v>0</v>
      </c>
      <c r="Y104" s="7">
        <v>1</v>
      </c>
      <c r="Z104" s="8">
        <v>2.8269550753199724</v>
      </c>
      <c r="AA104" s="7">
        <v>0</v>
      </c>
      <c r="AB104" s="8">
        <v>0.999999999998816</v>
      </c>
      <c r="AC104" s="42"/>
      <c r="AD104" s="83">
        <f>IFERROR(P104,$AD$4)</f>
        <v>25569.5</v>
      </c>
      <c r="AE104" s="7">
        <f>IFERROR(U104,0)</f>
      </c>
      <c r="AF104" s="3"/>
      <c r="AG104" s="86">
        <f>Q103+S104+T104+U104</f>
      </c>
      <c r="AH104" s="86">
        <f>Q104+R104+X104</f>
      </c>
      <c r="AI104" s="59">
        <f>AH104-AG104</f>
      </c>
      <c r="AJ104" s="3"/>
      <c r="AK104" s="3"/>
    </row>
    <row x14ac:dyDescent="0.25" r="105" customHeight="1" ht="18.75">
      <c r="A105" s="3"/>
      <c r="B105" s="71"/>
      <c r="C105" s="3"/>
      <c r="D105" s="3"/>
      <c r="E105" s="3"/>
      <c r="F105" s="3"/>
      <c r="G105" s="59">
        <f>H105-DATE(YEAR(H105),1,0)+1</f>
      </c>
      <c r="H105" s="79">
        <f>H104+1</f>
        <v>25569.5</v>
      </c>
      <c r="I105" s="80">
        <f>HLOOKUP($H$4,'Met Data'!$A$2:$F$368,G105,FALSE)</f>
      </c>
      <c r="J105" s="80">
        <f>HLOOKUP($H$4,'Met Data'!$H$2:$M$368,G105,FALSE)*L105</f>
      </c>
      <c r="K105" s="81">
        <f>HLOOKUP($H$4,'Met Data'!$O$2:$T$368,G105,FALSE)</f>
      </c>
      <c r="L105" s="7">
        <f>IF(H105&lt;$B$31,$J$3,$J$4)</f>
      </c>
      <c r="M105" s="3"/>
      <c r="N105" s="82">
        <f>IF(P105&lt;$P$3,TRUE,FALSE)</f>
      </c>
      <c r="O105" s="82">
        <f>AND(IF(P105&gt;($P$2-1),TRUE,FALSE),IF(P105&lt;($P$3+1),TRUE,FALSE))</f>
      </c>
      <c r="P105" s="83">
        <v>45074</v>
      </c>
      <c r="Q105" s="8">
        <v>73.84056168297758</v>
      </c>
      <c r="R105" s="8">
        <v>3.65075436357267</v>
      </c>
      <c r="S105" s="8">
        <v>5.565531611958848e-9</v>
      </c>
      <c r="T105" s="8">
        <v>0.8532697637912804</v>
      </c>
      <c r="U105" s="7">
        <v>0</v>
      </c>
      <c r="V105" s="8">
        <v>329.370839893543</v>
      </c>
      <c r="W105" s="8">
        <v>255.850563131591</v>
      </c>
      <c r="X105" s="7">
        <v>0</v>
      </c>
      <c r="Y105" s="7">
        <v>1</v>
      </c>
      <c r="Z105" s="8">
        <v>2.3249823549977293</v>
      </c>
      <c r="AA105" s="7">
        <v>0</v>
      </c>
      <c r="AB105" s="8">
        <v>0.999999999999127</v>
      </c>
      <c r="AC105" s="42"/>
      <c r="AD105" s="83">
        <f>IFERROR(P105,$AD$4)</f>
        <v>25569.5</v>
      </c>
      <c r="AE105" s="7">
        <f>IFERROR(U105,0)</f>
      </c>
      <c r="AF105" s="3"/>
      <c r="AG105" s="86">
        <f>Q104+S105+T105+U105</f>
      </c>
      <c r="AH105" s="86">
        <f>Q105+R105+X105</f>
      </c>
      <c r="AI105" s="59">
        <f>AH105-AG105</f>
      </c>
      <c r="AJ105" s="3"/>
      <c r="AK105" s="3"/>
    </row>
    <row x14ac:dyDescent="0.25" r="106" customHeight="1" ht="18.75">
      <c r="A106" s="3"/>
      <c r="B106" s="71"/>
      <c r="C106" s="3"/>
      <c r="D106" s="3"/>
      <c r="E106" s="3"/>
      <c r="F106" s="3"/>
      <c r="G106" s="59">
        <f>H106-DATE(YEAR(H106),1,0)+1</f>
      </c>
      <c r="H106" s="79">
        <f>H105+1</f>
        <v>25569.5</v>
      </c>
      <c r="I106" s="80">
        <f>HLOOKUP($H$4,'Met Data'!$A$2:$F$368,G106,FALSE)</f>
      </c>
      <c r="J106" s="80">
        <f>HLOOKUP($H$4,'Met Data'!$H$2:$M$368,G106,FALSE)*L106</f>
      </c>
      <c r="K106" s="81">
        <f>HLOOKUP($H$4,'Met Data'!$O$2:$T$368,G106,FALSE)</f>
      </c>
      <c r="L106" s="7">
        <f>IF(H106&lt;$B$31,$J$3,$J$4)</f>
      </c>
      <c r="M106" s="3"/>
      <c r="N106" s="82">
        <f>IF(P106&lt;$P$3,TRUE,FALSE)</f>
      </c>
      <c r="O106" s="82">
        <f>AND(IF(P106&gt;($P$2-1),TRUE,FALSE),IF(P106&lt;($P$3+1),TRUE,FALSE))</f>
      </c>
      <c r="P106" s="83">
        <v>45075</v>
      </c>
      <c r="Q106" s="8">
        <v>71.21874092629892</v>
      </c>
      <c r="R106" s="8">
        <v>3.44662174004202</v>
      </c>
      <c r="S106" s="8">
        <v>4.612958713802945e-9</v>
      </c>
      <c r="T106" s="8">
        <v>0.8248009787504086</v>
      </c>
      <c r="U106" s="7">
        <v>0</v>
      </c>
      <c r="V106" s="8">
        <v>332.817461633585</v>
      </c>
      <c r="W106" s="8">
        <v>258.527849661802</v>
      </c>
      <c r="X106" s="7">
        <v>0</v>
      </c>
      <c r="Y106" s="7">
        <v>1</v>
      </c>
      <c r="Z106" s="8">
        <v>3.5117886968939303</v>
      </c>
      <c r="AA106" s="7">
        <v>0</v>
      </c>
      <c r="AB106" s="8">
        <v>0.999999999999351</v>
      </c>
      <c r="AC106" s="42"/>
      <c r="AD106" s="83">
        <f>IFERROR(P106,$AD$4)</f>
        <v>25569.5</v>
      </c>
      <c r="AE106" s="7">
        <f>IFERROR(U106,0)</f>
      </c>
      <c r="AF106" s="3"/>
      <c r="AG106" s="86">
        <f>Q105+S106+T106+U106</f>
      </c>
      <c r="AH106" s="86">
        <f>Q106+R106+X106</f>
      </c>
      <c r="AI106" s="59">
        <f>AH106-AG106</f>
      </c>
      <c r="AJ106" s="3"/>
      <c r="AK106" s="3"/>
    </row>
    <row x14ac:dyDescent="0.25" r="107" customHeight="1" ht="18.75">
      <c r="A107" s="3"/>
      <c r="B107" s="71"/>
      <c r="C107" s="3"/>
      <c r="D107" s="3"/>
      <c r="E107" s="3"/>
      <c r="F107" s="3"/>
      <c r="G107" s="59">
        <f>H107-DATE(YEAR(H107),1,0)+1</f>
      </c>
      <c r="H107" s="79">
        <f>H106+1</f>
        <v>25569.5</v>
      </c>
      <c r="I107" s="80">
        <f>HLOOKUP($H$4,'Met Data'!$A$2:$F$368,G107,FALSE)</f>
      </c>
      <c r="J107" s="80">
        <f>HLOOKUP($H$4,'Met Data'!$H$2:$M$368,G107,FALSE)*L107</f>
      </c>
      <c r="K107" s="81">
        <f>HLOOKUP($H$4,'Met Data'!$O$2:$T$368,G107,FALSE)</f>
      </c>
      <c r="L107" s="7">
        <f>IF(H107&lt;$B$31,$J$3,$J$4)</f>
      </c>
      <c r="M107" s="3"/>
      <c r="N107" s="82">
        <f>IF(P107&lt;$P$3,TRUE,FALSE)</f>
      </c>
      <c r="O107" s="82">
        <f>AND(IF(P107&gt;($P$2-1),TRUE,FALSE),IF(P107&lt;($P$3+1),TRUE,FALSE))</f>
      </c>
      <c r="P107" s="83">
        <v>45076</v>
      </c>
      <c r="Q107" s="8">
        <v>68.62583890655026</v>
      </c>
      <c r="R107" s="8">
        <v>3.44117969373656</v>
      </c>
      <c r="S107" s="8">
        <v>4.0673436684984655e-9</v>
      </c>
      <c r="T107" s="8">
        <v>0.8482776699205555</v>
      </c>
      <c r="U107" s="7">
        <v>0</v>
      </c>
      <c r="V107" s="8">
        <v>336.258641327321</v>
      </c>
      <c r="W107" s="8">
        <v>261.200908888187</v>
      </c>
      <c r="X107" s="7">
        <v>0</v>
      </c>
      <c r="Y107" s="7">
        <v>1</v>
      </c>
      <c r="Z107" s="8">
        <v>4.074199698856447</v>
      </c>
      <c r="AA107" s="7">
        <v>0</v>
      </c>
      <c r="AB107" s="8">
        <v>0.999999999999521</v>
      </c>
      <c r="AC107" s="42"/>
      <c r="AD107" s="83">
        <f>IFERROR(P107,$AD$4)</f>
        <v>25569.5</v>
      </c>
      <c r="AE107" s="7">
        <f>IFERROR(U107,0)</f>
      </c>
      <c r="AF107" s="3"/>
      <c r="AG107" s="86">
        <f>Q106+S107+T107+U107</f>
      </c>
      <c r="AH107" s="86">
        <f>Q107+R107+X107</f>
      </c>
      <c r="AI107" s="59">
        <f>AH107-AG107</f>
      </c>
      <c r="AJ107" s="3"/>
      <c r="AK107" s="3"/>
    </row>
    <row x14ac:dyDescent="0.25" r="108" customHeight="1" ht="18.75">
      <c r="A108" s="3"/>
      <c r="B108" s="71"/>
      <c r="C108" s="3"/>
      <c r="D108" s="3"/>
      <c r="E108" s="3"/>
      <c r="F108" s="3"/>
      <c r="G108" s="59">
        <f>H108-DATE(YEAR(H108),1,0)+1</f>
      </c>
      <c r="H108" s="79">
        <f>H107+1</f>
        <v>25569.5</v>
      </c>
      <c r="I108" s="80">
        <f>HLOOKUP($H$4,'Met Data'!$A$2:$F$368,G108,FALSE)</f>
      </c>
      <c r="J108" s="80">
        <f>HLOOKUP($H$4,'Met Data'!$H$2:$M$368,G108,FALSE)*L108</f>
      </c>
      <c r="K108" s="81">
        <f>HLOOKUP($H$4,'Met Data'!$O$2:$T$368,G108,FALSE)</f>
      </c>
      <c r="L108" s="7">
        <f>IF(H108&lt;$B$31,$J$3,$J$4)</f>
      </c>
      <c r="M108" s="3"/>
      <c r="N108" s="82">
        <f>IF(P108&lt;$P$3,TRUE,FALSE)</f>
      </c>
      <c r="O108" s="82">
        <f>AND(IF(P108&gt;($P$2-1),TRUE,FALSE),IF(P108&lt;($P$3+1),TRUE,FALSE))</f>
      </c>
      <c r="P108" s="83">
        <v>45077</v>
      </c>
      <c r="Q108" s="8">
        <v>66.18811977354869</v>
      </c>
      <c r="R108" s="8">
        <v>3.26301271510715</v>
      </c>
      <c r="S108" s="8">
        <v>3.3940956419950613e-9</v>
      </c>
      <c r="T108" s="8">
        <v>0.8252935787114984</v>
      </c>
      <c r="U108" s="7">
        <v>0</v>
      </c>
      <c r="V108" s="8">
        <v>339.521654042428</v>
      </c>
      <c r="W108" s="8">
        <v>263.735570550815</v>
      </c>
      <c r="X108" s="7">
        <v>0</v>
      </c>
      <c r="Y108" s="7">
        <v>1</v>
      </c>
      <c r="Z108" s="8">
        <v>4.237640440526292</v>
      </c>
      <c r="AA108" s="7">
        <v>0</v>
      </c>
      <c r="AB108" s="8">
        <v>0.999999999999644</v>
      </c>
      <c r="AC108" s="42"/>
      <c r="AD108" s="83">
        <f>IFERROR(P108,$AD$4)</f>
        <v>25569.5</v>
      </c>
      <c r="AE108" s="7">
        <f>IFERROR(U108,0)</f>
      </c>
      <c r="AF108" s="3"/>
      <c r="AG108" s="86">
        <f>Q107+S108+T108+U108</f>
      </c>
      <c r="AH108" s="86">
        <f>Q108+R108+X108</f>
      </c>
      <c r="AI108" s="59">
        <f>AH108-AG108</f>
      </c>
      <c r="AJ108" s="3"/>
      <c r="AK108" s="3"/>
    </row>
    <row x14ac:dyDescent="0.25" r="109" customHeight="1" ht="18.75">
      <c r="A109" s="3"/>
      <c r="B109" s="71"/>
      <c r="C109" s="3"/>
      <c r="D109" s="3"/>
      <c r="E109" s="3"/>
      <c r="F109" s="3"/>
      <c r="G109" s="59">
        <f>H109-DATE(YEAR(H109),1,0)+1</f>
      </c>
      <c r="H109" s="79">
        <f>H108+1</f>
        <v>25569.5</v>
      </c>
      <c r="I109" s="80">
        <f>HLOOKUP($H$4,'Met Data'!$A$2:$F$368,G109,FALSE)</f>
      </c>
      <c r="J109" s="80">
        <f>HLOOKUP($H$4,'Met Data'!$H$2:$M$368,G109,FALSE)*L109</f>
      </c>
      <c r="K109" s="81">
        <f>HLOOKUP($H$4,'Met Data'!$O$2:$T$368,G109,FALSE)</f>
      </c>
      <c r="L109" s="7">
        <f>IF(H109&lt;$B$31,$J$3,$J$4)</f>
      </c>
      <c r="M109" s="3"/>
      <c r="N109" s="82">
        <f>IF(P109&lt;$P$3,TRUE,FALSE)</f>
      </c>
      <c r="O109" s="82">
        <f>AND(IF(P109&gt;($P$2-1),TRUE,FALSE),IF(P109&lt;($P$3+1),TRUE,FALSE))</f>
      </c>
      <c r="P109" s="83">
        <v>45078</v>
      </c>
      <c r="Q109" s="8">
        <v>63.835989325196834</v>
      </c>
      <c r="R109" s="8">
        <v>3.17976639337076</v>
      </c>
      <c r="S109" s="8">
        <v>2.9241357890440748e-9</v>
      </c>
      <c r="T109" s="8">
        <v>0.8276359420947602</v>
      </c>
      <c r="U109" s="7">
        <v>0</v>
      </c>
      <c r="V109" s="8">
        <v>342.701420435799</v>
      </c>
      <c r="W109" s="8">
        <v>266.205567659951</v>
      </c>
      <c r="X109" s="7">
        <v>0</v>
      </c>
      <c r="Y109" s="7">
        <v>1</v>
      </c>
      <c r="Z109" s="8">
        <v>2.8738966075927124</v>
      </c>
      <c r="AA109" s="7">
        <v>0</v>
      </c>
      <c r="AB109" s="8">
        <v>0.999999999999735</v>
      </c>
      <c r="AC109" s="42"/>
      <c r="AD109" s="83">
        <f>IFERROR(P109,$AD$4)</f>
        <v>25569.5</v>
      </c>
      <c r="AE109" s="7">
        <f>IFERROR(U109,0)</f>
      </c>
      <c r="AF109" s="3"/>
      <c r="AG109" s="86">
        <f>Q108+S109+T109+U109</f>
      </c>
      <c r="AH109" s="86">
        <f>Q109+R109+X109</f>
      </c>
      <c r="AI109" s="59">
        <f>AH109-AG109</f>
      </c>
      <c r="AJ109" s="3"/>
      <c r="AK109" s="3"/>
    </row>
    <row x14ac:dyDescent="0.25" r="110" customHeight="1" ht="18.75">
      <c r="A110" s="3"/>
      <c r="B110" s="71"/>
      <c r="C110" s="3"/>
      <c r="D110" s="3"/>
      <c r="E110" s="3"/>
      <c r="F110" s="3"/>
      <c r="G110" s="59">
        <f>H110-DATE(YEAR(H110),1,0)+1</f>
      </c>
      <c r="H110" s="79">
        <f>H109+1</f>
        <v>25569.5</v>
      </c>
      <c r="I110" s="80">
        <f>HLOOKUP($H$4,'Met Data'!$A$2:$F$368,G110,FALSE)</f>
      </c>
      <c r="J110" s="80">
        <f>HLOOKUP($H$4,'Met Data'!$H$2:$M$368,G110,FALSE)*L110</f>
      </c>
      <c r="K110" s="81">
        <f>HLOOKUP($H$4,'Met Data'!$O$2:$T$368,G110,FALSE)</f>
      </c>
      <c r="L110" s="7">
        <f>IF(H110&lt;$B$31,$J$3,$J$4)</f>
      </c>
      <c r="M110" s="3"/>
      <c r="N110" s="82">
        <f>IF(P110&lt;$P$3,TRUE,FALSE)</f>
      </c>
      <c r="O110" s="82">
        <f>AND(IF(P110&gt;($P$2-1),TRUE,FALSE),IF(P110&lt;($P$3+1),TRUE,FALSE))</f>
      </c>
      <c r="P110" s="83">
        <v>45079</v>
      </c>
      <c r="Q110" s="8">
        <v>61.603344393482985</v>
      </c>
      <c r="R110" s="8">
        <v>3.04861872039254</v>
      </c>
      <c r="S110" s="8">
        <v>2.4788946166913845e-9</v>
      </c>
      <c r="T110" s="8">
        <v>0.8159737861997967</v>
      </c>
      <c r="U110" s="7">
        <v>0</v>
      </c>
      <c r="V110" s="8">
        <v>345.750039156192</v>
      </c>
      <c r="W110" s="8">
        <v>268.573691130256</v>
      </c>
      <c r="X110" s="7">
        <v>0</v>
      </c>
      <c r="Y110" s="7">
        <v>1</v>
      </c>
      <c r="Z110" s="8">
        <v>3.8128294277752417</v>
      </c>
      <c r="AA110" s="7">
        <v>0</v>
      </c>
      <c r="AB110" s="8">
        <v>0.999999999999802</v>
      </c>
      <c r="AC110" s="42"/>
      <c r="AD110" s="83">
        <f>IFERROR(P110,$AD$4)</f>
        <v>25569.5</v>
      </c>
      <c r="AE110" s="7">
        <f>IFERROR(U110,0)</f>
      </c>
      <c r="AF110" s="3"/>
      <c r="AG110" s="86">
        <f>Q109+S110+T110+U110</f>
      </c>
      <c r="AH110" s="86">
        <f>Q110+R110+X110</f>
      </c>
      <c r="AI110" s="59">
        <f>AH110-AG110</f>
      </c>
      <c r="AJ110" s="3"/>
      <c r="AK110" s="3"/>
    </row>
    <row x14ac:dyDescent="0.25" r="111" customHeight="1" ht="18.75">
      <c r="A111" s="3"/>
      <c r="B111" s="71"/>
      <c r="C111" s="3"/>
      <c r="D111" s="3"/>
      <c r="E111" s="3"/>
      <c r="F111" s="3"/>
      <c r="G111" s="59">
        <f>H111-DATE(YEAR(H111),1,0)+1</f>
      </c>
      <c r="H111" s="79">
        <f>H110+1</f>
        <v>25569.5</v>
      </c>
      <c r="I111" s="80">
        <f>HLOOKUP($H$4,'Met Data'!$A$2:$F$368,G111,FALSE)</f>
      </c>
      <c r="J111" s="80">
        <f>HLOOKUP($H$4,'Met Data'!$H$2:$M$368,G111,FALSE)*L111</f>
      </c>
      <c r="K111" s="81">
        <f>HLOOKUP($H$4,'Met Data'!$O$2:$T$368,G111,FALSE)</f>
      </c>
      <c r="L111" s="7">
        <f>IF(H111&lt;$B$31,$J$3,$J$4)</f>
      </c>
      <c r="M111" s="3"/>
      <c r="N111" s="82">
        <f>IF(P111&lt;$P$3,TRUE,FALSE)</f>
      </c>
      <c r="O111" s="82">
        <f>AND(IF(P111&gt;($P$2-1),TRUE,FALSE),IF(P111&lt;($P$3+1),TRUE,FALSE))</f>
      </c>
      <c r="P111" s="83">
        <v>45080</v>
      </c>
      <c r="Q111" s="8">
        <v>59.55598664092511</v>
      </c>
      <c r="R111" s="8">
        <v>2.82253791896846</v>
      </c>
      <c r="S111" s="8">
        <v>2.0332069682514417e-9</v>
      </c>
      <c r="T111" s="8">
        <v>0.7751801643773854</v>
      </c>
      <c r="U111" s="7">
        <v>0</v>
      </c>
      <c r="V111" s="8">
        <v>348.57257707516</v>
      </c>
      <c r="W111" s="8">
        <v>270.76619826374</v>
      </c>
      <c r="X111" s="7">
        <v>0</v>
      </c>
      <c r="Y111" s="7">
        <v>1</v>
      </c>
      <c r="Z111" s="8">
        <v>1.2925659807430492</v>
      </c>
      <c r="AA111" s="7">
        <v>0</v>
      </c>
      <c r="AB111" s="8">
        <v>0.999999999999851</v>
      </c>
      <c r="AC111" s="42"/>
      <c r="AD111" s="83">
        <f>IFERROR(P111,$AD$4)</f>
        <v>25569.5</v>
      </c>
      <c r="AE111" s="7">
        <f>IFERROR(U111,0)</f>
      </c>
      <c r="AF111" s="3"/>
      <c r="AG111" s="86">
        <f>Q110+S111+T111+U111</f>
      </c>
      <c r="AH111" s="86">
        <f>Q111+R111+X111</f>
      </c>
      <c r="AI111" s="59">
        <f>AH111-AG111</f>
      </c>
      <c r="AJ111" s="3"/>
      <c r="AK111" s="3"/>
    </row>
    <row x14ac:dyDescent="0.25" r="112" customHeight="1" ht="18.75">
      <c r="A112" s="3"/>
      <c r="B112" s="71"/>
      <c r="C112" s="3"/>
      <c r="D112" s="3"/>
      <c r="E112" s="3"/>
      <c r="F112" s="3"/>
      <c r="G112" s="59">
        <f>H112-DATE(YEAR(H112),1,0)+1</f>
      </c>
      <c r="H112" s="79">
        <f>H111+1</f>
        <v>25569.5</v>
      </c>
      <c r="I112" s="80">
        <f>HLOOKUP($H$4,'Met Data'!$A$2:$F$368,G112,FALSE)</f>
      </c>
      <c r="J112" s="80">
        <f>HLOOKUP($H$4,'Met Data'!$H$2:$M$368,G112,FALSE)*L112</f>
      </c>
      <c r="K112" s="81">
        <f>HLOOKUP($H$4,'Met Data'!$O$2:$T$368,G112,FALSE)</f>
      </c>
      <c r="L112" s="7">
        <f>IF(H112&lt;$B$31,$J$3,$J$4)</f>
      </c>
      <c r="M112" s="3"/>
      <c r="N112" s="82">
        <f>IF(P112&lt;$P$3,TRUE,FALSE)</f>
      </c>
      <c r="O112" s="82">
        <f>AND(IF(P112&gt;($P$2-1),TRUE,FALSE),IF(P112&lt;($P$3+1),TRUE,FALSE))</f>
      </c>
      <c r="P112" s="83">
        <v>45081</v>
      </c>
      <c r="Q112" s="8">
        <v>57.568562303079915</v>
      </c>
      <c r="R112" s="8">
        <v>2.77120021642548</v>
      </c>
      <c r="S112" s="8">
        <v>1.782048374719113e-9</v>
      </c>
      <c r="T112" s="8">
        <v>0.7837758767982456</v>
      </c>
      <c r="U112" s="7">
        <v>0</v>
      </c>
      <c r="V112" s="8">
        <v>351.343777291586</v>
      </c>
      <c r="W112" s="8">
        <v>272.918827003285</v>
      </c>
      <c r="X112" s="7">
        <v>0</v>
      </c>
      <c r="Y112" s="7">
        <v>1</v>
      </c>
      <c r="Z112" s="8">
        <v>3.0354514425049928</v>
      </c>
      <c r="AA112" s="7">
        <v>0</v>
      </c>
      <c r="AB112" s="8">
        <v>0.999999999999887</v>
      </c>
      <c r="AC112" s="42"/>
      <c r="AD112" s="83">
        <f>IFERROR(P112,$AD$4)</f>
        <v>25569.5</v>
      </c>
      <c r="AE112" s="7">
        <f>IFERROR(U112,0)</f>
      </c>
      <c r="AF112" s="3"/>
      <c r="AG112" s="86">
        <f>Q111+S112+T112+U112</f>
      </c>
      <c r="AH112" s="86">
        <f>Q112+R112+X112</f>
      </c>
      <c r="AI112" s="59">
        <f>AH112-AG112</f>
      </c>
      <c r="AJ112" s="3"/>
      <c r="AK112" s="3"/>
    </row>
    <row x14ac:dyDescent="0.25" r="113" customHeight="1" ht="18.75">
      <c r="A113" s="3"/>
      <c r="B113" s="71"/>
      <c r="C113" s="3"/>
      <c r="D113" s="3"/>
      <c r="E113" s="3"/>
      <c r="F113" s="3"/>
      <c r="G113" s="59">
        <f>H113-DATE(YEAR(H113),1,0)+1</f>
      </c>
      <c r="H113" s="79">
        <f>H112+1</f>
        <v>25569.5</v>
      </c>
      <c r="I113" s="80">
        <f>HLOOKUP($H$4,'Met Data'!$A$2:$F$368,G113,FALSE)</f>
      </c>
      <c r="J113" s="80">
        <f>HLOOKUP($H$4,'Met Data'!$H$2:$M$368,G113,FALSE)*L113</f>
      </c>
      <c r="K113" s="81">
        <f>HLOOKUP($H$4,'Met Data'!$O$2:$T$368,G113,FALSE)</f>
      </c>
      <c r="L113" s="7">
        <f>IF(H113&lt;$B$31,$J$3,$J$4)</f>
      </c>
      <c r="M113" s="3"/>
      <c r="N113" s="82">
        <f>IF(P113&lt;$P$3,TRUE,FALSE)</f>
      </c>
      <c r="O113" s="82">
        <f>AND(IF(P113&gt;($P$2-1),TRUE,FALSE),IF(P113&lt;($P$3+1),TRUE,FALSE))</f>
      </c>
      <c r="P113" s="83">
        <v>45082</v>
      </c>
      <c r="Q113" s="8">
        <v>55.641030901312604</v>
      </c>
      <c r="R113" s="8">
        <v>2.72083156198715</v>
      </c>
      <c r="S113" s="8">
        <v>1.5608350118564947e-9</v>
      </c>
      <c r="T113" s="8">
        <v>0.7933001586590062</v>
      </c>
      <c r="U113" s="7">
        <v>0</v>
      </c>
      <c r="V113" s="8">
        <v>354.064608853573</v>
      </c>
      <c r="W113" s="8">
        <v>275.032330091615</v>
      </c>
      <c r="X113" s="7">
        <v>0</v>
      </c>
      <c r="Y113" s="7">
        <v>1</v>
      </c>
      <c r="Z113" s="8">
        <v>2.0399880849679874</v>
      </c>
      <c r="AA113" s="7">
        <v>0</v>
      </c>
      <c r="AB113" s="8">
        <v>0.999999999999915</v>
      </c>
      <c r="AC113" s="42"/>
      <c r="AD113" s="83">
        <f>IFERROR(P113,$AD$4)</f>
        <v>25569.5</v>
      </c>
      <c r="AE113" s="7">
        <f>IFERROR(U113,0)</f>
      </c>
      <c r="AF113" s="3"/>
      <c r="AG113" s="86">
        <f>Q112+S113+T113+U113</f>
      </c>
      <c r="AH113" s="86">
        <f>Q113+R113+X113</f>
      </c>
      <c r="AI113" s="59">
        <f>AH113-AG113</f>
      </c>
      <c r="AJ113" s="3"/>
      <c r="AK113" s="3"/>
    </row>
    <row x14ac:dyDescent="0.25" r="114" customHeight="1" ht="18.75">
      <c r="A114" s="3"/>
      <c r="B114" s="71"/>
      <c r="C114" s="3"/>
      <c r="D114" s="3"/>
      <c r="E114" s="3"/>
      <c r="F114" s="3"/>
      <c r="G114" s="59">
        <f>H114-DATE(YEAR(H114),1,0)+1</f>
      </c>
      <c r="H114" s="79">
        <f>H113+1</f>
        <v>25569.5</v>
      </c>
      <c r="I114" s="80">
        <f>HLOOKUP($H$4,'Met Data'!$A$2:$F$368,G114,FALSE)</f>
      </c>
      <c r="J114" s="80">
        <f>HLOOKUP($H$4,'Met Data'!$H$2:$M$368,G114,FALSE)*L114</f>
      </c>
      <c r="K114" s="81">
        <f>HLOOKUP($H$4,'Met Data'!$O$2:$T$368,G114,FALSE)</f>
      </c>
      <c r="L114" s="7">
        <f>IF(H114&lt;$B$31,$J$3,$J$4)</f>
      </c>
      <c r="M114" s="3"/>
      <c r="N114" s="82">
        <f>IF(P114&lt;$P$3,TRUE,FALSE)</f>
      </c>
      <c r="O114" s="82">
        <f>AND(IF(P114&gt;($P$2-1),TRUE,FALSE),IF(P114&lt;($P$3+1),TRUE,FALSE))</f>
      </c>
      <c r="P114" s="83">
        <v>45083</v>
      </c>
      <c r="Q114" s="8">
        <v>53.804611767318335</v>
      </c>
      <c r="R114" s="8">
        <v>2.62525737781971</v>
      </c>
      <c r="S114" s="8">
        <v>1.3419919714075733e-9</v>
      </c>
      <c r="T114" s="8">
        <v>0.7888382424834446</v>
      </c>
      <c r="U114" s="7">
        <v>0</v>
      </c>
      <c r="V114" s="8">
        <v>356.689866231392</v>
      </c>
      <c r="W114" s="8">
        <v>277.071592519028</v>
      </c>
      <c r="X114" s="7">
        <v>0</v>
      </c>
      <c r="Y114" s="7">
        <v>1</v>
      </c>
      <c r="Z114" s="8">
        <v>2.1549764906942386</v>
      </c>
      <c r="AA114" s="7">
        <v>0</v>
      </c>
      <c r="AB114" s="8">
        <v>0.999999999999936</v>
      </c>
      <c r="AC114" s="42"/>
      <c r="AD114" s="83">
        <f>IFERROR(P114,$AD$4)</f>
        <v>25569.5</v>
      </c>
      <c r="AE114" s="7">
        <f>IFERROR(U114,0)</f>
      </c>
      <c r="AF114" s="3"/>
      <c r="AG114" s="86">
        <f>Q113+S114+T114+U114</f>
      </c>
      <c r="AH114" s="86">
        <f>Q114+R114+X114</f>
      </c>
      <c r="AI114" s="59">
        <f>AH114-AG114</f>
      </c>
      <c r="AJ114" s="3"/>
      <c r="AK114" s="3"/>
    </row>
    <row x14ac:dyDescent="0.25" r="115" customHeight="1" ht="18.75">
      <c r="A115" s="3"/>
      <c r="B115" s="71"/>
      <c r="C115" s="3"/>
      <c r="D115" s="3"/>
      <c r="E115" s="3"/>
      <c r="F115" s="3"/>
      <c r="G115" s="59">
        <f>H115-DATE(YEAR(H115),1,0)+1</f>
      </c>
      <c r="H115" s="79">
        <f>H114+1</f>
        <v>25569.5</v>
      </c>
      <c r="I115" s="80">
        <f>HLOOKUP($H$4,'Met Data'!$A$2:$F$368,G115,FALSE)</f>
      </c>
      <c r="J115" s="80">
        <f>HLOOKUP($H$4,'Met Data'!$H$2:$M$368,G115,FALSE)*L115</f>
      </c>
      <c r="K115" s="81">
        <f>HLOOKUP($H$4,'Met Data'!$O$2:$T$368,G115,FALSE)</f>
      </c>
      <c r="L115" s="7">
        <f>IF(H115&lt;$B$31,$J$3,$J$4)</f>
      </c>
      <c r="M115" s="3"/>
      <c r="N115" s="82">
        <f>IF(P115&lt;$P$3,TRUE,FALSE)</f>
      </c>
      <c r="O115" s="82">
        <f>AND(IF(P115&gt;($P$2-1),TRUE,FALSE),IF(P115&lt;($P$3+1),TRUE,FALSE))</f>
      </c>
      <c r="P115" s="83">
        <v>45084</v>
      </c>
      <c r="Q115" s="8">
        <v>52.03154644427309</v>
      </c>
      <c r="R115" s="8">
        <v>2.57022037095209</v>
      </c>
      <c r="S115" s="8">
        <v>1.1724893724853242e-9</v>
      </c>
      <c r="T115" s="8">
        <v>0.7971550467343678</v>
      </c>
      <c r="U115" s="7">
        <v>0</v>
      </c>
      <c r="V115" s="8">
        <v>359.260086602345</v>
      </c>
      <c r="W115" s="8">
        <v>279.06810298575</v>
      </c>
      <c r="X115" s="7">
        <v>0</v>
      </c>
      <c r="Y115" s="7">
        <v>1</v>
      </c>
      <c r="Z115" s="8">
        <v>1.7458837896239743</v>
      </c>
      <c r="AA115" s="7">
        <v>0</v>
      </c>
      <c r="AB115" s="8">
        <v>0.999999999999952</v>
      </c>
      <c r="AC115" s="42"/>
      <c r="AD115" s="83">
        <f>IFERROR(P115,$AD$4)</f>
        <v>25569.5</v>
      </c>
      <c r="AE115" s="7">
        <f>IFERROR(U115,0)</f>
      </c>
      <c r="AF115" s="3"/>
      <c r="AG115" s="86">
        <f>Q114+S115+T115+U115</f>
      </c>
      <c r="AH115" s="86">
        <f>Q115+R115+X115</f>
      </c>
      <c r="AI115" s="59">
        <f>AH115-AG115</f>
      </c>
      <c r="AJ115" s="3"/>
      <c r="AK115" s="3"/>
    </row>
    <row x14ac:dyDescent="0.25" r="116" customHeight="1" ht="18.75">
      <c r="A116" s="3"/>
      <c r="B116" s="71"/>
      <c r="C116" s="3"/>
      <c r="D116" s="3"/>
      <c r="E116" s="3"/>
      <c r="F116" s="3"/>
      <c r="G116" s="59">
        <f>H116-DATE(YEAR(H116),1,0)+1</f>
      </c>
      <c r="H116" s="79">
        <f>H115+1</f>
        <v>25569.5</v>
      </c>
      <c r="I116" s="80">
        <f>HLOOKUP($H$4,'Met Data'!$A$2:$F$368,G116,FALSE)</f>
      </c>
      <c r="J116" s="80">
        <f>HLOOKUP($H$4,'Met Data'!$H$2:$M$368,G116,FALSE)*L116</f>
      </c>
      <c r="K116" s="81">
        <f>HLOOKUP($H$4,'Met Data'!$O$2:$T$368,G116,FALSE)</f>
      </c>
      <c r="L116" s="7">
        <f>IF(H116&lt;$B$31,$J$3,$J$4)</f>
      </c>
      <c r="M116" s="3"/>
      <c r="N116" s="82">
        <f>IF(P116&lt;$P$3,TRUE,FALSE)</f>
      </c>
      <c r="O116" s="82">
        <f>AND(IF(P116&gt;($P$2-1),TRUE,FALSE),IF(P116&lt;($P$3+1),TRUE,FALSE))</f>
      </c>
      <c r="P116" s="83">
        <v>45085</v>
      </c>
      <c r="Q116" s="8">
        <v>50.29887539505455</v>
      </c>
      <c r="R116" s="8">
        <v>2.55130145646223</v>
      </c>
      <c r="S116" s="8">
        <v>1.0381722258512981e-9</v>
      </c>
      <c r="T116" s="8">
        <v>0.8186304062055316</v>
      </c>
      <c r="U116" s="7">
        <v>0</v>
      </c>
      <c r="V116" s="8">
        <v>361.811388058807</v>
      </c>
      <c r="W116" s="8">
        <v>281.049917509966</v>
      </c>
      <c r="X116" s="7">
        <v>0</v>
      </c>
      <c r="Y116" s="7">
        <v>1</v>
      </c>
      <c r="Z116" s="8">
        <v>1.424853925944646</v>
      </c>
      <c r="AA116" s="7">
        <v>0</v>
      </c>
      <c r="AB116" s="8">
        <v>0.999999999999964</v>
      </c>
      <c r="AC116" s="42"/>
      <c r="AD116" s="83">
        <f>IFERROR(P116,$AD$4)</f>
        <v>25569.5</v>
      </c>
      <c r="AE116" s="7">
        <f>IFERROR(U116,0)</f>
      </c>
      <c r="AF116" s="3"/>
      <c r="AG116" s="86">
        <f>Q115+S116+T116+U116</f>
      </c>
      <c r="AH116" s="86">
        <f>Q116+R116+X116</f>
      </c>
      <c r="AI116" s="59">
        <f>AH116-AG116</f>
      </c>
      <c r="AJ116" s="3"/>
      <c r="AK116" s="3"/>
    </row>
    <row x14ac:dyDescent="0.25" r="117" customHeight="1" ht="18.75">
      <c r="A117" s="3"/>
      <c r="B117" s="71"/>
      <c r="C117" s="3"/>
      <c r="D117" s="3"/>
      <c r="E117" s="3"/>
      <c r="F117" s="3"/>
      <c r="G117" s="59">
        <f>H117-DATE(YEAR(H117),1,0)+1</f>
      </c>
      <c r="H117" s="79">
        <f>H116+1</f>
        <v>25569.5</v>
      </c>
      <c r="I117" s="80">
        <f>HLOOKUP($H$4,'Met Data'!$A$2:$F$368,G117,FALSE)</f>
      </c>
      <c r="J117" s="80">
        <f>HLOOKUP($H$4,'Met Data'!$H$2:$M$368,G117,FALSE)*L117</f>
      </c>
      <c r="K117" s="81">
        <f>HLOOKUP($H$4,'Met Data'!$O$2:$T$368,G117,FALSE)</f>
      </c>
      <c r="L117" s="7">
        <f>IF(H117&lt;$B$31,$J$3,$J$4)</f>
      </c>
      <c r="M117" s="3"/>
      <c r="N117" s="82">
        <f>IF(P117&lt;$P$3,TRUE,FALSE)</f>
      </c>
      <c r="O117" s="82">
        <f>AND(IF(P117&gt;($P$2-1),TRUE,FALSE),IF(P117&lt;($P$3+1),TRUE,FALSE))</f>
      </c>
      <c r="P117" s="83">
        <v>45086</v>
      </c>
      <c r="Q117" s="8">
        <v>48.59740809635434</v>
      </c>
      <c r="R117" s="8">
        <v>2.55045521660452</v>
      </c>
      <c r="S117" s="8">
        <v>9.234952727962057e-10</v>
      </c>
      <c r="T117" s="8">
        <v>0.8489879169807936</v>
      </c>
      <c r="U117" s="7">
        <v>0</v>
      </c>
      <c r="V117" s="8">
        <v>364.361843275411</v>
      </c>
      <c r="W117" s="8">
        <v>283.03107468715</v>
      </c>
      <c r="X117" s="7">
        <v>0</v>
      </c>
      <c r="Y117" s="7">
        <v>1</v>
      </c>
      <c r="Z117" s="8">
        <v>3.8126277964546347</v>
      </c>
      <c r="AA117" s="7">
        <v>0</v>
      </c>
      <c r="AB117" s="8">
        <v>0.999999999999974</v>
      </c>
      <c r="AC117" s="42"/>
      <c r="AD117" s="83">
        <f>IFERROR(P117,$AD$4)</f>
        <v>25569.5</v>
      </c>
      <c r="AE117" s="7">
        <f>IFERROR(U117,0)</f>
      </c>
      <c r="AF117" s="3"/>
      <c r="AG117" s="86">
        <f>Q116+S117+T117+U117</f>
      </c>
      <c r="AH117" s="86">
        <f>Q117+R117+X117</f>
      </c>
      <c r="AI117" s="59">
        <f>AH117-AG117</f>
      </c>
      <c r="AJ117" s="3"/>
      <c r="AK117" s="3"/>
    </row>
    <row x14ac:dyDescent="0.25" r="118" customHeight="1" ht="18.75">
      <c r="A118" s="3"/>
      <c r="B118" s="71"/>
      <c r="C118" s="3"/>
      <c r="D118" s="3"/>
      <c r="E118" s="3"/>
      <c r="F118" s="3"/>
      <c r="G118" s="59">
        <f>H118-DATE(YEAR(H118),1,0)+1</f>
      </c>
      <c r="H118" s="79">
        <f>H117+1</f>
        <v>25569.5</v>
      </c>
      <c r="I118" s="80">
        <f>HLOOKUP($H$4,'Met Data'!$A$2:$F$368,G118,FALSE)</f>
      </c>
      <c r="J118" s="80">
        <f>HLOOKUP($H$4,'Met Data'!$H$2:$M$368,G118,FALSE)*L118</f>
      </c>
      <c r="K118" s="81">
        <f>HLOOKUP($H$4,'Met Data'!$O$2:$T$368,G118,FALSE)</f>
      </c>
      <c r="L118" s="7">
        <f>IF(H118&lt;$B$31,$J$3,$J$4)</f>
      </c>
      <c r="M118" s="3"/>
      <c r="N118" s="82">
        <f>IF(P118&lt;$P$3,TRUE,FALSE)</f>
      </c>
      <c r="O118" s="82">
        <f>AND(IF(P118&gt;($P$2-1),TRUE,FALSE),IF(P118&lt;($P$3+1),TRUE,FALSE))</f>
      </c>
      <c r="P118" s="83">
        <v>45087</v>
      </c>
      <c r="Q118" s="8">
        <v>46.98144674830232</v>
      </c>
      <c r="R118" s="8">
        <v>2.46611571023016</v>
      </c>
      <c r="S118" s="8">
        <v>7.911274976480128e-10</v>
      </c>
      <c r="T118" s="8">
        <v>0.8501543613870041</v>
      </c>
      <c r="U118" s="7">
        <v>0</v>
      </c>
      <c r="V118" s="8">
        <v>366.827958985641</v>
      </c>
      <c r="W118" s="8">
        <v>284.946718140632</v>
      </c>
      <c r="X118" s="7">
        <v>0</v>
      </c>
      <c r="Y118" s="7">
        <v>1</v>
      </c>
      <c r="Z118" s="8">
        <v>5.88626279286585</v>
      </c>
      <c r="AA118" s="7">
        <v>0</v>
      </c>
      <c r="AB118" s="8">
        <v>0.99999999999998</v>
      </c>
      <c r="AC118" s="42"/>
      <c r="AD118" s="83">
        <f>IFERROR(P118,$AD$4)</f>
        <v>25569.5</v>
      </c>
      <c r="AE118" s="7">
        <f>IFERROR(U118,0)</f>
      </c>
      <c r="AF118" s="3"/>
      <c r="AG118" s="86">
        <f>Q117+S118+T118+U118</f>
      </c>
      <c r="AH118" s="86">
        <f>Q118+R118+X118</f>
      </c>
      <c r="AI118" s="59">
        <f>AH118-AG118</f>
      </c>
      <c r="AJ118" s="3"/>
      <c r="AK118" s="3"/>
    </row>
    <row x14ac:dyDescent="0.25" r="119" customHeight="1" ht="18.75">
      <c r="A119" s="3"/>
      <c r="B119" s="71"/>
      <c r="C119" s="3"/>
      <c r="D119" s="3"/>
      <c r="E119" s="3"/>
      <c r="F119" s="3"/>
      <c r="G119" s="59">
        <f>H119-DATE(YEAR(H119),1,0)+1</f>
      </c>
      <c r="H119" s="79">
        <f>H118+1</f>
        <v>25569.5</v>
      </c>
      <c r="I119" s="80">
        <f>HLOOKUP($H$4,'Met Data'!$A$2:$F$368,G119,FALSE)</f>
      </c>
      <c r="J119" s="80">
        <f>HLOOKUP($H$4,'Met Data'!$H$2:$M$368,G119,FALSE)*L119</f>
      </c>
      <c r="K119" s="81">
        <f>HLOOKUP($H$4,'Met Data'!$O$2:$T$368,G119,FALSE)</f>
      </c>
      <c r="L119" s="7">
        <f>IF(H119&lt;$B$31,$J$3,$J$4)</f>
      </c>
      <c r="M119" s="3"/>
      <c r="N119" s="82">
        <f>IF(P119&lt;$P$3,TRUE,FALSE)</f>
      </c>
      <c r="O119" s="82">
        <f>AND(IF(P119&gt;($P$2-1),TRUE,FALSE),IF(P119&lt;($P$3+1),TRUE,FALSE))</f>
      </c>
      <c r="P119" s="83">
        <v>45088</v>
      </c>
      <c r="Q119" s="8">
        <v>45.44482413765212</v>
      </c>
      <c r="R119" s="8">
        <v>2.39119255672847</v>
      </c>
      <c r="S119" s="8">
        <v>6.799292102598518e-10</v>
      </c>
      <c r="T119" s="8">
        <v>0.8545699453983365</v>
      </c>
      <c r="U119" s="7">
        <v>0</v>
      </c>
      <c r="V119" s="8">
        <v>369.21915154237</v>
      </c>
      <c r="W119" s="8">
        <v>286.804162358805</v>
      </c>
      <c r="X119" s="7">
        <v>0</v>
      </c>
      <c r="Y119" s="7">
        <v>1</v>
      </c>
      <c r="Z119" s="8">
        <v>3.535106808798872</v>
      </c>
      <c r="AA119" s="7">
        <v>0</v>
      </c>
      <c r="AB119" s="8">
        <v>0.999999999999986</v>
      </c>
      <c r="AC119" s="42"/>
      <c r="AD119" s="83">
        <f>IFERROR(P119,$AD$4)</f>
        <v>25569.5</v>
      </c>
      <c r="AE119" s="7">
        <f>IFERROR(U119,0)</f>
      </c>
      <c r="AF119" s="3"/>
      <c r="AG119" s="86">
        <f>Q118+S119+T119+U119</f>
      </c>
      <c r="AH119" s="86">
        <f>Q119+R119+X119</f>
      </c>
      <c r="AI119" s="59">
        <f>AH119-AG119</f>
      </c>
      <c r="AJ119" s="3"/>
      <c r="AK119" s="3"/>
    </row>
    <row x14ac:dyDescent="0.25" r="120" customHeight="1" ht="18.75">
      <c r="A120" s="3"/>
      <c r="B120" s="71"/>
      <c r="C120" s="3"/>
      <c r="D120" s="3"/>
      <c r="E120" s="3"/>
      <c r="F120" s="3"/>
      <c r="G120" s="59">
        <f>H120-DATE(YEAR(H120),1,0)+1</f>
      </c>
      <c r="H120" s="79">
        <f>H119+1</f>
        <v>25569.5</v>
      </c>
      <c r="I120" s="80">
        <f>HLOOKUP($H$4,'Met Data'!$A$2:$F$368,G120,FALSE)</f>
      </c>
      <c r="J120" s="80">
        <f>HLOOKUP($H$4,'Met Data'!$H$2:$M$368,G120,FALSE)*L120</f>
      </c>
      <c r="K120" s="81">
        <f>HLOOKUP($H$4,'Met Data'!$O$2:$T$368,G120,FALSE)</f>
      </c>
      <c r="L120" s="7">
        <f>IF(H120&lt;$B$31,$J$3,$J$4)</f>
      </c>
      <c r="M120" s="3"/>
      <c r="N120" s="82">
        <f>IF(P120&lt;$P$3,TRUE,FALSE)</f>
      </c>
      <c r="O120" s="82">
        <f>AND(IF(P120&gt;($P$2-1),TRUE,FALSE),IF(P120&lt;($P$3+1),TRUE,FALSE))</f>
      </c>
      <c r="P120" s="83">
        <v>45089</v>
      </c>
      <c r="Q120" s="8">
        <v>44.01231867694062</v>
      </c>
      <c r="R120" s="8">
        <v>2.27348500036925</v>
      </c>
      <c r="S120" s="8">
        <v>5.727609194223579e-10</v>
      </c>
      <c r="T120" s="8">
        <v>0.8409795390850003</v>
      </c>
      <c r="U120" s="7">
        <v>0</v>
      </c>
      <c r="V120" s="8">
        <v>371.492636542739</v>
      </c>
      <c r="W120" s="8">
        <v>288.570173028735</v>
      </c>
      <c r="X120" s="7">
        <v>0</v>
      </c>
      <c r="Y120" s="7">
        <v>1</v>
      </c>
      <c r="Z120" s="8">
        <v>2.838667920015652</v>
      </c>
      <c r="AA120" s="7">
        <v>0</v>
      </c>
      <c r="AB120" s="8">
        <v>0.999999999999989</v>
      </c>
      <c r="AC120" s="42"/>
      <c r="AD120" s="83">
        <f>IFERROR(P120,$AD$4)</f>
        <v>25569.5</v>
      </c>
      <c r="AE120" s="7">
        <f>IFERROR(U120,0)</f>
      </c>
      <c r="AF120" s="3"/>
      <c r="AG120" s="86">
        <f>Q119+S120+T120+U120</f>
      </c>
      <c r="AH120" s="86">
        <f>Q120+R120+X120</f>
      </c>
      <c r="AI120" s="59">
        <f>AH120-AG120</f>
      </c>
      <c r="AJ120" s="3"/>
      <c r="AK120" s="3"/>
    </row>
    <row x14ac:dyDescent="0.25" r="121" customHeight="1" ht="18.75">
      <c r="A121" s="3"/>
      <c r="B121" s="71"/>
      <c r="C121" s="3"/>
      <c r="D121" s="3"/>
      <c r="E121" s="3"/>
      <c r="F121" s="3"/>
      <c r="G121" s="59">
        <f>H121-DATE(YEAR(H121),1,0)+1</f>
      </c>
      <c r="H121" s="79">
        <f>H120+1</f>
        <v>25569.5</v>
      </c>
      <c r="I121" s="80">
        <f>HLOOKUP($H$4,'Met Data'!$A$2:$F$368,G121,FALSE)</f>
      </c>
      <c r="J121" s="80">
        <f>HLOOKUP($H$4,'Met Data'!$H$2:$M$368,G121,FALSE)*L121</f>
      </c>
      <c r="K121" s="81">
        <f>HLOOKUP($H$4,'Met Data'!$O$2:$T$368,G121,FALSE)</f>
      </c>
      <c r="L121" s="7">
        <f>IF(H121&lt;$B$31,$J$3,$J$4)</f>
      </c>
      <c r="M121" s="3"/>
      <c r="N121" s="82">
        <f>IF(P121&lt;$P$3,TRUE,FALSE)</f>
      </c>
      <c r="O121" s="82">
        <f>AND(IF(P121&gt;($P$2-1),TRUE,FALSE),IF(P121&lt;($P$3+1),TRUE,FALSE))</f>
      </c>
      <c r="P121" s="83">
        <v>45090</v>
      </c>
      <c r="Q121" s="8">
        <v>42.680797350057446</v>
      </c>
      <c r="R121" s="8">
        <v>2.15751717901367</v>
      </c>
      <c r="S121" s="8">
        <v>4.827427502792797e-10</v>
      </c>
      <c r="T121" s="8">
        <v>0.8259958516477423</v>
      </c>
      <c r="U121" s="7">
        <v>0</v>
      </c>
      <c r="V121" s="8">
        <v>373.650153721753</v>
      </c>
      <c r="W121" s="8">
        <v>290.246101551719</v>
      </c>
      <c r="X121" s="7">
        <v>0</v>
      </c>
      <c r="Y121" s="7">
        <v>1</v>
      </c>
      <c r="Z121" s="8">
        <v>2.1265795288742737</v>
      </c>
      <c r="AA121" s="7">
        <v>0</v>
      </c>
      <c r="AB121" s="8">
        <v>0.999999999999992</v>
      </c>
      <c r="AC121" s="42"/>
      <c r="AD121" s="83">
        <f>IFERROR(P121,$AD$4)</f>
        <v>25569.5</v>
      </c>
      <c r="AE121" s="7">
        <f>IFERROR(U121,0)</f>
      </c>
      <c r="AF121" s="3"/>
      <c r="AG121" s="86">
        <f>Q120+S121+T121+U121</f>
      </c>
      <c r="AH121" s="86">
        <f>Q121+R121+X121</f>
      </c>
      <c r="AI121" s="59">
        <f>AH121-AG121</f>
      </c>
      <c r="AJ121" s="3"/>
      <c r="AK121" s="3"/>
    </row>
    <row x14ac:dyDescent="0.25" r="122" customHeight="1" ht="18.75">
      <c r="A122" s="3"/>
      <c r="B122" s="71"/>
      <c r="C122" s="3"/>
      <c r="D122" s="3"/>
      <c r="E122" s="3"/>
      <c r="F122" s="3"/>
      <c r="G122" s="59">
        <f>H122-DATE(YEAR(H122),1,0)+1</f>
      </c>
      <c r="H122" s="79">
        <f>H121+1</f>
        <v>25569.5</v>
      </c>
      <c r="I122" s="80">
        <f>HLOOKUP($H$4,'Met Data'!$A$2:$F$368,G122,FALSE)</f>
      </c>
      <c r="J122" s="80">
        <f>HLOOKUP($H$4,'Met Data'!$H$2:$M$368,G122,FALSE)*L122</f>
      </c>
      <c r="K122" s="81">
        <f>HLOOKUP($H$4,'Met Data'!$O$2:$T$368,G122,FALSE)</f>
      </c>
      <c r="L122" s="7">
        <f>IF(H122&lt;$B$31,$J$3,$J$4)</f>
      </c>
      <c r="M122" s="3"/>
      <c r="N122" s="82">
        <f>IF(P122&lt;$P$3,TRUE,FALSE)</f>
      </c>
      <c r="O122" s="82">
        <f>AND(IF(P122&gt;($P$2-1),TRUE,FALSE),IF(P122&lt;($P$3+1),TRUE,FALSE))</f>
      </c>
      <c r="P122" s="83">
        <v>45091</v>
      </c>
      <c r="Q122" s="8">
        <v>41.482037556115074</v>
      </c>
      <c r="R122" s="8">
        <v>1.98204287930122</v>
      </c>
      <c r="S122" s="8">
        <v>3.946756907313108e-10</v>
      </c>
      <c r="T122" s="8">
        <v>0.7832830849641722</v>
      </c>
      <c r="U122" s="7">
        <v>0</v>
      </c>
      <c r="V122" s="8">
        <v>375.632196601054</v>
      </c>
      <c r="W122" s="8">
        <v>291.785724145462</v>
      </c>
      <c r="X122" s="7">
        <v>0</v>
      </c>
      <c r="Y122" s="7">
        <v>1</v>
      </c>
      <c r="Z122" s="8">
        <v>1.9520786116335387</v>
      </c>
      <c r="AA122" s="7">
        <v>0</v>
      </c>
      <c r="AB122" s="8">
        <v>0.999999999999994</v>
      </c>
      <c r="AC122" s="42"/>
      <c r="AD122" s="83">
        <f>IFERROR(P122,$AD$4)</f>
        <v>25569.5</v>
      </c>
      <c r="AE122" s="7">
        <f>IFERROR(U122,0)</f>
      </c>
      <c r="AF122" s="3"/>
      <c r="AG122" s="86">
        <f>Q121+S122+T122+U122</f>
      </c>
      <c r="AH122" s="86">
        <f>Q122+R122+X122</f>
      </c>
      <c r="AI122" s="59">
        <f>AH122-AG122</f>
      </c>
      <c r="AJ122" s="3"/>
      <c r="AK122" s="3"/>
    </row>
    <row x14ac:dyDescent="0.25" r="123" customHeight="1" ht="18.75">
      <c r="A123" s="3"/>
      <c r="B123" s="71"/>
      <c r="C123" s="3"/>
      <c r="D123" s="3"/>
      <c r="E123" s="3"/>
      <c r="F123" s="3"/>
      <c r="G123" s="59">
        <f>H123-DATE(YEAR(H123),1,0)+1</f>
      </c>
      <c r="H123" s="79">
        <f>H122+1</f>
        <v>25569.5</v>
      </c>
      <c r="I123" s="80">
        <f>HLOOKUP($H$4,'Met Data'!$A$2:$F$368,G123,FALSE)</f>
      </c>
      <c r="J123" s="80">
        <f>HLOOKUP($H$4,'Met Data'!$H$2:$M$368,G123,FALSE)*L123</f>
      </c>
      <c r="K123" s="81">
        <f>HLOOKUP($H$4,'Met Data'!$O$2:$T$368,G123,FALSE)</f>
      </c>
      <c r="L123" s="7">
        <f>IF(H123&lt;$B$31,$J$3,$J$4)</f>
      </c>
      <c r="M123" s="3"/>
      <c r="N123" s="82">
        <f>IF(P123&lt;$P$3,TRUE,FALSE)</f>
      </c>
      <c r="O123" s="82">
        <f>AND(IF(P123&gt;($P$2-1),TRUE,FALSE),IF(P123&lt;($P$3+1),TRUE,FALSE))</f>
      </c>
      <c r="P123" s="83">
        <v>45092</v>
      </c>
      <c r="Q123" s="8">
        <v>40.34512656237928</v>
      </c>
      <c r="R123" s="8">
        <v>1.92475984776019</v>
      </c>
      <c r="S123" s="8">
        <v>3.4367664048412433e-10</v>
      </c>
      <c r="T123" s="8">
        <v>0.7878488536807235</v>
      </c>
      <c r="U123" s="7">
        <v>0</v>
      </c>
      <c r="V123" s="8">
        <v>377.556956448814</v>
      </c>
      <c r="W123" s="8">
        <v>293.280850098632</v>
      </c>
      <c r="X123" s="7">
        <v>0</v>
      </c>
      <c r="Y123" s="7">
        <v>1</v>
      </c>
      <c r="Z123" s="8">
        <v>5.092475206005588</v>
      </c>
      <c r="AA123" s="7">
        <v>0</v>
      </c>
      <c r="AB123" s="8">
        <v>0.999999999999996</v>
      </c>
      <c r="AC123" s="42"/>
      <c r="AD123" s="83">
        <f>IFERROR(P123,$AD$4)</f>
        <v>25569.5</v>
      </c>
      <c r="AE123" s="7">
        <f>IFERROR(U123,0)</f>
      </c>
      <c r="AF123" s="3"/>
      <c r="AG123" s="86">
        <f>Q122+S123+T123+U123</f>
      </c>
      <c r="AH123" s="86">
        <f>Q123+R123+X123</f>
      </c>
      <c r="AI123" s="59">
        <f>AH123-AG123</f>
      </c>
      <c r="AJ123" s="3"/>
      <c r="AK123" s="3"/>
    </row>
    <row x14ac:dyDescent="0.25" r="124" customHeight="1" ht="18.75">
      <c r="A124" s="3"/>
      <c r="B124" s="71"/>
      <c r="C124" s="3"/>
      <c r="D124" s="3"/>
      <c r="E124" s="3"/>
      <c r="F124" s="3"/>
      <c r="G124" s="59">
        <f>H124-DATE(YEAR(H124),1,0)+1</f>
      </c>
      <c r="H124" s="79">
        <f>H123+1</f>
        <v>25569.5</v>
      </c>
      <c r="I124" s="80">
        <f>HLOOKUP($H$4,'Met Data'!$A$2:$F$368,G124,FALSE)</f>
      </c>
      <c r="J124" s="80">
        <f>HLOOKUP($H$4,'Met Data'!$H$2:$M$368,G124,FALSE)*L124</f>
      </c>
      <c r="K124" s="81">
        <f>HLOOKUP($H$4,'Met Data'!$O$2:$T$368,G124,FALSE)</f>
      </c>
      <c r="L124" s="7">
        <f>IF(H124&lt;$B$31,$J$3,$J$4)</f>
      </c>
      <c r="M124" s="3"/>
      <c r="N124" s="82">
        <f>IF(P124&lt;$P$3,TRUE,FALSE)</f>
      </c>
      <c r="O124" s="82">
        <f>AND(IF(P124&gt;($P$2-1),TRUE,FALSE),IF(P124&lt;($P$3+1),TRUE,FALSE))</f>
      </c>
      <c r="P124" s="83">
        <v>45093</v>
      </c>
      <c r="Q124" s="8">
        <v>39.32618795240177</v>
      </c>
      <c r="R124" s="8">
        <v>1.765239950281</v>
      </c>
      <c r="S124" s="8">
        <v>2.822814579233258e-10</v>
      </c>
      <c r="T124" s="8">
        <v>0.746301340021204</v>
      </c>
      <c r="U124" s="7">
        <v>0</v>
      </c>
      <c r="V124" s="8">
        <v>379.322196399095</v>
      </c>
      <c r="W124" s="8">
        <v>294.652063274297</v>
      </c>
      <c r="X124" s="7">
        <v>0</v>
      </c>
      <c r="Y124" s="7">
        <v>1</v>
      </c>
      <c r="Z124" s="8">
        <v>2.891706582931178</v>
      </c>
      <c r="AA124" s="7">
        <v>0</v>
      </c>
      <c r="AB124" s="8">
        <v>0.999999999999997</v>
      </c>
      <c r="AC124" s="42"/>
      <c r="AD124" s="83">
        <f>IFERROR(P124,$AD$4)</f>
        <v>25569.5</v>
      </c>
      <c r="AE124" s="7">
        <f>IFERROR(U124,0)</f>
      </c>
      <c r="AF124" s="3"/>
      <c r="AG124" s="86">
        <f>Q123+S124+T124+U124</f>
      </c>
      <c r="AH124" s="86">
        <f>Q124+R124+X124</f>
      </c>
      <c r="AI124" s="59">
        <f>AH124-AG124</f>
      </c>
      <c r="AJ124" s="3"/>
      <c r="AK124" s="3"/>
    </row>
    <row x14ac:dyDescent="0.25" r="125" customHeight="1" ht="18.75">
      <c r="A125" s="3"/>
      <c r="B125" s="71"/>
      <c r="C125" s="3"/>
      <c r="D125" s="3"/>
      <c r="E125" s="3"/>
      <c r="F125" s="3"/>
      <c r="G125" s="59">
        <f>H125-DATE(YEAR(H125),1,0)+1</f>
      </c>
      <c r="H125" s="79">
        <f>H124+1</f>
        <v>25569.5</v>
      </c>
      <c r="I125" s="80">
        <f>HLOOKUP($H$4,'Met Data'!$A$2:$F$368,G125,FALSE)</f>
      </c>
      <c r="J125" s="80">
        <f>HLOOKUP($H$4,'Met Data'!$H$2:$M$368,G125,FALSE)*L125</f>
      </c>
      <c r="K125" s="81">
        <f>HLOOKUP($H$4,'Met Data'!$O$2:$T$368,G125,FALSE)</f>
      </c>
      <c r="L125" s="7">
        <f>IF(H125&lt;$B$31,$J$3,$J$4)</f>
      </c>
      <c r="M125" s="3"/>
      <c r="N125" s="82">
        <f>IF(P125&lt;$P$3,TRUE,FALSE)</f>
      </c>
      <c r="O125" s="82">
        <f>AND(IF(P125&gt;($P$2-1),TRUE,FALSE),IF(P125&lt;($P$3+1),TRUE,FALSE))</f>
      </c>
      <c r="P125" s="83">
        <v>45094</v>
      </c>
      <c r="Q125" s="8">
        <v>38.35990642459291</v>
      </c>
      <c r="R125" s="8">
        <v>1.7177851200276</v>
      </c>
      <c r="S125" s="8">
        <v>2.4784919024642366e-10</v>
      </c>
      <c r="T125" s="8">
        <v>0.7515035919709123</v>
      </c>
      <c r="U125" s="7">
        <v>0</v>
      </c>
      <c r="V125" s="8">
        <v>381.039981519123</v>
      </c>
      <c r="W125" s="8">
        <v>295.986414215747</v>
      </c>
      <c r="X125" s="7">
        <v>0</v>
      </c>
      <c r="Y125" s="7">
        <v>1</v>
      </c>
      <c r="Z125" s="8">
        <v>3.3935156791244054</v>
      </c>
      <c r="AA125" s="7">
        <v>0</v>
      </c>
      <c r="AB125" s="8">
        <v>0.985625581918048</v>
      </c>
      <c r="AC125" s="42"/>
      <c r="AD125" s="83">
        <f>IFERROR(P125,$AD$4)</f>
        <v>25569.5</v>
      </c>
      <c r="AE125" s="7">
        <f>IFERROR(U125,0)</f>
      </c>
      <c r="AF125" s="3"/>
      <c r="AG125" s="86">
        <f>Q124+S125+T125+U125</f>
      </c>
      <c r="AH125" s="86">
        <f>Q125+R125+X125</f>
      </c>
      <c r="AI125" s="59">
        <f>AH125-AG125</f>
      </c>
      <c r="AJ125" s="3"/>
      <c r="AK125" s="3"/>
    </row>
    <row x14ac:dyDescent="0.25" r="126" customHeight="1" ht="18.75">
      <c r="A126" s="3"/>
      <c r="B126" s="71"/>
      <c r="C126" s="3"/>
      <c r="D126" s="3"/>
      <c r="E126" s="3"/>
      <c r="F126" s="3"/>
      <c r="G126" s="59">
        <f>H126-DATE(YEAR(H126),1,0)+1</f>
      </c>
      <c r="H126" s="79">
        <f>H125+1</f>
        <v>25569.5</v>
      </c>
      <c r="I126" s="80">
        <f>HLOOKUP($H$4,'Met Data'!$A$2:$F$368,G126,FALSE)</f>
      </c>
      <c r="J126" s="80">
        <f>HLOOKUP($H$4,'Met Data'!$H$2:$M$368,G126,FALSE)*L126</f>
      </c>
      <c r="K126" s="81">
        <f>HLOOKUP($H$4,'Met Data'!$O$2:$T$368,G126,FALSE)</f>
      </c>
      <c r="L126" s="7">
        <f>IF(H126&lt;$B$31,$J$3,$J$4)</f>
      </c>
      <c r="M126" s="3"/>
      <c r="N126" s="82">
        <f>IF(P126&lt;$P$3,TRUE,FALSE)</f>
      </c>
      <c r="O126" s="82">
        <f>AND(IF(P126&gt;($P$2-1),TRUE,FALSE),IF(P126&lt;($P$3+1),TRUE,FALSE))</f>
      </c>
      <c r="P126" s="83">
        <v>45095</v>
      </c>
      <c r="Q126" s="8">
        <v>37.4102036089557</v>
      </c>
      <c r="R126" s="8">
        <v>1.73992836892972</v>
      </c>
      <c r="S126" s="8">
        <v>2.265839911722095e-10</v>
      </c>
      <c r="T126" s="8">
        <v>0.7902255530659498</v>
      </c>
      <c r="U126" s="7">
        <v>0</v>
      </c>
      <c r="V126" s="8">
        <v>382.779909888053</v>
      </c>
      <c r="W126" s="8">
        <v>297.337965716612</v>
      </c>
      <c r="X126" s="7">
        <v>0</v>
      </c>
      <c r="Y126" s="7">
        <v>1</v>
      </c>
      <c r="Z126" s="8">
        <v>3.618516390030379</v>
      </c>
      <c r="AA126" s="7">
        <v>0</v>
      </c>
      <c r="AB126" s="8">
        <v>0.969116811944273</v>
      </c>
      <c r="AC126" s="42"/>
      <c r="AD126" s="83">
        <f>IFERROR(P126,$AD$4)</f>
        <v>25569.5</v>
      </c>
      <c r="AE126" s="7">
        <f>IFERROR(U126,0)</f>
      </c>
      <c r="AF126" s="3"/>
      <c r="AG126" s="86">
        <f>Q125+S126+T126+U126</f>
      </c>
      <c r="AH126" s="86">
        <f>Q126+R126+X126</f>
      </c>
      <c r="AI126" s="59">
        <f>AH126-AG126</f>
      </c>
      <c r="AJ126" s="3"/>
      <c r="AK126" s="3"/>
    </row>
    <row x14ac:dyDescent="0.25" r="127" customHeight="1" ht="18.75">
      <c r="A127" s="3"/>
      <c r="B127" s="71"/>
      <c r="C127" s="3"/>
      <c r="D127" s="3"/>
      <c r="E127" s="3"/>
      <c r="F127" s="3"/>
      <c r="G127" s="59">
        <f>H127-DATE(YEAR(H127),1,0)+1</f>
      </c>
      <c r="H127" s="79">
        <f>H126+1</f>
        <v>25569.5</v>
      </c>
      <c r="I127" s="80">
        <f>HLOOKUP($H$4,'Met Data'!$A$2:$F$368,G127,FALSE)</f>
      </c>
      <c r="J127" s="80">
        <f>HLOOKUP($H$4,'Met Data'!$H$2:$M$368,G127,FALSE)*L127</f>
      </c>
      <c r="K127" s="81">
        <f>HLOOKUP($H$4,'Met Data'!$O$2:$T$368,G127,FALSE)</f>
      </c>
      <c r="L127" s="7">
        <f>IF(H127&lt;$B$31,$J$3,$J$4)</f>
      </c>
      <c r="M127" s="3"/>
      <c r="N127" s="82">
        <f>IF(P127&lt;$P$3,TRUE,FALSE)</f>
      </c>
      <c r="O127" s="82">
        <f>AND(IF(P127&gt;($P$2-1),TRUE,FALSE),IF(P127&lt;($P$3+1),TRUE,FALSE))</f>
      </c>
      <c r="P127" s="83">
        <v>45096</v>
      </c>
      <c r="Q127" s="8">
        <v>36.54869451565921</v>
      </c>
      <c r="R127" s="8">
        <v>1.62574197037418</v>
      </c>
      <c r="S127" s="8">
        <v>1.898158625367435e-10</v>
      </c>
      <c r="T127" s="8">
        <v>0.7642328768878673</v>
      </c>
      <c r="U127" s="7">
        <v>0</v>
      </c>
      <c r="V127" s="8">
        <v>384.405651858427</v>
      </c>
      <c r="W127" s="8">
        <v>298.600818854314</v>
      </c>
      <c r="X127" s="7">
        <v>0</v>
      </c>
      <c r="Y127" s="7">
        <v>1</v>
      </c>
      <c r="Z127" s="8">
        <v>2.9352850631103706</v>
      </c>
      <c r="AA127" s="7">
        <v>0</v>
      </c>
      <c r="AB127" s="8">
        <v>0.953126231810435</v>
      </c>
      <c r="AC127" s="42"/>
      <c r="AD127" s="83">
        <f>IFERROR(P127,$AD$4)</f>
        <v>25569.5</v>
      </c>
      <c r="AE127" s="7">
        <f>IFERROR(U127,0)</f>
      </c>
      <c r="AF127" s="3"/>
      <c r="AG127" s="86">
        <f>Q126+S127+T127+U127</f>
      </c>
      <c r="AH127" s="86">
        <f>Q127+R127+X127</f>
      </c>
      <c r="AI127" s="59">
        <f>AH127-AG127</f>
      </c>
      <c r="AJ127" s="3"/>
      <c r="AK127" s="3"/>
    </row>
    <row x14ac:dyDescent="0.25" r="128" customHeight="1" ht="18.75">
      <c r="A128" s="3"/>
      <c r="B128" s="71"/>
      <c r="C128" s="3"/>
      <c r="D128" s="3"/>
      <c r="E128" s="3"/>
      <c r="F128" s="3"/>
      <c r="G128" s="59">
        <f>H128-DATE(YEAR(H128),1,0)+1</f>
      </c>
      <c r="H128" s="79">
        <f>H127+1</f>
        <v>25569.5</v>
      </c>
      <c r="I128" s="80">
        <f>HLOOKUP($H$4,'Met Data'!$A$2:$F$368,G128,FALSE)</f>
      </c>
      <c r="J128" s="80">
        <f>HLOOKUP($H$4,'Met Data'!$H$2:$M$368,G128,FALSE)*L128</f>
      </c>
      <c r="K128" s="81">
        <f>HLOOKUP($H$4,'Met Data'!$O$2:$T$368,G128,FALSE)</f>
      </c>
      <c r="L128" s="7">
        <f>IF(H128&lt;$B$31,$J$3,$J$4)</f>
      </c>
      <c r="M128" s="3"/>
      <c r="N128" s="82">
        <f>IF(P128&lt;$P$3,TRUE,FALSE)</f>
      </c>
      <c r="O128" s="82">
        <f>AND(IF(P128&gt;($P$2-1),TRUE,FALSE),IF(P128&lt;($P$3+1),TRUE,FALSE))</f>
      </c>
      <c r="P128" s="83">
        <v>45097</v>
      </c>
      <c r="Q128" s="8">
        <v>35.73301310171212</v>
      </c>
      <c r="R128" s="8">
        <v>1.59201830426252</v>
      </c>
      <c r="S128" s="8">
        <v>1.6747576947344228e-10</v>
      </c>
      <c r="T128" s="8">
        <v>0.7763368901479459</v>
      </c>
      <c r="U128" s="7">
        <v>0</v>
      </c>
      <c r="V128" s="8">
        <v>385.997670162689</v>
      </c>
      <c r="W128" s="8">
        <v>299.837475929946</v>
      </c>
      <c r="X128" s="7">
        <v>0</v>
      </c>
      <c r="Y128" s="7">
        <v>1</v>
      </c>
      <c r="Z128" s="8">
        <v>4.6366178696521985</v>
      </c>
      <c r="AA128" s="7">
        <v>0</v>
      </c>
      <c r="AB128" s="8">
        <v>0.936892987166187</v>
      </c>
      <c r="AC128" s="42"/>
      <c r="AD128" s="83">
        <f>IFERROR(P128,$AD$4)</f>
        <v>25569.5</v>
      </c>
      <c r="AE128" s="7">
        <f>IFERROR(U128,0)</f>
      </c>
      <c r="AF128" s="3"/>
      <c r="AG128" s="86">
        <f>Q127+S128+T128+U128</f>
      </c>
      <c r="AH128" s="86">
        <f>Q128+R128+X128</f>
      </c>
      <c r="AI128" s="59">
        <f>AH128-AG128</f>
      </c>
      <c r="AJ128" s="3"/>
      <c r="AK128" s="3"/>
    </row>
    <row x14ac:dyDescent="0.25" r="129" customHeight="1" ht="18.75">
      <c r="A129" s="3"/>
      <c r="B129" s="71"/>
      <c r="C129" s="3"/>
      <c r="D129" s="3"/>
      <c r="E129" s="3"/>
      <c r="F129" s="3"/>
      <c r="G129" s="59">
        <f>H129-DATE(YEAR(H129),1,0)+1</f>
      </c>
      <c r="H129" s="79">
        <f>H128+1</f>
        <v>25569.5</v>
      </c>
      <c r="I129" s="80">
        <f>HLOOKUP($H$4,'Met Data'!$A$2:$F$368,G129,FALSE)</f>
      </c>
      <c r="J129" s="80">
        <f>HLOOKUP($H$4,'Met Data'!$H$2:$M$368,G129,FALSE)*L129</f>
      </c>
      <c r="K129" s="81">
        <f>HLOOKUP($H$4,'Met Data'!$O$2:$T$368,G129,FALSE)</f>
      </c>
      <c r="L129" s="7">
        <f>IF(H129&lt;$B$31,$J$3,$J$4)</f>
      </c>
      <c r="M129" s="3"/>
      <c r="N129" s="82">
        <f>IF(P129&lt;$P$3,TRUE,FALSE)</f>
      </c>
      <c r="O129" s="82">
        <f>AND(IF(P129&gt;($P$2-1),TRUE,FALSE),IF(P129&lt;($P$3+1),TRUE,FALSE))</f>
      </c>
      <c r="P129" s="83">
        <v>45098</v>
      </c>
      <c r="Q129" s="8">
        <v>34.96760908867532</v>
      </c>
      <c r="R129" s="8">
        <v>1.55000447773881</v>
      </c>
      <c r="S129" s="8">
        <v>1.466933100808026e-10</v>
      </c>
      <c r="T129" s="8">
        <v>0.7846004645553352</v>
      </c>
      <c r="U129" s="7">
        <v>0</v>
      </c>
      <c r="V129" s="8">
        <v>387.547674640428</v>
      </c>
      <c r="W129" s="8">
        <v>301.041497265332</v>
      </c>
      <c r="X129" s="7">
        <v>0</v>
      </c>
      <c r="Y129" s="7">
        <v>1</v>
      </c>
      <c r="Z129" s="8">
        <v>0.910938976899061</v>
      </c>
      <c r="AA129" s="7">
        <v>0</v>
      </c>
      <c r="AB129" s="8">
        <v>0.920495438426349</v>
      </c>
      <c r="AC129" s="42"/>
      <c r="AD129" s="83">
        <f>IFERROR(P129,$AD$4)</f>
        <v>25569.5</v>
      </c>
      <c r="AE129" s="7">
        <f>IFERROR(U129,0)</f>
      </c>
      <c r="AF129" s="3"/>
      <c r="AG129" s="86">
        <f>Q128+S129+T129+U129</f>
      </c>
      <c r="AH129" s="86">
        <f>Q129+R129+X129</f>
      </c>
      <c r="AI129" s="59">
        <f>AH129-AG129</f>
      </c>
      <c r="AJ129" s="3"/>
      <c r="AK129" s="3"/>
    </row>
    <row x14ac:dyDescent="0.25" r="130" customHeight="1" ht="18.75">
      <c r="A130" s="3"/>
      <c r="B130" s="71"/>
      <c r="C130" s="3"/>
      <c r="D130" s="3"/>
      <c r="E130" s="3"/>
      <c r="F130" s="3"/>
      <c r="G130" s="59">
        <f>H130-DATE(YEAR(H130),1,0)+1</f>
      </c>
      <c r="H130" s="79">
        <f>H129+1</f>
        <v>25569.5</v>
      </c>
      <c r="I130" s="80">
        <f>HLOOKUP($H$4,'Met Data'!$A$2:$F$368,G130,FALSE)</f>
      </c>
      <c r="J130" s="80">
        <f>HLOOKUP($H$4,'Met Data'!$H$2:$M$368,G130,FALSE)*L130</f>
      </c>
      <c r="K130" s="81">
        <f>HLOOKUP($H$4,'Met Data'!$O$2:$T$368,G130,FALSE)</f>
      </c>
      <c r="L130" s="7">
        <f>IF(H130&lt;$B$31,$J$3,$J$4)</f>
      </c>
      <c r="M130" s="3"/>
      <c r="N130" s="82">
        <f>IF(P130&lt;$P$3,TRUE,FALSE)</f>
      </c>
      <c r="O130" s="82">
        <f>AND(IF(P130&gt;($P$2-1),TRUE,FALSE),IF(P130&lt;($P$3+1),TRUE,FALSE))</f>
      </c>
      <c r="P130" s="83">
        <v>45099</v>
      </c>
      <c r="Q130" s="8">
        <v>34.27893475666039</v>
      </c>
      <c r="R130" s="8">
        <v>1.44804917345044</v>
      </c>
      <c r="S130" s="8">
        <v>1.2309328130963284e-10</v>
      </c>
      <c r="T130" s="8">
        <v>0.7593748413124228</v>
      </c>
      <c r="U130" s="7">
        <v>0</v>
      </c>
      <c r="V130" s="8">
        <v>388.995723813878</v>
      </c>
      <c r="W130" s="8">
        <v>302.166321176852</v>
      </c>
      <c r="X130" s="7">
        <v>0</v>
      </c>
      <c r="Y130" s="7">
        <v>1</v>
      </c>
      <c r="Z130" s="8">
        <v>0.8862684967014332</v>
      </c>
      <c r="AA130" s="7">
        <v>0</v>
      </c>
      <c r="AB130" s="8">
        <v>0.904602935198801</v>
      </c>
      <c r="AC130" s="42"/>
      <c r="AD130" s="83">
        <f>IFERROR(P130,$AD$4)</f>
        <v>25569.5</v>
      </c>
      <c r="AE130" s="7">
        <f>IFERROR(U130,0)</f>
      </c>
      <c r="AF130" s="3"/>
      <c r="AG130" s="86">
        <f>Q129+S130+T130+U130</f>
      </c>
      <c r="AH130" s="86">
        <f>Q130+R130+X130</f>
      </c>
      <c r="AI130" s="59">
        <f>AH130-AG130</f>
      </c>
      <c r="AJ130" s="3"/>
      <c r="AK130" s="3"/>
    </row>
    <row x14ac:dyDescent="0.25" r="131" customHeight="1" ht="18.75">
      <c r="A131" s="3"/>
      <c r="B131" s="71"/>
      <c r="C131" s="3"/>
      <c r="D131" s="3"/>
      <c r="E131" s="3"/>
      <c r="F131" s="3"/>
      <c r="G131" s="59">
        <f>H131-DATE(YEAR(H131),1,0)+1</f>
      </c>
      <c r="H131" s="79">
        <f>H130+1</f>
        <v>25569.5</v>
      </c>
      <c r="I131" s="80">
        <f>HLOOKUP($H$4,'Met Data'!$A$2:$F$368,G131,FALSE)</f>
      </c>
      <c r="J131" s="80">
        <f>HLOOKUP($H$4,'Met Data'!$H$2:$M$368,G131,FALSE)*L131</f>
      </c>
      <c r="K131" s="81">
        <f>HLOOKUP($H$4,'Met Data'!$O$2:$T$368,G131,FALSE)</f>
      </c>
      <c r="L131" s="7">
        <f>IF(H131&lt;$B$31,$J$3,$J$4)</f>
      </c>
      <c r="M131" s="3"/>
      <c r="N131" s="82">
        <f>IF(P131&lt;$P$3,TRUE,FALSE)</f>
      </c>
      <c r="O131" s="82">
        <f>AND(IF(P131&gt;($P$2-1),TRUE,FALSE),IF(P131&lt;($P$3+1),TRUE,FALSE))</f>
      </c>
      <c r="P131" s="83">
        <v>45100</v>
      </c>
      <c r="Q131" s="8">
        <v>33.65642139878224</v>
      </c>
      <c r="R131" s="8">
        <v>1.36307350395111</v>
      </c>
      <c r="S131" s="8">
        <v>1.0449647252249823e-10</v>
      </c>
      <c r="T131" s="8">
        <v>0.7405601459684665</v>
      </c>
      <c r="U131" s="7">
        <v>0</v>
      </c>
      <c r="V131" s="8">
        <v>390.35879731783</v>
      </c>
      <c r="W131" s="8">
        <v>303.225137202243</v>
      </c>
      <c r="X131" s="7">
        <v>0</v>
      </c>
      <c r="Y131" s="7">
        <v>1</v>
      </c>
      <c r="Z131" s="8">
        <v>3.7000421070327576</v>
      </c>
      <c r="AA131" s="7">
        <v>0</v>
      </c>
      <c r="AB131" s="8">
        <v>0.889094060969827</v>
      </c>
      <c r="AC131" s="42"/>
      <c r="AD131" s="83">
        <f>IFERROR(P131,$AD$4)</f>
        <v>25569.5</v>
      </c>
      <c r="AE131" s="7">
        <f>IFERROR(U131,0)</f>
      </c>
      <c r="AF131" s="3"/>
      <c r="AG131" s="86">
        <f>Q130+S131+T131+U131</f>
      </c>
      <c r="AH131" s="86">
        <f>Q131+R131+X131</f>
      </c>
      <c r="AI131" s="59">
        <f>AH131-AG131</f>
      </c>
      <c r="AJ131" s="3"/>
      <c r="AK131" s="3"/>
    </row>
    <row x14ac:dyDescent="0.25" r="132" customHeight="1" ht="18.75">
      <c r="A132" s="3"/>
      <c r="B132" s="71"/>
      <c r="C132" s="3"/>
      <c r="D132" s="3"/>
      <c r="E132" s="3"/>
      <c r="F132" s="3"/>
      <c r="G132" s="59">
        <f>H132-DATE(YEAR(H132),1,0)+1</f>
      </c>
      <c r="H132" s="79">
        <f>H131+1</f>
        <v>25569.5</v>
      </c>
      <c r="I132" s="80">
        <f>HLOOKUP($H$4,'Met Data'!$A$2:$F$368,G132,FALSE)</f>
      </c>
      <c r="J132" s="80">
        <f>HLOOKUP($H$4,'Met Data'!$H$2:$M$368,G132,FALSE)*L132</f>
      </c>
      <c r="K132" s="81">
        <f>HLOOKUP($H$4,'Met Data'!$O$2:$T$368,G132,FALSE)</f>
      </c>
      <c r="L132" s="7">
        <f>IF(H132&lt;$B$31,$J$3,$J$4)</f>
      </c>
      <c r="M132" s="3"/>
      <c r="N132" s="82">
        <f>IF(P132&lt;$P$3,TRUE,FALSE)</f>
      </c>
      <c r="O132" s="82">
        <f>AND(IF(P132&gt;($P$2-1),TRUE,FALSE),IF(P132&lt;($P$3+1),TRUE,FALSE))</f>
      </c>
      <c r="P132" s="83">
        <v>45101</v>
      </c>
      <c r="Q132" s="8">
        <v>33.07615905307762</v>
      </c>
      <c r="R132" s="8">
        <v>1.329020405775</v>
      </c>
      <c r="S132" s="8">
        <v>9.221938849389159e-11</v>
      </c>
      <c r="T132" s="8">
        <v>0.7487580599781579</v>
      </c>
      <c r="U132" s="7">
        <v>0</v>
      </c>
      <c r="V132" s="8">
        <v>391.687817723605</v>
      </c>
      <c r="W132" s="8">
        <v>304.257501267443</v>
      </c>
      <c r="X132" s="7">
        <v>0</v>
      </c>
      <c r="Y132" s="7">
        <v>1</v>
      </c>
      <c r="Z132" s="8">
        <v>5.283556689992537</v>
      </c>
      <c r="AA132" s="7">
        <v>0</v>
      </c>
      <c r="AB132" s="8">
        <v>0.873417283603169</v>
      </c>
      <c r="AC132" s="42"/>
      <c r="AD132" s="83">
        <f>IFERROR(P132,$AD$4)</f>
        <v>25569.5</v>
      </c>
      <c r="AE132" s="7">
        <f>IFERROR(U132,0)</f>
      </c>
      <c r="AF132" s="3"/>
      <c r="AG132" s="86">
        <f>Q131+S132+T132+U132</f>
      </c>
      <c r="AH132" s="86">
        <f>Q132+R132+X132</f>
      </c>
      <c r="AI132" s="59">
        <f>AH132-AG132</f>
      </c>
      <c r="AJ132" s="3"/>
      <c r="AK132" s="3"/>
    </row>
    <row x14ac:dyDescent="0.25" r="133" customHeight="1" ht="18.75">
      <c r="A133" s="3"/>
      <c r="B133" s="71"/>
      <c r="C133" s="3"/>
      <c r="D133" s="3"/>
      <c r="E133" s="3"/>
      <c r="F133" s="3"/>
      <c r="G133" s="59">
        <f>H133-DATE(YEAR(H133),1,0)+1</f>
      </c>
      <c r="H133" s="79">
        <f>H132+1</f>
        <v>25569.5</v>
      </c>
      <c r="I133" s="80">
        <f>HLOOKUP($H$4,'Met Data'!$A$2:$F$368,G133,FALSE)</f>
      </c>
      <c r="J133" s="80">
        <f>HLOOKUP($H$4,'Met Data'!$H$2:$M$368,G133,FALSE)*L133</f>
      </c>
      <c r="K133" s="81">
        <f>HLOOKUP($H$4,'Met Data'!$O$2:$T$368,G133,FALSE)</f>
      </c>
      <c r="L133" s="7">
        <f>IF(H133&lt;$B$31,$J$3,$J$4)</f>
      </c>
      <c r="M133" s="3"/>
      <c r="N133" s="82">
        <f>IF(P133&lt;$P$3,TRUE,FALSE)</f>
      </c>
      <c r="O133" s="82">
        <f>AND(IF(P133&gt;($P$2-1),TRUE,FALSE),IF(P133&lt;($P$3+1),TRUE,FALSE))</f>
      </c>
      <c r="P133" s="83">
        <v>45102</v>
      </c>
      <c r="Q133" s="8">
        <v>32.53578983790314</v>
      </c>
      <c r="R133" s="8">
        <v>1.30150542713358</v>
      </c>
      <c r="S133" s="8">
        <v>8.16750822241623e-11</v>
      </c>
      <c r="T133" s="8">
        <v>0.7611362118774258</v>
      </c>
      <c r="U133" s="7">
        <v>0</v>
      </c>
      <c r="V133" s="8">
        <v>392.989323150738</v>
      </c>
      <c r="W133" s="8">
        <v>305.268492090305</v>
      </c>
      <c r="X133" s="7">
        <v>0</v>
      </c>
      <c r="Y133" s="7">
        <v>1</v>
      </c>
      <c r="Z133" s="8">
        <v>7.426594985383602</v>
      </c>
      <c r="AA133" s="7">
        <v>0</v>
      </c>
      <c r="AB133" s="8">
        <v>0.857489175136444</v>
      </c>
      <c r="AC133" s="42"/>
      <c r="AD133" s="83">
        <f>IFERROR(P133,$AD$4)</f>
        <v>25569.5</v>
      </c>
      <c r="AE133" s="7">
        <f>IFERROR(U133,0)</f>
      </c>
      <c r="AF133" s="3"/>
      <c r="AG133" s="86">
        <f>Q132+S133+T133+U133</f>
      </c>
      <c r="AH133" s="86">
        <f>Q133+R133+X133</f>
      </c>
      <c r="AI133" s="59">
        <f>AH133-AG133</f>
      </c>
      <c r="AJ133" s="3"/>
      <c r="AK133" s="3"/>
    </row>
    <row x14ac:dyDescent="0.25" r="134" customHeight="1" ht="18.75">
      <c r="A134" s="3"/>
      <c r="B134" s="71"/>
      <c r="C134" s="3"/>
      <c r="D134" s="3"/>
      <c r="E134" s="3"/>
      <c r="F134" s="3"/>
      <c r="G134" s="59">
        <f>H134-DATE(YEAR(H134),1,0)+1</f>
      </c>
      <c r="H134" s="79">
        <f>H133+1</f>
        <v>25569.5</v>
      </c>
      <c r="I134" s="80">
        <f>HLOOKUP($H$4,'Met Data'!$A$2:$F$368,G134,FALSE)</f>
      </c>
      <c r="J134" s="80">
        <f>HLOOKUP($H$4,'Met Data'!$H$2:$M$368,G134,FALSE)*L134</f>
      </c>
      <c r="K134" s="81">
        <f>HLOOKUP($H$4,'Met Data'!$O$2:$T$368,G134,FALSE)</f>
      </c>
      <c r="L134" s="7">
        <f>IF(H134&lt;$B$31,$J$3,$J$4)</f>
      </c>
      <c r="M134" s="3"/>
      <c r="N134" s="82">
        <f>IF(P134&lt;$P$3,TRUE,FALSE)</f>
      </c>
      <c r="O134" s="82">
        <f>AND(IF(P134&gt;($P$2-1),TRUE,FALSE),IF(P134&lt;($P$3+1),TRUE,FALSE))</f>
      </c>
      <c r="P134" s="83">
        <v>45103</v>
      </c>
      <c r="Q134" s="8">
        <v>32.058615313474746</v>
      </c>
      <c r="R134" s="8">
        <v>1.21165325202981</v>
      </c>
      <c r="S134" s="8">
        <v>6.8598712081861e-11</v>
      </c>
      <c r="T134" s="8">
        <v>0.7344787275327933</v>
      </c>
      <c r="U134" s="7">
        <v>0</v>
      </c>
      <c r="V134" s="8">
        <v>394.200976402768</v>
      </c>
      <c r="W134" s="8">
        <v>306.20968702715</v>
      </c>
      <c r="X134" s="7">
        <v>0</v>
      </c>
      <c r="Y134" s="7">
        <v>1</v>
      </c>
      <c r="Z134" s="8">
        <v>2.4560773675205496</v>
      </c>
      <c r="AA134" s="7">
        <v>0</v>
      </c>
      <c r="AB134" s="8">
        <v>0.842105617386531</v>
      </c>
      <c r="AC134" s="42"/>
      <c r="AD134" s="83">
        <f>IFERROR(P134,$AD$4)</f>
        <v>25569.5</v>
      </c>
      <c r="AE134" s="7">
        <f>IFERROR(U134,0)</f>
      </c>
      <c r="AF134" s="3"/>
      <c r="AG134" s="86">
        <f>Q133+S134+T134+U134</f>
      </c>
      <c r="AH134" s="86">
        <f>Q134+R134+X134</f>
      </c>
      <c r="AI134" s="59">
        <f>AH134-AG134</f>
      </c>
      <c r="AJ134" s="3"/>
      <c r="AK134" s="3"/>
    </row>
    <row x14ac:dyDescent="0.25" r="135" customHeight="1" ht="18.75">
      <c r="A135" s="3"/>
      <c r="B135" s="71"/>
      <c r="C135" s="3"/>
      <c r="D135" s="3"/>
      <c r="E135" s="3"/>
      <c r="F135" s="3"/>
      <c r="G135" s="59">
        <f>H135-DATE(YEAR(H135),1,0)+1</f>
      </c>
      <c r="H135" s="79">
        <f>H134+1</f>
        <v>25569.5</v>
      </c>
      <c r="I135" s="80">
        <f>HLOOKUP($H$4,'Met Data'!$A$2:$F$368,G135,FALSE)</f>
      </c>
      <c r="J135" s="80">
        <f>HLOOKUP($H$4,'Met Data'!$H$2:$M$368,G135,FALSE)*L135</f>
      </c>
      <c r="K135" s="81">
        <f>HLOOKUP($H$4,'Met Data'!$O$2:$T$368,G135,FALSE)</f>
      </c>
      <c r="L135" s="7">
        <f>IF(H135&lt;$B$31,$J$3,$J$4)</f>
      </c>
      <c r="M135" s="3"/>
      <c r="N135" s="82">
        <f>IF(P135&lt;$P$3,TRUE,FALSE)</f>
      </c>
      <c r="O135" s="82">
        <f>AND(IF(P135&gt;($P$2-1),TRUE,FALSE),IF(P135&lt;($P$3+1),TRUE,FALSE))</f>
      </c>
      <c r="P135" s="83">
        <v>45104</v>
      </c>
      <c r="Q135" s="8">
        <v>31.620882292151236</v>
      </c>
      <c r="R135" s="8">
        <v>1.17932965834876</v>
      </c>
      <c r="S135" s="8">
        <v>6.053260160074524e-11</v>
      </c>
      <c r="T135" s="8">
        <v>0.7415966369647046</v>
      </c>
      <c r="U135" s="7">
        <v>0</v>
      </c>
      <c r="V135" s="8">
        <v>395.380306061117</v>
      </c>
      <c r="W135" s="8">
        <v>307.125773458189</v>
      </c>
      <c r="X135" s="7">
        <v>0</v>
      </c>
      <c r="Y135" s="7">
        <v>1</v>
      </c>
      <c r="Z135" s="8">
        <v>1.338733799577497</v>
      </c>
      <c r="AA135" s="7">
        <v>0</v>
      </c>
      <c r="AB135" s="8">
        <v>0.826575449828245</v>
      </c>
      <c r="AC135" s="42"/>
      <c r="AD135" s="83">
        <f>IFERROR(P135,$AD$4)</f>
        <v>25569.5</v>
      </c>
      <c r="AE135" s="7">
        <f>IFERROR(U135,0)</f>
      </c>
      <c r="AF135" s="3"/>
      <c r="AG135" s="86">
        <f>Q134+S135+T135+U135</f>
      </c>
      <c r="AH135" s="86">
        <f>Q135+R135+X135</f>
      </c>
      <c r="AI135" s="59">
        <f>AH135-AG135</f>
      </c>
      <c r="AJ135" s="3"/>
      <c r="AK135" s="3"/>
    </row>
    <row x14ac:dyDescent="0.25" r="136" customHeight="1" ht="18.75">
      <c r="A136" s="3"/>
      <c r="B136" s="71"/>
      <c r="C136" s="3"/>
      <c r="D136" s="3"/>
      <c r="E136" s="3"/>
      <c r="F136" s="3"/>
      <c r="G136" s="59">
        <f>H136-DATE(YEAR(H136),1,0)+1</f>
      </c>
      <c r="H136" s="79">
        <f>H135+1</f>
        <v>25569.5</v>
      </c>
      <c r="I136" s="80">
        <f>HLOOKUP($H$4,'Met Data'!$A$2:$F$368,G136,FALSE)</f>
      </c>
      <c r="J136" s="80">
        <f>HLOOKUP($H$4,'Met Data'!$H$2:$M$368,G136,FALSE)*L136</f>
      </c>
      <c r="K136" s="81">
        <f>HLOOKUP($H$4,'Met Data'!$O$2:$T$368,G136,FALSE)</f>
      </c>
      <c r="L136" s="7">
        <f>IF(H136&lt;$B$31,$J$3,$J$4)</f>
      </c>
      <c r="M136" s="3"/>
      <c r="N136" s="82">
        <f>IF(P136&lt;$P$3,TRUE,FALSE)</f>
      </c>
      <c r="O136" s="82">
        <f>AND(IF(P136&gt;($P$2-1),TRUE,FALSE),IF(P136&lt;($P$3+1),TRUE,FALSE))</f>
      </c>
      <c r="P136" s="83">
        <v>45105</v>
      </c>
      <c r="Q136" s="8">
        <v>31.230272236493647</v>
      </c>
      <c r="R136" s="8">
        <v>1.12315031949208</v>
      </c>
      <c r="S136" s="8">
        <v>5.2202861277613196e-11</v>
      </c>
      <c r="T136" s="8">
        <v>0.7325402637822719</v>
      </c>
      <c r="U136" s="7">
        <v>0</v>
      </c>
      <c r="V136" s="8">
        <v>396.503456380609</v>
      </c>
      <c r="W136" s="8">
        <v>307.998220581366</v>
      </c>
      <c r="X136" s="7">
        <v>0</v>
      </c>
      <c r="Y136" s="7">
        <v>1</v>
      </c>
      <c r="Z136" s="8">
        <v>4.352682052929026</v>
      </c>
      <c r="AA136" s="7">
        <v>0</v>
      </c>
      <c r="AB136" s="8">
        <v>0.811231975055498</v>
      </c>
      <c r="AC136" s="42"/>
      <c r="AD136" s="83">
        <f>IFERROR(P136,$AD$4)</f>
        <v>25569.5</v>
      </c>
      <c r="AE136" s="7">
        <f>IFERROR(U136,0)</f>
      </c>
      <c r="AF136" s="3"/>
      <c r="AG136" s="86">
        <f>Q135+S136+T136+U136</f>
      </c>
      <c r="AH136" s="86">
        <f>Q136+R136+X136</f>
      </c>
      <c r="AI136" s="59">
        <f>AH136-AG136</f>
      </c>
      <c r="AJ136" s="3"/>
      <c r="AK136" s="3"/>
    </row>
    <row x14ac:dyDescent="0.25" r="137" customHeight="1" ht="18.75">
      <c r="A137" s="3"/>
      <c r="B137" s="71"/>
      <c r="C137" s="3"/>
      <c r="D137" s="3"/>
      <c r="E137" s="3"/>
      <c r="F137" s="3"/>
      <c r="G137" s="59">
        <f>H137-DATE(YEAR(H137),1,0)+1</f>
      </c>
      <c r="H137" s="79">
        <f>H136+1</f>
        <v>25569.5</v>
      </c>
      <c r="I137" s="80">
        <f>HLOOKUP($H$4,'Met Data'!$A$2:$F$368,G137,FALSE)</f>
      </c>
      <c r="J137" s="80">
        <f>HLOOKUP($H$4,'Met Data'!$H$2:$M$368,G137,FALSE)*L137</f>
      </c>
      <c r="K137" s="81">
        <f>HLOOKUP($H$4,'Met Data'!$O$2:$T$368,G137,FALSE)</f>
      </c>
      <c r="L137" s="7">
        <f>IF(H137&lt;$B$31,$J$3,$J$4)</f>
      </c>
      <c r="M137" s="3"/>
      <c r="N137" s="82">
        <f>IF(P137&lt;$P$3,TRUE,FALSE)</f>
      </c>
      <c r="O137" s="82">
        <f>AND(IF(P137&gt;($P$2-1),TRUE,FALSE),IF(P137&lt;($P$3+1),TRUE,FALSE))</f>
      </c>
      <c r="P137" s="83">
        <v>45106</v>
      </c>
      <c r="Q137" s="8">
        <v>30.876895652236385</v>
      </c>
      <c r="R137" s="8">
        <v>1.09351454580008</v>
      </c>
      <c r="S137" s="8">
        <v>4.6113147067516476e-11</v>
      </c>
      <c r="T137" s="8">
        <v>0.7401379614967183</v>
      </c>
      <c r="U137" s="7">
        <v>0</v>
      </c>
      <c r="V137" s="8">
        <v>397.596970926409</v>
      </c>
      <c r="W137" s="8">
        <v>308.847647058907</v>
      </c>
      <c r="X137" s="7">
        <v>0</v>
      </c>
      <c r="Y137" s="7">
        <v>1</v>
      </c>
      <c r="Z137" s="8">
        <v>3.9677727339223594</v>
      </c>
      <c r="AA137" s="7">
        <v>0</v>
      </c>
      <c r="AB137" s="8">
        <v>0.795731779453111</v>
      </c>
      <c r="AC137" s="42"/>
      <c r="AD137" s="83">
        <f>IFERROR(P137,$AD$4)</f>
        <v>25569.5</v>
      </c>
      <c r="AE137" s="7">
        <f>IFERROR(U137,0)</f>
      </c>
      <c r="AF137" s="3"/>
      <c r="AG137" s="86">
        <f>Q136+S137+T137+U137</f>
      </c>
      <c r="AH137" s="86">
        <f>Q137+R137+X137</f>
      </c>
      <c r="AI137" s="59">
        <f>AH137-AG137</f>
      </c>
      <c r="AJ137" s="3"/>
      <c r="AK137" s="3"/>
    </row>
    <row x14ac:dyDescent="0.25" r="138" customHeight="1" ht="18.75">
      <c r="A138" s="3"/>
      <c r="B138" s="71"/>
      <c r="C138" s="3"/>
      <c r="D138" s="3"/>
      <c r="E138" s="3"/>
      <c r="F138" s="3"/>
      <c r="G138" s="59">
        <f>H138-DATE(YEAR(H138),1,0)+1</f>
      </c>
      <c r="H138" s="79">
        <f>H137+1</f>
        <v>25569.5</v>
      </c>
      <c r="I138" s="80">
        <f>HLOOKUP($H$4,'Met Data'!$A$2:$F$368,G138,FALSE)</f>
      </c>
      <c r="J138" s="80">
        <f>HLOOKUP($H$4,'Met Data'!$H$2:$M$368,G138,FALSE)*L138</f>
      </c>
      <c r="K138" s="81">
        <f>HLOOKUP($H$4,'Met Data'!$O$2:$T$368,G138,FALSE)</f>
      </c>
      <c r="L138" s="7">
        <f>IF(H138&lt;$B$31,$J$3,$J$4)</f>
      </c>
      <c r="M138" s="3"/>
      <c r="N138" s="82">
        <f>IF(P138&lt;$P$3,TRUE,FALSE)</f>
      </c>
      <c r="O138" s="82">
        <f>AND(IF(P138&gt;($P$2-1),TRUE,FALSE),IF(P138&lt;($P$3+1),TRUE,FALSE))</f>
      </c>
      <c r="P138" s="83">
        <v>45107</v>
      </c>
      <c r="Q138" s="8">
        <v>30.561387215510877</v>
      </c>
      <c r="R138" s="8">
        <v>1.061575859627</v>
      </c>
      <c r="S138" s="8">
        <v>4.0578692148053644e-11</v>
      </c>
      <c r="T138" s="8">
        <v>0.7460674228609103</v>
      </c>
      <c r="U138" s="7">
        <v>0</v>
      </c>
      <c r="V138" s="8">
        <v>398.658546786036</v>
      </c>
      <c r="W138" s="8">
        <v>309.672264021296</v>
      </c>
      <c r="X138" s="7">
        <v>0</v>
      </c>
      <c r="Y138" s="7">
        <v>1</v>
      </c>
      <c r="Z138" s="8">
        <v>6.163102307601719</v>
      </c>
      <c r="AA138" s="7">
        <v>0</v>
      </c>
      <c r="AB138" s="8">
        <v>0.780109980764593</v>
      </c>
      <c r="AC138" s="42"/>
      <c r="AD138" s="83">
        <f>IFERROR(P138,$AD$4)</f>
        <v>25569.5</v>
      </c>
      <c r="AE138" s="7">
        <f>IFERROR(U138,0)</f>
      </c>
      <c r="AF138" s="3"/>
      <c r="AG138" s="86">
        <f>Q137+S138+T138+U138</f>
      </c>
      <c r="AH138" s="86">
        <f>Q138+R138+X138</f>
      </c>
      <c r="AI138" s="59">
        <f>AH138-AG138</f>
      </c>
      <c r="AJ138" s="3"/>
      <c r="AK138" s="3"/>
    </row>
    <row x14ac:dyDescent="0.25" r="139" customHeight="1" ht="18.75">
      <c r="A139" s="3"/>
      <c r="B139" s="71"/>
      <c r="C139" s="3"/>
      <c r="D139" s="3"/>
      <c r="E139" s="3"/>
      <c r="F139" s="3"/>
      <c r="G139" s="59">
        <f>H139-DATE(YEAR(H139),1,0)+1</f>
      </c>
      <c r="H139" s="79">
        <f>H138+1</f>
        <v>25569.5</v>
      </c>
      <c r="I139" s="80">
        <f>HLOOKUP($H$4,'Met Data'!$A$2:$F$368,G139,FALSE)</f>
      </c>
      <c r="J139" s="80">
        <f>HLOOKUP($H$4,'Met Data'!$H$2:$M$368,G139,FALSE)*L139</f>
      </c>
      <c r="K139" s="81">
        <f>HLOOKUP($H$4,'Met Data'!$O$2:$T$368,G139,FALSE)</f>
      </c>
      <c r="L139" s="7">
        <f>IF(H139&lt;$B$31,$J$3,$J$4)</f>
      </c>
      <c r="M139" s="3"/>
      <c r="N139" s="82">
        <f>IF(P139&lt;$P$3,TRUE,FALSE)</f>
      </c>
      <c r="O139" s="82">
        <f>AND(IF(P139&gt;($P$2-1),TRUE,FALSE),IF(P139&lt;($P$3+1),TRUE,FALSE))</f>
      </c>
      <c r="P139" s="83">
        <v>45108</v>
      </c>
      <c r="Q139" s="8">
        <v>30.299681048235755</v>
      </c>
      <c r="R139" s="8">
        <v>0.965307321473801</v>
      </c>
      <c r="S139" s="8">
        <v>3.3385457177239326e-11</v>
      </c>
      <c r="T139" s="8">
        <v>0.7036011541652704</v>
      </c>
      <c r="U139" s="7">
        <v>0</v>
      </c>
      <c r="V139" s="8">
        <v>399.62385410751</v>
      </c>
      <c r="W139" s="8">
        <v>310.422100958512</v>
      </c>
      <c r="X139" s="7">
        <v>0</v>
      </c>
      <c r="Y139" s="7">
        <v>1</v>
      </c>
      <c r="Z139" s="8">
        <v>2.091080662276056</v>
      </c>
      <c r="AA139" s="7">
        <v>0</v>
      </c>
      <c r="AB139" s="8">
        <v>0.765373076990893</v>
      </c>
      <c r="AC139" s="42"/>
      <c r="AD139" s="83">
        <f>IFERROR(P139,$AD$4)</f>
        <v>25569.5</v>
      </c>
      <c r="AE139" s="7">
        <f>IFERROR(U139,0)</f>
      </c>
      <c r="AF139" s="3"/>
      <c r="AG139" s="86">
        <f>Q138+S139+T139+U139</f>
      </c>
      <c r="AH139" s="86">
        <f>Q139+R139+X139</f>
      </c>
      <c r="AI139" s="59">
        <f>AH139-AG139</f>
      </c>
      <c r="AJ139" s="3"/>
      <c r="AK139" s="3"/>
    </row>
    <row x14ac:dyDescent="0.25" r="140" customHeight="1" ht="18.75">
      <c r="A140" s="3"/>
      <c r="B140" s="71"/>
      <c r="C140" s="3"/>
      <c r="D140" s="3"/>
      <c r="E140" s="3"/>
      <c r="F140" s="3"/>
      <c r="G140" s="59">
        <f>H140-DATE(YEAR(H140),1,0)+1</f>
      </c>
      <c r="H140" s="79">
        <f>H139+1</f>
        <v>25569.5</v>
      </c>
      <c r="I140" s="80">
        <f>HLOOKUP($H$4,'Met Data'!$A$2:$F$368,G140,FALSE)</f>
      </c>
      <c r="J140" s="80">
        <f>HLOOKUP($H$4,'Met Data'!$H$2:$M$368,G140,FALSE)*L140</f>
      </c>
      <c r="K140" s="81">
        <f>HLOOKUP($H$4,'Met Data'!$O$2:$T$368,G140,FALSE)</f>
      </c>
      <c r="L140" s="7">
        <f>IF(H140&lt;$B$31,$J$3,$J$4)</f>
      </c>
      <c r="M140" s="3"/>
      <c r="N140" s="82">
        <f>IF(P140&lt;$P$3,TRUE,FALSE)</f>
      </c>
      <c r="O140" s="82">
        <f>AND(IF(P140&gt;($P$2-1),TRUE,FALSE),IF(P140&lt;($P$3+1),TRUE,FALSE))</f>
      </c>
      <c r="P140" s="83">
        <v>45109</v>
      </c>
      <c r="Q140" s="8">
        <v>30.0831391897363</v>
      </c>
      <c r="R140" s="8">
        <v>0.887230440306041</v>
      </c>
      <c r="S140" s="8">
        <v>2.794503558603984e-11</v>
      </c>
      <c r="T140" s="8">
        <v>0.6706885817786606</v>
      </c>
      <c r="U140" s="7">
        <v>0</v>
      </c>
      <c r="V140" s="8">
        <v>400.511084547816</v>
      </c>
      <c r="W140" s="8">
        <v>311.111288889821</v>
      </c>
      <c r="X140" s="7">
        <v>0</v>
      </c>
      <c r="Y140" s="7">
        <v>1</v>
      </c>
      <c r="Z140" s="8">
        <v>2.9428486715873277</v>
      </c>
      <c r="AA140" s="7">
        <v>0</v>
      </c>
      <c r="AB140" s="8">
        <v>0.751345659968422</v>
      </c>
      <c r="AC140" s="42"/>
      <c r="AD140" s="83">
        <f>IFERROR(P140,$AD$4)</f>
        <v>25569.5</v>
      </c>
      <c r="AE140" s="7">
        <f>IFERROR(U140,0)</f>
      </c>
      <c r="AF140" s="3"/>
      <c r="AG140" s="86">
        <f>Q139+S140+T140+U140</f>
      </c>
      <c r="AH140" s="86">
        <f>Q140+R140+X140</f>
      </c>
      <c r="AI140" s="59">
        <f>AH140-AG140</f>
      </c>
      <c r="AJ140" s="3"/>
      <c r="AK140" s="3"/>
    </row>
    <row x14ac:dyDescent="0.25" r="141" customHeight="1" ht="18.75">
      <c r="A141" s="3"/>
      <c r="B141" s="71"/>
      <c r="C141" s="3"/>
      <c r="D141" s="3"/>
      <c r="E141" s="3"/>
      <c r="F141" s="3"/>
      <c r="G141" s="59">
        <f>H141-DATE(YEAR(H141),1,0)+1</f>
      </c>
      <c r="H141" s="79">
        <f>H140+1</f>
        <v>25569.5</v>
      </c>
      <c r="I141" s="80">
        <f>HLOOKUP($H$4,'Met Data'!$A$2:$F$368,G141,FALSE)</f>
      </c>
      <c r="J141" s="80">
        <f>HLOOKUP($H$4,'Met Data'!$H$2:$M$368,G141,FALSE)*L141</f>
      </c>
      <c r="K141" s="81">
        <f>HLOOKUP($H$4,'Met Data'!$O$2:$T$368,G141,FALSE)</f>
      </c>
      <c r="L141" s="7">
        <f>IF(H141&lt;$B$31,$J$3,$J$4)</f>
      </c>
      <c r="M141" s="3"/>
      <c r="N141" s="82">
        <f>IF(P141&lt;$P$3,TRUE,FALSE)</f>
      </c>
      <c r="O141" s="82">
        <f>AND(IF(P141&gt;($P$2-1),TRUE,FALSE),IF(P141&lt;($P$3+1),TRUE,FALSE))</f>
      </c>
      <c r="P141" s="83">
        <v>45110</v>
      </c>
      <c r="Q141" s="8">
        <v>29.893689755343786</v>
      </c>
      <c r="R141" s="8">
        <v>0.869266657874903</v>
      </c>
      <c r="S141" s="8">
        <v>2.508741928293249e-11</v>
      </c>
      <c r="T141" s="8">
        <v>0.6798172234572817</v>
      </c>
      <c r="U141" s="7">
        <v>0</v>
      </c>
      <c r="V141" s="8">
        <v>401.380351205691</v>
      </c>
      <c r="W141" s="8">
        <v>311.786522811563</v>
      </c>
      <c r="X141" s="7">
        <v>0</v>
      </c>
      <c r="Y141" s="7">
        <v>1</v>
      </c>
      <c r="Z141" s="8">
        <v>1.9935841760759843</v>
      </c>
      <c r="AA141" s="7">
        <v>0</v>
      </c>
      <c r="AB141" s="8">
        <v>0.737119272491733</v>
      </c>
      <c r="AC141" s="42"/>
      <c r="AD141" s="83">
        <f>IFERROR(P141,$AD$4)</f>
        <v>25569.5</v>
      </c>
      <c r="AE141" s="7">
        <f>IFERROR(U141,0)</f>
      </c>
      <c r="AF141" s="3"/>
      <c r="AG141" s="86">
        <f>Q140+S141+T141+U141</f>
      </c>
      <c r="AH141" s="86">
        <f>Q141+R141+X141</f>
      </c>
      <c r="AI141" s="59">
        <f>AH141-AG141</f>
      </c>
      <c r="AJ141" s="3"/>
      <c r="AK141" s="3"/>
    </row>
    <row x14ac:dyDescent="0.25" r="142" customHeight="1" ht="18.75">
      <c r="A142" s="3"/>
      <c r="B142" s="71"/>
      <c r="C142" s="3"/>
      <c r="D142" s="3"/>
      <c r="E142" s="3"/>
      <c r="F142" s="3"/>
      <c r="G142" s="59">
        <f>H142-DATE(YEAR(H142),1,0)+1</f>
      </c>
      <c r="H142" s="79">
        <f>H141+1</f>
        <v>25569.5</v>
      </c>
      <c r="I142" s="80">
        <f>HLOOKUP($H$4,'Met Data'!$A$2:$F$368,G142,FALSE)</f>
      </c>
      <c r="J142" s="80">
        <f>HLOOKUP($H$4,'Met Data'!$H$2:$M$368,G142,FALSE)*L142</f>
      </c>
      <c r="K142" s="81">
        <f>HLOOKUP($H$4,'Met Data'!$O$2:$T$368,G142,FALSE)</f>
      </c>
      <c r="L142" s="7">
        <f>IF(H142&lt;$B$31,$J$3,$J$4)</f>
      </c>
      <c r="M142" s="3"/>
      <c r="N142" s="82">
        <f>IF(P142&lt;$P$3,TRUE,FALSE)</f>
      </c>
      <c r="O142" s="82">
        <f>AND(IF(P142&gt;($P$2-1),TRUE,FALSE),IF(P142&lt;($P$3+1),TRUE,FALSE))</f>
      </c>
      <c r="P142" s="83">
        <v>45111</v>
      </c>
      <c r="Q142" s="8">
        <v>29.726325128725676</v>
      </c>
      <c r="R142" s="8">
        <v>0.87975530689738</v>
      </c>
      <c r="S142" s="8">
        <v>2.325122570274855e-11</v>
      </c>
      <c r="T142" s="8">
        <v>0.7123906802560087</v>
      </c>
      <c r="U142" s="7">
        <v>0</v>
      </c>
      <c r="V142" s="8">
        <v>402.260106512588</v>
      </c>
      <c r="W142" s="8">
        <v>312.469904166028</v>
      </c>
      <c r="X142" s="7">
        <v>0</v>
      </c>
      <c r="Y142" s="7">
        <v>1</v>
      </c>
      <c r="Z142" s="8">
        <v>3.965866609014398</v>
      </c>
      <c r="AA142" s="7">
        <v>0</v>
      </c>
      <c r="AB142" s="8">
        <v>0.722196488425275</v>
      </c>
      <c r="AC142" s="42"/>
      <c r="AD142" s="83">
        <f>IFERROR(P142,$AD$4)</f>
        <v>25569.5</v>
      </c>
      <c r="AE142" s="7">
        <f>IFERROR(U142,0)</f>
      </c>
      <c r="AF142" s="3"/>
      <c r="AG142" s="86">
        <f>Q141+S142+T142+U142</f>
      </c>
      <c r="AH142" s="86">
        <f>Q142+R142+X142</f>
      </c>
      <c r="AI142" s="59">
        <f>AH142-AG142</f>
      </c>
      <c r="AJ142" s="3"/>
      <c r="AK142" s="3"/>
    </row>
    <row x14ac:dyDescent="0.25" r="143" customHeight="1" ht="18.75">
      <c r="A143" s="3"/>
      <c r="B143" s="71"/>
      <c r="C143" s="3"/>
      <c r="D143" s="3"/>
      <c r="E143" s="3"/>
      <c r="F143" s="3"/>
      <c r="G143" s="59">
        <f>H143-DATE(YEAR(H143),1,0)+1</f>
      </c>
      <c r="H143" s="79">
        <f>H142+1</f>
        <v>25569.5</v>
      </c>
      <c r="I143" s="80">
        <f>HLOOKUP($H$4,'Met Data'!$A$2:$F$368,G143,FALSE)</f>
      </c>
      <c r="J143" s="80">
        <f>HLOOKUP($H$4,'Met Data'!$H$2:$M$368,G143,FALSE)*L143</f>
      </c>
      <c r="K143" s="81">
        <f>HLOOKUP($H$4,'Met Data'!$O$2:$T$368,G143,FALSE)</f>
      </c>
      <c r="L143" s="7">
        <f>IF(H143&lt;$B$31,$J$3,$J$4)</f>
      </c>
      <c r="M143" s="3"/>
      <c r="N143" s="82">
        <f>IF(P143&lt;$P$3,TRUE,FALSE)</f>
      </c>
      <c r="O143" s="82">
        <f>AND(IF(P143&gt;($P$2-1),TRUE,FALSE),IF(P143&lt;($P$3+1),TRUE,FALSE))</f>
      </c>
      <c r="P143" s="83">
        <v>45112</v>
      </c>
      <c r="Q143" s="8">
        <v>29.58529320293914</v>
      </c>
      <c r="R143" s="8">
        <v>0.88850796590998</v>
      </c>
      <c r="S143" s="8">
        <v>2.140675083853602e-11</v>
      </c>
      <c r="T143" s="8">
        <v>0.7474760401020479</v>
      </c>
      <c r="U143" s="7">
        <v>0</v>
      </c>
      <c r="V143" s="8">
        <v>403.148614478498</v>
      </c>
      <c r="W143" s="8">
        <v>313.160084460976</v>
      </c>
      <c r="X143" s="7">
        <v>0</v>
      </c>
      <c r="Y143" s="7">
        <v>1</v>
      </c>
      <c r="Z143" s="8">
        <v>1.523266523281336</v>
      </c>
      <c r="AA143" s="7">
        <v>0</v>
      </c>
      <c r="AB143" s="8">
        <v>0.706545891381541</v>
      </c>
      <c r="AC143" s="42"/>
      <c r="AD143" s="83">
        <f>IFERROR(P143,$AD$4)</f>
        <v>25569.5</v>
      </c>
      <c r="AE143" s="7">
        <f>IFERROR(U143,0)</f>
      </c>
      <c r="AF143" s="3"/>
      <c r="AG143" s="86">
        <f>Q142+S143+T143+U143</f>
      </c>
      <c r="AH143" s="86">
        <f>Q143+R143+X143</f>
      </c>
      <c r="AI143" s="59">
        <f>AH143-AG143</f>
      </c>
      <c r="AJ143" s="3"/>
      <c r="AK143" s="3"/>
    </row>
    <row x14ac:dyDescent="0.25" r="144" customHeight="1" ht="18.75">
      <c r="A144" s="3"/>
      <c r="B144" s="71"/>
      <c r="C144" s="3"/>
      <c r="D144" s="3"/>
      <c r="E144" s="3"/>
      <c r="F144" s="3"/>
      <c r="G144" s="59">
        <f>H144-DATE(YEAR(H144),1,0)+1</f>
      </c>
      <c r="H144" s="79">
        <f>H143+1</f>
        <v>25569.5</v>
      </c>
      <c r="I144" s="80">
        <f>HLOOKUP($H$4,'Met Data'!$A$2:$F$368,G144,FALSE)</f>
      </c>
      <c r="J144" s="80">
        <f>HLOOKUP($H$4,'Met Data'!$H$2:$M$368,G144,FALSE)*L144</f>
      </c>
      <c r="K144" s="81">
        <f>HLOOKUP($H$4,'Met Data'!$O$2:$T$368,G144,FALSE)</f>
      </c>
      <c r="L144" s="7">
        <f>IF(H144&lt;$B$31,$J$3,$J$4)</f>
      </c>
      <c r="M144" s="3"/>
      <c r="N144" s="82">
        <f>IF(P144&lt;$P$3,TRUE,FALSE)</f>
      </c>
      <c r="O144" s="82">
        <f>AND(IF(P144&gt;($P$2-1),TRUE,FALSE),IF(P144&lt;($P$3+1),TRUE,FALSE))</f>
      </c>
      <c r="P144" s="83">
        <v>45113</v>
      </c>
      <c r="Q144" s="8">
        <v>29.478382977114023</v>
      </c>
      <c r="R144" s="8">
        <v>0.851187293600503</v>
      </c>
      <c r="S144" s="8">
        <v>1.858649091202397e-11</v>
      </c>
      <c r="T144" s="8">
        <v>0.7442770677568067</v>
      </c>
      <c r="U144" s="7">
        <v>0</v>
      </c>
      <c r="V144" s="8">
        <v>403.999801772099</v>
      </c>
      <c r="W144" s="8">
        <v>313.821274590826</v>
      </c>
      <c r="X144" s="7">
        <v>0</v>
      </c>
      <c r="Y144" s="7">
        <v>1</v>
      </c>
      <c r="Z144" s="8">
        <v>3.1344891447679544</v>
      </c>
      <c r="AA144" s="7">
        <v>0</v>
      </c>
      <c r="AB144" s="8">
        <v>0.690960745145116</v>
      </c>
      <c r="AC144" s="42"/>
      <c r="AD144" s="83">
        <f>IFERROR(P144,$AD$4)</f>
        <v>25569.5</v>
      </c>
      <c r="AE144" s="7">
        <f>IFERROR(U144,0)</f>
      </c>
      <c r="AF144" s="3"/>
      <c r="AG144" s="86">
        <f>Q143+S144+T144+U144</f>
      </c>
      <c r="AH144" s="86">
        <f>Q144+R144+X144</f>
      </c>
      <c r="AI144" s="59">
        <f>AH144-AG144</f>
      </c>
      <c r="AJ144" s="3"/>
      <c r="AK144" s="3"/>
    </row>
    <row x14ac:dyDescent="0.25" r="145" customHeight="1" ht="18.75">
      <c r="A145" s="3"/>
      <c r="B145" s="71"/>
      <c r="C145" s="3"/>
      <c r="D145" s="3"/>
      <c r="E145" s="3"/>
      <c r="F145" s="3"/>
      <c r="G145" s="59">
        <f>H145-DATE(YEAR(H145),1,0)+1</f>
      </c>
      <c r="H145" s="79">
        <f>H144+1</f>
        <v>25569.5</v>
      </c>
      <c r="I145" s="80">
        <f>HLOOKUP($H$4,'Met Data'!$A$2:$F$368,G145,FALSE)</f>
      </c>
      <c r="J145" s="80">
        <f>HLOOKUP($H$4,'Met Data'!$H$2:$M$368,G145,FALSE)*L145</f>
      </c>
      <c r="K145" s="81">
        <f>HLOOKUP($H$4,'Met Data'!$O$2:$T$368,G145,FALSE)</f>
      </c>
      <c r="L145" s="7">
        <f>IF(H145&lt;$B$31,$J$3,$J$4)</f>
      </c>
      <c r="M145" s="3"/>
      <c r="N145" s="82">
        <f>IF(P145&lt;$P$3,TRUE,FALSE)</f>
      </c>
      <c r="O145" s="82">
        <f>AND(IF(P145&gt;($P$2-1),TRUE,FALSE),IF(P145&lt;($P$3+1),TRUE,FALSE))</f>
      </c>
      <c r="P145" s="83">
        <v>45114</v>
      </c>
      <c r="Q145" s="8">
        <v>29.40411799799577</v>
      </c>
      <c r="R145" s="8">
        <v>0.814332688941079</v>
      </c>
      <c r="S145" s="8">
        <v>1.6125628988978242e-11</v>
      </c>
      <c r="T145" s="8">
        <v>0.7400677098067119</v>
      </c>
      <c r="U145" s="7">
        <v>0</v>
      </c>
      <c r="V145" s="8">
        <v>404.81413446104</v>
      </c>
      <c r="W145" s="8">
        <v>314.453836590272</v>
      </c>
      <c r="X145" s="7">
        <v>0</v>
      </c>
      <c r="Y145" s="7">
        <v>1</v>
      </c>
      <c r="Z145" s="8">
        <v>1.459172027317038</v>
      </c>
      <c r="AA145" s="7">
        <v>0</v>
      </c>
      <c r="AB145" s="8">
        <v>0.675461993974338</v>
      </c>
      <c r="AC145" s="42"/>
      <c r="AD145" s="83">
        <f>IFERROR(P145,$AD$4)</f>
        <v>25569.5</v>
      </c>
      <c r="AE145" s="7">
        <f>IFERROR(U145,0)</f>
      </c>
      <c r="AF145" s="3"/>
      <c r="AG145" s="86">
        <f>Q144+S145+T145+U145</f>
      </c>
      <c r="AH145" s="86">
        <f>Q145+R145+X145</f>
      </c>
      <c r="AI145" s="59">
        <f>AH145-AG145</f>
      </c>
      <c r="AJ145" s="3"/>
      <c r="AK145" s="3"/>
    </row>
    <row x14ac:dyDescent="0.25" r="146" customHeight="1" ht="18.75">
      <c r="A146" s="3"/>
      <c r="B146" s="71"/>
      <c r="C146" s="3"/>
      <c r="D146" s="3"/>
      <c r="E146" s="3"/>
      <c r="F146" s="3"/>
      <c r="G146" s="59">
        <f>H146-DATE(YEAR(H146),1,0)+1</f>
      </c>
      <c r="H146" s="79">
        <f>H145+1</f>
        <v>25569.5</v>
      </c>
      <c r="I146" s="80">
        <f>HLOOKUP($H$4,'Met Data'!$A$2:$F$368,G146,FALSE)</f>
      </c>
      <c r="J146" s="80">
        <f>HLOOKUP($H$4,'Met Data'!$H$2:$M$368,G146,FALSE)*L146</f>
      </c>
      <c r="K146" s="81">
        <f>HLOOKUP($H$4,'Met Data'!$O$2:$T$368,G146,FALSE)</f>
      </c>
      <c r="L146" s="7">
        <f>IF(H146&lt;$B$31,$J$3,$J$4)</f>
      </c>
      <c r="M146" s="3"/>
      <c r="N146" s="82">
        <f>IF(P146&lt;$P$3,TRUE,FALSE)</f>
      </c>
      <c r="O146" s="82">
        <f>AND(IF(P146&gt;($P$2-1),TRUE,FALSE),IF(P146&lt;($P$3+1),TRUE,FALSE))</f>
      </c>
      <c r="P146" s="83">
        <v>45115</v>
      </c>
      <c r="Q146" s="8">
        <v>29.36143907337089</v>
      </c>
      <c r="R146" s="8">
        <v>0.761347390077844</v>
      </c>
      <c r="S146" s="8">
        <v>1.3676534962227838e-11</v>
      </c>
      <c r="T146" s="8">
        <v>0.7186684654392923</v>
      </c>
      <c r="U146" s="7">
        <v>0</v>
      </c>
      <c r="V146" s="8">
        <v>405.575481851117</v>
      </c>
      <c r="W146" s="8">
        <v>315.045240366493</v>
      </c>
      <c r="X146" s="7">
        <v>0</v>
      </c>
      <c r="Y146" s="7">
        <v>1</v>
      </c>
      <c r="Z146" s="8">
        <v>2.452277580557606</v>
      </c>
      <c r="AA146" s="7">
        <v>0</v>
      </c>
      <c r="AB146" s="8">
        <v>0.660407338651673</v>
      </c>
      <c r="AC146" s="42"/>
      <c r="AD146" s="83">
        <f>IFERROR(P146,$AD$4)</f>
        <v>25569.5</v>
      </c>
      <c r="AE146" s="7">
        <f>IFERROR(U146,0)</f>
      </c>
      <c r="AF146" s="3"/>
      <c r="AG146" s="86">
        <f>Q145+S146+T146+U146</f>
      </c>
      <c r="AH146" s="86">
        <f>Q146+R146+X146</f>
      </c>
      <c r="AI146" s="59">
        <f>AH146-AG146</f>
      </c>
      <c r="AJ146" s="3"/>
      <c r="AK146" s="3"/>
    </row>
    <row x14ac:dyDescent="0.25" r="147" customHeight="1" ht="18.75">
      <c r="A147" s="3"/>
      <c r="B147" s="71"/>
      <c r="C147" s="3"/>
      <c r="D147" s="3"/>
      <c r="E147" s="3"/>
      <c r="F147" s="3"/>
      <c r="G147" s="59">
        <f>H147-DATE(YEAR(H147),1,0)+1</f>
      </c>
      <c r="H147" s="79">
        <f>H146+1</f>
        <v>25569.5</v>
      </c>
      <c r="I147" s="80">
        <f>HLOOKUP($H$4,'Met Data'!$A$2:$F$368,G147,FALSE)</f>
      </c>
      <c r="J147" s="80">
        <f>HLOOKUP($H$4,'Met Data'!$H$2:$M$368,G147,FALSE)*L147</f>
      </c>
      <c r="K147" s="81">
        <f>HLOOKUP($H$4,'Met Data'!$O$2:$T$368,G147,FALSE)</f>
      </c>
      <c r="L147" s="7">
        <f>IF(H147&lt;$B$31,$J$3,$J$4)</f>
      </c>
      <c r="M147" s="3"/>
      <c r="N147" s="82">
        <f>IF(P147&lt;$P$3,TRUE,FALSE)</f>
      </c>
      <c r="O147" s="82">
        <f>AND(IF(P147&gt;($P$2-1),TRUE,FALSE),IF(P147&lt;($P$3+1),TRUE,FALSE))</f>
      </c>
      <c r="P147" s="83">
        <v>45116</v>
      </c>
      <c r="Q147" s="8">
        <v>29.347042341634022</v>
      </c>
      <c r="R147" s="8">
        <v>0.743481454991866</v>
      </c>
      <c r="S147" s="8">
        <v>1.2164285097716343e-11</v>
      </c>
      <c r="T147" s="8">
        <v>0.7290847232428473</v>
      </c>
      <c r="U147" s="7">
        <v>0</v>
      </c>
      <c r="V147" s="8">
        <v>406.318963306109</v>
      </c>
      <c r="W147" s="8">
        <v>315.622766139567</v>
      </c>
      <c r="X147" s="7">
        <v>0</v>
      </c>
      <c r="Y147" s="7">
        <v>1</v>
      </c>
      <c r="Z147" s="8">
        <v>3.149175220725837</v>
      </c>
      <c r="AA147" s="7">
        <v>0</v>
      </c>
      <c r="AB147" s="8">
        <v>0.6451354836129</v>
      </c>
      <c r="AC147" s="42"/>
      <c r="AD147" s="83">
        <f>IFERROR(P147,$AD$4)</f>
        <v>25569.5</v>
      </c>
      <c r="AE147" s="7">
        <f>IFERROR(U147,0)</f>
      </c>
      <c r="AF147" s="3"/>
      <c r="AG147" s="86">
        <f>Q146+S147+T147+U147</f>
      </c>
      <c r="AH147" s="86">
        <f>Q147+R147+X147</f>
      </c>
      <c r="AI147" s="59">
        <f>AH147-AG147</f>
      </c>
      <c r="AJ147" s="3"/>
      <c r="AK147" s="3"/>
    </row>
    <row x14ac:dyDescent="0.25" r="148" customHeight="1" ht="18.75">
      <c r="A148" s="3"/>
      <c r="B148" s="71"/>
      <c r="C148" s="3"/>
      <c r="D148" s="3"/>
      <c r="E148" s="3"/>
      <c r="F148" s="3"/>
      <c r="G148" s="59">
        <f>H148-DATE(YEAR(H148),1,0)+1</f>
      </c>
      <c r="H148" s="79">
        <f>H147+1</f>
        <v>25569.5</v>
      </c>
      <c r="I148" s="80">
        <f>HLOOKUP($H$4,'Met Data'!$A$2:$F$368,G148,FALSE)</f>
      </c>
      <c r="J148" s="80">
        <f>HLOOKUP($H$4,'Met Data'!$H$2:$M$368,G148,FALSE)*L148</f>
      </c>
      <c r="K148" s="81">
        <f>HLOOKUP($H$4,'Met Data'!$O$2:$T$368,G148,FALSE)</f>
      </c>
      <c r="L148" s="7">
        <f>IF(H148&lt;$B$31,$J$3,$J$4)</f>
      </c>
      <c r="M148" s="3"/>
      <c r="N148" s="82">
        <f>IF(P148&lt;$P$3,TRUE,FALSE)</f>
      </c>
      <c r="O148" s="82">
        <f>AND(IF(P148&gt;($P$2-1),TRUE,FALSE),IF(P148&lt;($P$3+1),TRUE,FALSE))</f>
      </c>
      <c r="P148" s="83">
        <v>45117</v>
      </c>
      <c r="Q148" s="8">
        <v>40.6650069515033</v>
      </c>
      <c r="R148" s="7">
        <v>0</v>
      </c>
      <c r="S148" s="8">
        <v>10.633625250016502</v>
      </c>
      <c r="T148" s="8">
        <v>0.6843393598527661</v>
      </c>
      <c r="U148" s="7">
        <v>0</v>
      </c>
      <c r="V148" s="7">
        <v>0</v>
      </c>
      <c r="W148" s="7">
        <v>0</v>
      </c>
      <c r="X148" s="7">
        <v>0</v>
      </c>
      <c r="Y148" s="7">
        <v>1</v>
      </c>
      <c r="Z148" s="8">
        <v>0.8482517151077928</v>
      </c>
      <c r="AA148" s="7">
        <v>0</v>
      </c>
      <c r="AB148" s="7">
        <v>0</v>
      </c>
      <c r="AC148" s="42"/>
      <c r="AD148" s="83">
        <f>IFERROR(P148,$AD$4)</f>
        <v>25569.5</v>
      </c>
      <c r="AE148" s="7">
        <f>IFERROR(U148,0)</f>
      </c>
      <c r="AF148" s="3"/>
      <c r="AG148" s="86">
        <f>Q147+S148+T148+U148</f>
      </c>
      <c r="AH148" s="86">
        <f>Q148+R148+X148</f>
      </c>
      <c r="AI148" s="59">
        <f>AH148-AG148</f>
      </c>
      <c r="AJ148" s="3"/>
      <c r="AK148" s="3"/>
    </row>
    <row x14ac:dyDescent="0.25" r="149" customHeight="1" ht="18.75">
      <c r="A149" s="3"/>
      <c r="B149" s="71"/>
      <c r="C149" s="3"/>
      <c r="D149" s="3"/>
      <c r="E149" s="3"/>
      <c r="F149" s="3"/>
      <c r="G149" s="59">
        <f>H149-DATE(YEAR(H149),1,0)+1</f>
      </c>
      <c r="H149" s="79">
        <f>H148+1</f>
        <v>25569.5</v>
      </c>
      <c r="I149" s="80">
        <f>HLOOKUP($H$4,'Met Data'!$A$2:$F$368,G149,FALSE)</f>
      </c>
      <c r="J149" s="80">
        <f>HLOOKUP($H$4,'Met Data'!$H$2:$M$368,G149,FALSE)*L149</f>
      </c>
      <c r="K149" s="81">
        <f>HLOOKUP($H$4,'Met Data'!$O$2:$T$368,G149,FALSE)</f>
      </c>
      <c r="L149" s="7">
        <f>IF(H149&lt;$B$31,$J$3,$J$4)</f>
      </c>
      <c r="M149" s="3"/>
      <c r="N149" s="82">
        <f>IF(P149&lt;$P$3,TRUE,FALSE)</f>
      </c>
      <c r="O149" s="82">
        <f>AND(IF(P149&gt;($P$2-1),TRUE,FALSE),IF(P149&lt;($P$3+1),TRUE,FALSE))</f>
      </c>
      <c r="P149" s="83">
        <v>45118</v>
      </c>
      <c r="Q149" s="8">
        <v>50.361497046465985</v>
      </c>
      <c r="R149" s="7">
        <v>0</v>
      </c>
      <c r="S149" s="8">
        <v>9.036600905625885</v>
      </c>
      <c r="T149" s="8">
        <v>0.6598891893367957</v>
      </c>
      <c r="U149" s="7">
        <v>0</v>
      </c>
      <c r="V149" s="7">
        <v>0</v>
      </c>
      <c r="W149" s="7">
        <v>0</v>
      </c>
      <c r="X149" s="7">
        <v>0</v>
      </c>
      <c r="Y149" s="7">
        <v>1</v>
      </c>
      <c r="Z149" s="8">
        <v>2.7076512592171156</v>
      </c>
      <c r="AA149" s="7">
        <v>0</v>
      </c>
      <c r="AB149" s="7">
        <v>0</v>
      </c>
      <c r="AC149" s="42"/>
      <c r="AD149" s="83">
        <f>IFERROR(P149,$AD$4)</f>
        <v>25569.5</v>
      </c>
      <c r="AE149" s="7">
        <f>IFERROR(U149,0)</f>
      </c>
      <c r="AF149" s="3"/>
      <c r="AG149" s="86">
        <f>Q148+S149+T149+U149</f>
      </c>
      <c r="AH149" s="86">
        <f>Q149+R149+X149</f>
      </c>
      <c r="AI149" s="59">
        <f>AH149-AG149</f>
      </c>
      <c r="AJ149" s="3"/>
      <c r="AK149" s="3"/>
    </row>
    <row x14ac:dyDescent="0.25" r="150" customHeight="1" ht="18.75">
      <c r="A150" s="3"/>
      <c r="B150" s="71"/>
      <c r="C150" s="3"/>
      <c r="D150" s="3"/>
      <c r="E150" s="3"/>
      <c r="F150" s="3"/>
      <c r="G150" s="59">
        <f>H150-DATE(YEAR(H150),1,0)+1</f>
      </c>
      <c r="H150" s="79">
        <f>H149+1</f>
        <v>25569.5</v>
      </c>
      <c r="I150" s="80">
        <f>HLOOKUP($H$4,'Met Data'!$A$2:$F$368,G150,FALSE)</f>
      </c>
      <c r="J150" s="80">
        <f>HLOOKUP($H$4,'Met Data'!$H$2:$M$368,G150,FALSE)*L150</f>
      </c>
      <c r="K150" s="81">
        <f>HLOOKUP($H$4,'Met Data'!$O$2:$T$368,G150,FALSE)</f>
      </c>
      <c r="L150" s="7">
        <f>IF(H150&lt;$B$31,$J$3,$J$4)</f>
      </c>
      <c r="M150" s="3"/>
      <c r="N150" s="82">
        <f>IF(P150&lt;$P$3,TRUE,FALSE)</f>
      </c>
      <c r="O150" s="82">
        <f>AND(IF(P150&gt;($P$2-1),TRUE,FALSE),IF(P150&lt;($P$3+1),TRUE,FALSE))</f>
      </c>
      <c r="P150" s="83">
        <v>45119</v>
      </c>
      <c r="Q150" s="8">
        <v>59.311902941226265</v>
      </c>
      <c r="R150" s="7">
        <v>0</v>
      </c>
      <c r="S150" s="8">
        <v>8.270579735492896</v>
      </c>
      <c r="T150" s="8">
        <v>0.6798261592673727</v>
      </c>
      <c r="U150" s="7">
        <v>0</v>
      </c>
      <c r="V150" s="7">
        <v>0</v>
      </c>
      <c r="W150" s="7">
        <v>0</v>
      </c>
      <c r="X150" s="7">
        <v>0</v>
      </c>
      <c r="Y150" s="7">
        <v>1</v>
      </c>
      <c r="Z150" s="8">
        <v>5.803269422013329</v>
      </c>
      <c r="AA150" s="7">
        <v>0</v>
      </c>
      <c r="AB150" s="7">
        <v>0</v>
      </c>
      <c r="AC150" s="42"/>
      <c r="AD150" s="83">
        <f>IFERROR(P150,$AD$4)</f>
        <v>25569.5</v>
      </c>
      <c r="AE150" s="7">
        <f>IFERROR(U150,0)</f>
      </c>
      <c r="AF150" s="3"/>
      <c r="AG150" s="86">
        <f>Q149+S150+T150+U150</f>
      </c>
      <c r="AH150" s="86">
        <f>Q150+R150+X150</f>
      </c>
      <c r="AI150" s="59">
        <f>AH150-AG150</f>
      </c>
      <c r="AJ150" s="3"/>
      <c r="AK150" s="3"/>
    </row>
    <row x14ac:dyDescent="0.25" r="151" customHeight="1" ht="18.75">
      <c r="A151" s="3"/>
      <c r="B151" s="71"/>
      <c r="C151" s="3"/>
      <c r="D151" s="3"/>
      <c r="E151" s="3"/>
      <c r="F151" s="3"/>
      <c r="G151" s="59">
        <f>H151-DATE(YEAR(H151),1,0)+1</f>
      </c>
      <c r="H151" s="79">
        <f>H150+1</f>
        <v>25569.5</v>
      </c>
      <c r="I151" s="80">
        <f>HLOOKUP($H$4,'Met Data'!$A$2:$F$368,G151,FALSE)</f>
      </c>
      <c r="J151" s="80">
        <f>HLOOKUP($H$4,'Met Data'!$H$2:$M$368,G151,FALSE)*L151</f>
      </c>
      <c r="K151" s="81">
        <f>HLOOKUP($H$4,'Met Data'!$O$2:$T$368,G151,FALSE)</f>
      </c>
      <c r="L151" s="7">
        <f>IF(H151&lt;$B$31,$J$3,$J$4)</f>
      </c>
      <c r="M151" s="3"/>
      <c r="N151" s="82">
        <f>IF(P151&lt;$P$3,TRUE,FALSE)</f>
      </c>
      <c r="O151" s="82">
        <f>AND(IF(P151&gt;($P$2-1),TRUE,FALSE),IF(P151&lt;($P$3+1),TRUE,FALSE))</f>
      </c>
      <c r="P151" s="83">
        <v>45120</v>
      </c>
      <c r="Q151" s="8">
        <v>67.43987786715957</v>
      </c>
      <c r="R151" s="7">
        <v>0</v>
      </c>
      <c r="S151" s="8">
        <v>7.4365138661372026</v>
      </c>
      <c r="T151" s="8">
        <v>0.6914610597961006</v>
      </c>
      <c r="U151" s="7">
        <v>0</v>
      </c>
      <c r="V151" s="7">
        <v>0</v>
      </c>
      <c r="W151" s="7">
        <v>0</v>
      </c>
      <c r="X151" s="7">
        <v>0</v>
      </c>
      <c r="Y151" s="7">
        <v>1</v>
      </c>
      <c r="Z151" s="8">
        <v>1.2124719706635574</v>
      </c>
      <c r="AA151" s="7">
        <v>0</v>
      </c>
      <c r="AB151" s="7">
        <v>0</v>
      </c>
      <c r="AC151" s="42"/>
      <c r="AD151" s="83">
        <f>IFERROR(P151,$AD$4)</f>
        <v>25569.5</v>
      </c>
      <c r="AE151" s="7">
        <f>IFERROR(U151,0)</f>
      </c>
      <c r="AF151" s="3"/>
      <c r="AG151" s="86">
        <f>Q150+S151+T151+U151</f>
      </c>
      <c r="AH151" s="86">
        <f>Q151+R151+X151</f>
      </c>
      <c r="AI151" s="59">
        <f>AH151-AG151</f>
      </c>
      <c r="AJ151" s="3"/>
      <c r="AK151" s="3"/>
    </row>
    <row x14ac:dyDescent="0.25" r="152" customHeight="1" ht="18.75">
      <c r="A152" s="3"/>
      <c r="B152" s="71"/>
      <c r="C152" s="3"/>
      <c r="D152" s="3"/>
      <c r="E152" s="3"/>
      <c r="F152" s="3"/>
      <c r="G152" s="59">
        <f>H152-DATE(YEAR(H152),1,0)+1</f>
      </c>
      <c r="H152" s="79">
        <f>H151+1</f>
        <v>25569.5</v>
      </c>
      <c r="I152" s="80">
        <f>HLOOKUP($H$4,'Met Data'!$A$2:$F$368,G152,FALSE)</f>
      </c>
      <c r="J152" s="80">
        <f>HLOOKUP($H$4,'Met Data'!$H$2:$M$368,G152,FALSE)*L152</f>
      </c>
      <c r="K152" s="81">
        <f>HLOOKUP($H$4,'Met Data'!$O$2:$T$368,G152,FALSE)</f>
      </c>
      <c r="L152" s="7">
        <f>IF(H152&lt;$B$31,$J$3,$J$4)</f>
      </c>
      <c r="M152" s="3"/>
      <c r="N152" s="82">
        <f>IF(P152&lt;$P$3,TRUE,FALSE)</f>
      </c>
      <c r="O152" s="82">
        <f>AND(IF(P152&gt;($P$2-1),TRUE,FALSE),IF(P152&lt;($P$3+1),TRUE,FALSE))</f>
      </c>
      <c r="P152" s="83">
        <v>45121</v>
      </c>
      <c r="Q152" s="8">
        <v>74.39281802574936</v>
      </c>
      <c r="R152" s="7">
        <v>0</v>
      </c>
      <c r="S152" s="8">
        <v>6.288570956919471</v>
      </c>
      <c r="T152" s="8">
        <v>0.6643692016703391</v>
      </c>
      <c r="U152" s="7">
        <v>0</v>
      </c>
      <c r="V152" s="7">
        <v>0</v>
      </c>
      <c r="W152" s="7">
        <v>0</v>
      </c>
      <c r="X152" s="7">
        <v>0</v>
      </c>
      <c r="Y152" s="7">
        <v>1</v>
      </c>
      <c r="Z152" s="8">
        <v>3.277341390691589</v>
      </c>
      <c r="AA152" s="7">
        <v>0</v>
      </c>
      <c r="AB152" s="7">
        <v>0</v>
      </c>
      <c r="AC152" s="42"/>
      <c r="AD152" s="83">
        <f>IFERROR(P152,$AD$4)</f>
        <v>25569.5</v>
      </c>
      <c r="AE152" s="7">
        <f>IFERROR(U152,0)</f>
      </c>
      <c r="AF152" s="3"/>
      <c r="AG152" s="86">
        <f>Q151+S152+T152+U152</f>
      </c>
      <c r="AH152" s="86">
        <f>Q152+R152+X152</f>
      </c>
      <c r="AI152" s="59">
        <f>AH152-AG152</f>
      </c>
      <c r="AJ152" s="3"/>
      <c r="AK152" s="3"/>
    </row>
    <row x14ac:dyDescent="0.25" r="153" customHeight="1" ht="18.75">
      <c r="A153" s="3"/>
      <c r="B153" s="71"/>
      <c r="C153" s="3"/>
      <c r="D153" s="3"/>
      <c r="E153" s="3"/>
      <c r="F153" s="3"/>
      <c r="G153" s="59">
        <f>H153-DATE(YEAR(H153),1,0)+1</f>
      </c>
      <c r="H153" s="79">
        <f>H152+1</f>
        <v>25569.5</v>
      </c>
      <c r="I153" s="80">
        <f>HLOOKUP($H$4,'Met Data'!$A$2:$F$368,G153,FALSE)</f>
      </c>
      <c r="J153" s="80">
        <f>HLOOKUP($H$4,'Met Data'!$H$2:$M$368,G153,FALSE)*L153</f>
      </c>
      <c r="K153" s="81">
        <f>HLOOKUP($H$4,'Met Data'!$O$2:$T$368,G153,FALSE)</f>
      </c>
      <c r="L153" s="7">
        <f>IF(H153&lt;$B$31,$J$3,$J$4)</f>
      </c>
      <c r="M153" s="3"/>
      <c r="N153" s="82">
        <f>IF(P153&lt;$P$3,TRUE,FALSE)</f>
      </c>
      <c r="O153" s="82">
        <f>AND(IF(P153&gt;($P$2-1),TRUE,FALSE),IF(P153&lt;($P$3+1),TRUE,FALSE))</f>
      </c>
      <c r="P153" s="83">
        <v>45122</v>
      </c>
      <c r="Q153" s="8">
        <v>81.22206026661206</v>
      </c>
      <c r="R153" s="7">
        <v>0</v>
      </c>
      <c r="S153" s="8">
        <v>6.103222503895132</v>
      </c>
      <c r="T153" s="8">
        <v>0.7260197369675665</v>
      </c>
      <c r="U153" s="7">
        <v>0</v>
      </c>
      <c r="V153" s="7">
        <v>0</v>
      </c>
      <c r="W153" s="7">
        <v>0</v>
      </c>
      <c r="X153" s="7">
        <v>0</v>
      </c>
      <c r="Y153" s="7">
        <v>1</v>
      </c>
      <c r="Z153" s="8">
        <v>5.081573131256064</v>
      </c>
      <c r="AA153" s="7">
        <v>0</v>
      </c>
      <c r="AB153" s="7">
        <v>0</v>
      </c>
      <c r="AC153" s="42"/>
      <c r="AD153" s="83">
        <f>IFERROR(P153,$AD$4)</f>
        <v>25569.5</v>
      </c>
      <c r="AE153" s="7">
        <f>IFERROR(U153,0)</f>
      </c>
      <c r="AF153" s="3"/>
      <c r="AG153" s="86">
        <f>Q152+S153+T153+U153</f>
      </c>
      <c r="AH153" s="86">
        <f>Q153+R153+X153</f>
      </c>
      <c r="AI153" s="59">
        <f>AH153-AG153</f>
      </c>
      <c r="AJ153" s="3"/>
      <c r="AK153" s="3"/>
    </row>
    <row x14ac:dyDescent="0.25" r="154" customHeight="1" ht="18.75">
      <c r="A154" s="3"/>
      <c r="B154" s="71"/>
      <c r="C154" s="3"/>
      <c r="D154" s="3"/>
      <c r="E154" s="3"/>
      <c r="F154" s="3"/>
      <c r="G154" s="59">
        <f>H154-DATE(YEAR(H154),1,0)+1</f>
      </c>
      <c r="H154" s="79">
        <f>H153+1</f>
        <v>25569.5</v>
      </c>
      <c r="I154" s="80">
        <f>HLOOKUP($H$4,'Met Data'!$A$2:$F$368,G154,FALSE)</f>
      </c>
      <c r="J154" s="80">
        <f>HLOOKUP($H$4,'Met Data'!$H$2:$M$368,G154,FALSE)*L154</f>
      </c>
      <c r="K154" s="81">
        <f>HLOOKUP($H$4,'Met Data'!$O$2:$T$368,G154,FALSE)</f>
      </c>
      <c r="L154" s="7">
        <f>IF(H154&lt;$B$31,$J$3,$J$4)</f>
      </c>
      <c r="M154" s="3"/>
      <c r="N154" s="82">
        <f>IF(P154&lt;$P$3,TRUE,FALSE)</f>
      </c>
      <c r="O154" s="82">
        <f>AND(IF(P154&gt;($P$2-1),TRUE,FALSE),IF(P154&lt;($P$3+1),TRUE,FALSE))</f>
      </c>
      <c r="P154" s="83">
        <v>45123</v>
      </c>
      <c r="Q154" s="8">
        <v>87.62585205667537</v>
      </c>
      <c r="R154" s="7">
        <v>0</v>
      </c>
      <c r="S154" s="8">
        <v>5.636939366490182</v>
      </c>
      <c r="T154" s="8">
        <v>0.7668524235731321</v>
      </c>
      <c r="U154" s="7">
        <v>0</v>
      </c>
      <c r="V154" s="7">
        <v>0</v>
      </c>
      <c r="W154" s="7">
        <v>0</v>
      </c>
      <c r="X154" s="7">
        <v>0</v>
      </c>
      <c r="Y154" s="7">
        <v>1</v>
      </c>
      <c r="Z154" s="8">
        <v>3.9107611882139537</v>
      </c>
      <c r="AA154" s="7">
        <v>0</v>
      </c>
      <c r="AB154" s="7">
        <v>0</v>
      </c>
      <c r="AC154" s="42"/>
      <c r="AD154" s="83">
        <f>IFERROR(P154,$AD$4)</f>
        <v>25569.5</v>
      </c>
      <c r="AE154" s="7">
        <f>IFERROR(U154,0)</f>
      </c>
      <c r="AF154" s="3"/>
      <c r="AG154" s="86">
        <f>Q153+S154+T154+U154</f>
      </c>
      <c r="AH154" s="86">
        <f>Q154+R154+X154</f>
      </c>
      <c r="AI154" s="59">
        <f>AH154-AG154</f>
      </c>
      <c r="AJ154" s="3"/>
      <c r="AK154" s="3"/>
    </row>
    <row x14ac:dyDescent="0.25" r="155" customHeight="1" ht="18.75">
      <c r="A155" s="3"/>
      <c r="B155" s="71"/>
      <c r="C155" s="3"/>
      <c r="D155" s="3"/>
      <c r="E155" s="3"/>
      <c r="F155" s="3"/>
      <c r="G155" s="59">
        <f>H155-DATE(YEAR(H155),1,0)+1</f>
      </c>
      <c r="H155" s="79">
        <f>H154+1</f>
        <v>25569.5</v>
      </c>
      <c r="I155" s="80">
        <f>HLOOKUP($H$4,'Met Data'!$A$2:$F$368,G155,FALSE)</f>
      </c>
      <c r="J155" s="80">
        <f>HLOOKUP($H$4,'Met Data'!$H$2:$M$368,G155,FALSE)*L155</f>
      </c>
      <c r="K155" s="81">
        <f>HLOOKUP($H$4,'Met Data'!$O$2:$T$368,G155,FALSE)</f>
      </c>
      <c r="L155" s="7">
        <f>IF(H155&lt;$B$31,$J$3,$J$4)</f>
      </c>
      <c r="M155" s="3"/>
      <c r="N155" s="82">
        <f>IF(P155&lt;$P$3,TRUE,FALSE)</f>
      </c>
      <c r="O155" s="82">
        <f>AND(IF(P155&gt;($P$2-1),TRUE,FALSE),IF(P155&lt;($P$3+1),TRUE,FALSE))</f>
      </c>
      <c r="P155" s="83">
        <v>45124</v>
      </c>
      <c r="Q155" s="8">
        <v>93.157805577917</v>
      </c>
      <c r="R155" s="7">
        <v>0</v>
      </c>
      <c r="S155" s="8">
        <v>4.783425442929478</v>
      </c>
      <c r="T155" s="8">
        <v>0.7485280783121416</v>
      </c>
      <c r="U155" s="7">
        <v>0</v>
      </c>
      <c r="V155" s="7">
        <v>0</v>
      </c>
      <c r="W155" s="7">
        <v>0</v>
      </c>
      <c r="X155" s="7">
        <v>0</v>
      </c>
      <c r="Y155" s="7">
        <v>1</v>
      </c>
      <c r="Z155" s="8">
        <v>6.42495475300619</v>
      </c>
      <c r="AA155" s="7">
        <v>0</v>
      </c>
      <c r="AB155" s="7">
        <v>0</v>
      </c>
      <c r="AC155" s="42"/>
      <c r="AD155" s="83">
        <f>IFERROR(P155,$AD$4)</f>
        <v>25569.5</v>
      </c>
      <c r="AE155" s="7">
        <f>IFERROR(U155,0)</f>
      </c>
      <c r="AF155" s="3"/>
      <c r="AG155" s="86">
        <f>Q154+S155+T155+U155</f>
      </c>
      <c r="AH155" s="86">
        <f>Q155+R155+X155</f>
      </c>
      <c r="AI155" s="59">
        <f>AH155-AG155</f>
      </c>
      <c r="AJ155" s="3"/>
      <c r="AK155" s="3"/>
    </row>
    <row x14ac:dyDescent="0.25" r="156" customHeight="1" ht="18.75">
      <c r="A156" s="3"/>
      <c r="B156" s="71"/>
      <c r="C156" s="3"/>
      <c r="D156" s="3"/>
      <c r="E156" s="3"/>
      <c r="F156" s="3"/>
      <c r="G156" s="59">
        <f>H156-DATE(YEAR(H156),1,0)+1</f>
      </c>
      <c r="H156" s="79">
        <f>H155+1</f>
        <v>25569.5</v>
      </c>
      <c r="I156" s="80">
        <f>HLOOKUP($H$4,'Met Data'!$A$2:$F$368,G156,FALSE)</f>
      </c>
      <c r="J156" s="80">
        <f>HLOOKUP($H$4,'Met Data'!$H$2:$M$368,G156,FALSE)*L156</f>
      </c>
      <c r="K156" s="81">
        <f>HLOOKUP($H$4,'Met Data'!$O$2:$T$368,G156,FALSE)</f>
      </c>
      <c r="L156" s="7">
        <f>IF(H156&lt;$B$31,$J$3,$J$4)</f>
      </c>
      <c r="M156" s="3"/>
      <c r="N156" s="82">
        <f>IF(P156&lt;$P$3,TRUE,FALSE)</f>
      </c>
      <c r="O156" s="82">
        <f>AND(IF(P156&gt;($P$2-1),TRUE,FALSE),IF(P156&lt;($P$3+1),TRUE,FALSE))</f>
      </c>
      <c r="P156" s="83">
        <v>45125</v>
      </c>
      <c r="Q156" s="8">
        <v>97.90682607065511</v>
      </c>
      <c r="R156" s="7">
        <v>0</v>
      </c>
      <c r="S156" s="8">
        <v>4.026573672113364</v>
      </c>
      <c r="T156" s="8">
        <v>0.722446820624754</v>
      </c>
      <c r="U156" s="7">
        <v>0</v>
      </c>
      <c r="V156" s="7">
        <v>0</v>
      </c>
      <c r="W156" s="7">
        <v>0</v>
      </c>
      <c r="X156" s="7">
        <v>0</v>
      </c>
      <c r="Y156" s="7">
        <v>1</v>
      </c>
      <c r="Z156" s="8">
        <v>6.51756886605601</v>
      </c>
      <c r="AA156" s="7">
        <v>0</v>
      </c>
      <c r="AB156" s="7">
        <v>0</v>
      </c>
      <c r="AC156" s="42"/>
      <c r="AD156" s="83">
        <f>IFERROR(P156,$AD$4)</f>
        <v>25569.5</v>
      </c>
      <c r="AE156" s="7">
        <f>IFERROR(U156,0)</f>
      </c>
      <c r="AF156" s="3"/>
      <c r="AG156" s="86">
        <f>Q155+S156+T156+U156</f>
      </c>
      <c r="AH156" s="86">
        <f>Q156+R156+X156</f>
      </c>
      <c r="AI156" s="59">
        <f>AH156-AG156</f>
      </c>
      <c r="AJ156" s="3"/>
      <c r="AK156" s="3"/>
    </row>
    <row x14ac:dyDescent="0.25" r="157" customHeight="1" ht="18.75">
      <c r="A157" s="3"/>
      <c r="B157" s="71"/>
      <c r="C157" s="3"/>
      <c r="D157" s="3"/>
      <c r="E157" s="3"/>
      <c r="F157" s="3"/>
      <c r="G157" s="59">
        <f>H157-DATE(YEAR(H157),1,0)+1</f>
      </c>
      <c r="H157" s="79">
        <f>H156+1</f>
        <v>25569.5</v>
      </c>
      <c r="I157" s="80">
        <f>HLOOKUP($H$4,'Met Data'!$A$2:$F$368,G157,FALSE)</f>
      </c>
      <c r="J157" s="80">
        <f>HLOOKUP($H$4,'Met Data'!$H$2:$M$368,G157,FALSE)*L157</f>
      </c>
      <c r="K157" s="81">
        <f>HLOOKUP($H$4,'Met Data'!$O$2:$T$368,G157,FALSE)</f>
      </c>
      <c r="L157" s="7">
        <f>IF(H157&lt;$B$31,$J$3,$J$4)</f>
      </c>
      <c r="M157" s="3"/>
      <c r="N157" s="82">
        <f>IF(P157&lt;$P$3,TRUE,FALSE)</f>
      </c>
      <c r="O157" s="82">
        <f>AND(IF(P157&gt;($P$2-1),TRUE,FALSE),IF(P157&lt;($P$3+1),TRUE,FALSE))</f>
      </c>
      <c r="P157" s="83">
        <v>45126</v>
      </c>
      <c r="Q157" s="8">
        <v>102.1024227804098</v>
      </c>
      <c r="R157" s="7">
        <v>0</v>
      </c>
      <c r="S157" s="8">
        <v>3.4824343388189365</v>
      </c>
      <c r="T157" s="8">
        <v>0.713162370935735</v>
      </c>
      <c r="U157" s="7">
        <v>0</v>
      </c>
      <c r="V157" s="7">
        <v>0</v>
      </c>
      <c r="W157" s="7">
        <v>0</v>
      </c>
      <c r="X157" s="7">
        <v>0</v>
      </c>
      <c r="Y157" s="7">
        <v>1</v>
      </c>
      <c r="Z157" s="8">
        <v>2.9629385852994403</v>
      </c>
      <c r="AA157" s="7">
        <v>0</v>
      </c>
      <c r="AB157" s="7">
        <v>0</v>
      </c>
      <c r="AC157" s="42"/>
      <c r="AD157" s="83">
        <f>IFERROR(P157,$AD$4)</f>
        <v>25569.5</v>
      </c>
      <c r="AE157" s="7">
        <f>IFERROR(U157,0)</f>
      </c>
      <c r="AF157" s="3"/>
      <c r="AG157" s="86">
        <f>Q156+S157+T157+U157</f>
      </c>
      <c r="AH157" s="86">
        <f>Q157+R157+X157</f>
      </c>
      <c r="AI157" s="59">
        <f>AH157-AG157</f>
      </c>
      <c r="AJ157" s="3"/>
      <c r="AK157" s="3"/>
    </row>
    <row x14ac:dyDescent="0.25" r="158" customHeight="1" ht="18.75">
      <c r="A158" s="3"/>
      <c r="B158" s="71"/>
      <c r="C158" s="3"/>
      <c r="D158" s="3"/>
      <c r="E158" s="3"/>
      <c r="F158" s="3"/>
      <c r="G158" s="59">
        <f>H158-DATE(YEAR(H158),1,0)+1</f>
      </c>
      <c r="H158" s="79">
        <f>H157+1</f>
        <v>25569.5</v>
      </c>
      <c r="I158" s="80">
        <f>HLOOKUP($H$4,'Met Data'!$A$2:$F$368,G158,FALSE)</f>
      </c>
      <c r="J158" s="80">
        <f>HLOOKUP($H$4,'Met Data'!$H$2:$M$368,G158,FALSE)*L158</f>
      </c>
      <c r="K158" s="81">
        <f>HLOOKUP($H$4,'Met Data'!$O$2:$T$368,G158,FALSE)</f>
      </c>
      <c r="L158" s="7">
        <f>IF(H158&lt;$B$31,$J$3,$J$4)</f>
      </c>
      <c r="M158" s="3"/>
      <c r="N158" s="82">
        <f>IF(P158&lt;$P$3,TRUE,FALSE)</f>
      </c>
      <c r="O158" s="82">
        <f>AND(IF(P158&gt;($P$2-1),TRUE,FALSE),IF(P158&lt;($P$3+1),TRUE,FALSE))</f>
      </c>
      <c r="P158" s="83">
        <v>45127</v>
      </c>
      <c r="Q158" s="8">
        <v>106.04962753455345</v>
      </c>
      <c r="R158" s="7">
        <v>0</v>
      </c>
      <c r="S158" s="8">
        <v>3.2002069786213574</v>
      </c>
      <c r="T158" s="8">
        <v>0.7469977755222859</v>
      </c>
      <c r="U158" s="7">
        <v>0</v>
      </c>
      <c r="V158" s="7">
        <v>0</v>
      </c>
      <c r="W158" s="7">
        <v>0</v>
      </c>
      <c r="X158" s="7">
        <v>0</v>
      </c>
      <c r="Y158" s="7">
        <v>1</v>
      </c>
      <c r="Z158" s="8">
        <v>1.4520368602671283</v>
      </c>
      <c r="AA158" s="7">
        <v>0</v>
      </c>
      <c r="AB158" s="7">
        <v>0</v>
      </c>
      <c r="AC158" s="42"/>
      <c r="AD158" s="83">
        <f>IFERROR(P158,$AD$4)</f>
        <v>25569.5</v>
      </c>
      <c r="AE158" s="7">
        <f>IFERROR(U158,0)</f>
      </c>
      <c r="AF158" s="3"/>
      <c r="AG158" s="86">
        <f>Q157+S158+T158+U158</f>
      </c>
      <c r="AH158" s="86">
        <f>Q158+R158+X158</f>
      </c>
      <c r="AI158" s="59">
        <f>AH158-AG158</f>
      </c>
      <c r="AJ158" s="3"/>
      <c r="AK158" s="3"/>
    </row>
    <row x14ac:dyDescent="0.25" r="159" customHeight="1" ht="18.75">
      <c r="A159" s="3"/>
      <c r="B159" s="71"/>
      <c r="C159" s="3"/>
      <c r="D159" s="3"/>
      <c r="E159" s="3"/>
      <c r="F159" s="3"/>
      <c r="G159" s="59">
        <f>H159-DATE(YEAR(H159),1,0)+1</f>
      </c>
      <c r="H159" s="79">
        <f>H158+1</f>
        <v>25569.5</v>
      </c>
      <c r="I159" s="80">
        <f>HLOOKUP($H$4,'Met Data'!$A$2:$F$368,G159,FALSE)</f>
      </c>
      <c r="J159" s="80">
        <f>HLOOKUP($H$4,'Met Data'!$H$2:$M$368,G159,FALSE)*L159</f>
      </c>
      <c r="K159" s="81">
        <f>HLOOKUP($H$4,'Met Data'!$O$2:$T$368,G159,FALSE)</f>
      </c>
      <c r="L159" s="7">
        <f>IF(H159&lt;$B$31,$J$3,$J$4)</f>
      </c>
      <c r="M159" s="3"/>
      <c r="N159" s="82">
        <f>IF(P159&lt;$P$3,TRUE,FALSE)</f>
      </c>
      <c r="O159" s="82">
        <f>AND(IF(P159&gt;($P$2-1),TRUE,FALSE),IF(P159&lt;($P$3+1),TRUE,FALSE))</f>
      </c>
      <c r="P159" s="83">
        <v>45128</v>
      </c>
      <c r="Q159" s="8">
        <v>109.42545272011361</v>
      </c>
      <c r="R159" s="7">
        <v>0</v>
      </c>
      <c r="S159" s="8">
        <v>2.663219056985196</v>
      </c>
      <c r="T159" s="8">
        <v>0.7126061285749675</v>
      </c>
      <c r="U159" s="7">
        <v>0</v>
      </c>
      <c r="V159" s="7">
        <v>0</v>
      </c>
      <c r="W159" s="7">
        <v>0</v>
      </c>
      <c r="X159" s="7">
        <v>0</v>
      </c>
      <c r="Y159" s="7">
        <v>1</v>
      </c>
      <c r="Z159" s="8">
        <v>3.410816108860516</v>
      </c>
      <c r="AA159" s="7">
        <v>0</v>
      </c>
      <c r="AB159" s="7">
        <v>0</v>
      </c>
      <c r="AC159" s="42"/>
      <c r="AD159" s="83">
        <f>IFERROR(P159,$AD$4)</f>
        <v>25569.5</v>
      </c>
      <c r="AE159" s="7">
        <f>IFERROR(U159,0)</f>
      </c>
      <c r="AF159" s="3"/>
      <c r="AG159" s="86">
        <f>Q158+S159+T159+U159</f>
      </c>
      <c r="AH159" s="86">
        <f>Q159+R159+X159</f>
      </c>
      <c r="AI159" s="59">
        <f>AH159-AG159</f>
      </c>
      <c r="AJ159" s="3"/>
      <c r="AK159" s="3"/>
    </row>
    <row x14ac:dyDescent="0.25" r="160" customHeight="1" ht="18.75">
      <c r="A160" s="3"/>
      <c r="B160" s="71"/>
      <c r="C160" s="3"/>
      <c r="D160" s="3"/>
      <c r="E160" s="3"/>
      <c r="F160" s="3"/>
      <c r="G160" s="59">
        <f>H160-DATE(YEAR(H160),1,0)+1</f>
      </c>
      <c r="H160" s="79">
        <f>H159+1</f>
        <v>25569.5</v>
      </c>
      <c r="I160" s="80">
        <f>HLOOKUP($H$4,'Met Data'!$A$2:$F$368,G160,FALSE)</f>
      </c>
      <c r="J160" s="80">
        <f>HLOOKUP($H$4,'Met Data'!$H$2:$M$368,G160,FALSE)*L160</f>
      </c>
      <c r="K160" s="81">
        <f>HLOOKUP($H$4,'Met Data'!$O$2:$T$368,G160,FALSE)</f>
      </c>
      <c r="L160" s="7">
        <f>IF(H160&lt;$B$31,$J$3,$J$4)</f>
      </c>
      <c r="M160" s="3"/>
      <c r="N160" s="82">
        <f>IF(P160&lt;$P$3,TRUE,FALSE)</f>
      </c>
      <c r="O160" s="82">
        <f>AND(IF(P160&gt;($P$2-1),TRUE,FALSE),IF(P160&lt;($P$3+1),TRUE,FALSE))</f>
      </c>
      <c r="P160" s="83">
        <v>45129</v>
      </c>
      <c r="Q160" s="8">
        <v>112.65016540468795</v>
      </c>
      <c r="R160" s="7">
        <v>0</v>
      </c>
      <c r="S160" s="8">
        <v>2.4710015768466107</v>
      </c>
      <c r="T160" s="8">
        <v>0.7537111077277282</v>
      </c>
      <c r="U160" s="7">
        <v>0</v>
      </c>
      <c r="V160" s="7">
        <v>0</v>
      </c>
      <c r="W160" s="7">
        <v>0</v>
      </c>
      <c r="X160" s="7">
        <v>0</v>
      </c>
      <c r="Y160" s="7">
        <v>1</v>
      </c>
      <c r="Z160" s="8">
        <v>4.1760795592317805</v>
      </c>
      <c r="AA160" s="7">
        <v>0</v>
      </c>
      <c r="AB160" s="7">
        <v>0</v>
      </c>
      <c r="AC160" s="42"/>
      <c r="AD160" s="83">
        <f>IFERROR(P160,$AD$4)</f>
        <v>25569.5</v>
      </c>
      <c r="AE160" s="7">
        <f>IFERROR(U160,0)</f>
      </c>
      <c r="AF160" s="3"/>
      <c r="AG160" s="86">
        <f>Q159+S160+T160+U160</f>
      </c>
      <c r="AH160" s="86">
        <f>Q160+R160+X160</f>
      </c>
      <c r="AI160" s="59">
        <f>AH160-AG160</f>
      </c>
      <c r="AJ160" s="3"/>
      <c r="AK160" s="3"/>
    </row>
    <row x14ac:dyDescent="0.25" r="161" customHeight="1" ht="18.75">
      <c r="A161" s="3"/>
      <c r="B161" s="71"/>
      <c r="C161" s="3"/>
      <c r="D161" s="3"/>
      <c r="E161" s="3"/>
      <c r="F161" s="3"/>
      <c r="G161" s="59">
        <f>H161-DATE(YEAR(H161),1,0)+1</f>
      </c>
      <c r="H161" s="79">
        <f>H160+1</f>
        <v>25569.5</v>
      </c>
      <c r="I161" s="80">
        <f>HLOOKUP($H$4,'Met Data'!$A$2:$F$368,G161,FALSE)</f>
      </c>
      <c r="J161" s="80">
        <f>HLOOKUP($H$4,'Met Data'!$H$2:$M$368,G161,FALSE)*L161</f>
      </c>
      <c r="K161" s="81">
        <f>HLOOKUP($H$4,'Met Data'!$O$2:$T$368,G161,FALSE)</f>
      </c>
      <c r="L161" s="7">
        <f>IF(H161&lt;$B$31,$J$3,$J$4)</f>
      </c>
      <c r="M161" s="3"/>
      <c r="N161" s="82">
        <f>IF(P161&lt;$P$3,TRUE,FALSE)</f>
      </c>
      <c r="O161" s="82">
        <f>AND(IF(P161&gt;($P$2-1),TRUE,FALSE),IF(P161&lt;($P$3+1),TRUE,FALSE))</f>
      </c>
      <c r="P161" s="83">
        <v>45130</v>
      </c>
      <c r="Q161" s="8">
        <v>115.51817534019298</v>
      </c>
      <c r="R161" s="7">
        <v>0</v>
      </c>
      <c r="S161" s="8">
        <v>2.1242353825766482</v>
      </c>
      <c r="T161" s="8">
        <v>0.7437745529283869</v>
      </c>
      <c r="U161" s="7">
        <v>0</v>
      </c>
      <c r="V161" s="7">
        <v>0</v>
      </c>
      <c r="W161" s="7">
        <v>0</v>
      </c>
      <c r="X161" s="7">
        <v>0</v>
      </c>
      <c r="Y161" s="7">
        <v>1</v>
      </c>
      <c r="Z161" s="8">
        <v>6.728112795190754</v>
      </c>
      <c r="AA161" s="7">
        <v>0</v>
      </c>
      <c r="AB161" s="7">
        <v>0</v>
      </c>
      <c r="AC161" s="42"/>
      <c r="AD161" s="83">
        <f>IFERROR(P161,$AD$4)</f>
        <v>25569.5</v>
      </c>
      <c r="AE161" s="7">
        <f>IFERROR(U161,0)</f>
      </c>
      <c r="AF161" s="3"/>
      <c r="AG161" s="86">
        <f>Q160+S161+T161+U161</f>
      </c>
      <c r="AH161" s="86">
        <f>Q161+R161+X161</f>
      </c>
      <c r="AI161" s="59">
        <f>AH161-AG161</f>
      </c>
      <c r="AJ161" s="3"/>
      <c r="AK161" s="3"/>
    </row>
    <row x14ac:dyDescent="0.25" r="162" customHeight="1" ht="18.75">
      <c r="A162" s="3"/>
      <c r="B162" s="71"/>
      <c r="C162" s="3"/>
      <c r="D162" s="3"/>
      <c r="E162" s="3"/>
      <c r="F162" s="3"/>
      <c r="G162" s="59">
        <f>H162-DATE(YEAR(H162),1,0)+1</f>
      </c>
      <c r="H162" s="79">
        <f>H161+1</f>
        <v>25569.5</v>
      </c>
      <c r="I162" s="80">
        <f>HLOOKUP($H$4,'Met Data'!$A$2:$F$368,G162,FALSE)</f>
      </c>
      <c r="J162" s="80">
        <f>HLOOKUP($H$4,'Met Data'!$H$2:$M$368,G162,FALSE)*L162</f>
      </c>
      <c r="K162" s="81">
        <f>HLOOKUP($H$4,'Met Data'!$O$2:$T$368,G162,FALSE)</f>
      </c>
      <c r="L162" s="7">
        <f>IF(H162&lt;$B$31,$J$3,$J$4)</f>
      </c>
      <c r="M162" s="3"/>
      <c r="N162" s="82">
        <f>IF(P162&lt;$P$3,TRUE,FALSE)</f>
      </c>
      <c r="O162" s="82">
        <f>AND(IF(P162&gt;($P$2-1),TRUE,FALSE),IF(P162&lt;($P$3+1),TRUE,FALSE))</f>
      </c>
      <c r="P162" s="83">
        <v>45131</v>
      </c>
      <c r="Q162" s="8">
        <v>118.12317986168468</v>
      </c>
      <c r="R162" s="7">
        <v>0</v>
      </c>
      <c r="S162" s="8">
        <v>1.8589626942963566</v>
      </c>
      <c r="T162" s="8">
        <v>0.746041827195336</v>
      </c>
      <c r="U162" s="7">
        <v>0</v>
      </c>
      <c r="V162" s="8">
        <v>0.707790277395346</v>
      </c>
      <c r="W162" s="8">
        <v>0.647497031543149</v>
      </c>
      <c r="X162" s="7">
        <v>0</v>
      </c>
      <c r="Y162" s="7">
        <v>1</v>
      </c>
      <c r="Z162" s="8">
        <v>2.870739485305961</v>
      </c>
      <c r="AA162" s="7">
        <v>0</v>
      </c>
      <c r="AB162" s="8">
        <v>0.00754054723308177</v>
      </c>
      <c r="AC162" s="42"/>
      <c r="AD162" s="83">
        <f>IFERROR(P162,$AD$4)</f>
        <v>25569.5</v>
      </c>
      <c r="AE162" s="7">
        <f>IFERROR(U162,0)</f>
      </c>
      <c r="AF162" s="3"/>
      <c r="AG162" s="86">
        <f>Q161+S162+T162+U162</f>
      </c>
      <c r="AH162" s="86">
        <f>Q162+R162+X162</f>
      </c>
      <c r="AI162" s="59">
        <f>AH162-AG162</f>
      </c>
      <c r="AJ162" s="3"/>
      <c r="AK162" s="3"/>
    </row>
    <row x14ac:dyDescent="0.25" r="163" customHeight="1" ht="18.75">
      <c r="A163" s="3"/>
      <c r="B163" s="71"/>
      <c r="C163" s="3"/>
      <c r="D163" s="3"/>
      <c r="E163" s="3"/>
      <c r="F163" s="3"/>
      <c r="G163" s="59">
        <f>H163-DATE(YEAR(H163),1,0)+1</f>
      </c>
      <c r="H163" s="79">
        <f>H162+1</f>
        <v>25569.5</v>
      </c>
      <c r="I163" s="80">
        <f>HLOOKUP($H$4,'Met Data'!$A$2:$F$368,G163,FALSE)</f>
      </c>
      <c r="J163" s="80">
        <f>HLOOKUP($H$4,'Met Data'!$H$2:$M$368,G163,FALSE)*L163</f>
      </c>
      <c r="K163" s="81">
        <f>HLOOKUP($H$4,'Met Data'!$O$2:$T$368,G163,FALSE)</f>
      </c>
      <c r="L163" s="7">
        <f>IF(H163&lt;$B$31,$J$3,$J$4)</f>
      </c>
      <c r="M163" s="3"/>
      <c r="N163" s="82">
        <f>IF(P163&lt;$P$3,TRUE,FALSE)</f>
      </c>
      <c r="O163" s="82">
        <f>AND(IF(P163&gt;($P$2-1),TRUE,FALSE),IF(P163&lt;($P$3+1),TRUE,FALSE))</f>
      </c>
      <c r="P163" s="83">
        <v>45132</v>
      </c>
      <c r="Q163" s="8">
        <v>120.33790589799119</v>
      </c>
      <c r="R163" s="8">
        <v>0.025714956440266</v>
      </c>
      <c r="S163" s="8">
        <v>1.5345439398023044</v>
      </c>
      <c r="T163" s="8">
        <v>0.7058970529444769</v>
      </c>
      <c r="U163" s="7">
        <v>0</v>
      </c>
      <c r="V163" s="8">
        <v>0.733505233835612</v>
      </c>
      <c r="W163" s="8">
        <v>0.671021454657022</v>
      </c>
      <c r="X163" s="7">
        <v>0</v>
      </c>
      <c r="Y163" s="7">
        <v>1</v>
      </c>
      <c r="Z163" s="8">
        <v>3.5243759965217833</v>
      </c>
      <c r="AA163" s="7">
        <v>0</v>
      </c>
      <c r="AB163" s="8">
        <v>0.00844074500513366</v>
      </c>
      <c r="AC163" s="42"/>
      <c r="AD163" s="83">
        <f>IFERROR(P163,$AD$4)</f>
        <v>25569.5</v>
      </c>
      <c r="AE163" s="7">
        <f>IFERROR(U163,0)</f>
      </c>
      <c r="AF163" s="3"/>
      <c r="AG163" s="86">
        <f>Q162+S163+T163+U163</f>
      </c>
      <c r="AH163" s="86">
        <f>Q163+R163+X163</f>
      </c>
      <c r="AI163" s="59">
        <f>AH163-AG163</f>
      </c>
      <c r="AJ163" s="3"/>
      <c r="AK163" s="3"/>
    </row>
    <row x14ac:dyDescent="0.25" r="164" customHeight="1" ht="18.75">
      <c r="A164" s="3"/>
      <c r="B164" s="71"/>
      <c r="C164" s="3"/>
      <c r="D164" s="3"/>
      <c r="E164" s="3"/>
      <c r="F164" s="3"/>
      <c r="G164" s="59">
        <f>H164-DATE(YEAR(H164),1,0)+1</f>
      </c>
      <c r="H164" s="79">
        <f>H163+1</f>
        <v>25569.5</v>
      </c>
      <c r="I164" s="80">
        <f>HLOOKUP($H$4,'Met Data'!$A$2:$F$368,G164,FALSE)</f>
      </c>
      <c r="J164" s="80">
        <f>HLOOKUP($H$4,'Met Data'!$H$2:$M$368,G164,FALSE)*L164</f>
      </c>
      <c r="K164" s="81">
        <f>HLOOKUP($H$4,'Met Data'!$O$2:$T$368,G164,FALSE)</f>
      </c>
      <c r="L164" s="7">
        <f>IF(H164&lt;$B$31,$J$3,$J$4)</f>
      </c>
      <c r="M164" s="3"/>
      <c r="N164" s="82">
        <f>IF(P164&lt;$P$3,TRUE,FALSE)</f>
      </c>
      <c r="O164" s="82">
        <f>AND(IF(P164&gt;($P$2-1),TRUE,FALSE),IF(P164&lt;($P$3+1),TRUE,FALSE))</f>
      </c>
      <c r="P164" s="83">
        <v>45133</v>
      </c>
      <c r="Q164" s="8">
        <v>122.34700146164593</v>
      </c>
      <c r="R164" s="8">
        <v>0.0263748983476855</v>
      </c>
      <c r="S164" s="8">
        <v>1.3361275148985838</v>
      </c>
      <c r="T164" s="8">
        <v>0.6993429471038501</v>
      </c>
      <c r="U164" s="7">
        <v>0</v>
      </c>
      <c r="V164" s="8">
        <v>0.759880132183297</v>
      </c>
      <c r="W164" s="8">
        <v>0.69514960240472</v>
      </c>
      <c r="X164" s="7">
        <v>0</v>
      </c>
      <c r="Y164" s="7">
        <v>1</v>
      </c>
      <c r="Z164" s="8">
        <v>2.1473612043870673</v>
      </c>
      <c r="AA164" s="7">
        <v>0</v>
      </c>
      <c r="AB164" s="8">
        <v>0.00943737000640058</v>
      </c>
      <c r="AC164" s="42"/>
      <c r="AD164" s="83">
        <f>IFERROR(P164,$AD$4)</f>
        <v>25569.5</v>
      </c>
      <c r="AE164" s="7">
        <f>IFERROR(U164,0)</f>
      </c>
      <c r="AF164" s="3"/>
      <c r="AG164" s="86">
        <f>Q163+S164+T164+U164</f>
      </c>
      <c r="AH164" s="86">
        <f>Q164+R164+X164</f>
      </c>
      <c r="AI164" s="59">
        <f>AH164-AG164</f>
      </c>
      <c r="AJ164" s="3"/>
      <c r="AK164" s="3"/>
    </row>
    <row x14ac:dyDescent="0.25" r="165" customHeight="1" ht="18.75">
      <c r="A165" s="3"/>
      <c r="B165" s="71"/>
      <c r="C165" s="3"/>
      <c r="D165" s="3"/>
      <c r="E165" s="3"/>
      <c r="F165" s="3"/>
      <c r="G165" s="59">
        <f>H165-DATE(YEAR(H165),1,0)+1</f>
      </c>
      <c r="H165" s="79">
        <f>H164+1</f>
        <v>25569.5</v>
      </c>
      <c r="I165" s="80">
        <f>HLOOKUP($H$4,'Met Data'!$A$2:$F$368,G165,FALSE)</f>
      </c>
      <c r="J165" s="80">
        <f>HLOOKUP($H$4,'Met Data'!$H$2:$M$368,G165,FALSE)*L165</f>
      </c>
      <c r="K165" s="81">
        <f>HLOOKUP($H$4,'Met Data'!$O$2:$T$368,G165,FALSE)</f>
      </c>
      <c r="L165" s="7">
        <f>IF(H165&lt;$B$31,$J$3,$J$4)</f>
      </c>
      <c r="M165" s="3"/>
      <c r="N165" s="82">
        <f>IF(P165&lt;$P$3,TRUE,FALSE)</f>
      </c>
      <c r="O165" s="82">
        <f>AND(IF(P165&gt;($P$2-1),TRUE,FALSE),IF(P165&lt;($P$3+1),TRUE,FALSE))</f>
      </c>
      <c r="P165" s="83">
        <v>45134</v>
      </c>
      <c r="Q165" s="8">
        <v>124.27284476917112</v>
      </c>
      <c r="R165" s="8">
        <v>0.0284764984896697</v>
      </c>
      <c r="S165" s="8">
        <v>1.2255881831720223</v>
      </c>
      <c r="T165" s="8">
        <v>0.7287316228428237</v>
      </c>
      <c r="U165" s="7">
        <v>0</v>
      </c>
      <c r="V165" s="8">
        <v>0.788356630672967</v>
      </c>
      <c r="W165" s="8">
        <v>0.721200325097122</v>
      </c>
      <c r="X165" s="7">
        <v>0</v>
      </c>
      <c r="Y165" s="7">
        <v>1</v>
      </c>
      <c r="Z165" s="8">
        <v>3.8491147108661465</v>
      </c>
      <c r="AA165" s="7">
        <v>0</v>
      </c>
      <c r="AB165" s="8">
        <v>0.0106001527458426</v>
      </c>
      <c r="AC165" s="42"/>
      <c r="AD165" s="83">
        <f>IFERROR(P165,$AD$4)</f>
        <v>25569.5</v>
      </c>
      <c r="AE165" s="7">
        <f>IFERROR(U165,0)</f>
      </c>
      <c r="AF165" s="3"/>
      <c r="AG165" s="86">
        <f>Q164+S165+T165+U165</f>
      </c>
      <c r="AH165" s="86">
        <f>Q165+R165+X165</f>
      </c>
      <c r="AI165" s="59">
        <f>AH165-AG165</f>
      </c>
      <c r="AJ165" s="3"/>
      <c r="AK165" s="3"/>
    </row>
    <row x14ac:dyDescent="0.25" r="166" customHeight="1" ht="18.75">
      <c r="A166" s="3"/>
      <c r="B166" s="71"/>
      <c r="C166" s="3"/>
      <c r="D166" s="3"/>
      <c r="E166" s="3"/>
      <c r="F166" s="3"/>
      <c r="G166" s="59">
        <f>H166-DATE(YEAR(H166),1,0)+1</f>
      </c>
      <c r="H166" s="79">
        <f>H165+1</f>
        <v>25569.5</v>
      </c>
      <c r="I166" s="80">
        <f>HLOOKUP($H$4,'Met Data'!$A$2:$F$368,G166,FALSE)</f>
      </c>
      <c r="J166" s="80">
        <f>HLOOKUP($H$4,'Met Data'!$H$2:$M$368,G166,FALSE)*L166</f>
      </c>
      <c r="K166" s="81">
        <f>HLOOKUP($H$4,'Met Data'!$O$2:$T$368,G166,FALSE)</f>
      </c>
      <c r="L166" s="7">
        <f>IF(H166&lt;$B$31,$J$3,$J$4)</f>
      </c>
      <c r="M166" s="3"/>
      <c r="N166" s="82">
        <f>IF(P166&lt;$P$3,TRUE,FALSE)</f>
      </c>
      <c r="O166" s="82">
        <f>AND(IF(P166&gt;($P$2-1),TRUE,FALSE),IF(P166&lt;($P$3+1),TRUE,FALSE))</f>
      </c>
      <c r="P166" s="83">
        <v>45135</v>
      </c>
      <c r="Q166" s="8">
        <v>126.05876185526131</v>
      </c>
      <c r="R166" s="8">
        <v>0.029760733678397</v>
      </c>
      <c r="S166" s="8">
        <v>1.0810470213674341</v>
      </c>
      <c r="T166" s="8">
        <v>0.7346307984011603</v>
      </c>
      <c r="U166" s="7">
        <v>0</v>
      </c>
      <c r="V166" s="8">
        <v>0.818117364351364</v>
      </c>
      <c r="W166" s="8">
        <v>0.748425885165877</v>
      </c>
      <c r="X166" s="7">
        <v>0</v>
      </c>
      <c r="Y166" s="7">
        <v>1</v>
      </c>
      <c r="Z166" s="8">
        <v>2.0197279512015314</v>
      </c>
      <c r="AA166" s="7">
        <v>0</v>
      </c>
      <c r="AB166" s="8">
        <v>0.0119155354427193</v>
      </c>
      <c r="AC166" s="42"/>
      <c r="AD166" s="83">
        <f>IFERROR(P166,$AD$4)</f>
        <v>25569.5</v>
      </c>
      <c r="AE166" s="7">
        <f>IFERROR(U166,0)</f>
      </c>
      <c r="AF166" s="3"/>
      <c r="AG166" s="86">
        <f>Q165+S166+T166+U166</f>
      </c>
      <c r="AH166" s="86">
        <f>Q166+R166+X166</f>
      </c>
      <c r="AI166" s="59">
        <f>AH166-AG166</f>
      </c>
      <c r="AJ166" s="3"/>
      <c r="AK166" s="3"/>
    </row>
    <row x14ac:dyDescent="0.25" r="167" customHeight="1" ht="18.75">
      <c r="A167" s="3"/>
      <c r="B167" s="71"/>
      <c r="C167" s="3"/>
      <c r="D167" s="3"/>
      <c r="E167" s="3"/>
      <c r="F167" s="3"/>
      <c r="G167" s="59">
        <f>H167-DATE(YEAR(H167),1,0)+1</f>
      </c>
      <c r="H167" s="79">
        <f>H166+1</f>
        <v>25569.5</v>
      </c>
      <c r="I167" s="80">
        <f>HLOOKUP($H$4,'Met Data'!$A$2:$F$368,G167,FALSE)</f>
      </c>
      <c r="J167" s="80">
        <f>HLOOKUP($H$4,'Met Data'!$H$2:$M$368,G167,FALSE)*L167</f>
      </c>
      <c r="K167" s="81">
        <f>HLOOKUP($H$4,'Met Data'!$O$2:$T$368,G167,FALSE)</f>
      </c>
      <c r="L167" s="7">
        <f>IF(H167&lt;$B$31,$J$3,$J$4)</f>
      </c>
      <c r="M167" s="3"/>
      <c r="N167" s="82">
        <f>IF(P167&lt;$P$3,TRUE,FALSE)</f>
      </c>
      <c r="O167" s="82">
        <f>AND(IF(P167&gt;($P$2-1),TRUE,FALSE),IF(P167&lt;($P$3+1),TRUE,FALSE))</f>
      </c>
      <c r="P167" s="83">
        <v>45136</v>
      </c>
      <c r="Q167" s="8">
        <v>127.73753443153325</v>
      </c>
      <c r="R167" s="8">
        <v>0.0314275188890955</v>
      </c>
      <c r="S167" s="8">
        <v>0.9620062951137915</v>
      </c>
      <c r="T167" s="8">
        <v>0.7481938000472358</v>
      </c>
      <c r="U167" s="7">
        <v>0</v>
      </c>
      <c r="V167" s="8">
        <v>0.849544883240459</v>
      </c>
      <c r="W167" s="8">
        <v>0.777176245038494</v>
      </c>
      <c r="X167" s="7">
        <v>0</v>
      </c>
      <c r="Y167" s="7">
        <v>1</v>
      </c>
      <c r="Z167" s="8">
        <v>4.228045148169926</v>
      </c>
      <c r="AA167" s="7">
        <v>0</v>
      </c>
      <c r="AB167" s="8">
        <v>0.0134202637797802</v>
      </c>
      <c r="AC167" s="42"/>
      <c r="AD167" s="83">
        <f>IFERROR(P167,$AD$4)</f>
        <v>25569.5</v>
      </c>
      <c r="AE167" s="7">
        <f>IFERROR(U167,0)</f>
      </c>
      <c r="AF167" s="3"/>
      <c r="AG167" s="86">
        <f>Q166+S167+T167+U167</f>
      </c>
      <c r="AH167" s="86">
        <f>Q167+R167+X167</f>
      </c>
      <c r="AI167" s="59">
        <f>AH167-AG167</f>
      </c>
      <c r="AJ167" s="3"/>
      <c r="AK167" s="3"/>
    </row>
    <row x14ac:dyDescent="0.25" r="168" customHeight="1" ht="18.75">
      <c r="A168" s="3"/>
      <c r="B168" s="71"/>
      <c r="C168" s="3"/>
      <c r="D168" s="3"/>
      <c r="E168" s="3"/>
      <c r="F168" s="3"/>
      <c r="G168" s="59">
        <f>H168-DATE(YEAR(H168),1,0)+1</f>
      </c>
      <c r="H168" s="79">
        <f>H167+1</f>
        <v>25569.5</v>
      </c>
      <c r="I168" s="80">
        <f>HLOOKUP($H$4,'Met Data'!$A$2:$F$368,G168,FALSE)</f>
      </c>
      <c r="J168" s="80">
        <f>HLOOKUP($H$4,'Met Data'!$H$2:$M$368,G168,FALSE)*L168</f>
      </c>
      <c r="K168" s="81">
        <f>HLOOKUP($H$4,'Met Data'!$O$2:$T$368,G168,FALSE)</f>
      </c>
      <c r="L168" s="7">
        <f>IF(H168&lt;$B$31,$J$3,$J$4)</f>
      </c>
      <c r="M168" s="3"/>
      <c r="N168" s="82">
        <f>IF(P168&lt;$P$3,TRUE,FALSE)</f>
      </c>
      <c r="O168" s="82">
        <f>AND(IF(P168&gt;($P$2-1),TRUE,FALSE),IF(P168&lt;($P$3+1),TRUE,FALSE))</f>
      </c>
      <c r="P168" s="83">
        <v>45137</v>
      </c>
      <c r="Q168" s="8">
        <v>129.29079891739326</v>
      </c>
      <c r="R168" s="8">
        <v>0.0325853453001371</v>
      </c>
      <c r="S168" s="8">
        <v>0.8381345861555438</v>
      </c>
      <c r="T168" s="8">
        <v>0.7477152450045815</v>
      </c>
      <c r="U168" s="7">
        <v>0</v>
      </c>
      <c r="V168" s="8">
        <v>0.882130228540596</v>
      </c>
      <c r="W168" s="8">
        <v>0.806985801664916</v>
      </c>
      <c r="X168" s="7">
        <v>0</v>
      </c>
      <c r="Y168" s="7">
        <v>1</v>
      </c>
      <c r="Z168" s="8">
        <v>1.372248604392638</v>
      </c>
      <c r="AA168" s="7">
        <v>0</v>
      </c>
      <c r="AB168" s="8">
        <v>0.0151109888438216</v>
      </c>
      <c r="AC168" s="42"/>
      <c r="AD168" s="83">
        <f>IFERROR(P168,$AD$4)</f>
        <v>25569.5</v>
      </c>
      <c r="AE168" s="7">
        <f>IFERROR(U168,0)</f>
      </c>
      <c r="AF168" s="3"/>
      <c r="AG168" s="86">
        <f>Q167+S168+T168+U168</f>
      </c>
      <c r="AH168" s="86">
        <f>Q168+R168+X168</f>
      </c>
      <c r="AI168" s="59">
        <f>AH168-AG168</f>
      </c>
      <c r="AJ168" s="3"/>
      <c r="AK168" s="3"/>
    </row>
    <row x14ac:dyDescent="0.25" r="169" customHeight="1" ht="18.75">
      <c r="A169" s="3"/>
      <c r="B169" s="71"/>
      <c r="C169" s="3"/>
      <c r="D169" s="3"/>
      <c r="E169" s="3"/>
      <c r="F169" s="3"/>
      <c r="G169" s="59">
        <f>H169-DATE(YEAR(H169),1,0)+1</f>
      </c>
      <c r="H169" s="79">
        <f>H168+1</f>
        <v>25569.5</v>
      </c>
      <c r="I169" s="80">
        <f>HLOOKUP($H$4,'Met Data'!$A$2:$F$368,G169,FALSE)</f>
      </c>
      <c r="J169" s="80">
        <f>HLOOKUP($H$4,'Met Data'!$H$2:$M$368,G169,FALSE)*L169</f>
      </c>
      <c r="K169" s="81">
        <f>HLOOKUP($H$4,'Met Data'!$O$2:$T$368,G169,FALSE)</f>
      </c>
      <c r="L169" s="7">
        <f>IF(H169&lt;$B$31,$J$3,$J$4)</f>
      </c>
      <c r="M169" s="3"/>
      <c r="N169" s="82">
        <f>IF(P169&lt;$P$3,TRUE,FALSE)</f>
      </c>
      <c r="O169" s="82">
        <f>AND(IF(P169&gt;($P$2-1),TRUE,FALSE),IF(P169&lt;($P$3+1),TRUE,FALSE))</f>
      </c>
      <c r="P169" s="83">
        <v>45138</v>
      </c>
      <c r="Q169" s="8">
        <v>130.74764136661128</v>
      </c>
      <c r="R169" s="8">
        <v>0.0340909867410687</v>
      </c>
      <c r="S169" s="8">
        <v>0.7368201449949782</v>
      </c>
      <c r="T169" s="8">
        <v>0.7541132909641015</v>
      </c>
      <c r="U169" s="7">
        <v>0</v>
      </c>
      <c r="V169" s="8">
        <v>0.916221215281665</v>
      </c>
      <c r="W169" s="8">
        <v>0.838172741387301</v>
      </c>
      <c r="X169" s="7">
        <v>0</v>
      </c>
      <c r="Y169" s="7">
        <v>1</v>
      </c>
      <c r="Z169" s="8">
        <v>2.9521248176452985</v>
      </c>
      <c r="AA169" s="7">
        <v>0</v>
      </c>
      <c r="AB169" s="8">
        <v>0.0170278106877691</v>
      </c>
      <c r="AC169" s="42"/>
      <c r="AD169" s="83">
        <f>IFERROR(P169,$AD$4)</f>
        <v>25569.5</v>
      </c>
      <c r="AE169" s="7">
        <f>IFERROR(U169,0)</f>
      </c>
      <c r="AF169" s="3"/>
      <c r="AG169" s="86">
        <f>Q168+S169+T169+U169</f>
      </c>
      <c r="AH169" s="86">
        <f>Q169+R169+X169</f>
      </c>
      <c r="AI169" s="59">
        <f>AH169-AG169</f>
      </c>
      <c r="AJ169" s="3"/>
      <c r="AK169" s="3"/>
    </row>
    <row x14ac:dyDescent="0.25" r="170" customHeight="1" ht="18.75">
      <c r="A170" s="3"/>
      <c r="B170" s="71"/>
      <c r="C170" s="3"/>
      <c r="D170" s="3"/>
      <c r="E170" s="3"/>
      <c r="F170" s="3"/>
      <c r="G170" s="59">
        <f>H170-DATE(YEAR(H170),1,0)+1</f>
      </c>
      <c r="H170" s="79">
        <f>H169+1</f>
        <v>25569.5</v>
      </c>
      <c r="I170" s="80">
        <f>HLOOKUP($H$4,'Met Data'!$A$2:$F$368,G170,FALSE)</f>
      </c>
      <c r="J170" s="80">
        <f>HLOOKUP($H$4,'Met Data'!$H$2:$M$368,G170,FALSE)*L170</f>
      </c>
      <c r="K170" s="81">
        <f>HLOOKUP($H$4,'Met Data'!$O$2:$T$368,G170,FALSE)</f>
      </c>
      <c r="L170" s="7">
        <f>IF(H170&lt;$B$31,$J$3,$J$4)</f>
      </c>
      <c r="M170" s="3"/>
      <c r="N170" s="82">
        <f>IF(P170&lt;$P$3,TRUE,FALSE)</f>
      </c>
      <c r="O170" s="82">
        <f>AND(IF(P170&gt;($P$2-1),TRUE,FALSE),IF(P170&lt;($P$3+1),TRUE,FALSE))</f>
      </c>
      <c r="P170" s="83">
        <v>45139</v>
      </c>
      <c r="Q170" s="8">
        <v>132.11413511713891</v>
      </c>
      <c r="R170" s="8">
        <v>0.035534433991006</v>
      </c>
      <c r="S170" s="8">
        <v>0.6444638280213056</v>
      </c>
      <c r="T170" s="8">
        <v>0.7575643564973586</v>
      </c>
      <c r="U170" s="7">
        <v>0</v>
      </c>
      <c r="V170" s="8">
        <v>0.951755649272671</v>
      </c>
      <c r="W170" s="8">
        <v>0.870680168038332</v>
      </c>
      <c r="X170" s="7">
        <v>0</v>
      </c>
      <c r="Y170" s="7">
        <v>1</v>
      </c>
      <c r="Z170" s="8">
        <v>2.4371898521011275</v>
      </c>
      <c r="AA170" s="7">
        <v>0</v>
      </c>
      <c r="AB170" s="8">
        <v>0.0191931764884647</v>
      </c>
      <c r="AC170" s="42"/>
      <c r="AD170" s="83">
        <f>IFERROR(P170,$AD$4)</f>
        <v>25569.5</v>
      </c>
      <c r="AE170" s="7">
        <f>IFERROR(U170,0)</f>
      </c>
      <c r="AF170" s="3"/>
      <c r="AG170" s="86">
        <f>Q169+S170+T170+U170</f>
      </c>
      <c r="AH170" s="86">
        <f>Q170+R170+X170</f>
      </c>
      <c r="AI170" s="59">
        <f>AH170-AG170</f>
      </c>
      <c r="AJ170" s="3"/>
      <c r="AK170" s="3"/>
    </row>
    <row x14ac:dyDescent="0.25" r="171" customHeight="1" ht="18.75">
      <c r="A171" s="3"/>
      <c r="B171" s="71"/>
      <c r="C171" s="3"/>
      <c r="D171" s="3"/>
      <c r="E171" s="3"/>
      <c r="F171" s="3"/>
      <c r="G171" s="59">
        <f>H171-DATE(YEAR(H171),1,0)+1</f>
      </c>
      <c r="H171" s="79">
        <f>H170+1</f>
        <v>25569.5</v>
      </c>
      <c r="I171" s="80">
        <f>HLOOKUP($H$4,'Met Data'!$A$2:$F$368,G171,FALSE)</f>
      </c>
      <c r="J171" s="80">
        <f>HLOOKUP($H$4,'Met Data'!$H$2:$M$368,G171,FALSE)*L171</f>
      </c>
      <c r="K171" s="81">
        <f>HLOOKUP($H$4,'Met Data'!$O$2:$T$368,G171,FALSE)</f>
      </c>
      <c r="L171" s="7">
        <f>IF(H171&lt;$B$31,$J$3,$J$4)</f>
      </c>
      <c r="M171" s="3"/>
      <c r="N171" s="82">
        <f>IF(P171&lt;$P$3,TRUE,FALSE)</f>
      </c>
      <c r="O171" s="82">
        <f>AND(IF(P171&gt;($P$2-1),TRUE,FALSE),IF(P171&lt;($P$3+1),TRUE,FALSE))</f>
      </c>
      <c r="P171" s="83">
        <v>45140</v>
      </c>
      <c r="Q171" s="8">
        <v>133.43715914358003</v>
      </c>
      <c r="R171" s="8">
        <v>0.0380630999741102</v>
      </c>
      <c r="S171" s="8">
        <v>0.5785428635142776</v>
      </c>
      <c r="T171" s="8">
        <v>0.7825442629009587</v>
      </c>
      <c r="U171" s="7">
        <v>0</v>
      </c>
      <c r="V171" s="8">
        <v>0.989818749246781</v>
      </c>
      <c r="W171" s="8">
        <v>0.905500855792426</v>
      </c>
      <c r="X171" s="7">
        <v>0</v>
      </c>
      <c r="Y171" s="7">
        <v>1</v>
      </c>
      <c r="Z171" s="8">
        <v>4.3450302612382785</v>
      </c>
      <c r="AA171" s="7">
        <v>0</v>
      </c>
      <c r="AB171" s="8">
        <v>0.0217094926024142</v>
      </c>
      <c r="AC171" s="42"/>
      <c r="AD171" s="83">
        <f>IFERROR(P171,$AD$4)</f>
        <v>25569.5</v>
      </c>
      <c r="AE171" s="7">
        <f>IFERROR(U171,0)</f>
      </c>
      <c r="AF171" s="3"/>
      <c r="AG171" s="86">
        <f>Q170+S171+T171+U171</f>
      </c>
      <c r="AH171" s="86">
        <f>Q171+R171+X171</f>
      </c>
      <c r="AI171" s="59">
        <f>AH171-AG171</f>
      </c>
      <c r="AJ171" s="3"/>
      <c r="AK171" s="3"/>
    </row>
    <row x14ac:dyDescent="0.25" r="172" customHeight="1" ht="18.75">
      <c r="A172" s="3"/>
      <c r="B172" s="71"/>
      <c r="C172" s="3"/>
      <c r="D172" s="3"/>
      <c r="E172" s="3"/>
      <c r="F172" s="3"/>
      <c r="G172" s="59">
        <f>H172-DATE(YEAR(H172),1,0)+1</f>
      </c>
      <c r="H172" s="79">
        <f>H171+1</f>
        <v>25569.5</v>
      </c>
      <c r="I172" s="80">
        <f>HLOOKUP($H$4,'Met Data'!$A$2:$F$368,G172,FALSE)</f>
      </c>
      <c r="J172" s="80">
        <f>HLOOKUP($H$4,'Met Data'!$H$2:$M$368,G172,FALSE)*L172</f>
      </c>
      <c r="K172" s="81">
        <f>HLOOKUP($H$4,'Met Data'!$O$2:$T$368,G172,FALSE)</f>
      </c>
      <c r="L172" s="7">
        <f>IF(H172&lt;$B$31,$J$3,$J$4)</f>
      </c>
      <c r="M172" s="3"/>
      <c r="N172" s="82">
        <f>IF(P172&lt;$P$3,TRUE,FALSE)</f>
      </c>
      <c r="O172" s="82">
        <f>AND(IF(P172&gt;($P$2-1),TRUE,FALSE),IF(P172&lt;($P$3+1),TRUE,FALSE))</f>
      </c>
      <c r="P172" s="83">
        <v>45141</v>
      </c>
      <c r="Q172" s="8">
        <v>134.67334264463761</v>
      </c>
      <c r="R172" s="8">
        <v>0.0392946625292815</v>
      </c>
      <c r="S172" s="8">
        <v>0.49800037113329576</v>
      </c>
      <c r="T172" s="8">
        <v>0.7774777924535833</v>
      </c>
      <c r="U172" s="7">
        <v>0</v>
      </c>
      <c r="V172" s="8">
        <v>1.02911341177606</v>
      </c>
      <c r="W172" s="8">
        <v>0.941448195217361</v>
      </c>
      <c r="X172" s="7">
        <v>0</v>
      </c>
      <c r="Y172" s="7">
        <v>1</v>
      </c>
      <c r="Z172" s="8">
        <v>1.8039301077185996</v>
      </c>
      <c r="AA172" s="7">
        <v>0</v>
      </c>
      <c r="AB172" s="8">
        <v>0.0245289067369229</v>
      </c>
      <c r="AC172" s="42"/>
      <c r="AD172" s="83">
        <f>IFERROR(P172,$AD$4)</f>
        <v>25569.5</v>
      </c>
      <c r="AE172" s="7">
        <f>IFERROR(U172,0)</f>
      </c>
      <c r="AF172" s="3"/>
      <c r="AG172" s="86">
        <f>Q171+S172+T172+U172</f>
      </c>
      <c r="AH172" s="86">
        <f>Q172+R172+X172</f>
      </c>
      <c r="AI172" s="59">
        <f>AH172-AG172</f>
      </c>
      <c r="AJ172" s="3"/>
      <c r="AK172" s="3"/>
    </row>
    <row x14ac:dyDescent="0.25" r="173" customHeight="1" ht="18.75">
      <c r="A173" s="3"/>
      <c r="B173" s="71"/>
      <c r="C173" s="3"/>
      <c r="D173" s="3"/>
      <c r="E173" s="3"/>
      <c r="F173" s="3"/>
      <c r="G173" s="59">
        <f>H173-DATE(YEAR(H173),1,0)+1</f>
      </c>
      <c r="H173" s="79">
        <f>H172+1</f>
        <v>25569.5</v>
      </c>
      <c r="I173" s="80">
        <f>HLOOKUP($H$4,'Met Data'!$A$2:$F$368,G173,FALSE)</f>
      </c>
      <c r="J173" s="80">
        <f>HLOOKUP($H$4,'Met Data'!$H$2:$M$368,G173,FALSE)*L173</f>
      </c>
      <c r="K173" s="81">
        <f>HLOOKUP($H$4,'Met Data'!$O$2:$T$368,G173,FALSE)</f>
      </c>
      <c r="L173" s="7">
        <f>IF(H173&lt;$B$31,$J$3,$J$4)</f>
      </c>
      <c r="M173" s="3"/>
      <c r="N173" s="82">
        <f>IF(P173&lt;$P$3,TRUE,FALSE)</f>
      </c>
      <c r="O173" s="82">
        <f>AND(IF(P173&gt;($P$2-1),TRUE,FALSE),IF(P173&lt;($P$3+1),TRUE,FALSE))</f>
      </c>
      <c r="P173" s="83">
        <v>45142</v>
      </c>
      <c r="Q173" s="8">
        <v>135.83183099011433</v>
      </c>
      <c r="R173" s="8">
        <v>0.0404667288767726</v>
      </c>
      <c r="S173" s="8">
        <v>0.42818074313272747</v>
      </c>
      <c r="T173" s="8">
        <v>0.7707743312207266</v>
      </c>
      <c r="U173" s="7">
        <v>0</v>
      </c>
      <c r="V173" s="8">
        <v>1.06958014065284</v>
      </c>
      <c r="W173" s="8">
        <v>0.978467758300927</v>
      </c>
      <c r="X173" s="7">
        <v>0</v>
      </c>
      <c r="Y173" s="7">
        <v>1</v>
      </c>
      <c r="Z173" s="8">
        <v>3.6208865032255915</v>
      </c>
      <c r="AA173" s="7">
        <v>0</v>
      </c>
      <c r="AB173" s="8">
        <v>0.0276763761132293</v>
      </c>
      <c r="AC173" s="42"/>
      <c r="AD173" s="83">
        <f>IFERROR(P173,$AD$4)</f>
        <v>25569.5</v>
      </c>
      <c r="AE173" s="7">
        <f>IFERROR(U173,0)</f>
      </c>
      <c r="AF173" s="3"/>
      <c r="AG173" s="86">
        <f>Q172+S173+T173+U173</f>
      </c>
      <c r="AH173" s="86">
        <f>Q173+R173+X173</f>
      </c>
      <c r="AI173" s="59">
        <f>AH173-AG173</f>
      </c>
      <c r="AJ173" s="3"/>
      <c r="AK173" s="3"/>
    </row>
    <row x14ac:dyDescent="0.25" r="174" customHeight="1" ht="18.75">
      <c r="A174" s="3"/>
      <c r="B174" s="71"/>
      <c r="C174" s="3"/>
      <c r="D174" s="3"/>
      <c r="E174" s="3"/>
      <c r="F174" s="3"/>
      <c r="G174" s="59">
        <f>H174-DATE(YEAR(H174),1,0)+1</f>
      </c>
      <c r="H174" s="79">
        <f>H173+1</f>
        <v>25569.5</v>
      </c>
      <c r="I174" s="80">
        <f>HLOOKUP($H$4,'Met Data'!$A$2:$F$368,G174,FALSE)</f>
      </c>
      <c r="J174" s="80">
        <f>HLOOKUP($H$4,'Met Data'!$H$2:$M$368,G174,FALSE)*L174</f>
      </c>
      <c r="K174" s="81">
        <f>HLOOKUP($H$4,'Met Data'!$O$2:$T$368,G174,FALSE)</f>
      </c>
      <c r="L174" s="7">
        <f>IF(H174&lt;$B$31,$J$3,$J$4)</f>
      </c>
      <c r="M174" s="3"/>
      <c r="N174" s="82">
        <f>IF(P174&lt;$P$3,TRUE,FALSE)</f>
      </c>
      <c r="O174" s="82">
        <f>AND(IF(P174&gt;($P$2-1),TRUE,FALSE),IF(P174&lt;($P$3+1),TRUE,FALSE))</f>
      </c>
      <c r="P174" s="83">
        <v>45143</v>
      </c>
      <c r="Q174" s="8">
        <v>136.90255222273686</v>
      </c>
      <c r="R174" s="8">
        <v>0.040881217026973</v>
      </c>
      <c r="S174" s="8">
        <v>0.3618714670881877</v>
      </c>
      <c r="T174" s="8">
        <v>0.7497309825613128</v>
      </c>
      <c r="U174" s="7">
        <v>0</v>
      </c>
      <c r="V174" s="8">
        <v>1.11046135767981</v>
      </c>
      <c r="W174" s="8">
        <v>1.01586650128486</v>
      </c>
      <c r="X174" s="7">
        <v>0</v>
      </c>
      <c r="Y174" s="7">
        <v>1</v>
      </c>
      <c r="Z174" s="8">
        <v>3.5549193519131705</v>
      </c>
      <c r="AA174" s="7">
        <v>0</v>
      </c>
      <c r="AB174" s="8">
        <v>0.0311160362932186</v>
      </c>
      <c r="AC174" s="42"/>
      <c r="AD174" s="83">
        <f>IFERROR(P174,$AD$4)</f>
        <v>25569.5</v>
      </c>
      <c r="AE174" s="7">
        <f>IFERROR(U174,0)</f>
      </c>
      <c r="AF174" s="3"/>
      <c r="AG174" s="86">
        <f>Q173+S174+T174+U174</f>
      </c>
      <c r="AH174" s="86">
        <f>Q174+R174+X174</f>
      </c>
      <c r="AI174" s="59">
        <f>AH174-AG174</f>
      </c>
      <c r="AJ174" s="3"/>
      <c r="AK174" s="3"/>
    </row>
    <row x14ac:dyDescent="0.25" r="175" customHeight="1" ht="18.75">
      <c r="A175" s="3"/>
      <c r="B175" s="71"/>
      <c r="C175" s="3"/>
      <c r="D175" s="3"/>
      <c r="E175" s="3"/>
      <c r="F175" s="3"/>
      <c r="G175" s="59">
        <f>H175-DATE(YEAR(H175),1,0)+1</f>
      </c>
      <c r="H175" s="79">
        <f>H174+1</f>
        <v>25569.5</v>
      </c>
      <c r="I175" s="80">
        <f>HLOOKUP($H$4,'Met Data'!$A$2:$F$368,G175,FALSE)</f>
      </c>
      <c r="J175" s="80">
        <f>HLOOKUP($H$4,'Met Data'!$H$2:$M$368,G175,FALSE)*L175</f>
      </c>
      <c r="K175" s="81">
        <f>HLOOKUP($H$4,'Met Data'!$O$2:$T$368,G175,FALSE)</f>
      </c>
      <c r="L175" s="7">
        <f>IF(H175&lt;$B$31,$J$3,$J$4)</f>
      </c>
      <c r="M175" s="3"/>
      <c r="N175" s="82">
        <f>IF(P175&lt;$P$3,TRUE,FALSE)</f>
      </c>
      <c r="O175" s="82">
        <f>AND(IF(P175&gt;($P$2-1),TRUE,FALSE),IF(P175&lt;($P$3+1),TRUE,FALSE))</f>
      </c>
      <c r="P175" s="83">
        <v>45144</v>
      </c>
      <c r="Q175" s="8">
        <v>137.91811342831443</v>
      </c>
      <c r="R175" s="8">
        <v>0.0420979766741882</v>
      </c>
      <c r="S175" s="8">
        <v>0.31321025272957487</v>
      </c>
      <c r="T175" s="8">
        <v>0.7444489295222012</v>
      </c>
      <c r="U175" s="7">
        <v>0</v>
      </c>
      <c r="V175" s="8">
        <v>1.152559334354</v>
      </c>
      <c r="W175" s="8">
        <v>1.05437835402014</v>
      </c>
      <c r="X175" s="7">
        <v>0</v>
      </c>
      <c r="Y175" s="7">
        <v>1</v>
      </c>
      <c r="Z175" s="8">
        <v>2.69689925183053</v>
      </c>
      <c r="AA175" s="7">
        <v>0</v>
      </c>
      <c r="AB175" s="8">
        <v>0.0349398084692978</v>
      </c>
      <c r="AC175" s="42"/>
      <c r="AD175" s="83">
        <f>IFERROR(P175,$AD$4)</f>
        <v>25569.5</v>
      </c>
      <c r="AE175" s="7">
        <f>IFERROR(U175,0)</f>
      </c>
      <c r="AF175" s="3"/>
      <c r="AG175" s="86">
        <f>Q174+S175+T175+U175</f>
      </c>
      <c r="AH175" s="86">
        <f>Q175+R175+X175</f>
      </c>
      <c r="AI175" s="59">
        <f>AH175-AG175</f>
      </c>
      <c r="AJ175" s="3"/>
      <c r="AK175" s="3"/>
    </row>
    <row x14ac:dyDescent="0.25" r="176" customHeight="1" ht="18.75">
      <c r="A176" s="3"/>
      <c r="B176" s="71"/>
      <c r="C176" s="3"/>
      <c r="D176" s="3"/>
      <c r="E176" s="3"/>
      <c r="F176" s="3"/>
      <c r="G176" s="59">
        <f>H176-DATE(YEAR(H176),1,0)+1</f>
      </c>
      <c r="H176" s="79">
        <f>H175+1</f>
        <v>25569.5</v>
      </c>
      <c r="I176" s="80">
        <f>HLOOKUP($H$4,'Met Data'!$A$2:$F$368,G176,FALSE)</f>
      </c>
      <c r="J176" s="80">
        <f>HLOOKUP($H$4,'Met Data'!$H$2:$M$368,G176,FALSE)*L176</f>
      </c>
      <c r="K176" s="81">
        <f>HLOOKUP($H$4,'Met Data'!$O$2:$T$368,G176,FALSE)</f>
      </c>
      <c r="L176" s="7">
        <f>IF(H176&lt;$B$31,$J$3,$J$4)</f>
      </c>
      <c r="M176" s="3"/>
      <c r="N176" s="82">
        <f>IF(P176&lt;$P$3,TRUE,FALSE)</f>
      </c>
      <c r="O176" s="82">
        <f>AND(IF(P176&gt;($P$2-1),TRUE,FALSE),IF(P176&lt;($P$3+1),TRUE,FALSE))</f>
      </c>
      <c r="P176" s="83">
        <v>45145</v>
      </c>
      <c r="Q176" s="8">
        <v>138.90182035778315</v>
      </c>
      <c r="R176" s="8">
        <v>0.0440743848023708</v>
      </c>
      <c r="S176" s="8">
        <v>0.27590525821392026</v>
      </c>
      <c r="T176" s="8">
        <v>0.7518760560571444</v>
      </c>
      <c r="U176" s="7">
        <v>0</v>
      </c>
      <c r="V176" s="8">
        <v>1.19663371915637</v>
      </c>
      <c r="W176" s="8">
        <v>1.0946982541912</v>
      </c>
      <c r="X176" s="7">
        <v>0</v>
      </c>
      <c r="Y176" s="7">
        <v>1</v>
      </c>
      <c r="Z176" s="8">
        <v>1.7808930120236823</v>
      </c>
      <c r="AA176" s="7">
        <v>0</v>
      </c>
      <c r="AB176" s="8">
        <v>0.0392584152880334</v>
      </c>
      <c r="AC176" s="42"/>
      <c r="AD176" s="83">
        <f>IFERROR(P176,$AD$4)</f>
        <v>25569.5</v>
      </c>
      <c r="AE176" s="7">
        <f>IFERROR(U176,0)</f>
      </c>
      <c r="AF176" s="3"/>
      <c r="AG176" s="86">
        <f>Q175+S176+T176+U176</f>
      </c>
      <c r="AH176" s="86">
        <f>Q176+R176+X176</f>
      </c>
      <c r="AI176" s="59">
        <f>AH176-AG176</f>
      </c>
      <c r="AJ176" s="3"/>
      <c r="AK176" s="3"/>
    </row>
    <row x14ac:dyDescent="0.25" r="177" customHeight="1" ht="18.75">
      <c r="A177" s="3"/>
      <c r="B177" s="71"/>
      <c r="C177" s="3"/>
      <c r="D177" s="3"/>
      <c r="E177" s="3"/>
      <c r="F177" s="3"/>
      <c r="G177" s="59">
        <f>H177-DATE(YEAR(H177),1,0)+1</f>
      </c>
      <c r="H177" s="79">
        <f>H176+1</f>
        <v>25569.5</v>
      </c>
      <c r="I177" s="80">
        <f>HLOOKUP($H$4,'Met Data'!$A$2:$F$368,G177,FALSE)</f>
      </c>
      <c r="J177" s="80">
        <f>HLOOKUP($H$4,'Met Data'!$H$2:$M$368,G177,FALSE)*L177</f>
      </c>
      <c r="K177" s="81">
        <f>HLOOKUP($H$4,'Met Data'!$O$2:$T$368,G177,FALSE)</f>
      </c>
      <c r="L177" s="7">
        <f>IF(H177&lt;$B$31,$J$3,$J$4)</f>
      </c>
      <c r="M177" s="3"/>
      <c r="N177" s="82">
        <f>IF(P177&lt;$P$3,TRUE,FALSE)</f>
      </c>
      <c r="O177" s="82">
        <f>AND(IF(P177&gt;($P$2-1),TRUE,FALSE),IF(P177&lt;($P$3+1),TRUE,FALSE))</f>
      </c>
      <c r="P177" s="83">
        <v>45146</v>
      </c>
      <c r="Q177" s="8">
        <v>139.8480939236686</v>
      </c>
      <c r="R177" s="8">
        <v>0.0456903657415297</v>
      </c>
      <c r="S177" s="8">
        <v>0.24029481446535805</v>
      </c>
      <c r="T177" s="8">
        <v>0.7516691171616575</v>
      </c>
      <c r="U177" s="7">
        <v>0</v>
      </c>
      <c r="V177" s="8">
        <v>1.2423240848979</v>
      </c>
      <c r="W177" s="8">
        <v>1.13649647766585</v>
      </c>
      <c r="X177" s="7">
        <v>0</v>
      </c>
      <c r="Y177" s="7">
        <v>1</v>
      </c>
      <c r="Z177" s="8">
        <v>0.6185119512016684</v>
      </c>
      <c r="AA177" s="7">
        <v>0</v>
      </c>
      <c r="AB177" s="8">
        <v>0.0440850578828794</v>
      </c>
      <c r="AC177" s="42"/>
      <c r="AD177" s="83">
        <f>IFERROR(P177,$AD$4)</f>
        <v>25569.5</v>
      </c>
      <c r="AE177" s="7">
        <f>IFERROR(U177,0)</f>
      </c>
      <c r="AF177" s="3"/>
      <c r="AG177" s="86">
        <f>Q176+S177+T177+U177</f>
      </c>
      <c r="AH177" s="86">
        <f>Q177+R177+X177</f>
      </c>
      <c r="AI177" s="59">
        <f>AH177-AG177</f>
      </c>
      <c r="AJ177" s="3"/>
      <c r="AK177" s="3"/>
    </row>
    <row x14ac:dyDescent="0.25" r="178" customHeight="1" ht="18.75">
      <c r="A178" s="3"/>
      <c r="B178" s="71"/>
      <c r="C178" s="3"/>
      <c r="D178" s="3"/>
      <c r="E178" s="3"/>
      <c r="F178" s="3"/>
      <c r="G178" s="59">
        <f>H178-DATE(YEAR(H178),1,0)+1</f>
      </c>
      <c r="H178" s="79">
        <f>H177+1</f>
        <v>25569.5</v>
      </c>
      <c r="I178" s="80">
        <f>HLOOKUP($H$4,'Met Data'!$A$2:$F$368,G178,FALSE)</f>
      </c>
      <c r="J178" s="80">
        <f>HLOOKUP($H$4,'Met Data'!$H$2:$M$368,G178,FALSE)*L178</f>
      </c>
      <c r="K178" s="81">
        <f>HLOOKUP($H$4,'Met Data'!$O$2:$T$368,G178,FALSE)</f>
      </c>
      <c r="L178" s="7">
        <f>IF(H178&lt;$B$31,$J$3,$J$4)</f>
      </c>
      <c r="M178" s="3"/>
      <c r="N178" s="82">
        <f>IF(P178&lt;$P$3,TRUE,FALSE)</f>
      </c>
      <c r="O178" s="82">
        <f>AND(IF(P178&gt;($P$2-1),TRUE,FALSE),IF(P178&lt;($P$3+1),TRUE,FALSE))</f>
      </c>
      <c r="P178" s="83">
        <v>45147</v>
      </c>
      <c r="Q178" s="8">
        <v>140.77279152088164</v>
      </c>
      <c r="R178" s="8">
        <v>0.0479429688971467</v>
      </c>
      <c r="S178" s="8">
        <v>0.21181537155779964</v>
      </c>
      <c r="T178" s="8">
        <v>0.7608251945523601</v>
      </c>
      <c r="U178" s="7">
        <v>0</v>
      </c>
      <c r="V178" s="8">
        <v>1.29026705379504</v>
      </c>
      <c r="W178" s="8">
        <v>1.18035541587917</v>
      </c>
      <c r="X178" s="7">
        <v>0</v>
      </c>
      <c r="Y178" s="7">
        <v>1</v>
      </c>
      <c r="Z178" s="8">
        <v>2.937851105923656</v>
      </c>
      <c r="AA178" s="7">
        <v>0</v>
      </c>
      <c r="AB178" s="8">
        <v>0.0495417460757502</v>
      </c>
      <c r="AC178" s="42"/>
      <c r="AD178" s="83">
        <f>IFERROR(P178,$AD$4)</f>
        <v>25569.5</v>
      </c>
      <c r="AE178" s="7">
        <f>IFERROR(U178,0)</f>
      </c>
      <c r="AF178" s="3"/>
      <c r="AG178" s="86">
        <f>Q177+S178+T178+U178</f>
      </c>
      <c r="AH178" s="86">
        <f>Q178+R178+X178</f>
      </c>
      <c r="AI178" s="59">
        <f>AH178-AG178</f>
      </c>
      <c r="AJ178" s="3"/>
      <c r="AK178" s="3"/>
    </row>
    <row x14ac:dyDescent="0.25" r="179" customHeight="1" ht="18.75">
      <c r="A179" s="3"/>
      <c r="B179" s="71"/>
      <c r="C179" s="3"/>
      <c r="D179" s="3"/>
      <c r="E179" s="3"/>
      <c r="F179" s="3"/>
      <c r="G179" s="59">
        <f>H179-DATE(YEAR(H179),1,0)+1</f>
      </c>
      <c r="H179" s="79">
        <f>H178+1</f>
        <v>25569.5</v>
      </c>
      <c r="I179" s="80">
        <f>HLOOKUP($H$4,'Met Data'!$A$2:$F$368,G179,FALSE)</f>
      </c>
      <c r="J179" s="80">
        <f>HLOOKUP($H$4,'Met Data'!$H$2:$M$368,G179,FALSE)*L179</f>
      </c>
      <c r="K179" s="81">
        <f>HLOOKUP($H$4,'Met Data'!$O$2:$T$368,G179,FALSE)</f>
      </c>
      <c r="L179" s="7">
        <f>IF(H179&lt;$B$31,$J$3,$J$4)</f>
      </c>
      <c r="M179" s="3"/>
      <c r="N179" s="82">
        <f>IF(P179&lt;$P$3,TRUE,FALSE)</f>
      </c>
      <c r="O179" s="82">
        <f>AND(IF(P179&gt;($P$2-1),TRUE,FALSE),IF(P179&lt;($P$3+1),TRUE,FALSE))</f>
      </c>
      <c r="P179" s="83">
        <v>45148</v>
      </c>
      <c r="Q179" s="8">
        <v>141.6496784505572</v>
      </c>
      <c r="R179" s="8">
        <v>0.0487078599490121</v>
      </c>
      <c r="S179" s="8">
        <v>0.18050813644380373</v>
      </c>
      <c r="T179" s="8">
        <v>0.7450866531807732</v>
      </c>
      <c r="U179" s="7">
        <v>0</v>
      </c>
      <c r="V179" s="8">
        <v>1.33897491374406</v>
      </c>
      <c r="W179" s="8">
        <v>1.22491408775845</v>
      </c>
      <c r="X179" s="7">
        <v>0</v>
      </c>
      <c r="Y179" s="7">
        <v>1</v>
      </c>
      <c r="Z179" s="8">
        <v>2.748686251402958</v>
      </c>
      <c r="AA179" s="7">
        <v>0</v>
      </c>
      <c r="AB179" s="8">
        <v>0.05550536766242</v>
      </c>
      <c r="AC179" s="42"/>
      <c r="AD179" s="83">
        <f>IFERROR(P179,$AD$4)</f>
        <v>25569.5</v>
      </c>
      <c r="AE179" s="7">
        <f>IFERROR(U179,0)</f>
      </c>
      <c r="AF179" s="3"/>
      <c r="AG179" s="86">
        <f>Q178+S179+T179+U179</f>
      </c>
      <c r="AH179" s="86">
        <f>Q179+R179+X179</f>
      </c>
      <c r="AI179" s="59">
        <f>AH179-AG179</f>
      </c>
      <c r="AJ179" s="3"/>
      <c r="AK179" s="3"/>
    </row>
    <row x14ac:dyDescent="0.25" r="180" customHeight="1" ht="18.75">
      <c r="A180" s="3"/>
      <c r="B180" s="71"/>
      <c r="C180" s="3"/>
      <c r="D180" s="3"/>
      <c r="E180" s="3"/>
      <c r="F180" s="3"/>
      <c r="G180" s="59">
        <f>H180-DATE(YEAR(H180),1,0)+1</f>
      </c>
      <c r="H180" s="79">
        <f>H179+1</f>
        <v>25569.5</v>
      </c>
      <c r="I180" s="80">
        <f>HLOOKUP($H$4,'Met Data'!$A$2:$F$368,G180,FALSE)</f>
      </c>
      <c r="J180" s="80">
        <f>HLOOKUP($H$4,'Met Data'!$H$2:$M$368,G180,FALSE)*L180</f>
      </c>
      <c r="K180" s="81">
        <f>HLOOKUP($H$4,'Met Data'!$O$2:$T$368,G180,FALSE)</f>
      </c>
      <c r="L180" s="7">
        <f>IF(H180&lt;$B$31,$J$3,$J$4)</f>
      </c>
      <c r="M180" s="3"/>
      <c r="N180" s="82">
        <f>IF(P180&lt;$P$3,TRUE,FALSE)</f>
      </c>
      <c r="O180" s="82">
        <f>AND(IF(P180&gt;($P$2-1),TRUE,FALSE),IF(P180&lt;($P$3+1),TRUE,FALSE))</f>
      </c>
      <c r="P180" s="83">
        <v>45149</v>
      </c>
      <c r="Q180" s="8">
        <v>142.52282675472438</v>
      </c>
      <c r="R180" s="8">
        <v>0.051716582574785</v>
      </c>
      <c r="S180" s="8">
        <v>0.16125496333264314</v>
      </c>
      <c r="T180" s="8">
        <v>0.7636099234093349</v>
      </c>
      <c r="U180" s="7">
        <v>0</v>
      </c>
      <c r="V180" s="8">
        <v>1.39069149631884</v>
      </c>
      <c r="W180" s="8">
        <v>1.27222518366946</v>
      </c>
      <c r="X180" s="7">
        <v>0</v>
      </c>
      <c r="Y180" s="7">
        <v>1</v>
      </c>
      <c r="Z180" s="8">
        <v>3.942220527714298</v>
      </c>
      <c r="AA180" s="7">
        <v>0</v>
      </c>
      <c r="AB180" s="8">
        <v>0.0623087602068485</v>
      </c>
      <c r="AC180" s="42"/>
      <c r="AD180" s="83">
        <f>IFERROR(P180,$AD$4)</f>
        <v>25569.5</v>
      </c>
      <c r="AE180" s="7">
        <f>IFERROR(U180,0)</f>
      </c>
      <c r="AF180" s="3"/>
      <c r="AG180" s="86">
        <f>Q179+S180+T180+U180</f>
      </c>
      <c r="AH180" s="86">
        <f>Q180+R180+X180</f>
      </c>
      <c r="AI180" s="59">
        <f>AH180-AG180</f>
      </c>
      <c r="AJ180" s="3"/>
      <c r="AK180" s="3"/>
    </row>
    <row x14ac:dyDescent="0.25" r="181" customHeight="1" ht="18.75">
      <c r="A181" s="3"/>
      <c r="B181" s="71"/>
      <c r="C181" s="3"/>
      <c r="D181" s="3"/>
      <c r="E181" s="3"/>
      <c r="F181" s="3"/>
      <c r="G181" s="59">
        <f>H181-DATE(YEAR(H181),1,0)+1</f>
      </c>
      <c r="H181" s="79">
        <f>H180+1</f>
        <v>25569.5</v>
      </c>
      <c r="I181" s="80">
        <f>HLOOKUP($H$4,'Met Data'!$A$2:$F$368,G181,FALSE)</f>
      </c>
      <c r="J181" s="80">
        <f>HLOOKUP($H$4,'Met Data'!$H$2:$M$368,G181,FALSE)*L181</f>
      </c>
      <c r="K181" s="81">
        <f>HLOOKUP($H$4,'Met Data'!$O$2:$T$368,G181,FALSE)</f>
      </c>
      <c r="L181" s="7">
        <f>IF(H181&lt;$B$31,$J$3,$J$4)</f>
      </c>
      <c r="M181" s="3"/>
      <c r="N181" s="82">
        <f>IF(P181&lt;$P$3,TRUE,FALSE)</f>
      </c>
      <c r="O181" s="82">
        <f>AND(IF(P181&gt;($P$2-1),TRUE,FALSE),IF(P181&lt;($P$3+1),TRUE,FALSE))</f>
      </c>
      <c r="P181" s="83">
        <v>45150</v>
      </c>
      <c r="Q181" s="8">
        <v>143.35070826161947</v>
      </c>
      <c r="R181" s="8">
        <v>0.0522409680538132</v>
      </c>
      <c r="S181" s="8">
        <v>0.136586328484603</v>
      </c>
      <c r="T181" s="8">
        <v>0.7435361464643125</v>
      </c>
      <c r="U181" s="7">
        <v>0</v>
      </c>
      <c r="V181" s="8">
        <v>1.44293246437265</v>
      </c>
      <c r="W181" s="8">
        <v>1.32001599518535</v>
      </c>
      <c r="X181" s="7">
        <v>0</v>
      </c>
      <c r="Y181" s="7">
        <v>1</v>
      </c>
      <c r="Z181" s="8">
        <v>2.156310375818748</v>
      </c>
      <c r="AA181" s="7">
        <v>0</v>
      </c>
      <c r="AB181" s="8">
        <v>0.0696806900120298</v>
      </c>
      <c r="AC181" s="42"/>
      <c r="AD181" s="83">
        <f>IFERROR(P181,$AD$4)</f>
        <v>25569.5</v>
      </c>
      <c r="AE181" s="7">
        <f>IFERROR(U181,0)</f>
      </c>
      <c r="AF181" s="3"/>
      <c r="AG181" s="86">
        <f>Q180+S181+T181+U181</f>
      </c>
      <c r="AH181" s="86">
        <f>Q181+R181+X181</f>
      </c>
      <c r="AI181" s="59">
        <f>AH181-AG181</f>
      </c>
      <c r="AJ181" s="3"/>
      <c r="AK181" s="3"/>
    </row>
    <row x14ac:dyDescent="0.25" r="182" customHeight="1" ht="18.75">
      <c r="A182" s="3"/>
      <c r="B182" s="71"/>
      <c r="C182" s="3"/>
      <c r="D182" s="3"/>
      <c r="E182" s="3"/>
      <c r="F182" s="3"/>
      <c r="G182" s="59">
        <f>H182-DATE(YEAR(H182),1,0)+1</f>
      </c>
      <c r="H182" s="79">
        <f>H181+1</f>
        <v>25569.5</v>
      </c>
      <c r="I182" s="80">
        <f>HLOOKUP($H$4,'Met Data'!$A$2:$F$368,G182,FALSE)</f>
      </c>
      <c r="J182" s="80">
        <f>HLOOKUP($H$4,'Met Data'!$H$2:$M$368,G182,FALSE)*L182</f>
      </c>
      <c r="K182" s="81">
        <f>HLOOKUP($H$4,'Met Data'!$O$2:$T$368,G182,FALSE)</f>
      </c>
      <c r="L182" s="7">
        <f>IF(H182&lt;$B$31,$J$3,$J$4)</f>
      </c>
      <c r="M182" s="3"/>
      <c r="N182" s="82">
        <f>IF(P182&lt;$P$3,TRUE,FALSE)</f>
      </c>
      <c r="O182" s="82">
        <f>AND(IF(P182&gt;($P$2-1),TRUE,FALSE),IF(P182&lt;($P$3+1),TRUE,FALSE))</f>
      </c>
      <c r="P182" s="83">
        <v>45151</v>
      </c>
      <c r="Q182" s="8">
        <v>144.17738351828666</v>
      </c>
      <c r="R182" s="8">
        <v>0.0553249881961868</v>
      </c>
      <c r="S182" s="8">
        <v>0.12177957650988969</v>
      </c>
      <c r="T182" s="8">
        <v>0.7602206683534966</v>
      </c>
      <c r="U182" s="7">
        <v>0</v>
      </c>
      <c r="V182" s="8">
        <v>1.49825745256884</v>
      </c>
      <c r="W182" s="8">
        <v>1.37062811401668</v>
      </c>
      <c r="X182" s="7">
        <v>0</v>
      </c>
      <c r="Y182" s="7">
        <v>1</v>
      </c>
      <c r="Z182" s="8">
        <v>2.6737728765631346</v>
      </c>
      <c r="AA182" s="7">
        <v>0</v>
      </c>
      <c r="AB182" s="8">
        <v>0.0780400872303449</v>
      </c>
      <c r="AC182" s="42"/>
      <c r="AD182" s="83">
        <f>IFERROR(P182,$AD$4)</f>
        <v>25569.5</v>
      </c>
      <c r="AE182" s="7">
        <f>IFERROR(U182,0)</f>
      </c>
      <c r="AF182" s="3"/>
      <c r="AG182" s="86">
        <f>Q181+S182+T182+U182</f>
      </c>
      <c r="AH182" s="86">
        <f>Q182+R182+X182</f>
      </c>
      <c r="AI182" s="59">
        <f>AH182-AG182</f>
      </c>
      <c r="AJ182" s="3"/>
      <c r="AK182" s="3"/>
    </row>
    <row x14ac:dyDescent="0.25" r="183" customHeight="1" ht="18.75">
      <c r="A183" s="3"/>
      <c r="B183" s="71"/>
      <c r="C183" s="3"/>
      <c r="D183" s="3"/>
      <c r="E183" s="3"/>
      <c r="F183" s="3"/>
      <c r="G183" s="59">
        <f>H183-DATE(YEAR(H183),1,0)+1</f>
      </c>
      <c r="H183" s="79">
        <f>H182+1</f>
        <v>25569.5</v>
      </c>
      <c r="I183" s="80">
        <f>HLOOKUP($H$4,'Met Data'!$A$2:$F$368,G183,FALSE)</f>
      </c>
      <c r="J183" s="80">
        <f>HLOOKUP($H$4,'Met Data'!$H$2:$M$368,G183,FALSE)*L183</f>
      </c>
      <c r="K183" s="81">
        <f>HLOOKUP($H$4,'Met Data'!$O$2:$T$368,G183,FALSE)</f>
      </c>
      <c r="L183" s="7">
        <f>IF(H183&lt;$B$31,$J$3,$J$4)</f>
      </c>
      <c r="M183" s="3"/>
      <c r="N183" s="82">
        <f>IF(P183&lt;$P$3,TRUE,FALSE)</f>
      </c>
      <c r="O183" s="82">
        <f>AND(IF(P183&gt;($P$2-1),TRUE,FALSE),IF(P183&lt;($P$3+1),TRUE,FALSE))</f>
      </c>
      <c r="P183" s="83">
        <v>45152</v>
      </c>
      <c r="Q183" s="8">
        <v>144.9757396531404</v>
      </c>
      <c r="R183" s="8">
        <v>0.0566232713609658</v>
      </c>
      <c r="S183" s="8">
        <v>0.10459250657288323</v>
      </c>
      <c r="T183" s="8">
        <v>0.7503868996418189</v>
      </c>
      <c r="U183" s="7">
        <v>0</v>
      </c>
      <c r="V183" s="8">
        <v>1.55488072392981</v>
      </c>
      <c r="W183" s="8">
        <v>1.42242792152097</v>
      </c>
      <c r="X183" s="7">
        <v>0</v>
      </c>
      <c r="Y183" s="7">
        <v>1</v>
      </c>
      <c r="Z183" s="8">
        <v>3.289073840396341</v>
      </c>
      <c r="AA183" s="7">
        <v>0</v>
      </c>
      <c r="AB183" s="8">
        <v>0.0871860029934527</v>
      </c>
      <c r="AC183" s="42"/>
      <c r="AD183" s="83">
        <f>IFERROR(P183,$AD$4)</f>
        <v>25569.5</v>
      </c>
      <c r="AE183" s="7">
        <f>IFERROR(U183,0)</f>
      </c>
      <c r="AF183" s="3"/>
      <c r="AG183" s="86">
        <f>Q182+S183+T183+U183</f>
      </c>
      <c r="AH183" s="86">
        <f>Q183+R183+X183</f>
      </c>
      <c r="AI183" s="59">
        <f>AH183-AG183</f>
      </c>
      <c r="AJ183" s="3"/>
      <c r="AK183" s="3"/>
    </row>
    <row x14ac:dyDescent="0.25" r="184" customHeight="1" ht="18.75">
      <c r="A184" s="3"/>
      <c r="B184" s="71"/>
      <c r="C184" s="3"/>
      <c r="D184" s="3"/>
      <c r="E184" s="3"/>
      <c r="F184" s="3"/>
      <c r="G184" s="59">
        <f>H184-DATE(YEAR(H184),1,0)+1</f>
      </c>
      <c r="H184" s="79">
        <f>H183+1</f>
        <v>25569.5</v>
      </c>
      <c r="I184" s="80">
        <f>HLOOKUP($H$4,'Met Data'!$A$2:$F$368,G184,FALSE)</f>
      </c>
      <c r="J184" s="80">
        <f>HLOOKUP($H$4,'Met Data'!$H$2:$M$368,G184,FALSE)*L184</f>
      </c>
      <c r="K184" s="81">
        <f>HLOOKUP($H$4,'Met Data'!$O$2:$T$368,G184,FALSE)</f>
      </c>
      <c r="L184" s="7">
        <f>IF(H184&lt;$B$31,$J$3,$J$4)</f>
      </c>
      <c r="M184" s="3"/>
      <c r="N184" s="82">
        <f>IF(P184&lt;$P$3,TRUE,FALSE)</f>
      </c>
      <c r="O184" s="82">
        <f>AND(IF(P184&gt;($P$2-1),TRUE,FALSE),IF(P184&lt;($P$3+1),TRUE,FALSE))</f>
      </c>
      <c r="P184" s="83">
        <v>45153</v>
      </c>
      <c r="Q184" s="8">
        <v>145.71852694626932</v>
      </c>
      <c r="R184" s="8">
        <v>0.0556404247563078</v>
      </c>
      <c r="S184" s="8">
        <v>0.08651750387064114</v>
      </c>
      <c r="T184" s="8">
        <v>0.7119102140145634</v>
      </c>
      <c r="U184" s="7">
        <v>0</v>
      </c>
      <c r="V184" s="8">
        <v>1.61052114868611</v>
      </c>
      <c r="W184" s="8">
        <v>1.47332860639063</v>
      </c>
      <c r="X184" s="7">
        <v>0</v>
      </c>
      <c r="Y184" s="7">
        <v>1</v>
      </c>
      <c r="Z184" s="8">
        <v>3.3429010478105425</v>
      </c>
      <c r="AA184" s="7">
        <v>0</v>
      </c>
      <c r="AB184" s="8">
        <v>0.0967535765617683</v>
      </c>
      <c r="AC184" s="42"/>
      <c r="AD184" s="83">
        <f>IFERROR(P184,$AD$4)</f>
        <v>25569.5</v>
      </c>
      <c r="AE184" s="7">
        <f>IFERROR(U184,0)</f>
      </c>
      <c r="AF184" s="3"/>
      <c r="AG184" s="86">
        <f>Q183+S184+T184+U184</f>
      </c>
      <c r="AH184" s="86">
        <f>Q184+R184+X184</f>
      </c>
      <c r="AI184" s="59">
        <f>AH184-AG184</f>
      </c>
      <c r="AJ184" s="3"/>
      <c r="AK184" s="3"/>
    </row>
    <row x14ac:dyDescent="0.25" r="185" customHeight="1" ht="18.75">
      <c r="A185" s="3"/>
      <c r="B185" s="71"/>
      <c r="C185" s="3"/>
      <c r="D185" s="3"/>
      <c r="E185" s="3"/>
      <c r="F185" s="3"/>
      <c r="G185" s="59">
        <f>H185-DATE(YEAR(H185),1,0)+1</f>
      </c>
      <c r="H185" s="79">
        <f>H184+1</f>
        <v>25569.5</v>
      </c>
      <c r="I185" s="80">
        <f>HLOOKUP($H$4,'Met Data'!$A$2:$F$368,G185,FALSE)</f>
      </c>
      <c r="J185" s="80">
        <f>HLOOKUP($H$4,'Met Data'!$H$2:$M$368,G185,FALSE)*L185</f>
      </c>
      <c r="K185" s="81">
        <f>HLOOKUP($H$4,'Met Data'!$O$2:$T$368,G185,FALSE)</f>
      </c>
      <c r="L185" s="7">
        <f>IF(H185&lt;$B$31,$J$3,$J$4)</f>
      </c>
      <c r="M185" s="3"/>
      <c r="N185" s="82">
        <f>IF(P185&lt;$P$3,TRUE,FALSE)</f>
      </c>
      <c r="O185" s="82">
        <f>AND(IF(P185&gt;($P$2-1),TRUE,FALSE),IF(P185&lt;($P$3+1),TRUE,FALSE))</f>
      </c>
      <c r="P185" s="83">
        <v>45154</v>
      </c>
      <c r="Q185" s="8">
        <v>146.45111377082873</v>
      </c>
      <c r="R185" s="8">
        <v>0.0577222510347219</v>
      </c>
      <c r="S185" s="8">
        <v>0.07619364898011229</v>
      </c>
      <c r="T185" s="8">
        <v>0.7141154266140063</v>
      </c>
      <c r="U185" s="7">
        <v>0</v>
      </c>
      <c r="V185" s="8">
        <v>1.66824339972084</v>
      </c>
      <c r="W185" s="8">
        <v>1.52613377678165</v>
      </c>
      <c r="X185" s="7">
        <v>0</v>
      </c>
      <c r="Y185" s="7">
        <v>1</v>
      </c>
      <c r="Z185" s="8">
        <v>2.616392483970216</v>
      </c>
      <c r="AA185" s="7">
        <v>0</v>
      </c>
      <c r="AB185" s="8">
        <v>0.107281897452077</v>
      </c>
      <c r="AC185" s="42"/>
      <c r="AD185" s="83">
        <f>IFERROR(P185,$AD$4)</f>
        <v>25569.5</v>
      </c>
      <c r="AE185" s="7">
        <f>IFERROR(U185,0)</f>
      </c>
      <c r="AF185" s="3"/>
      <c r="AG185" s="86">
        <f>Q184+S185+T185+U185</f>
      </c>
      <c r="AH185" s="86">
        <f>Q185+R185+X185</f>
      </c>
      <c r="AI185" s="59">
        <f>AH185-AG185</f>
      </c>
      <c r="AJ185" s="3"/>
      <c r="AK185" s="3"/>
    </row>
    <row x14ac:dyDescent="0.25" r="186" customHeight="1" ht="18.75">
      <c r="A186" s="3"/>
      <c r="B186" s="71"/>
      <c r="C186" s="3"/>
      <c r="D186" s="3"/>
      <c r="E186" s="3"/>
      <c r="F186" s="3"/>
      <c r="G186" s="59">
        <f>H186-DATE(YEAR(H186),1,0)+1</f>
      </c>
      <c r="H186" s="79">
        <f>H185+1</f>
        <v>25569.5</v>
      </c>
      <c r="I186" s="80">
        <f>HLOOKUP($H$4,'Met Data'!$A$2:$F$368,G186,FALSE)</f>
      </c>
      <c r="J186" s="80">
        <f>HLOOKUP($H$4,'Met Data'!$H$2:$M$368,G186,FALSE)*L186</f>
      </c>
      <c r="K186" s="81">
        <f>HLOOKUP($H$4,'Met Data'!$O$2:$T$368,G186,FALSE)</f>
      </c>
      <c r="L186" s="7">
        <f>IF(H186&lt;$B$31,$J$3,$J$4)</f>
      </c>
      <c r="M186" s="3"/>
      <c r="N186" s="82">
        <f>IF(P186&lt;$P$3,TRUE,FALSE)</f>
      </c>
      <c r="O186" s="82">
        <f>AND(IF(P186&gt;($P$2-1),TRUE,FALSE),IF(P186&lt;($P$3+1),TRUE,FALSE))</f>
      </c>
      <c r="P186" s="83">
        <v>45155</v>
      </c>
      <c r="Q186" s="8">
        <v>147.1639947968278</v>
      </c>
      <c r="R186" s="8">
        <v>0.0589788215315794</v>
      </c>
      <c r="S186" s="8">
        <v>0.06607811442729068</v>
      </c>
      <c r="T186" s="8">
        <v>0.705781733103381</v>
      </c>
      <c r="U186" s="7">
        <v>0</v>
      </c>
      <c r="V186" s="8">
        <v>1.72722222125242</v>
      </c>
      <c r="W186" s="8">
        <v>1.58008847647906</v>
      </c>
      <c r="X186" s="7">
        <v>0</v>
      </c>
      <c r="Y186" s="7">
        <v>1</v>
      </c>
      <c r="Z186" s="8">
        <v>3.3422156657796194</v>
      </c>
      <c r="AA186" s="7">
        <v>0</v>
      </c>
      <c r="AB186" s="8">
        <v>0.118663635789505</v>
      </c>
      <c r="AC186" s="42"/>
      <c r="AD186" s="83">
        <f>IFERROR(P186,$AD$4)</f>
        <v>25569.5</v>
      </c>
      <c r="AE186" s="7">
        <f>IFERROR(U186,0)</f>
      </c>
      <c r="AF186" s="3"/>
      <c r="AG186" s="86">
        <f>Q185+S186+T186+U186</f>
      </c>
      <c r="AH186" s="86">
        <f>Q186+R186+X186</f>
      </c>
      <c r="AI186" s="59">
        <f>AH186-AG186</f>
      </c>
      <c r="AJ186" s="3"/>
      <c r="AK186" s="3"/>
    </row>
    <row x14ac:dyDescent="0.25" r="187" customHeight="1" ht="18.75">
      <c r="A187" s="3"/>
      <c r="B187" s="71"/>
      <c r="C187" s="3"/>
      <c r="D187" s="3"/>
      <c r="E187" s="3"/>
      <c r="F187" s="3"/>
      <c r="G187" s="59">
        <f>H187-DATE(YEAR(H187),1,0)+1</f>
      </c>
      <c r="H187" s="79">
        <f>H186+1</f>
        <v>25569.5</v>
      </c>
      <c r="I187" s="80">
        <f>HLOOKUP($H$4,'Met Data'!$A$2:$F$368,G187,FALSE)</f>
      </c>
      <c r="J187" s="80">
        <f>HLOOKUP($H$4,'Met Data'!$H$2:$M$368,G187,FALSE)*L187</f>
      </c>
      <c r="K187" s="81">
        <f>HLOOKUP($H$4,'Met Data'!$O$2:$T$368,G187,FALSE)</f>
      </c>
      <c r="L187" s="7">
        <f>IF(H187&lt;$B$31,$J$3,$J$4)</f>
      </c>
      <c r="M187" s="3"/>
      <c r="N187" s="82">
        <f>IF(P187&lt;$P$3,TRUE,FALSE)</f>
      </c>
      <c r="O187" s="82">
        <f>AND(IF(P187&gt;($P$2-1),TRUE,FALSE),IF(P187&lt;($P$3+1),TRUE,FALSE))</f>
      </c>
      <c r="P187" s="83">
        <v>45156</v>
      </c>
      <c r="Q187" s="8">
        <v>147.86689816719638</v>
      </c>
      <c r="R187" s="8">
        <v>0.060961025316363</v>
      </c>
      <c r="S187" s="8">
        <v>0.05808266258158855</v>
      </c>
      <c r="T187" s="8">
        <v>0.705781733103381</v>
      </c>
      <c r="U187" s="7">
        <v>0</v>
      </c>
      <c r="V187" s="8">
        <v>1.78818324656878</v>
      </c>
      <c r="W187" s="8">
        <v>1.63585652556477</v>
      </c>
      <c r="X187" s="7">
        <v>0</v>
      </c>
      <c r="Y187" s="7">
        <v>1</v>
      </c>
      <c r="Z187" s="8">
        <v>2.054373201111332</v>
      </c>
      <c r="AA187" s="7">
        <v>0</v>
      </c>
      <c r="AB187" s="8">
        <v>0.131075588452208</v>
      </c>
      <c r="AC187" s="42"/>
      <c r="AD187" s="83">
        <f>IFERROR(P187,$AD$4)</f>
        <v>25569.5</v>
      </c>
      <c r="AE187" s="7">
        <f>IFERROR(U187,0)</f>
      </c>
      <c r="AF187" s="3"/>
      <c r="AG187" s="86">
        <f>Q186+S187+T187+U187</f>
      </c>
      <c r="AH187" s="86">
        <f>Q187+R187+X187</f>
      </c>
      <c r="AI187" s="59">
        <f>AH187-AG187</f>
      </c>
      <c r="AJ187" s="3"/>
      <c r="AK187" s="3"/>
    </row>
    <row x14ac:dyDescent="0.25" r="188" customHeight="1" ht="18.75">
      <c r="A188" s="3"/>
      <c r="B188" s="71"/>
      <c r="C188" s="3"/>
      <c r="D188" s="3"/>
      <c r="E188" s="3"/>
      <c r="F188" s="3"/>
      <c r="G188" s="59">
        <f>H188-DATE(YEAR(H188),1,0)+1</f>
      </c>
      <c r="H188" s="79">
        <f>H187+1</f>
        <v>25569.5</v>
      </c>
      <c r="I188" s="80">
        <f>HLOOKUP($H$4,'Met Data'!$A$2:$F$368,G188,FALSE)</f>
      </c>
      <c r="J188" s="80">
        <f>HLOOKUP($H$4,'Met Data'!$H$2:$M$368,G188,FALSE)*L188</f>
      </c>
      <c r="K188" s="81">
        <f>HLOOKUP($H$4,'Met Data'!$O$2:$T$368,G188,FALSE)</f>
      </c>
      <c r="L188" s="7">
        <f>IF(H188&lt;$B$31,$J$3,$J$4)</f>
      </c>
      <c r="M188" s="3"/>
      <c r="N188" s="82">
        <f>IF(P188&lt;$P$3,TRUE,FALSE)</f>
      </c>
      <c r="O188" s="82">
        <f>AND(IF(P188&gt;($P$2-1),TRUE,FALSE),IF(P188&lt;($P$3+1),TRUE,FALSE))</f>
      </c>
      <c r="P188" s="83">
        <v>45157</v>
      </c>
      <c r="Q188" s="8">
        <v>148.5644730955991</v>
      </c>
      <c r="R188" s="8">
        <v>0.0633518321187172</v>
      </c>
      <c r="S188" s="8">
        <v>0.051333140375084796</v>
      </c>
      <c r="T188" s="8">
        <v>0.7095936201463385</v>
      </c>
      <c r="U188" s="7">
        <v>0</v>
      </c>
      <c r="V188" s="8">
        <v>1.8515350786875</v>
      </c>
      <c r="W188" s="8">
        <v>1.69381172013264</v>
      </c>
      <c r="X188" s="7">
        <v>0</v>
      </c>
      <c r="Y188" s="7">
        <v>1</v>
      </c>
      <c r="Z188" s="8">
        <v>1.7397399608574062</v>
      </c>
      <c r="AA188" s="7">
        <v>0</v>
      </c>
      <c r="AB188" s="8">
        <v>0.144649530876112</v>
      </c>
      <c r="AC188" s="42"/>
      <c r="AD188" s="83">
        <f>IFERROR(P188,$AD$4)</f>
        <v>25569.5</v>
      </c>
      <c r="AE188" s="7">
        <f>IFERROR(U188,0)</f>
      </c>
      <c r="AF188" s="3"/>
      <c r="AG188" s="86">
        <f>Q187+S188+T188+U188</f>
      </c>
      <c r="AH188" s="86">
        <f>Q188+R188+X188</f>
      </c>
      <c r="AI188" s="59">
        <f>AH188-AG188</f>
      </c>
      <c r="AJ188" s="3"/>
      <c r="AK188" s="3"/>
    </row>
    <row x14ac:dyDescent="0.25" r="189" customHeight="1" ht="18.75">
      <c r="A189" s="3"/>
      <c r="B189" s="71"/>
      <c r="C189" s="3"/>
      <c r="D189" s="3"/>
      <c r="E189" s="3"/>
      <c r="F189" s="3"/>
      <c r="G189" s="59">
        <f>H189-DATE(YEAR(H189),1,0)+1</f>
      </c>
      <c r="H189" s="79">
        <f>H188+1</f>
        <v>25569.5</v>
      </c>
      <c r="I189" s="80">
        <f>HLOOKUP($H$4,'Met Data'!$A$2:$F$368,G189,FALSE)</f>
      </c>
      <c r="J189" s="80">
        <f>HLOOKUP($H$4,'Met Data'!$H$2:$M$368,G189,FALSE)*L189</f>
      </c>
      <c r="K189" s="81">
        <f>HLOOKUP($H$4,'Met Data'!$O$2:$T$368,G189,FALSE)</f>
      </c>
      <c r="L189" s="7">
        <f>IF(H189&lt;$B$31,$J$3,$J$4)</f>
      </c>
      <c r="M189" s="3"/>
      <c r="N189" s="82">
        <f>IF(P189&lt;$P$3,TRUE,FALSE)</f>
      </c>
      <c r="O189" s="82">
        <f>AND(IF(P189&gt;($P$2-1),TRUE,FALSE),IF(P189&lt;($P$3+1),TRUE,FALSE))</f>
      </c>
      <c r="P189" s="83">
        <v>45158</v>
      </c>
      <c r="Q189" s="8">
        <v>149.27292093521189</v>
      </c>
      <c r="R189" s="8">
        <v>0.0673381041193537</v>
      </c>
      <c r="S189" s="8">
        <v>0.04634801160334134</v>
      </c>
      <c r="T189" s="8">
        <v>0.7294379321288054</v>
      </c>
      <c r="U189" s="7">
        <v>0</v>
      </c>
      <c r="V189" s="8">
        <v>1.91887318280685</v>
      </c>
      <c r="W189" s="8">
        <v>1.75541361538256</v>
      </c>
      <c r="X189" s="7">
        <v>0</v>
      </c>
      <c r="Y189" s="7">
        <v>1</v>
      </c>
      <c r="Z189" s="8">
        <v>3.0245096514895238</v>
      </c>
      <c r="AA189" s="7">
        <v>0</v>
      </c>
      <c r="AB189" s="8">
        <v>0.159799700523255</v>
      </c>
      <c r="AC189" s="42"/>
      <c r="AD189" s="83">
        <f>IFERROR(P189,$AD$4)</f>
        <v>25569.5</v>
      </c>
      <c r="AE189" s="7">
        <f>IFERROR(U189,0)</f>
      </c>
      <c r="AF189" s="3"/>
      <c r="AG189" s="86">
        <f>Q188+S189+T189+U189</f>
      </c>
      <c r="AH189" s="86">
        <f>Q189+R189+X189</f>
      </c>
      <c r="AI189" s="59">
        <f>AH189-AG189</f>
      </c>
      <c r="AJ189" s="3"/>
      <c r="AK189" s="3"/>
    </row>
    <row x14ac:dyDescent="0.25" r="190" customHeight="1" ht="18.75">
      <c r="A190" s="3"/>
      <c r="B190" s="71"/>
      <c r="C190" s="3"/>
      <c r="D190" s="3"/>
      <c r="E190" s="3"/>
      <c r="F190" s="3"/>
      <c r="G190" s="59">
        <f>H190-DATE(YEAR(H190),1,0)+1</f>
      </c>
      <c r="H190" s="79">
        <f>H189+1</f>
        <v>25569.5</v>
      </c>
      <c r="I190" s="80">
        <f>HLOOKUP($H$4,'Met Data'!$A$2:$F$368,G190,FALSE)</f>
      </c>
      <c r="J190" s="80">
        <f>HLOOKUP($H$4,'Met Data'!$H$2:$M$368,G190,FALSE)*L190</f>
      </c>
      <c r="K190" s="81">
        <f>HLOOKUP($H$4,'Met Data'!$O$2:$T$368,G190,FALSE)</f>
      </c>
      <c r="L190" s="7">
        <f>IF(H190&lt;$B$31,$J$3,$J$4)</f>
      </c>
      <c r="M190" s="3"/>
      <c r="N190" s="82">
        <f>IF(P190&lt;$P$3,TRUE,FALSE)</f>
      </c>
      <c r="O190" s="82">
        <f>AND(IF(P190&gt;($P$2-1),TRUE,FALSE),IF(P190&lt;($P$3+1),TRUE,FALSE))</f>
      </c>
      <c r="P190" s="83">
        <v>45159</v>
      </c>
      <c r="Q190" s="8">
        <v>149.99251223593683</v>
      </c>
      <c r="R190" s="8">
        <v>0.0715672462962551</v>
      </c>
      <c r="S190" s="8">
        <v>0.04164772195526083</v>
      </c>
      <c r="T190" s="8">
        <v>0.7495108250659379</v>
      </c>
      <c r="U190" s="7">
        <v>0</v>
      </c>
      <c r="V190" s="8">
        <v>1.9904404291031</v>
      </c>
      <c r="W190" s="8">
        <v>1.82088439254988</v>
      </c>
      <c r="X190" s="7">
        <v>0</v>
      </c>
      <c r="Y190" s="7">
        <v>1</v>
      </c>
      <c r="Z190" s="8">
        <v>2.195413462981122</v>
      </c>
      <c r="AA190" s="7">
        <v>0</v>
      </c>
      <c r="AB190" s="8">
        <v>0.17667113274848</v>
      </c>
      <c r="AC190" s="42"/>
      <c r="AD190" s="83">
        <f>IFERROR(P190,$AD$4)</f>
        <v>25569.5</v>
      </c>
      <c r="AE190" s="7">
        <f>IFERROR(U190,0)</f>
      </c>
      <c r="AF190" s="3"/>
      <c r="AG190" s="86">
        <f>Q189+S190+T190+U190</f>
      </c>
      <c r="AH190" s="86">
        <f>Q190+R190+X190</f>
      </c>
      <c r="AI190" s="59">
        <f>AH190-AG190</f>
      </c>
      <c r="AJ190" s="3"/>
      <c r="AK190" s="3"/>
    </row>
    <row x14ac:dyDescent="0.25" r="191" customHeight="1" ht="18.75">
      <c r="A191" s="3"/>
      <c r="B191" s="71"/>
      <c r="C191" s="3"/>
      <c r="D191" s="3"/>
      <c r="E191" s="3"/>
      <c r="F191" s="3"/>
      <c r="G191" s="59">
        <f>H191-DATE(YEAR(H191),1,0)+1</f>
      </c>
      <c r="H191" s="79">
        <f>H190+1</f>
        <v>25569.5</v>
      </c>
      <c r="I191" s="80">
        <f>HLOOKUP($H$4,'Met Data'!$A$2:$F$368,G191,FALSE)</f>
      </c>
      <c r="J191" s="80">
        <f>HLOOKUP($H$4,'Met Data'!$H$2:$M$368,G191,FALSE)*L191</f>
      </c>
      <c r="K191" s="81">
        <f>HLOOKUP($H$4,'Met Data'!$O$2:$T$368,G191,FALSE)</f>
      </c>
      <c r="L191" s="7">
        <f>IF(H191&lt;$B$31,$J$3,$J$4)</f>
      </c>
      <c r="M191" s="3"/>
      <c r="N191" s="82">
        <f>IF(P191&lt;$P$3,TRUE,FALSE)</f>
      </c>
      <c r="O191" s="82">
        <f>AND(IF(P191&gt;($P$2-1),TRUE,FALSE),IF(P191&lt;($P$3+1),TRUE,FALSE))</f>
      </c>
      <c r="P191" s="83">
        <v>45160</v>
      </c>
      <c r="Q191" s="8">
        <v>150.71268600457654</v>
      </c>
      <c r="R191" s="8">
        <v>0.0749518931710818</v>
      </c>
      <c r="S191" s="8">
        <v>0.03671675204039806</v>
      </c>
      <c r="T191" s="8">
        <v>0.7584089097703753</v>
      </c>
      <c r="U191" s="7">
        <v>0</v>
      </c>
      <c r="V191" s="8">
        <v>2.06539232227419</v>
      </c>
      <c r="W191" s="8">
        <v>1.8894514948212</v>
      </c>
      <c r="X191" s="7">
        <v>0</v>
      </c>
      <c r="Y191" s="7">
        <v>1</v>
      </c>
      <c r="Z191" s="8">
        <v>2.041589005698768</v>
      </c>
      <c r="AA191" s="7">
        <v>0</v>
      </c>
      <c r="AB191" s="8">
        <v>0.195128863592732</v>
      </c>
      <c r="AC191" s="42"/>
      <c r="AD191" s="83">
        <f>IFERROR(P191,$AD$4)</f>
        <v>25569.5</v>
      </c>
      <c r="AE191" s="7">
        <f>IFERROR(U191,0)</f>
      </c>
      <c r="AF191" s="3"/>
      <c r="AG191" s="86">
        <f>Q190+S191+T191+U191</f>
      </c>
      <c r="AH191" s="86">
        <f>Q191+R191+X191</f>
      </c>
      <c r="AI191" s="59">
        <f>AH191-AG191</f>
      </c>
      <c r="AJ191" s="3"/>
      <c r="AK191" s="3"/>
    </row>
    <row x14ac:dyDescent="0.25" r="192" customHeight="1" ht="18.75">
      <c r="A192" s="3"/>
      <c r="B192" s="71"/>
      <c r="C192" s="3"/>
      <c r="D192" s="3"/>
      <c r="E192" s="3"/>
      <c r="F192" s="3"/>
      <c r="G192" s="59">
        <f>H192-DATE(YEAR(H192),1,0)+1</f>
      </c>
      <c r="H192" s="79">
        <f>H191+1</f>
        <v>25569.5</v>
      </c>
      <c r="I192" s="80">
        <f>HLOOKUP($H$4,'Met Data'!$A$2:$F$368,G192,FALSE)</f>
      </c>
      <c r="J192" s="80">
        <f>HLOOKUP($H$4,'Met Data'!$H$2:$M$368,G192,FALSE)*L192</f>
      </c>
      <c r="K192" s="81">
        <f>HLOOKUP($H$4,'Met Data'!$O$2:$T$368,G192,FALSE)</f>
      </c>
      <c r="L192" s="7">
        <f>IF(H192&lt;$B$31,$J$3,$J$4)</f>
      </c>
      <c r="M192" s="3"/>
      <c r="N192" s="82">
        <f>IF(P192&lt;$P$3,TRUE,FALSE)</f>
      </c>
      <c r="O192" s="82">
        <f>AND(IF(P192&gt;($P$2-1),TRUE,FALSE),IF(P192&lt;($P$3+1),TRUE,FALSE))</f>
      </c>
      <c r="P192" s="83">
        <v>45161</v>
      </c>
      <c r="Q192" s="8">
        <v>151.44258985736064</v>
      </c>
      <c r="R192" s="8">
        <v>0.0794298168883425</v>
      </c>
      <c r="S192" s="8">
        <v>0.03268419276406211</v>
      </c>
      <c r="T192" s="8">
        <v>0.7766494769083866</v>
      </c>
      <c r="U192" s="7">
        <v>0</v>
      </c>
      <c r="V192" s="8">
        <v>2.14482213916253</v>
      </c>
      <c r="W192" s="8">
        <v>1.96211506804868</v>
      </c>
      <c r="X192" s="7">
        <v>0</v>
      </c>
      <c r="Y192" s="7">
        <v>1</v>
      </c>
      <c r="Z192" s="8">
        <v>1.2407283062524215</v>
      </c>
      <c r="AA192" s="7">
        <v>0</v>
      </c>
      <c r="AB192" s="8">
        <v>0.215487404772788</v>
      </c>
      <c r="AC192" s="42"/>
      <c r="AD192" s="83">
        <f>IFERROR(P192,$AD$4)</f>
        <v>25569.5</v>
      </c>
      <c r="AE192" s="7">
        <f>IFERROR(U192,0)</f>
      </c>
      <c r="AF192" s="3"/>
      <c r="AG192" s="86">
        <f>Q191+S192+T192+U192</f>
      </c>
      <c r="AH192" s="86">
        <f>Q192+R192+X192</f>
      </c>
      <c r="AI192" s="59">
        <f>AH192-AG192</f>
      </c>
      <c r="AJ192" s="3"/>
      <c r="AK192" s="3"/>
    </row>
    <row x14ac:dyDescent="0.25" r="193" customHeight="1" ht="18.75">
      <c r="A193" s="3"/>
      <c r="B193" s="71"/>
      <c r="C193" s="3"/>
      <c r="D193" s="3"/>
      <c r="E193" s="3"/>
      <c r="F193" s="3"/>
      <c r="G193" s="59">
        <f>H193-DATE(YEAR(H193),1,0)+1</f>
      </c>
      <c r="H193" s="79">
        <f>H192+1</f>
        <v>25569.5</v>
      </c>
      <c r="I193" s="80">
        <f>HLOOKUP($H$4,'Met Data'!$A$2:$F$368,G193,FALSE)</f>
      </c>
      <c r="J193" s="80">
        <f>HLOOKUP($H$4,'Met Data'!$H$2:$M$368,G193,FALSE)*L193</f>
      </c>
      <c r="K193" s="81">
        <f>HLOOKUP($H$4,'Met Data'!$O$2:$T$368,G193,FALSE)</f>
      </c>
      <c r="L193" s="7">
        <f>IF(H193&lt;$B$31,$J$3,$J$4)</f>
      </c>
      <c r="M193" s="3"/>
      <c r="N193" s="82">
        <f>IF(P193&lt;$P$3,TRUE,FALSE)</f>
      </c>
      <c r="O193" s="82">
        <f>AND(IF(P193&gt;($P$2-1),TRUE,FALSE),IF(P193&lt;($P$3+1),TRUE,FALSE))</f>
      </c>
      <c r="P193" s="83">
        <v>45162</v>
      </c>
      <c r="Q193" s="8">
        <v>152.16608406931775</v>
      </c>
      <c r="R193" s="8">
        <v>0.0823828326759068</v>
      </c>
      <c r="S193" s="8">
        <v>0.028369659195151237</v>
      </c>
      <c r="T193" s="8">
        <v>0.7775073854378628</v>
      </c>
      <c r="U193" s="7">
        <v>0</v>
      </c>
      <c r="V193" s="8">
        <v>2.22720497183844</v>
      </c>
      <c r="W193" s="8">
        <v>2.03748010386701</v>
      </c>
      <c r="X193" s="7">
        <v>0</v>
      </c>
      <c r="Y193" s="7">
        <v>1</v>
      </c>
      <c r="Z193" s="8">
        <v>1.270659330713599</v>
      </c>
      <c r="AA193" s="7">
        <v>0</v>
      </c>
      <c r="AB193" s="8">
        <v>0.237367477937922</v>
      </c>
      <c r="AC193" s="42"/>
      <c r="AD193" s="83">
        <f>IFERROR(P193,$AD$4)</f>
        <v>25569.5</v>
      </c>
      <c r="AE193" s="7">
        <f>IFERROR(U193,0)</f>
      </c>
      <c r="AF193" s="3"/>
      <c r="AG193" s="86">
        <f>Q192+S193+T193+U193</f>
      </c>
      <c r="AH193" s="86">
        <f>Q193+R193+X193</f>
      </c>
      <c r="AI193" s="59">
        <f>AH193-AG193</f>
      </c>
      <c r="AJ193" s="3"/>
      <c r="AK193" s="3"/>
    </row>
    <row x14ac:dyDescent="0.25" r="194" customHeight="1" ht="18.75">
      <c r="A194" s="3"/>
      <c r="B194" s="71"/>
      <c r="C194" s="3"/>
      <c r="D194" s="3"/>
      <c r="E194" s="3"/>
      <c r="F194" s="3"/>
      <c r="G194" s="59">
        <f>H194-DATE(YEAR(H194),1,0)+1</f>
      </c>
      <c r="H194" s="79">
        <f>H193+1</f>
        <v>25569.5</v>
      </c>
      <c r="I194" s="80">
        <f>HLOOKUP($H$4,'Met Data'!$A$2:$F$368,G194,FALSE)</f>
      </c>
      <c r="J194" s="80">
        <f>HLOOKUP($H$4,'Met Data'!$H$2:$M$368,G194,FALSE)*L194</f>
      </c>
      <c r="K194" s="81">
        <f>HLOOKUP($H$4,'Met Data'!$O$2:$T$368,G194,FALSE)</f>
      </c>
      <c r="L194" s="7">
        <f>IF(H194&lt;$B$31,$J$3,$J$4)</f>
      </c>
      <c r="M194" s="3"/>
      <c r="N194" s="82">
        <f>IF(P194&lt;$P$3,TRUE,FALSE)</f>
      </c>
      <c r="O194" s="82">
        <f>AND(IF(P194&gt;($P$2-1),TRUE,FALSE),IF(P194&lt;($P$3+1),TRUE,FALSE))</f>
      </c>
      <c r="P194" s="83">
        <v>45163</v>
      </c>
      <c r="Q194" s="8">
        <v>152.896176168012</v>
      </c>
      <c r="R194" s="8">
        <v>0.086870335663618</v>
      </c>
      <c r="S194" s="8">
        <v>0.025027317625086844</v>
      </c>
      <c r="T194" s="8">
        <v>0.7919351167327997</v>
      </c>
      <c r="U194" s="7">
        <v>0</v>
      </c>
      <c r="V194" s="8">
        <v>2.31407530750205</v>
      </c>
      <c r="W194" s="8">
        <v>2.11695037390003</v>
      </c>
      <c r="X194" s="7">
        <v>0</v>
      </c>
      <c r="Y194" s="7">
        <v>1</v>
      </c>
      <c r="Z194" s="8">
        <v>5.297053078532599</v>
      </c>
      <c r="AA194" s="7">
        <v>0</v>
      </c>
      <c r="AB194" s="8">
        <v>0.261154755963731</v>
      </c>
      <c r="AC194" s="42"/>
      <c r="AD194" s="83">
        <f>IFERROR(P194,$AD$4)</f>
        <v>25569.5</v>
      </c>
      <c r="AE194" s="7">
        <f>IFERROR(U194,0)</f>
      </c>
      <c r="AF194" s="3"/>
      <c r="AG194" s="86">
        <f>Q193+S194+T194+U194</f>
      </c>
      <c r="AH194" s="86">
        <f>Q194+R194+X194</f>
      </c>
      <c r="AI194" s="59">
        <f>AH194-AG194</f>
      </c>
      <c r="AJ194" s="3"/>
      <c r="AK194" s="3"/>
    </row>
    <row x14ac:dyDescent="0.25" r="195" customHeight="1" ht="18.75">
      <c r="A195" s="3"/>
      <c r="B195" s="71"/>
      <c r="C195" s="3"/>
      <c r="D195" s="3"/>
      <c r="E195" s="3"/>
      <c r="F195" s="3"/>
      <c r="G195" s="59">
        <f>H195-DATE(YEAR(H195),1,0)+1</f>
      </c>
      <c r="H195" s="79">
        <f>H194+1</f>
        <v>25569.5</v>
      </c>
      <c r="I195" s="80">
        <f>HLOOKUP($H$4,'Met Data'!$A$2:$F$368,G195,FALSE)</f>
      </c>
      <c r="J195" s="80">
        <f>HLOOKUP($H$4,'Met Data'!$H$2:$M$368,G195,FALSE)*L195</f>
      </c>
      <c r="K195" s="81">
        <f>HLOOKUP($H$4,'Met Data'!$O$2:$T$368,G195,FALSE)</f>
      </c>
      <c r="L195" s="7">
        <f>IF(H195&lt;$B$31,$J$3,$J$4)</f>
      </c>
      <c r="M195" s="3"/>
      <c r="N195" s="82">
        <f>IF(P195&lt;$P$3,TRUE,FALSE)</f>
      </c>
      <c r="O195" s="82">
        <f>AND(IF(P195&gt;($P$2-1),TRUE,FALSE),IF(P195&lt;($P$3+1),TRUE,FALSE))</f>
      </c>
      <c r="P195" s="83">
        <v>45164</v>
      </c>
      <c r="Q195" s="8">
        <v>153.6098747582289</v>
      </c>
      <c r="R195" s="8">
        <v>0.0888528500951313</v>
      </c>
      <c r="S195" s="8">
        <v>0.021360544987450308</v>
      </c>
      <c r="T195" s="8">
        <v>0.7811908953245902</v>
      </c>
      <c r="U195" s="7">
        <v>0</v>
      </c>
      <c r="V195" s="8">
        <v>2.40292815759719</v>
      </c>
      <c r="W195" s="8">
        <v>2.19823427750557</v>
      </c>
      <c r="X195" s="7">
        <v>0</v>
      </c>
      <c r="Y195" s="7">
        <v>1</v>
      </c>
      <c r="Z195" s="8">
        <v>2.535468241752042</v>
      </c>
      <c r="AA195" s="7">
        <v>0</v>
      </c>
      <c r="AB195" s="8">
        <v>0.286096559496803</v>
      </c>
      <c r="AC195" s="42"/>
      <c r="AD195" s="83">
        <f>IFERROR(P195,$AD$4)</f>
        <v>25569.5</v>
      </c>
      <c r="AE195" s="7">
        <f>IFERROR(U195,0)</f>
      </c>
      <c r="AF195" s="3"/>
      <c r="AG195" s="86">
        <f>Q194+S195+T195+U195</f>
      </c>
      <c r="AH195" s="86">
        <f>Q195+R195+X195</f>
      </c>
      <c r="AI195" s="59">
        <f>AH195-AG195</f>
      </c>
      <c r="AJ195" s="3"/>
      <c r="AK195" s="3"/>
    </row>
    <row x14ac:dyDescent="0.25" r="196" customHeight="1" ht="18.75">
      <c r="A196" s="3"/>
      <c r="B196" s="71"/>
      <c r="C196" s="3"/>
      <c r="D196" s="3"/>
      <c r="E196" s="3"/>
      <c r="F196" s="3"/>
      <c r="G196" s="59">
        <f>H196-DATE(YEAR(H196),1,0)+1</f>
      </c>
      <c r="H196" s="79">
        <f>H195+1</f>
        <v>25569.5</v>
      </c>
      <c r="I196" s="80">
        <f>HLOOKUP($H$4,'Met Data'!$A$2:$F$368,G196,FALSE)</f>
      </c>
      <c r="J196" s="80">
        <f>HLOOKUP($H$4,'Met Data'!$H$2:$M$368,G196,FALSE)*L196</f>
      </c>
      <c r="K196" s="81">
        <f>HLOOKUP($H$4,'Met Data'!$O$2:$T$368,G196,FALSE)</f>
      </c>
      <c r="L196" s="7">
        <f>IF(H196&lt;$B$31,$J$3,$J$4)</f>
      </c>
      <c r="M196" s="3"/>
      <c r="N196" s="82">
        <f>IF(P196&lt;$P$3,TRUE,FALSE)</f>
      </c>
      <c r="O196" s="82">
        <f>AND(IF(P196&gt;($P$2-1),TRUE,FALSE),IF(P196&lt;($P$3+1),TRUE,FALSE))</f>
      </c>
      <c r="P196" s="83">
        <v>45165</v>
      </c>
      <c r="Q196" s="8">
        <v>154.31587138344366</v>
      </c>
      <c r="R196" s="8">
        <v>0.091815103794981</v>
      </c>
      <c r="S196" s="8">
        <v>0.01846395894392398</v>
      </c>
      <c r="T196" s="8">
        <v>0.7793477700657963</v>
      </c>
      <c r="U196" s="7">
        <v>0</v>
      </c>
      <c r="V196" s="8">
        <v>2.49474326139217</v>
      </c>
      <c r="W196" s="8">
        <v>2.28222809468098</v>
      </c>
      <c r="X196" s="7">
        <v>0</v>
      </c>
      <c r="Y196" s="7">
        <v>1</v>
      </c>
      <c r="Z196" s="8">
        <v>0.8861449452617762</v>
      </c>
      <c r="AA196" s="7">
        <v>0</v>
      </c>
      <c r="AB196" s="8">
        <v>0.312352675867581</v>
      </c>
      <c r="AC196" s="42"/>
      <c r="AD196" s="83">
        <f>IFERROR(P196,$AD$4)</f>
        <v>25569.5</v>
      </c>
      <c r="AE196" s="7">
        <f>IFERROR(U196,0)</f>
      </c>
      <c r="AF196" s="3"/>
      <c r="AG196" s="86">
        <f>Q195+S196+T196+U196</f>
      </c>
      <c r="AH196" s="86">
        <f>Q196+R196+X196</f>
      </c>
      <c r="AI196" s="59">
        <f>AH196-AG196</f>
      </c>
      <c r="AJ196" s="3"/>
      <c r="AK196" s="3"/>
    </row>
    <row x14ac:dyDescent="0.25" r="197" customHeight="1" ht="18.75">
      <c r="A197" s="3"/>
      <c r="B197" s="71"/>
      <c r="C197" s="3"/>
      <c r="D197" s="3"/>
      <c r="E197" s="3"/>
      <c r="F197" s="3"/>
      <c r="G197" s="59">
        <f>H197-DATE(YEAR(H197),1,0)+1</f>
      </c>
      <c r="H197" s="79">
        <f>H196+1</f>
        <v>25569.5</v>
      </c>
      <c r="I197" s="80">
        <f>HLOOKUP($H$4,'Met Data'!$A$2:$F$368,G197,FALSE)</f>
      </c>
      <c r="J197" s="80">
        <f>HLOOKUP($H$4,'Met Data'!$H$2:$M$368,G197,FALSE)*L197</f>
      </c>
      <c r="K197" s="81">
        <f>HLOOKUP($H$4,'Met Data'!$O$2:$T$368,G197,FALSE)</f>
      </c>
      <c r="L197" s="7">
        <f>IF(H197&lt;$B$31,$J$3,$J$4)</f>
      </c>
      <c r="M197" s="3"/>
      <c r="N197" s="82">
        <f>IF(P197&lt;$P$3,TRUE,FALSE)</f>
      </c>
      <c r="O197" s="82">
        <f>AND(IF(P197&gt;($P$2-1),TRUE,FALSE),IF(P197&lt;($P$3+1),TRUE,FALSE))</f>
      </c>
      <c r="P197" s="83">
        <v>45166</v>
      </c>
      <c r="Q197" s="8">
        <v>154.99376697517172</v>
      </c>
      <c r="R197" s="8">
        <v>0.092101710362229</v>
      </c>
      <c r="S197" s="8">
        <v>0.015510730158813966</v>
      </c>
      <c r="T197" s="8">
        <v>0.7544865719314905</v>
      </c>
      <c r="U197" s="7">
        <v>0</v>
      </c>
      <c r="V197" s="8">
        <v>2.5868449717544</v>
      </c>
      <c r="W197" s="8">
        <v>2.36648410379013</v>
      </c>
      <c r="X197" s="7">
        <v>0</v>
      </c>
      <c r="Y197" s="7">
        <v>1</v>
      </c>
      <c r="Z197" s="8">
        <v>0.2881254361750081</v>
      </c>
      <c r="AA197" s="7">
        <v>0</v>
      </c>
      <c r="AB197" s="8">
        <v>0.339009569105215</v>
      </c>
      <c r="AC197" s="42"/>
      <c r="AD197" s="83">
        <f>IFERROR(P197,$AD$4)</f>
        <v>25569.5</v>
      </c>
      <c r="AE197" s="7">
        <f>IFERROR(U197,0)</f>
      </c>
      <c r="AF197" s="3"/>
      <c r="AG197" s="86">
        <f>Q196+S197+T197+U197</f>
      </c>
      <c r="AH197" s="86">
        <f>Q197+R197+X197</f>
      </c>
      <c r="AI197" s="59">
        <f>AH197-AG197</f>
      </c>
      <c r="AJ197" s="3"/>
      <c r="AK197" s="3"/>
    </row>
    <row x14ac:dyDescent="0.25" r="198" customHeight="1" ht="18.75">
      <c r="A198" s="3"/>
      <c r="B198" s="71"/>
      <c r="C198" s="3"/>
      <c r="D198" s="3"/>
      <c r="E198" s="3"/>
      <c r="F198" s="3"/>
      <c r="G198" s="59">
        <f>H198-DATE(YEAR(H198),1,0)+1</f>
      </c>
      <c r="H198" s="79">
        <f>H197+1</f>
        <v>25569.5</v>
      </c>
      <c r="I198" s="80">
        <f>HLOOKUP($H$4,'Met Data'!$A$2:$F$368,G198,FALSE)</f>
      </c>
      <c r="J198" s="80">
        <f>HLOOKUP($H$4,'Met Data'!$H$2:$M$368,G198,FALSE)*L198</f>
      </c>
      <c r="K198" s="81">
        <f>HLOOKUP($H$4,'Met Data'!$O$2:$T$368,G198,FALSE)</f>
      </c>
      <c r="L198" s="7">
        <f>IF(H198&lt;$B$31,$J$3,$J$4)</f>
      </c>
      <c r="M198" s="3"/>
      <c r="N198" s="82">
        <f>IF(P198&lt;$P$3,TRUE,FALSE)</f>
      </c>
      <c r="O198" s="82">
        <f>AND(IF(P198&gt;($P$2-1),TRUE,FALSE),IF(P198&lt;($P$3+1),TRUE,FALSE))</f>
      </c>
      <c r="P198" s="83">
        <v>45167</v>
      </c>
      <c r="Q198" s="8">
        <v>155.6652934838699</v>
      </c>
      <c r="R198" s="8">
        <v>0.0950738335028629</v>
      </c>
      <c r="S198" s="8">
        <v>0.013481896521490991</v>
      </c>
      <c r="T198" s="8">
        <v>0.7531184456795673</v>
      </c>
      <c r="U198" s="7">
        <v>0</v>
      </c>
      <c r="V198" s="8">
        <v>2.68191880525726</v>
      </c>
      <c r="W198" s="8">
        <v>2.45345905517979</v>
      </c>
      <c r="X198" s="7">
        <v>0</v>
      </c>
      <c r="Y198" s="7">
        <v>1</v>
      </c>
      <c r="Z198" s="8">
        <v>0.22456969583787156</v>
      </c>
      <c r="AA198" s="7">
        <v>0</v>
      </c>
      <c r="AB198" s="8">
        <v>0.366678518348945</v>
      </c>
      <c r="AC198" s="42"/>
      <c r="AD198" s="83">
        <f>IFERROR(P198,$AD$4)</f>
        <v>25569.5</v>
      </c>
      <c r="AE198" s="7">
        <f>IFERROR(U198,0)</f>
      </c>
      <c r="AF198" s="3"/>
      <c r="AG198" s="86">
        <f>Q197+S198+T198+U198</f>
      </c>
      <c r="AH198" s="86">
        <f>Q198+R198+X198</f>
      </c>
      <c r="AI198" s="59">
        <f>AH198-AG198</f>
      </c>
      <c r="AJ198" s="3"/>
      <c r="AK198" s="3"/>
    </row>
    <row x14ac:dyDescent="0.25" r="199" customHeight="1" ht="18.75">
      <c r="A199" s="3"/>
      <c r="B199" s="71"/>
      <c r="C199" s="3"/>
      <c r="D199" s="3"/>
      <c r="E199" s="3"/>
      <c r="F199" s="3"/>
      <c r="G199" s="59">
        <f>H199-DATE(YEAR(H199),1,0)+1</f>
      </c>
      <c r="H199" s="79">
        <f>H198+1</f>
        <v>25569.5</v>
      </c>
      <c r="I199" s="80">
        <f>HLOOKUP($H$4,'Met Data'!$A$2:$F$368,G199,FALSE)</f>
      </c>
      <c r="J199" s="80">
        <f>HLOOKUP($H$4,'Met Data'!$H$2:$M$368,G199,FALSE)*L199</f>
      </c>
      <c r="K199" s="81">
        <f>HLOOKUP($H$4,'Met Data'!$O$2:$T$368,G199,FALSE)</f>
      </c>
      <c r="L199" s="7">
        <f>IF(H199&lt;$B$31,$J$3,$J$4)</f>
      </c>
      <c r="M199" s="3"/>
      <c r="N199" s="82">
        <f>IF(P199&lt;$P$3,TRUE,FALSE)</f>
      </c>
      <c r="O199" s="82">
        <f>AND(IF(P199&gt;($P$2-1),TRUE,FALSE),IF(P199&lt;($P$3+1),TRUE,FALSE))</f>
      </c>
      <c r="P199" s="83">
        <v>45168</v>
      </c>
      <c r="Q199" s="8">
        <v>156.34071555329052</v>
      </c>
      <c r="R199" s="8">
        <v>0.0995749885491755</v>
      </c>
      <c r="S199" s="8">
        <v>0.011892787101074151</v>
      </c>
      <c r="T199" s="8">
        <v>0.7631042708687236</v>
      </c>
      <c r="U199" s="7">
        <v>0</v>
      </c>
      <c r="V199" s="8">
        <v>2.78149379380643</v>
      </c>
      <c r="W199" s="8">
        <v>2.54455172988959</v>
      </c>
      <c r="X199" s="7">
        <v>0</v>
      </c>
      <c r="Y199" s="7">
        <v>1</v>
      </c>
      <c r="Z199" s="8">
        <v>1.162316261831748</v>
      </c>
      <c r="AA199" s="7">
        <v>0</v>
      </c>
      <c r="AB199" s="8">
        <v>0.395627053781044</v>
      </c>
      <c r="AC199" s="42"/>
      <c r="AD199" s="83">
        <f>IFERROR(P199,$AD$4)</f>
        <v>25569.5</v>
      </c>
      <c r="AE199" s="7">
        <f>IFERROR(U199,0)</f>
      </c>
      <c r="AF199" s="3"/>
      <c r="AG199" s="86">
        <f>Q198+S199+T199+U199</f>
      </c>
      <c r="AH199" s="86">
        <f>Q199+R199+X199</f>
      </c>
      <c r="AI199" s="59">
        <f>AH199-AG199</f>
      </c>
      <c r="AJ199" s="3"/>
      <c r="AK199" s="3"/>
    </row>
    <row x14ac:dyDescent="0.25" r="200" customHeight="1" ht="18.75">
      <c r="A200" s="3"/>
      <c r="B200" s="71"/>
      <c r="C200" s="3"/>
      <c r="D200" s="3"/>
      <c r="E200" s="3"/>
      <c r="F200" s="3"/>
      <c r="G200" s="59">
        <f>H200-DATE(YEAR(H200),1,0)+1</f>
      </c>
      <c r="H200" s="79">
        <f>H199+1</f>
        <v>25569.5</v>
      </c>
      <c r="I200" s="80">
        <f>HLOOKUP($H$4,'Met Data'!$A$2:$F$368,G200,FALSE)</f>
      </c>
      <c r="J200" s="80">
        <f>HLOOKUP($H$4,'Met Data'!$H$2:$M$368,G200,FALSE)*L200</f>
      </c>
      <c r="K200" s="81">
        <f>HLOOKUP($H$4,'Met Data'!$O$2:$T$368,G200,FALSE)</f>
      </c>
      <c r="L200" s="7">
        <f>IF(H200&lt;$B$31,$J$3,$J$4)</f>
      </c>
      <c r="M200" s="3"/>
      <c r="N200" s="82">
        <f>IF(P200&lt;$P$3,TRUE,FALSE)</f>
      </c>
      <c r="O200" s="82">
        <f>AND(IF(P200&gt;($P$2-1),TRUE,FALSE),IF(P200&lt;($P$3+1),TRUE,FALSE))</f>
      </c>
      <c r="P200" s="83">
        <v>45169</v>
      </c>
      <c r="Q200" s="8">
        <v>157.0151720168056</v>
      </c>
      <c r="R200" s="8">
        <v>0.103565907237163</v>
      </c>
      <c r="S200" s="8">
        <v>0.010397358656760686</v>
      </c>
      <c r="T200" s="8">
        <v>0.7676250120954803</v>
      </c>
      <c r="U200" s="7">
        <v>0</v>
      </c>
      <c r="V200" s="8">
        <v>2.8850597010436</v>
      </c>
      <c r="W200" s="8">
        <v>2.63929535613988</v>
      </c>
      <c r="X200" s="7">
        <v>0</v>
      </c>
      <c r="Y200" s="7">
        <v>1</v>
      </c>
      <c r="Z200" s="8">
        <v>2.736395965929148</v>
      </c>
      <c r="AA200" s="7">
        <v>0</v>
      </c>
      <c r="AB200" s="8">
        <v>0.425497195017083</v>
      </c>
      <c r="AC200" s="42"/>
      <c r="AD200" s="83">
        <f>IFERROR(P200,$AD$4)</f>
        <v>25569.5</v>
      </c>
      <c r="AE200" s="7">
        <f>IFERROR(U200,0)</f>
      </c>
      <c r="AF200" s="3"/>
      <c r="AG200" s="86">
        <f>Q199+S200+T200+U200</f>
      </c>
      <c r="AH200" s="86">
        <f>Q200+R200+X200</f>
      </c>
      <c r="AI200" s="59">
        <f>AH200-AG200</f>
      </c>
      <c r="AJ200" s="3"/>
      <c r="AK200" s="3"/>
    </row>
    <row x14ac:dyDescent="0.25" r="201" customHeight="1" ht="18.75">
      <c r="A201" s="3"/>
      <c r="B201" s="71"/>
      <c r="C201" s="3"/>
      <c r="D201" s="3"/>
      <c r="E201" s="3"/>
      <c r="F201" s="3"/>
      <c r="G201" s="59">
        <f>H201-DATE(YEAR(H201),1,0)+1</f>
      </c>
      <c r="H201" s="79">
        <f>H200+1</f>
        <v>25569.5</v>
      </c>
      <c r="I201" s="80">
        <f>HLOOKUP($H$4,'Met Data'!$A$2:$F$368,G201,FALSE)</f>
      </c>
      <c r="J201" s="80">
        <f>HLOOKUP($H$4,'Met Data'!$H$2:$M$368,G201,FALSE)*L201</f>
      </c>
      <c r="K201" s="81">
        <f>HLOOKUP($H$4,'Met Data'!$O$2:$T$368,G201,FALSE)</f>
      </c>
      <c r="L201" s="7">
        <f>IF(H201&lt;$B$31,$J$3,$J$4)</f>
      </c>
      <c r="M201" s="3"/>
      <c r="N201" s="82">
        <f>IF(P201&lt;$P$3,TRUE,FALSE)</f>
      </c>
      <c r="O201" s="82">
        <f>AND(IF(P201&gt;($P$2-1),TRUE,FALSE),IF(P201&lt;($P$3+1),TRUE,FALSE))</f>
      </c>
      <c r="P201" s="83">
        <v>45170</v>
      </c>
      <c r="Q201" s="8">
        <v>157.67519785756105</v>
      </c>
      <c r="R201" s="8">
        <v>0.105601507973363</v>
      </c>
      <c r="S201" s="8">
        <v>0.008906951241307028</v>
      </c>
      <c r="T201" s="8">
        <v>0.7567203974875192</v>
      </c>
      <c r="U201" s="7">
        <v>0</v>
      </c>
      <c r="V201" s="8">
        <v>2.99066120901696</v>
      </c>
      <c r="W201" s="8">
        <v>2.7359011801007</v>
      </c>
      <c r="X201" s="7">
        <v>0</v>
      </c>
      <c r="Y201" s="7">
        <v>1</v>
      </c>
      <c r="Z201" s="8">
        <v>0.9352973603864285</v>
      </c>
      <c r="AA201" s="7">
        <v>0</v>
      </c>
      <c r="AB201" s="8">
        <v>0.455501559890987</v>
      </c>
      <c r="AC201" s="42"/>
      <c r="AD201" s="83">
        <f>IFERROR(P201,$AD$4)</f>
        <v>25569.5</v>
      </c>
      <c r="AE201" s="7">
        <f>IFERROR(U201,0)</f>
      </c>
      <c r="AF201" s="3"/>
      <c r="AG201" s="86">
        <f>Q200+S201+T201+U201</f>
      </c>
      <c r="AH201" s="86">
        <f>Q201+R201+X201</f>
      </c>
      <c r="AI201" s="59">
        <f>AH201-AG201</f>
      </c>
      <c r="AJ201" s="3"/>
      <c r="AK201" s="3"/>
    </row>
    <row x14ac:dyDescent="0.25" r="202" customHeight="1" ht="18.75">
      <c r="A202" s="3"/>
      <c r="B202" s="71"/>
      <c r="C202" s="3"/>
      <c r="D202" s="3"/>
      <c r="E202" s="3"/>
      <c r="F202" s="3"/>
      <c r="G202" s="59">
        <f>H202-DATE(YEAR(H202),1,0)+1</f>
      </c>
      <c r="H202" s="79">
        <f>H201+1</f>
        <v>25569.5</v>
      </c>
      <c r="I202" s="80">
        <f>HLOOKUP($H$4,'Met Data'!$A$2:$F$368,G202,FALSE)</f>
      </c>
      <c r="J202" s="80">
        <f>HLOOKUP($H$4,'Met Data'!$H$2:$M$368,G202,FALSE)*L202</f>
      </c>
      <c r="K202" s="81">
        <f>HLOOKUP($H$4,'Met Data'!$O$2:$T$368,G202,FALSE)</f>
      </c>
      <c r="L202" s="7">
        <f>IF(H202&lt;$B$31,$J$3,$J$4)</f>
      </c>
      <c r="M202" s="3"/>
      <c r="N202" s="82">
        <f>IF(P202&lt;$P$3,TRUE,FALSE)</f>
      </c>
      <c r="O202" s="82">
        <f>AND(IF(P202&gt;($P$2-1),TRUE,FALSE),IF(P202&lt;($P$3+1),TRUE,FALSE))</f>
      </c>
      <c r="P202" s="83">
        <v>45171</v>
      </c>
      <c r="Q202" s="8">
        <v>158.33423991405937</v>
      </c>
      <c r="R202" s="8">
        <v>0.109727675917085</v>
      </c>
      <c r="S202" s="8">
        <v>0.007794401587263257</v>
      </c>
      <c r="T202" s="8">
        <v>0.7609753308281234</v>
      </c>
      <c r="U202" s="7">
        <v>0</v>
      </c>
      <c r="V202" s="8">
        <v>3.10038888493404</v>
      </c>
      <c r="W202" s="8">
        <v>2.83628168362485</v>
      </c>
      <c r="X202" s="7">
        <v>0</v>
      </c>
      <c r="Y202" s="7">
        <v>1</v>
      </c>
      <c r="Z202" s="8">
        <v>0.7552079149619431</v>
      </c>
      <c r="AA202" s="7">
        <v>0</v>
      </c>
      <c r="AB202" s="8">
        <v>0.485997874408542</v>
      </c>
      <c r="AC202" s="42"/>
      <c r="AD202" s="83">
        <f>IFERROR(P202,$AD$4)</f>
        <v>25569.5</v>
      </c>
      <c r="AE202" s="7">
        <f>IFERROR(U202,0)</f>
      </c>
      <c r="AF202" s="3"/>
      <c r="AG202" s="86">
        <f>Q201+S202+T202+U202</f>
      </c>
      <c r="AH202" s="86">
        <f>Q202+R202+X202</f>
      </c>
      <c r="AI202" s="59">
        <f>AH202-AG202</f>
      </c>
      <c r="AJ202" s="3"/>
      <c r="AK202" s="3"/>
    </row>
    <row x14ac:dyDescent="0.25" r="203" customHeight="1" ht="18.75">
      <c r="A203" s="3"/>
      <c r="B203" s="71"/>
      <c r="C203" s="3"/>
      <c r="D203" s="3"/>
      <c r="E203" s="3"/>
      <c r="F203" s="3"/>
      <c r="G203" s="59">
        <f>H203-DATE(YEAR(H203),1,0)+1</f>
      </c>
      <c r="H203" s="79">
        <f>H202+1</f>
        <v>25569.5</v>
      </c>
      <c r="I203" s="80">
        <f>HLOOKUP($H$4,'Met Data'!$A$2:$F$368,G203,FALSE)</f>
      </c>
      <c r="J203" s="80">
        <f>HLOOKUP($H$4,'Met Data'!$H$2:$M$368,G203,FALSE)*L203</f>
      </c>
      <c r="K203" s="81">
        <f>HLOOKUP($H$4,'Met Data'!$O$2:$T$368,G203,FALSE)</f>
      </c>
      <c r="L203" s="7">
        <f>IF(H203&lt;$B$31,$J$3,$J$4)</f>
      </c>
      <c r="M203" s="3"/>
      <c r="N203" s="82">
        <f>IF(P203&lt;$P$3,TRUE,FALSE)</f>
      </c>
      <c r="O203" s="82">
        <f>AND(IF(P203&gt;($P$2-1),TRUE,FALSE),IF(P203&lt;($P$3+1),TRUE,FALSE))</f>
      </c>
      <c r="P203" s="83">
        <v>45172</v>
      </c>
      <c r="Q203" s="8">
        <v>159.02537219277292</v>
      </c>
      <c r="R203" s="8">
        <v>0.119497834559102</v>
      </c>
      <c r="S203" s="8">
        <v>0.007137806658326159</v>
      </c>
      <c r="T203" s="8">
        <v>0.8034923066143327</v>
      </c>
      <c r="U203" s="7">
        <v>0</v>
      </c>
      <c r="V203" s="8">
        <v>3.21988671949315</v>
      </c>
      <c r="W203" s="8">
        <v>2.9456000730178</v>
      </c>
      <c r="X203" s="7">
        <v>0</v>
      </c>
      <c r="Y203" s="7">
        <v>1</v>
      </c>
      <c r="Z203" s="8">
        <v>0.10303787737495895</v>
      </c>
      <c r="AA203" s="7">
        <v>0</v>
      </c>
      <c r="AB203" s="8">
        <v>0.518219690932015</v>
      </c>
      <c r="AC203" s="42"/>
      <c r="AD203" s="83">
        <f>IFERROR(P203,$AD$4)</f>
        <v>25569.5</v>
      </c>
      <c r="AE203" s="7">
        <f>IFERROR(U203,0)</f>
      </c>
      <c r="AF203" s="3"/>
      <c r="AG203" s="86">
        <f>Q202+S203+T203+U203</f>
      </c>
      <c r="AH203" s="86">
        <f>Q203+R203+X203</f>
      </c>
      <c r="AI203" s="59">
        <f>AH203-AG203</f>
      </c>
      <c r="AJ203" s="3"/>
      <c r="AK203" s="3"/>
    </row>
    <row x14ac:dyDescent="0.25" r="204" customHeight="1" ht="18.75">
      <c r="A204" s="3"/>
      <c r="B204" s="71"/>
      <c r="C204" s="3"/>
      <c r="D204" s="3"/>
      <c r="E204" s="3"/>
      <c r="F204" s="3"/>
      <c r="G204" s="59">
        <f>H204-DATE(YEAR(H204),1,0)+1</f>
      </c>
      <c r="H204" s="79">
        <f>H203+1</f>
        <v>25569.5</v>
      </c>
      <c r="I204" s="80">
        <f>HLOOKUP($H$4,'Met Data'!$A$2:$F$368,G204,FALSE)</f>
      </c>
      <c r="J204" s="80">
        <f>HLOOKUP($H$4,'Met Data'!$H$2:$M$368,G204,FALSE)*L204</f>
      </c>
      <c r="K204" s="81">
        <f>HLOOKUP($H$4,'Met Data'!$O$2:$T$368,G204,FALSE)</f>
      </c>
      <c r="L204" s="7">
        <f>IF(H204&lt;$B$31,$J$3,$J$4)</f>
      </c>
      <c r="M204" s="3"/>
      <c r="N204" s="82">
        <f>IF(P204&lt;$P$3,TRUE,FALSE)</f>
      </c>
      <c r="O204" s="82">
        <f>AND(IF(P204&gt;($P$2-1),TRUE,FALSE),IF(P204&lt;($P$3+1),TRUE,FALSE))</f>
      </c>
      <c r="P204" s="83">
        <v>45173</v>
      </c>
      <c r="Q204" s="8">
        <v>159.7182961976059</v>
      </c>
      <c r="R204" s="8">
        <v>0.124836726580283</v>
      </c>
      <c r="S204" s="8">
        <v>0.006215658165199784</v>
      </c>
      <c r="T204" s="8">
        <v>0.8115450732480627</v>
      </c>
      <c r="U204" s="7">
        <v>0</v>
      </c>
      <c r="V204" s="8">
        <v>3.34472344607343</v>
      </c>
      <c r="W204" s="8">
        <v>3.05980255992643</v>
      </c>
      <c r="X204" s="7">
        <v>0</v>
      </c>
      <c r="Y204" s="7">
        <v>1</v>
      </c>
      <c r="Z204" s="8">
        <v>1.6867315868519768</v>
      </c>
      <c r="AA204" s="7">
        <v>0</v>
      </c>
      <c r="AB204" s="8">
        <v>0.55058886585921</v>
      </c>
      <c r="AC204" s="42"/>
      <c r="AD204" s="83">
        <f>IFERROR(P204,$AD$4)</f>
        <v>25569.5</v>
      </c>
      <c r="AE204" s="7">
        <f>IFERROR(U204,0)</f>
      </c>
      <c r="AF204" s="3"/>
      <c r="AG204" s="86">
        <f>Q203+S204+T204+U204</f>
      </c>
      <c r="AH204" s="86">
        <f>Q204+R204+X204</f>
      </c>
      <c r="AI204" s="59">
        <f>AH204-AG204</f>
      </c>
      <c r="AJ204" s="3"/>
      <c r="AK204" s="3"/>
    </row>
    <row x14ac:dyDescent="0.25" r="205" customHeight="1" ht="18.75">
      <c r="A205" s="3"/>
      <c r="B205" s="71"/>
      <c r="C205" s="3"/>
      <c r="D205" s="3"/>
      <c r="E205" s="3"/>
      <c r="F205" s="3"/>
      <c r="G205" s="59">
        <f>H205-DATE(YEAR(H205),1,0)+1</f>
      </c>
      <c r="H205" s="79">
        <f>H204+1</f>
        <v>25569.5</v>
      </c>
      <c r="I205" s="80">
        <f>HLOOKUP($H$4,'Met Data'!$A$2:$F$368,G205,FALSE)</f>
      </c>
      <c r="J205" s="80">
        <f>HLOOKUP($H$4,'Met Data'!$H$2:$M$368,G205,FALSE)*L205</f>
      </c>
      <c r="K205" s="81">
        <f>HLOOKUP($H$4,'Met Data'!$O$2:$T$368,G205,FALSE)</f>
      </c>
      <c r="L205" s="7">
        <f>IF(H205&lt;$B$31,$J$3,$J$4)</f>
      </c>
      <c r="M205" s="3"/>
      <c r="N205" s="82">
        <f>IF(P205&lt;$P$3,TRUE,FALSE)</f>
      </c>
      <c r="O205" s="82">
        <f>AND(IF(P205&gt;($P$2-1),TRUE,FALSE),IF(P205&lt;($P$3+1),TRUE,FALSE))</f>
      </c>
      <c r="P205" s="83">
        <v>45174</v>
      </c>
      <c r="Q205" s="8">
        <v>160.4183439025684</v>
      </c>
      <c r="R205" s="8">
        <v>0.13135114278654</v>
      </c>
      <c r="S205" s="8">
        <v>0.005442516842098382</v>
      </c>
      <c r="T205" s="8">
        <v>0.8259563309069583</v>
      </c>
      <c r="U205" s="7">
        <v>0</v>
      </c>
      <c r="V205" s="8">
        <v>3.47607458885997</v>
      </c>
      <c r="W205" s="8">
        <v>3.17996453129042</v>
      </c>
      <c r="X205" s="7">
        <v>0</v>
      </c>
      <c r="Y205" s="7">
        <v>1</v>
      </c>
      <c r="Z205" s="8">
        <v>3.6630876353291058</v>
      </c>
      <c r="AA205" s="7">
        <v>0</v>
      </c>
      <c r="AB205" s="8">
        <v>0.58305502723522</v>
      </c>
      <c r="AC205" s="42"/>
      <c r="AD205" s="83">
        <f>IFERROR(P205,$AD$4)</f>
        <v>25569.5</v>
      </c>
      <c r="AE205" s="7">
        <f>IFERROR(U205,0)</f>
      </c>
      <c r="AF205" s="3"/>
      <c r="AG205" s="86">
        <f>Q204+S205+T205+U205</f>
      </c>
      <c r="AH205" s="86">
        <f>Q205+R205+X205</f>
      </c>
      <c r="AI205" s="59">
        <f>AH205-AG205</f>
      </c>
      <c r="AJ205" s="3"/>
      <c r="AK205" s="3"/>
    </row>
    <row x14ac:dyDescent="0.25" r="206" customHeight="1" ht="18.75">
      <c r="A206" s="3"/>
      <c r="B206" s="71"/>
      <c r="C206" s="3"/>
      <c r="D206" s="3"/>
      <c r="E206" s="3"/>
      <c r="F206" s="3"/>
      <c r="G206" s="59">
        <f>H206-DATE(YEAR(H206),1,0)+1</f>
      </c>
      <c r="H206" s="79">
        <f>H205+1</f>
        <v>25569.5</v>
      </c>
      <c r="I206" s="80">
        <f>HLOOKUP($H$4,'Met Data'!$A$2:$F$368,G206,FALSE)</f>
      </c>
      <c r="J206" s="80">
        <f>HLOOKUP($H$4,'Met Data'!$H$2:$M$368,G206,FALSE)*L206</f>
      </c>
      <c r="K206" s="81">
        <f>HLOOKUP($H$4,'Met Data'!$O$2:$T$368,G206,FALSE)</f>
      </c>
      <c r="L206" s="7">
        <f>IF(H206&lt;$B$31,$J$3,$J$4)</f>
      </c>
      <c r="M206" s="3"/>
      <c r="N206" s="82">
        <f>IF(P206&lt;$P$3,TRUE,FALSE)</f>
      </c>
      <c r="O206" s="82">
        <f>AND(IF(P206&gt;($P$2-1),TRUE,FALSE),IF(P206&lt;($P$3+1),TRUE,FALSE))</f>
      </c>
      <c r="P206" s="83">
        <v>45175</v>
      </c>
      <c r="Q206" s="8">
        <v>161.10964912986438</v>
      </c>
      <c r="R206" s="8">
        <v>0.13536052632855</v>
      </c>
      <c r="S206" s="8">
        <v>0.0046555235793106775</v>
      </c>
      <c r="T206" s="8">
        <v>0.8220102300452047</v>
      </c>
      <c r="U206" s="7">
        <v>0</v>
      </c>
      <c r="V206" s="8">
        <v>3.61143511518852</v>
      </c>
      <c r="W206" s="8">
        <v>3.30379434611691</v>
      </c>
      <c r="X206" s="7">
        <v>0</v>
      </c>
      <c r="Y206" s="7">
        <v>1</v>
      </c>
      <c r="Z206" s="8">
        <v>1.7074967065039317</v>
      </c>
      <c r="AA206" s="7">
        <v>0</v>
      </c>
      <c r="AB206" s="8">
        <v>0.614678504073198</v>
      </c>
      <c r="AC206" s="42"/>
      <c r="AD206" s="83">
        <f>IFERROR(P206,$AD$4)</f>
        <v>25569.5</v>
      </c>
      <c r="AE206" s="7">
        <f>IFERROR(U206,0)</f>
      </c>
      <c r="AF206" s="3"/>
      <c r="AG206" s="86">
        <f>Q205+S206+T206+U206</f>
      </c>
      <c r="AH206" s="86">
        <f>Q206+R206+X206</f>
      </c>
      <c r="AI206" s="59">
        <f>AH206-AG206</f>
      </c>
      <c r="AJ206" s="3"/>
      <c r="AK206" s="3"/>
    </row>
    <row x14ac:dyDescent="0.25" r="207" customHeight="1" ht="18.75">
      <c r="A207" s="3"/>
      <c r="B207" s="71"/>
      <c r="C207" s="3"/>
      <c r="D207" s="3"/>
      <c r="E207" s="3"/>
      <c r="F207" s="3"/>
      <c r="G207" s="59">
        <f>H207-DATE(YEAR(H207),1,0)+1</f>
      </c>
      <c r="H207" s="79">
        <f>H206+1</f>
        <v>25569.5</v>
      </c>
      <c r="I207" s="80">
        <f>HLOOKUP($H$4,'Met Data'!$A$2:$F$368,G207,FALSE)</f>
      </c>
      <c r="J207" s="80">
        <f>HLOOKUP($H$4,'Met Data'!$H$2:$M$368,G207,FALSE)*L207</f>
      </c>
      <c r="K207" s="81">
        <f>HLOOKUP($H$4,'Met Data'!$O$2:$T$368,G207,FALSE)</f>
      </c>
      <c r="L207" s="7">
        <f>IF(H207&lt;$B$31,$J$3,$J$4)</f>
      </c>
      <c r="M207" s="3"/>
      <c r="N207" s="82">
        <f>IF(P207&lt;$P$3,TRUE,FALSE)</f>
      </c>
      <c r="O207" s="82">
        <f>AND(IF(P207&gt;($P$2-1),TRUE,FALSE),IF(P207&lt;($P$3+1),TRUE,FALSE))</f>
      </c>
      <c r="P207" s="83">
        <v>45176</v>
      </c>
      <c r="Q207" s="8">
        <v>161.77693881414734</v>
      </c>
      <c r="R207" s="8">
        <v>0.13648481724553</v>
      </c>
      <c r="S207" s="8">
        <v>0.003902425554798768</v>
      </c>
      <c r="T207" s="8">
        <v>0.7998720759737162</v>
      </c>
      <c r="U207" s="7">
        <v>0</v>
      </c>
      <c r="V207" s="8">
        <v>3.74791993243405</v>
      </c>
      <c r="W207" s="8">
        <v>3.42865267893041</v>
      </c>
      <c r="X207" s="7">
        <v>0</v>
      </c>
      <c r="Y207" s="7">
        <v>1</v>
      </c>
      <c r="Z207" s="8">
        <v>0.5389135216780829</v>
      </c>
      <c r="AA207" s="7">
        <v>0</v>
      </c>
      <c r="AB207" s="8">
        <v>0.644605792860589</v>
      </c>
      <c r="AC207" s="42"/>
      <c r="AD207" s="83">
        <f>IFERROR(P207,$AD$4)</f>
        <v>25569.5</v>
      </c>
      <c r="AE207" s="7">
        <f>IFERROR(U207,0)</f>
      </c>
      <c r="AF207" s="3"/>
      <c r="AG207" s="86">
        <f>Q206+S207+T207+U207</f>
      </c>
      <c r="AH207" s="86">
        <f>Q207+R207+X207</f>
      </c>
      <c r="AI207" s="59">
        <f>AH207-AG207</f>
      </c>
      <c r="AJ207" s="3"/>
      <c r="AK207" s="3"/>
    </row>
    <row x14ac:dyDescent="0.25" r="208" customHeight="1" ht="18.75">
      <c r="A208" s="3"/>
      <c r="B208" s="71"/>
      <c r="C208" s="3"/>
      <c r="D208" s="3"/>
      <c r="E208" s="3"/>
      <c r="F208" s="3"/>
      <c r="G208" s="59">
        <f>H208-DATE(YEAR(H208),1,0)+1</f>
      </c>
      <c r="H208" s="79">
        <f>H207+1</f>
        <v>25569.5</v>
      </c>
      <c r="I208" s="80">
        <f>HLOOKUP($H$4,'Met Data'!$A$2:$F$368,G208,FALSE)</f>
      </c>
      <c r="J208" s="80">
        <f>HLOOKUP($H$4,'Met Data'!$H$2:$M$368,G208,FALSE)*L208</f>
      </c>
      <c r="K208" s="81">
        <f>HLOOKUP($H$4,'Met Data'!$O$2:$T$368,G208,FALSE)</f>
      </c>
      <c r="L208" s="7">
        <f>IF(H208&lt;$B$31,$J$3,$J$4)</f>
      </c>
      <c r="M208" s="3"/>
      <c r="N208" s="82">
        <f>IF(P208&lt;$P$3,TRUE,FALSE)</f>
      </c>
      <c r="O208" s="82">
        <f>AND(IF(P208&gt;($P$2-1),TRUE,FALSE),IF(P208&lt;($P$3+1),TRUE,FALSE))</f>
      </c>
      <c r="P208" s="83">
        <v>45177</v>
      </c>
      <c r="Q208" s="8">
        <v>162.46739731726205</v>
      </c>
      <c r="R208" s="8">
        <v>0.1466611479195</v>
      </c>
      <c r="S208" s="8">
        <v>0.003500638106775272</v>
      </c>
      <c r="T208" s="8">
        <v>0.8336190129274355</v>
      </c>
      <c r="U208" s="7">
        <v>0</v>
      </c>
      <c r="V208" s="8">
        <v>3.89458108035355</v>
      </c>
      <c r="W208" s="8">
        <v>3.56282046980491</v>
      </c>
      <c r="X208" s="7">
        <v>0</v>
      </c>
      <c r="Y208" s="7">
        <v>1</v>
      </c>
      <c r="Z208" s="8">
        <v>2.0131030731859454</v>
      </c>
      <c r="AA208" s="7">
        <v>0</v>
      </c>
      <c r="AB208" s="8">
        <v>0.674545325814064</v>
      </c>
      <c r="AC208" s="42"/>
      <c r="AD208" s="83">
        <f>IFERROR(P208,$AD$4)</f>
        <v>25569.5</v>
      </c>
      <c r="AE208" s="7">
        <f>IFERROR(U208,0)</f>
      </c>
      <c r="AF208" s="3"/>
      <c r="AG208" s="86">
        <f>Q207+S208+T208+U208</f>
      </c>
      <c r="AH208" s="86">
        <f>Q208+R208+X208</f>
      </c>
      <c r="AI208" s="59">
        <f>AH208-AG208</f>
      </c>
      <c r="AJ208" s="3"/>
      <c r="AK208" s="3"/>
    </row>
    <row x14ac:dyDescent="0.25" r="209" customHeight="1" ht="18.75">
      <c r="A209" s="3"/>
      <c r="B209" s="71"/>
      <c r="C209" s="3"/>
      <c r="D209" s="3"/>
      <c r="E209" s="3"/>
      <c r="F209" s="3"/>
      <c r="G209" s="59">
        <f>H209-DATE(YEAR(H209),1,0)+1</f>
      </c>
      <c r="H209" s="79">
        <f>H208+1</f>
        <v>25569.5</v>
      </c>
      <c r="I209" s="80">
        <f>HLOOKUP($H$4,'Met Data'!$A$2:$F$368,G209,FALSE)</f>
      </c>
      <c r="J209" s="80">
        <f>HLOOKUP($H$4,'Met Data'!$H$2:$M$368,G209,FALSE)*L209</f>
      </c>
      <c r="K209" s="81">
        <f>HLOOKUP($H$4,'Met Data'!$O$2:$T$368,G209,FALSE)</f>
      </c>
      <c r="L209" s="7">
        <f>IF(H209&lt;$B$31,$J$3,$J$4)</f>
      </c>
      <c r="M209" s="3"/>
      <c r="N209" s="82">
        <f>IF(P209&lt;$P$3,TRUE,FALSE)</f>
      </c>
      <c r="O209" s="82">
        <f>AND(IF(P209&gt;($P$2-1),TRUE,FALSE),IF(P209&lt;($P$3+1),TRUE,FALSE))</f>
      </c>
      <c r="P209" s="83">
        <v>45178</v>
      </c>
      <c r="Q209" s="8">
        <v>163.12892816610307</v>
      </c>
      <c r="R209" s="8">
        <v>0.146905591560513</v>
      </c>
      <c r="S209" s="8">
        <v>0.002909727375153265</v>
      </c>
      <c r="T209" s="8">
        <v>0.805526713026367</v>
      </c>
      <c r="U209" s="7">
        <v>0</v>
      </c>
      <c r="V209" s="8">
        <v>4.04148667191406</v>
      </c>
      <c r="W209" s="8">
        <v>3.69721188134361</v>
      </c>
      <c r="X209" s="7">
        <v>0</v>
      </c>
      <c r="Y209" s="7">
        <v>1</v>
      </c>
      <c r="Z209" s="8">
        <v>1.4464676985465985</v>
      </c>
      <c r="AA209" s="7">
        <v>0</v>
      </c>
      <c r="AB209" s="8">
        <v>0.70225412850184</v>
      </c>
      <c r="AC209" s="42"/>
      <c r="AD209" s="83">
        <f>IFERROR(P209,$AD$4)</f>
        <v>25569.5</v>
      </c>
      <c r="AE209" s="7">
        <f>IFERROR(U209,0)</f>
      </c>
      <c r="AF209" s="3"/>
      <c r="AG209" s="86">
        <f>Q208+S209+T209+U209</f>
      </c>
      <c r="AH209" s="86">
        <f>Q209+R209+X209</f>
      </c>
      <c r="AI209" s="59">
        <f>AH209-AG209</f>
      </c>
      <c r="AJ209" s="3"/>
      <c r="AK209" s="3"/>
    </row>
    <row x14ac:dyDescent="0.25" r="210" customHeight="1" ht="18.75">
      <c r="A210" s="3"/>
      <c r="B210" s="71"/>
      <c r="C210" s="3"/>
      <c r="D210" s="3"/>
      <c r="E210" s="3"/>
      <c r="F210" s="3"/>
      <c r="G210" s="59">
        <f>H210-DATE(YEAR(H210),1,0)+1</f>
      </c>
      <c r="H210" s="79">
        <f>H209+1</f>
        <v>25569.5</v>
      </c>
      <c r="I210" s="80">
        <f>HLOOKUP($H$4,'Met Data'!$A$2:$F$368,G210,FALSE)</f>
      </c>
      <c r="J210" s="80">
        <f>HLOOKUP($H$4,'Met Data'!$H$2:$M$368,G210,FALSE)*L210</f>
      </c>
      <c r="K210" s="81">
        <f>HLOOKUP($H$4,'Met Data'!$O$2:$T$368,G210,FALSE)</f>
      </c>
      <c r="L210" s="7">
        <f>IF(H210&lt;$B$31,$J$3,$J$4)</f>
      </c>
      <c r="M210" s="3"/>
      <c r="N210" s="82">
        <f>IF(P210&lt;$P$3,TRUE,FALSE)</f>
      </c>
      <c r="O210" s="82">
        <f>AND(IF(P210&gt;($P$2-1),TRUE,FALSE),IF(P210&lt;($P$3+1),TRUE,FALSE))</f>
      </c>
      <c r="P210" s="83">
        <v>45179</v>
      </c>
      <c r="Q210" s="8">
        <v>163.79484261512732</v>
      </c>
      <c r="R210" s="8">
        <v>0.153849065201647</v>
      </c>
      <c r="S210" s="8">
        <v>0.002525345474753721</v>
      </c>
      <c r="T210" s="8">
        <v>0.8172381687511435</v>
      </c>
      <c r="U210" s="7">
        <v>0</v>
      </c>
      <c r="V210" s="8">
        <v>4.19533573711571</v>
      </c>
      <c r="W210" s="8">
        <v>3.83795528543548</v>
      </c>
      <c r="X210" s="7">
        <v>0</v>
      </c>
      <c r="Y210" s="8">
        <v>0.9929276641708221</v>
      </c>
      <c r="Z210" s="7">
        <v>0</v>
      </c>
      <c r="AA210" s="7">
        <v>0</v>
      </c>
      <c r="AB210" s="8">
        <v>0.728898573639579</v>
      </c>
      <c r="AC210" s="42"/>
      <c r="AD210" s="83">
        <f>IFERROR(P210,$AD$4)</f>
        <v>25569.5</v>
      </c>
      <c r="AE210" s="7">
        <f>IFERROR(U210,0)</f>
      </c>
      <c r="AF210" s="3"/>
      <c r="AG210" s="86">
        <f>Q209+S210+T210+U210</f>
      </c>
      <c r="AH210" s="86">
        <f>Q210+R210+X210</f>
      </c>
      <c r="AI210" s="59">
        <f>AH210-AG210</f>
      </c>
      <c r="AJ210" s="3"/>
      <c r="AK210" s="3"/>
    </row>
    <row x14ac:dyDescent="0.25" r="211" customHeight="1" ht="18.75">
      <c r="A211" s="3"/>
      <c r="B211" s="71"/>
      <c r="C211" s="3"/>
      <c r="D211" s="3"/>
      <c r="E211" s="3"/>
      <c r="F211" s="3"/>
      <c r="G211" s="59">
        <f>H211-DATE(YEAR(H211),1,0)+1</f>
      </c>
      <c r="H211" s="79">
        <f>H210+1</f>
        <v>25569.5</v>
      </c>
      <c r="I211" s="80">
        <f>HLOOKUP($H$4,'Met Data'!$A$2:$F$368,G211,FALSE)</f>
      </c>
      <c r="J211" s="80">
        <f>HLOOKUP($H$4,'Met Data'!$H$2:$M$368,G211,FALSE)*L211</f>
      </c>
      <c r="K211" s="81">
        <f>HLOOKUP($H$4,'Met Data'!$O$2:$T$368,G211,FALSE)</f>
      </c>
      <c r="L211" s="7">
        <f>IF(H211&lt;$B$31,$J$3,$J$4)</f>
      </c>
      <c r="M211" s="3"/>
      <c r="N211" s="82">
        <f>IF(P211&lt;$P$3,TRUE,FALSE)</f>
      </c>
      <c r="O211" s="82">
        <f>AND(IF(P211&gt;($P$2-1),TRUE,FALSE),IF(P211&lt;($P$3+1),TRUE,FALSE))</f>
      </c>
      <c r="P211" s="83">
        <v>45180</v>
      </c>
      <c r="Q211" s="8">
        <v>164.46427793062514</v>
      </c>
      <c r="R211" s="8">
        <v>0.160945429267844</v>
      </c>
      <c r="S211" s="8">
        <v>0.002218227159512174</v>
      </c>
      <c r="T211" s="8">
        <v>0.8281625176061334</v>
      </c>
      <c r="U211" s="7">
        <v>0</v>
      </c>
      <c r="V211" s="8">
        <v>4.35628116638356</v>
      </c>
      <c r="W211" s="8">
        <v>3.98519054850644</v>
      </c>
      <c r="X211" s="7">
        <v>0</v>
      </c>
      <c r="Y211" s="7">
        <v>1</v>
      </c>
      <c r="Z211" s="8">
        <v>0.12357152647415148</v>
      </c>
      <c r="AA211" s="7">
        <v>0</v>
      </c>
      <c r="AB211" s="8">
        <v>0.754293510374207</v>
      </c>
      <c r="AC211" s="42"/>
      <c r="AD211" s="83">
        <f>IFERROR(P211,$AD$4)</f>
        <v>25569.5</v>
      </c>
      <c r="AE211" s="7">
        <f>IFERROR(U211,0)</f>
      </c>
      <c r="AF211" s="3"/>
      <c r="AG211" s="86">
        <f>Q210+S211+T211+U211</f>
      </c>
      <c r="AH211" s="86">
        <f>Q211+R211+X211</f>
      </c>
      <c r="AI211" s="59">
        <f>AH211-AG211</f>
      </c>
      <c r="AJ211" s="3"/>
      <c r="AK211" s="3"/>
    </row>
    <row x14ac:dyDescent="0.25" r="212" customHeight="1" ht="18.75">
      <c r="A212" s="3"/>
      <c r="B212" s="71"/>
      <c r="C212" s="3"/>
      <c r="D212" s="3"/>
      <c r="E212" s="3"/>
      <c r="F212" s="3"/>
      <c r="G212" s="59">
        <f>H212-DATE(YEAR(H212),1,0)+1</f>
      </c>
      <c r="H212" s="79">
        <f>H211+1</f>
        <v>25569.5</v>
      </c>
      <c r="I212" s="80">
        <f>HLOOKUP($H$4,'Met Data'!$A$2:$F$368,G212,FALSE)</f>
      </c>
      <c r="J212" s="80">
        <f>HLOOKUP($H$4,'Met Data'!$H$2:$M$368,G212,FALSE)*L212</f>
      </c>
      <c r="K212" s="81">
        <f>HLOOKUP($H$4,'Met Data'!$O$2:$T$368,G212,FALSE)</f>
      </c>
      <c r="L212" s="7">
        <f>IF(H212&lt;$B$31,$J$3,$J$4)</f>
      </c>
      <c r="M212" s="3"/>
      <c r="N212" s="82">
        <f>IF(P212&lt;$P$3,TRUE,FALSE)</f>
      </c>
      <c r="O212" s="82">
        <f>AND(IF(P212&gt;($P$2-1),TRUE,FALSE),IF(P212&lt;($P$3+1),TRUE,FALSE))</f>
      </c>
      <c r="P212" s="83">
        <v>45181</v>
      </c>
      <c r="Q212" s="8">
        <v>165.15301668687465</v>
      </c>
      <c r="R212" s="8">
        <v>0.171969137853945</v>
      </c>
      <c r="S212" s="8">
        <v>0.001969073483814439</v>
      </c>
      <c r="T212" s="8">
        <v>0.8587388206196352</v>
      </c>
      <c r="U212" s="7">
        <v>0</v>
      </c>
      <c r="V212" s="8">
        <v>4.5282503042375</v>
      </c>
      <c r="W212" s="8">
        <v>4.14251046350616</v>
      </c>
      <c r="X212" s="7">
        <v>0</v>
      </c>
      <c r="Y212" s="7">
        <v>1</v>
      </c>
      <c r="Z212" s="8">
        <v>1.5105609271102907</v>
      </c>
      <c r="AA212" s="7">
        <v>0</v>
      </c>
      <c r="AB212" s="8">
        <v>0.778802033955462</v>
      </c>
      <c r="AC212" s="42"/>
      <c r="AD212" s="83">
        <f>IFERROR(P212,$AD$4)</f>
        <v>25569.5</v>
      </c>
      <c r="AE212" s="7">
        <f>IFERROR(U212,0)</f>
      </c>
      <c r="AF212" s="3"/>
      <c r="AG212" s="86">
        <f>Q211+S212+T212+U212</f>
      </c>
      <c r="AH212" s="86">
        <f>Q212+R212+X212</f>
      </c>
      <c r="AI212" s="59">
        <f>AH212-AG212</f>
      </c>
      <c r="AJ212" s="3"/>
      <c r="AK212" s="3"/>
    </row>
    <row x14ac:dyDescent="0.25" r="213" customHeight="1" ht="18.75">
      <c r="A213" s="3"/>
      <c r="B213" s="71"/>
      <c r="C213" s="3"/>
      <c r="D213" s="3"/>
      <c r="E213" s="3"/>
      <c r="F213" s="3"/>
      <c r="G213" s="59">
        <f>H213-DATE(YEAR(H213),1,0)+1</f>
      </c>
      <c r="H213" s="79">
        <f>H212+1</f>
        <v>25569.5</v>
      </c>
      <c r="I213" s="80">
        <f>HLOOKUP($H$4,'Met Data'!$A$2:$F$368,G213,FALSE)</f>
      </c>
      <c r="J213" s="80">
        <f>HLOOKUP($H$4,'Met Data'!$H$2:$M$368,G213,FALSE)*L213</f>
      </c>
      <c r="K213" s="81">
        <f>HLOOKUP($H$4,'Met Data'!$O$2:$T$368,G213,FALSE)</f>
      </c>
      <c r="L213" s="7">
        <f>IF(H213&lt;$B$31,$J$3,$J$4)</f>
      </c>
      <c r="M213" s="3"/>
      <c r="N213" s="82">
        <f>IF(P213&lt;$P$3,TRUE,FALSE)</f>
      </c>
      <c r="O213" s="82">
        <f>AND(IF(P213&gt;($P$2-1),TRUE,FALSE),IF(P213&lt;($P$3+1),TRUE,FALSE))</f>
      </c>
      <c r="P213" s="83">
        <v>45182</v>
      </c>
      <c r="Q213" s="8">
        <v>165.81988064269794</v>
      </c>
      <c r="R213" s="8">
        <v>0.174089617110463</v>
      </c>
      <c r="S213" s="8">
        <v>0.0016472047373197597</v>
      </c>
      <c r="T213" s="8">
        <v>0.8393063681964483</v>
      </c>
      <c r="U213" s="7">
        <v>0</v>
      </c>
      <c r="V213" s="8">
        <v>4.70233992134796</v>
      </c>
      <c r="W213" s="8">
        <v>4.30177022434425</v>
      </c>
      <c r="X213" s="7">
        <v>0</v>
      </c>
      <c r="Y213" s="7">
        <v>1</v>
      </c>
      <c r="Z213" s="8">
        <v>2.856375161097546</v>
      </c>
      <c r="AA213" s="7">
        <v>0</v>
      </c>
      <c r="AB213" s="8">
        <v>0.801060485009532</v>
      </c>
      <c r="AC213" s="42"/>
      <c r="AD213" s="83">
        <f>IFERROR(P213,$AD$4)</f>
        <v>25569.5</v>
      </c>
      <c r="AE213" s="7">
        <f>IFERROR(U213,0)</f>
      </c>
      <c r="AF213" s="3"/>
      <c r="AG213" s="86">
        <f>Q212+S213+T213+U213</f>
      </c>
      <c r="AH213" s="86">
        <f>Q213+R213+X213</f>
      </c>
      <c r="AI213" s="59">
        <f>AH213-AG213</f>
      </c>
      <c r="AJ213" s="3"/>
      <c r="AK213" s="3"/>
    </row>
    <row x14ac:dyDescent="0.25" r="214" customHeight="1" ht="18.75">
      <c r="A214" s="3"/>
      <c r="B214" s="71"/>
      <c r="C214" s="3"/>
      <c r="D214" s="3"/>
      <c r="E214" s="3"/>
      <c r="F214" s="3"/>
      <c r="G214" s="59">
        <f>H214-DATE(YEAR(H214),1,0)+1</f>
      </c>
      <c r="H214" s="79">
        <f>H213+1</f>
        <v>25569.5</v>
      </c>
      <c r="I214" s="80">
        <f>HLOOKUP($H$4,'Met Data'!$A$2:$F$368,G214,FALSE)</f>
      </c>
      <c r="J214" s="80">
        <f>HLOOKUP($H$4,'Met Data'!$H$2:$M$368,G214,FALSE)*L214</f>
      </c>
      <c r="K214" s="81">
        <f>HLOOKUP($H$4,'Met Data'!$O$2:$T$368,G214,FALSE)</f>
      </c>
      <c r="L214" s="7">
        <f>IF(H214&lt;$B$31,$J$3,$J$4)</f>
      </c>
      <c r="M214" s="3"/>
      <c r="N214" s="82">
        <f>IF(P214&lt;$P$3,TRUE,FALSE)</f>
      </c>
      <c r="O214" s="82">
        <f>AND(IF(P214&gt;($P$2-1),TRUE,FALSE),IF(P214&lt;($P$3+1),TRUE,FALSE))</f>
      </c>
      <c r="P214" s="83">
        <v>45183</v>
      </c>
      <c r="Q214" s="8">
        <v>166.49118192507632</v>
      </c>
      <c r="R214" s="8">
        <v>0.182360803200701</v>
      </c>
      <c r="S214" s="8">
        <v>0.001431578721019567</v>
      </c>
      <c r="T214" s="8">
        <v>0.8522305068580487</v>
      </c>
      <c r="U214" s="7">
        <v>0</v>
      </c>
      <c r="V214" s="8">
        <v>4.88470072454866</v>
      </c>
      <c r="W214" s="8">
        <v>4.46859658875378</v>
      </c>
      <c r="X214" s="7">
        <v>0</v>
      </c>
      <c r="Y214" s="7">
        <v>1</v>
      </c>
      <c r="Z214" s="8">
        <v>1.1269432265568042</v>
      </c>
      <c r="AA214" s="7">
        <v>0</v>
      </c>
      <c r="AB214" s="8">
        <v>0.82186744895339</v>
      </c>
      <c r="AC214" s="42"/>
      <c r="AD214" s="83">
        <f>IFERROR(P214,$AD$4)</f>
        <v>25569.5</v>
      </c>
      <c r="AE214" s="7">
        <f>IFERROR(U214,0)</f>
      </c>
      <c r="AF214" s="3"/>
      <c r="AG214" s="86">
        <f>Q213+S214+T214+U214</f>
      </c>
      <c r="AH214" s="86">
        <f>Q214+R214+X214</f>
      </c>
      <c r="AI214" s="59">
        <f>AH214-AG214</f>
      </c>
      <c r="AJ214" s="3"/>
      <c r="AK214" s="3"/>
    </row>
    <row x14ac:dyDescent="0.25" r="215" customHeight="1" ht="18.75">
      <c r="A215" s="3"/>
      <c r="B215" s="71"/>
      <c r="C215" s="3"/>
      <c r="D215" s="3"/>
      <c r="E215" s="3"/>
      <c r="F215" s="3"/>
      <c r="G215" s="59">
        <f>H215-DATE(YEAR(H215),1,0)+1</f>
      </c>
      <c r="H215" s="79">
        <f>H214+1</f>
        <v>25569.5</v>
      </c>
      <c r="I215" s="80">
        <f>HLOOKUP($H$4,'Met Data'!$A$2:$F$368,G215,FALSE)</f>
      </c>
      <c r="J215" s="80">
        <f>HLOOKUP($H$4,'Met Data'!$H$2:$M$368,G215,FALSE)*L215</f>
      </c>
      <c r="K215" s="81">
        <f>HLOOKUP($H$4,'Met Data'!$O$2:$T$368,G215,FALSE)</f>
      </c>
      <c r="L215" s="7">
        <f>IF(H215&lt;$B$31,$J$3,$J$4)</f>
      </c>
      <c r="M215" s="3"/>
      <c r="N215" s="82">
        <f>IF(P215&lt;$P$3,TRUE,FALSE)</f>
      </c>
      <c r="O215" s="82">
        <f>AND(IF(P215&gt;($P$2-1),TRUE,FALSE),IF(P215&lt;($P$3+1),TRUE,FALSE))</f>
      </c>
      <c r="P215" s="83">
        <v>45184</v>
      </c>
      <c r="Q215" s="8">
        <v>167.17597954513155</v>
      </c>
      <c r="R215" s="8">
        <v>0.19332033234814</v>
      </c>
      <c r="S215" s="8">
        <v>0.001255908164798851</v>
      </c>
      <c r="T215" s="8">
        <v>0.8768620442385722</v>
      </c>
      <c r="U215" s="7">
        <v>0</v>
      </c>
      <c r="V215" s="8">
        <v>5.0780210568968</v>
      </c>
      <c r="W215" s="8">
        <v>4.64544889279078</v>
      </c>
      <c r="X215" s="7">
        <v>0</v>
      </c>
      <c r="Y215" s="7">
        <v>1</v>
      </c>
      <c r="Z215" s="8">
        <v>0.9442068942156254</v>
      </c>
      <c r="AA215" s="7">
        <v>0</v>
      </c>
      <c r="AB215" s="8">
        <v>0.84140226063256</v>
      </c>
      <c r="AC215" s="42"/>
      <c r="AD215" s="83">
        <f>IFERROR(P215,$AD$4)</f>
        <v>25569.5</v>
      </c>
      <c r="AE215" s="7">
        <f>IFERROR(U215,0)</f>
      </c>
      <c r="AF215" s="3"/>
      <c r="AG215" s="86">
        <f>Q214+S215+T215+U215</f>
      </c>
      <c r="AH215" s="86">
        <f>Q215+R215+X215</f>
      </c>
      <c r="AI215" s="59">
        <f>AH215-AG215</f>
      </c>
      <c r="AJ215" s="3"/>
      <c r="AK215" s="3"/>
    </row>
    <row x14ac:dyDescent="0.25" r="216" customHeight="1" ht="18.75">
      <c r="A216" s="3"/>
      <c r="B216" s="71"/>
      <c r="C216" s="3"/>
      <c r="D216" s="3"/>
      <c r="E216" s="3"/>
      <c r="F216" s="3"/>
      <c r="G216" s="59">
        <f>H216-DATE(YEAR(H216),1,0)+1</f>
      </c>
      <c r="H216" s="79">
        <f>H215+1</f>
        <v>25569.5</v>
      </c>
      <c r="I216" s="80">
        <f>HLOOKUP($H$4,'Met Data'!$A$2:$F$368,G216,FALSE)</f>
      </c>
      <c r="J216" s="80">
        <f>HLOOKUP($H$4,'Met Data'!$H$2:$M$368,G216,FALSE)*L216</f>
      </c>
      <c r="K216" s="81">
        <f>HLOOKUP($H$4,'Met Data'!$O$2:$T$368,G216,FALSE)</f>
      </c>
      <c r="L216" s="7">
        <f>IF(H216&lt;$B$31,$J$3,$J$4)</f>
      </c>
      <c r="M216" s="3"/>
      <c r="N216" s="82">
        <f>IF(P216&lt;$P$3,TRUE,FALSE)</f>
      </c>
      <c r="O216" s="82">
        <f>AND(IF(P216&gt;($P$2-1),TRUE,FALSE),IF(P216&lt;($P$3+1),TRUE,FALSE))</f>
      </c>
      <c r="P216" s="83">
        <v>45185</v>
      </c>
      <c r="Q216" s="8">
        <v>167.86610772279215</v>
      </c>
      <c r="R216" s="8">
        <v>0.20283492232459</v>
      </c>
      <c r="S216" s="8">
        <v>0.0010854594176068612</v>
      </c>
      <c r="T216" s="8">
        <v>0.8918776405675735</v>
      </c>
      <c r="U216" s="7">
        <v>0</v>
      </c>
      <c r="V216" s="8">
        <v>5.28085597922139</v>
      </c>
      <c r="W216" s="8">
        <v>4.83100528469513</v>
      </c>
      <c r="X216" s="7">
        <v>0</v>
      </c>
      <c r="Y216" s="7">
        <v>1</v>
      </c>
      <c r="Z216" s="8">
        <v>1.3105115712741053</v>
      </c>
      <c r="AA216" s="7">
        <v>0</v>
      </c>
      <c r="AB216" s="8">
        <v>0.859418596976385</v>
      </c>
      <c r="AC216" s="42"/>
      <c r="AD216" s="83">
        <f>IFERROR(P216,$AD$4)</f>
        <v>25569.5</v>
      </c>
      <c r="AE216" s="7">
        <f>IFERROR(U216,0)</f>
      </c>
      <c r="AF216" s="3"/>
      <c r="AG216" s="86">
        <f>Q215+S216+T216+U216</f>
      </c>
      <c r="AH216" s="86">
        <f>Q216+R216+X216</f>
      </c>
      <c r="AI216" s="59">
        <f>AH216-AG216</f>
      </c>
      <c r="AJ216" s="3"/>
      <c r="AK216" s="3"/>
    </row>
    <row x14ac:dyDescent="0.25" r="217" customHeight="1" ht="18.75">
      <c r="A217" s="3"/>
      <c r="B217" s="71"/>
      <c r="C217" s="3"/>
      <c r="D217" s="3"/>
      <c r="E217" s="3"/>
      <c r="F217" s="3"/>
      <c r="G217" s="59">
        <f>H217-DATE(YEAR(H217),1,0)+1</f>
      </c>
      <c r="H217" s="79">
        <f>H216+1</f>
        <v>25569.5</v>
      </c>
      <c r="I217" s="80">
        <f>HLOOKUP($H$4,'Met Data'!$A$2:$F$368,G217,FALSE)</f>
      </c>
      <c r="J217" s="80">
        <f>HLOOKUP($H$4,'Met Data'!$H$2:$M$368,G217,FALSE)*L217</f>
      </c>
      <c r="K217" s="81">
        <f>HLOOKUP($H$4,'Met Data'!$O$2:$T$368,G217,FALSE)</f>
      </c>
      <c r="L217" s="7">
        <f>IF(H217&lt;$B$31,$J$3,$J$4)</f>
      </c>
      <c r="M217" s="3"/>
      <c r="N217" s="82">
        <f>IF(P217&lt;$P$3,TRUE,FALSE)</f>
      </c>
      <c r="O217" s="82">
        <f>AND(IF(P217&gt;($P$2-1),TRUE,FALSE),IF(P217&lt;($P$3+1),TRUE,FALSE))</f>
      </c>
      <c r="P217" s="83">
        <v>45186</v>
      </c>
      <c r="Q217" s="8">
        <v>168.5433705024287</v>
      </c>
      <c r="R217" s="8">
        <v>0.207982712699508</v>
      </c>
      <c r="S217" s="8">
        <v>0.0009147234416609149</v>
      </c>
      <c r="T217" s="8">
        <v>0.8843307688943866</v>
      </c>
      <c r="U217" s="7">
        <v>0</v>
      </c>
      <c r="V217" s="8">
        <v>5.4888386919209</v>
      </c>
      <c r="W217" s="8">
        <v>5.02127095149801</v>
      </c>
      <c r="X217" s="7">
        <v>0</v>
      </c>
      <c r="Y217" s="7">
        <v>1</v>
      </c>
      <c r="Z217" s="8">
        <v>0.3154925960668322</v>
      </c>
      <c r="AA217" s="7">
        <v>0</v>
      </c>
      <c r="AB217" s="8">
        <v>0.875574793466742</v>
      </c>
      <c r="AC217" s="42"/>
      <c r="AD217" s="83">
        <f>IFERROR(P217,$AD$4)</f>
        <v>25569.5</v>
      </c>
      <c r="AE217" s="7">
        <f>IFERROR(U217,0)</f>
      </c>
      <c r="AF217" s="3"/>
      <c r="AG217" s="86">
        <f>Q216+S217+T217+U217</f>
      </c>
      <c r="AH217" s="86">
        <f>Q217+R217+X217</f>
      </c>
      <c r="AI217" s="59">
        <f>AH217-AG217</f>
      </c>
      <c r="AJ217" s="3"/>
      <c r="AK217" s="3"/>
    </row>
    <row x14ac:dyDescent="0.25" r="218" customHeight="1" ht="18.75">
      <c r="A218" s="3"/>
      <c r="B218" s="71"/>
      <c r="C218" s="3"/>
      <c r="D218" s="3"/>
      <c r="E218" s="3"/>
      <c r="F218" s="3"/>
      <c r="G218" s="59">
        <f>H218-DATE(YEAR(H218),1,0)+1</f>
      </c>
      <c r="H218" s="79">
        <f>H217+1</f>
        <v>25569.5</v>
      </c>
      <c r="I218" s="80">
        <f>HLOOKUP($H$4,'Met Data'!$A$2:$F$368,G218,FALSE)</f>
      </c>
      <c r="J218" s="80">
        <f>HLOOKUP($H$4,'Met Data'!$H$2:$M$368,G218,FALSE)*L218</f>
      </c>
      <c r="K218" s="81">
        <f>HLOOKUP($H$4,'Met Data'!$O$2:$T$368,G218,FALSE)</f>
      </c>
      <c r="L218" s="7">
        <f>IF(H218&lt;$B$31,$J$3,$J$4)</f>
      </c>
      <c r="M218" s="3"/>
      <c r="N218" s="82">
        <f>IF(P218&lt;$P$3,TRUE,FALSE)</f>
      </c>
      <c r="O218" s="82">
        <f>AND(IF(P218&gt;($P$2-1),TRUE,FALSE),IF(P218&lt;($P$3+1),TRUE,FALSE))</f>
      </c>
      <c r="P218" s="83">
        <v>45187</v>
      </c>
      <c r="Q218" s="8">
        <v>169.20007621402192</v>
      </c>
      <c r="R218" s="8">
        <v>0.210880602925923</v>
      </c>
      <c r="S218" s="8">
        <v>0.0007639422320737166</v>
      </c>
      <c r="T218" s="8">
        <v>0.8668223722870895</v>
      </c>
      <c r="U218" s="7">
        <v>0</v>
      </c>
      <c r="V218" s="8">
        <v>5.69971929484682</v>
      </c>
      <c r="W218" s="8">
        <v>5.21418765121173</v>
      </c>
      <c r="X218" s="7">
        <v>0</v>
      </c>
      <c r="Y218" s="7">
        <v>1</v>
      </c>
      <c r="Z218" s="8">
        <v>0.11485506202221529</v>
      </c>
      <c r="AA218" s="7">
        <v>0</v>
      </c>
      <c r="AB218" s="8">
        <v>0.889867786858309</v>
      </c>
      <c r="AC218" s="42"/>
      <c r="AD218" s="83">
        <f>IFERROR(P218,$AD$4)</f>
        <v>25569.5</v>
      </c>
      <c r="AE218" s="7">
        <f>IFERROR(U218,0)</f>
      </c>
      <c r="AF218" s="3"/>
      <c r="AG218" s="86">
        <f>Q217+S218+T218+U218</f>
      </c>
      <c r="AH218" s="86">
        <f>Q218+R218+X218</f>
      </c>
      <c r="AI218" s="59">
        <f>AH218-AG218</f>
      </c>
      <c r="AJ218" s="3"/>
      <c r="AK218" s="3"/>
    </row>
    <row x14ac:dyDescent="0.25" r="219" customHeight="1" ht="18.75">
      <c r="A219" s="3"/>
      <c r="B219" s="71"/>
      <c r="C219" s="3"/>
      <c r="D219" s="3"/>
      <c r="E219" s="3"/>
      <c r="F219" s="3"/>
      <c r="G219" s="59">
        <f>H219-DATE(YEAR(H219),1,0)+1</f>
      </c>
      <c r="H219" s="79">
        <f>H218+1</f>
        <v>25569.5</v>
      </c>
      <c r="I219" s="80">
        <f>HLOOKUP($H$4,'Met Data'!$A$2:$F$368,G219,FALSE)</f>
      </c>
      <c r="J219" s="80">
        <f>HLOOKUP($H$4,'Met Data'!$H$2:$M$368,G219,FALSE)*L219</f>
      </c>
      <c r="K219" s="81">
        <f>HLOOKUP($H$4,'Met Data'!$O$2:$T$368,G219,FALSE)</f>
      </c>
      <c r="L219" s="7">
        <f>IF(H219&lt;$B$31,$J$3,$J$4)</f>
      </c>
      <c r="M219" s="3"/>
      <c r="N219" s="82">
        <f>IF(P219&lt;$P$3,TRUE,FALSE)</f>
      </c>
      <c r="O219" s="82">
        <f>AND(IF(P219&gt;($P$2-1),TRUE,FALSE),IF(P219&lt;($P$3+1),TRUE,FALSE))</f>
      </c>
      <c r="P219" s="83">
        <v>45188</v>
      </c>
      <c r="Q219" s="8">
        <v>169.84437991003352</v>
      </c>
      <c r="R219" s="8">
        <v>0.215818441399096</v>
      </c>
      <c r="S219" s="8">
        <v>0.0006465682572459055</v>
      </c>
      <c r="T219" s="8">
        <v>0.8594755691534284</v>
      </c>
      <c r="U219" s="7">
        <v>0</v>
      </c>
      <c r="V219" s="8">
        <v>5.91553773624592</v>
      </c>
      <c r="W219" s="8">
        <v>5.41162155871386</v>
      </c>
      <c r="X219" s="7">
        <v>0</v>
      </c>
      <c r="Y219" s="7">
        <v>1</v>
      </c>
      <c r="Z219" s="8">
        <v>1.2891134635840302</v>
      </c>
      <c r="AA219" s="7">
        <v>0</v>
      </c>
      <c r="AB219" s="8">
        <v>0.902608706319116</v>
      </c>
      <c r="AC219" s="42"/>
      <c r="AD219" s="83">
        <f>IFERROR(P219,$AD$4)</f>
        <v>25569.5</v>
      </c>
      <c r="AE219" s="7">
        <f>IFERROR(U219,0)</f>
      </c>
      <c r="AF219" s="3"/>
      <c r="AG219" s="86">
        <f>Q218+S219+T219+U219</f>
      </c>
      <c r="AH219" s="86">
        <f>Q219+R219+X219</f>
      </c>
      <c r="AI219" s="59">
        <f>AH219-AG219</f>
      </c>
      <c r="AJ219" s="3"/>
      <c r="AK219" s="3"/>
    </row>
    <row x14ac:dyDescent="0.25" r="220" customHeight="1" ht="18.75">
      <c r="A220" s="3"/>
      <c r="B220" s="71"/>
      <c r="C220" s="3"/>
      <c r="D220" s="3"/>
      <c r="E220" s="3"/>
      <c r="F220" s="3"/>
      <c r="G220" s="59">
        <f>H220-DATE(YEAR(H220),1,0)+1</f>
      </c>
      <c r="H220" s="79">
        <f>H219+1</f>
        <v>25569.5</v>
      </c>
      <c r="I220" s="80">
        <f>HLOOKUP($H$4,'Met Data'!$A$2:$F$368,G220,FALSE)</f>
      </c>
      <c r="J220" s="80">
        <f>HLOOKUP($H$4,'Met Data'!$H$2:$M$368,G220,FALSE)*L220</f>
      </c>
      <c r="K220" s="81">
        <f>HLOOKUP($H$4,'Met Data'!$O$2:$T$368,G220,FALSE)</f>
      </c>
      <c r="L220" s="7">
        <f>IF(H220&lt;$B$31,$J$3,$J$4)</f>
      </c>
      <c r="M220" s="3"/>
      <c r="N220" s="82">
        <f>IF(P220&lt;$P$3,TRUE,FALSE)</f>
      </c>
      <c r="O220" s="82">
        <f>AND(IF(P220&gt;($P$2-1),TRUE,FALSE),IF(P220&lt;($P$3+1),TRUE,FALSE))</f>
      </c>
      <c r="P220" s="83">
        <v>45189</v>
      </c>
      <c r="Q220" s="8">
        <v>170.47831729042986</v>
      </c>
      <c r="R220" s="8">
        <v>0.221295244694424</v>
      </c>
      <c r="S220" s="8">
        <v>0.0005493796503488343</v>
      </c>
      <c r="T220" s="8">
        <v>0.8546832454403928</v>
      </c>
      <c r="U220" s="7">
        <v>0</v>
      </c>
      <c r="V220" s="8">
        <v>6.13683298094035</v>
      </c>
      <c r="W220" s="8">
        <v>5.61406572700839</v>
      </c>
      <c r="X220" s="7">
        <v>0</v>
      </c>
      <c r="Y220" s="7">
        <v>1</v>
      </c>
      <c r="Z220" s="8">
        <v>0.011747895216288384</v>
      </c>
      <c r="AA220" s="7">
        <v>0</v>
      </c>
      <c r="AB220" s="8">
        <v>0.913963767698982</v>
      </c>
      <c r="AC220" s="42"/>
      <c r="AD220" s="83">
        <f>IFERROR(P220,$AD$4)</f>
        <v>25569.5</v>
      </c>
      <c r="AE220" s="7">
        <f>IFERROR(U220,0)</f>
      </c>
      <c r="AF220" s="3"/>
      <c r="AG220" s="86">
        <f>Q219+S220+T220+U220</f>
      </c>
      <c r="AH220" s="86">
        <f>Q220+R220+X220</f>
      </c>
      <c r="AI220" s="59">
        <f>AH220-AG220</f>
      </c>
      <c r="AJ220" s="3"/>
      <c r="AK220" s="3"/>
    </row>
    <row x14ac:dyDescent="0.25" r="221" customHeight="1" ht="18.75">
      <c r="A221" s="3"/>
      <c r="B221" s="71"/>
      <c r="C221" s="3"/>
      <c r="D221" s="3"/>
      <c r="E221" s="3"/>
      <c r="F221" s="3"/>
      <c r="G221" s="59">
        <f>H221-DATE(YEAR(H221),1,0)+1</f>
      </c>
      <c r="H221" s="79">
        <f>H220+1</f>
        <v>25569.5</v>
      </c>
      <c r="I221" s="80">
        <f>HLOOKUP($H$4,'Met Data'!$A$2:$F$368,G221,FALSE)</f>
      </c>
      <c r="J221" s="80">
        <f>HLOOKUP($H$4,'Met Data'!$H$2:$M$368,G221,FALSE)*L221</f>
      </c>
      <c r="K221" s="81">
        <f>HLOOKUP($H$4,'Met Data'!$O$2:$T$368,G221,FALSE)</f>
      </c>
      <c r="L221" s="7">
        <f>IF(H221&lt;$B$31,$J$3,$J$4)</f>
      </c>
      <c r="M221" s="3"/>
      <c r="N221" s="82">
        <f>IF(P221&lt;$P$3,TRUE,FALSE)</f>
      </c>
      <c r="O221" s="82">
        <f>AND(IF(P221&gt;($P$2-1),TRUE,FALSE),IF(P221&lt;($P$3+1),TRUE,FALSE))</f>
      </c>
      <c r="P221" s="83">
        <v>45190</v>
      </c>
      <c r="Q221" s="8">
        <v>171.10004481986562</v>
      </c>
      <c r="R221" s="8">
        <v>0.22613922710622</v>
      </c>
      <c r="S221" s="8">
        <v>0.00046593877561160136</v>
      </c>
      <c r="T221" s="8">
        <v>0.8474008177663915</v>
      </c>
      <c r="U221" s="7">
        <v>0</v>
      </c>
      <c r="V221" s="8">
        <v>6.36297220804656</v>
      </c>
      <c r="W221" s="8">
        <v>5.82094124217593</v>
      </c>
      <c r="X221" s="7">
        <v>0</v>
      </c>
      <c r="Y221" s="7">
        <v>1</v>
      </c>
      <c r="Z221" s="8">
        <v>0.1552711024230291</v>
      </c>
      <c r="AA221" s="7">
        <v>0</v>
      </c>
      <c r="AB221" s="8">
        <v>0.924032244892529</v>
      </c>
      <c r="AC221" s="42"/>
      <c r="AD221" s="83">
        <f>IFERROR(P221,$AD$4)</f>
        <v>25569.5</v>
      </c>
      <c r="AE221" s="7">
        <f>IFERROR(U221,0)</f>
      </c>
      <c r="AF221" s="3"/>
      <c r="AG221" s="86">
        <f>Q220+S221+T221+U221</f>
      </c>
      <c r="AH221" s="86">
        <f>Q221+R221+X221</f>
      </c>
      <c r="AI221" s="59">
        <f>AH221-AG221</f>
      </c>
      <c r="AJ221" s="3"/>
      <c r="AK221" s="3"/>
    </row>
    <row x14ac:dyDescent="0.25" r="222" customHeight="1" ht="18.75">
      <c r="A222" s="3"/>
      <c r="B222" s="71"/>
      <c r="C222" s="3"/>
      <c r="D222" s="3"/>
      <c r="E222" s="3"/>
      <c r="F222" s="3"/>
      <c r="G222" s="59">
        <f>H222-DATE(YEAR(H222),1,0)+1</f>
      </c>
      <c r="H222" s="79">
        <f>H221+1</f>
        <v>25569.5</v>
      </c>
      <c r="I222" s="80">
        <f>HLOOKUP($H$4,'Met Data'!$A$2:$F$368,G222,FALSE)</f>
      </c>
      <c r="J222" s="80">
        <f>HLOOKUP($H$4,'Met Data'!$H$2:$M$368,G222,FALSE)*L222</f>
      </c>
      <c r="K222" s="81">
        <f>HLOOKUP($H$4,'Met Data'!$O$2:$T$368,G222,FALSE)</f>
      </c>
      <c r="L222" s="7">
        <f>IF(H222&lt;$B$31,$J$3,$J$4)</f>
      </c>
      <c r="M222" s="3"/>
      <c r="N222" s="82">
        <f>IF(P222&lt;$P$3,TRUE,FALSE)</f>
      </c>
      <c r="O222" s="82">
        <f>AND(IF(P222&gt;($P$2-1),TRUE,FALSE),IF(P222&lt;($P$3+1),TRUE,FALSE))</f>
      </c>
      <c r="P222" s="83">
        <v>45191</v>
      </c>
      <c r="Q222" s="8">
        <v>171.72376072174538</v>
      </c>
      <c r="R222" s="8">
        <v>0.235658123068023</v>
      </c>
      <c r="S222" s="8">
        <v>0.000403697194830564</v>
      </c>
      <c r="T222" s="8">
        <v>0.8589703277529499</v>
      </c>
      <c r="U222" s="7">
        <v>0</v>
      </c>
      <c r="V222" s="8">
        <v>6.59863033111459</v>
      </c>
      <c r="W222" s="8">
        <v>6.03652478439001</v>
      </c>
      <c r="X222" s="7">
        <v>0</v>
      </c>
      <c r="Y222" s="7">
        <v>1</v>
      </c>
      <c r="Z222" s="8">
        <v>1.7529980768732827</v>
      </c>
      <c r="AA222" s="7">
        <v>0</v>
      </c>
      <c r="AB222" s="8">
        <v>0.933113286158616</v>
      </c>
      <c r="AC222" s="42"/>
      <c r="AD222" s="83">
        <f>IFERROR(P222,$AD$4)</f>
        <v>25569.5</v>
      </c>
      <c r="AE222" s="7">
        <f>IFERROR(U222,0)</f>
      </c>
      <c r="AF222" s="3"/>
      <c r="AG222" s="86">
        <f>Q221+S222+T222+U222</f>
      </c>
      <c r="AH222" s="86">
        <f>Q222+R222+X222</f>
      </c>
      <c r="AI222" s="59">
        <f>AH222-AG222</f>
      </c>
      <c r="AJ222" s="3"/>
      <c r="AK222" s="3"/>
    </row>
    <row x14ac:dyDescent="0.25" r="223" customHeight="1" ht="18.75">
      <c r="A223" s="3"/>
      <c r="B223" s="71"/>
      <c r="C223" s="3"/>
      <c r="D223" s="3"/>
      <c r="E223" s="3"/>
      <c r="F223" s="3"/>
      <c r="G223" s="59">
        <f>H223-DATE(YEAR(H223),1,0)+1</f>
      </c>
      <c r="H223" s="79">
        <f>H222+1</f>
        <v>25569.5</v>
      </c>
      <c r="I223" s="80">
        <f>HLOOKUP($H$4,'Met Data'!$A$2:$F$368,G223,FALSE)</f>
      </c>
      <c r="J223" s="80">
        <f>HLOOKUP($H$4,'Met Data'!$H$2:$M$368,G223,FALSE)*L223</f>
      </c>
      <c r="K223" s="81">
        <f>HLOOKUP($H$4,'Met Data'!$O$2:$T$368,G223,FALSE)</f>
      </c>
      <c r="L223" s="7">
        <f>IF(H223&lt;$B$31,$J$3,$J$4)</f>
      </c>
      <c r="M223" s="3"/>
      <c r="N223" s="82">
        <f>IF(P223&lt;$P$3,TRUE,FALSE)</f>
      </c>
      <c r="O223" s="82">
        <f>AND(IF(P223&gt;($P$2-1),TRUE,FALSE),IF(P223&lt;($P$3+1),TRUE,FALSE))</f>
      </c>
      <c r="P223" s="83">
        <v>45192</v>
      </c>
      <c r="Q223" s="8">
        <v>172.34783358636957</v>
      </c>
      <c r="R223" s="8">
        <v>0.245004185084138</v>
      </c>
      <c r="S223" s="8">
        <v>0.00034830444745595214</v>
      </c>
      <c r="T223" s="8">
        <v>0.8687287452608713</v>
      </c>
      <c r="U223" s="7">
        <v>0</v>
      </c>
      <c r="V223" s="8">
        <v>6.84363451619873</v>
      </c>
      <c r="W223" s="8">
        <v>6.26065824259661</v>
      </c>
      <c r="X223" s="7">
        <v>0</v>
      </c>
      <c r="Y223" s="7">
        <v>1</v>
      </c>
      <c r="Z223" s="8">
        <v>0.9401790094527627</v>
      </c>
      <c r="AA223" s="7">
        <v>0</v>
      </c>
      <c r="AB223" s="8">
        <v>0.941255357289487</v>
      </c>
      <c r="AC223" s="42"/>
      <c r="AD223" s="83">
        <f>IFERROR(P223,$AD$4)</f>
        <v>25569.5</v>
      </c>
      <c r="AE223" s="7">
        <f>IFERROR(U223,0)</f>
      </c>
      <c r="AF223" s="3"/>
      <c r="AG223" s="86">
        <f>Q222+S223+T223+U223</f>
      </c>
      <c r="AH223" s="86">
        <f>Q223+R223+X223</f>
      </c>
      <c r="AI223" s="59">
        <f>AH223-AG223</f>
      </c>
      <c r="AJ223" s="3"/>
      <c r="AK223" s="3"/>
    </row>
    <row x14ac:dyDescent="0.25" r="224" customHeight="1" ht="18.75">
      <c r="A224" s="3"/>
      <c r="B224" s="71"/>
      <c r="C224" s="3"/>
      <c r="D224" s="3"/>
      <c r="E224" s="3"/>
      <c r="F224" s="3"/>
      <c r="G224" s="59">
        <f>H224-DATE(YEAR(H224),1,0)+1</f>
      </c>
      <c r="H224" s="79">
        <f>H223+1</f>
        <v>25569.5</v>
      </c>
      <c r="I224" s="80">
        <f>HLOOKUP($H$4,'Met Data'!$A$2:$F$368,G224,FALSE)</f>
      </c>
      <c r="J224" s="80">
        <f>HLOOKUP($H$4,'Met Data'!$H$2:$M$368,G224,FALSE)*L224</f>
      </c>
      <c r="K224" s="81">
        <f>HLOOKUP($H$4,'Met Data'!$O$2:$T$368,G224,FALSE)</f>
      </c>
      <c r="L224" s="7">
        <f>IF(H224&lt;$B$31,$J$3,$J$4)</f>
      </c>
      <c r="M224" s="3"/>
      <c r="N224" s="82">
        <f>IF(P224&lt;$P$3,TRUE,FALSE)</f>
      </c>
      <c r="O224" s="82">
        <f>AND(IF(P224&gt;($P$2-1),TRUE,FALSE),IF(P224&lt;($P$3+1),TRUE,FALSE))</f>
      </c>
      <c r="P224" s="83">
        <v>45193</v>
      </c>
      <c r="Q224" s="8">
        <v>172.99091568648032</v>
      </c>
      <c r="R224" s="8">
        <v>0.261236670229061</v>
      </c>
      <c r="S224" s="8">
        <v>0.0003076375121966795</v>
      </c>
      <c r="T224" s="8">
        <v>0.904011132827603</v>
      </c>
      <c r="U224" s="7">
        <v>0</v>
      </c>
      <c r="V224" s="8">
        <v>7.10487118642779</v>
      </c>
      <c r="W224" s="8">
        <v>6.49964141869505</v>
      </c>
      <c r="X224" s="7">
        <v>0</v>
      </c>
      <c r="Y224" s="7">
        <v>1</v>
      </c>
      <c r="Z224" s="8">
        <v>2.0311600400418115</v>
      </c>
      <c r="AA224" s="7">
        <v>0</v>
      </c>
      <c r="AB224" s="8">
        <v>0.948704019999866</v>
      </c>
      <c r="AC224" s="42"/>
      <c r="AD224" s="83">
        <f>IFERROR(P224,$AD$4)</f>
        <v>25569.5</v>
      </c>
      <c r="AE224" s="7">
        <f>IFERROR(U224,0)</f>
      </c>
      <c r="AF224" s="3"/>
      <c r="AG224" s="86">
        <f>Q223+S224+T224+U224</f>
      </c>
      <c r="AH224" s="86">
        <f>Q224+R224+X224</f>
      </c>
      <c r="AI224" s="59">
        <f>AH224-AG224</f>
      </c>
      <c r="AJ224" s="3"/>
      <c r="AK224" s="3"/>
    </row>
    <row x14ac:dyDescent="0.25" r="225" customHeight="1" ht="18.75">
      <c r="A225" s="3"/>
      <c r="B225" s="71"/>
      <c r="C225" s="3"/>
      <c r="D225" s="3"/>
      <c r="E225" s="3"/>
      <c r="F225" s="3"/>
      <c r="G225" s="59">
        <f>H225-DATE(YEAR(H225),1,0)+1</f>
      </c>
      <c r="H225" s="79">
        <f>H224+1</f>
        <v>25569.5</v>
      </c>
      <c r="I225" s="80">
        <f>HLOOKUP($H$4,'Met Data'!$A$2:$F$368,G225,FALSE)</f>
      </c>
      <c r="J225" s="80">
        <f>HLOOKUP($H$4,'Met Data'!$H$2:$M$368,G225,FALSE)*L225</f>
      </c>
      <c r="K225" s="81">
        <f>HLOOKUP($H$4,'Met Data'!$O$2:$T$368,G225,FALSE)</f>
      </c>
      <c r="L225" s="7">
        <f>IF(H225&lt;$B$31,$J$3,$J$4)</f>
      </c>
      <c r="M225" s="3"/>
      <c r="N225" s="82">
        <f>IF(P225&lt;$P$3,TRUE,FALSE)</f>
      </c>
      <c r="O225" s="82">
        <f>AND(IF(P225&gt;($P$2-1),TRUE,FALSE),IF(P225&lt;($P$3+1),TRUE,FALSE))</f>
      </c>
      <c r="P225" s="83">
        <v>45194</v>
      </c>
      <c r="Q225" s="8">
        <v>173.60909453058633</v>
      </c>
      <c r="R225" s="8">
        <v>0.262553997466347</v>
      </c>
      <c r="S225" s="8">
        <v>0.00025464058200140485</v>
      </c>
      <c r="T225" s="8">
        <v>0.8804782009903731</v>
      </c>
      <c r="U225" s="7">
        <v>0</v>
      </c>
      <c r="V225" s="8">
        <v>7.36742518389413</v>
      </c>
      <c r="W225" s="8">
        <v>6.73982970526612</v>
      </c>
      <c r="X225" s="7">
        <v>0</v>
      </c>
      <c r="Y225" s="7">
        <v>1</v>
      </c>
      <c r="Z225" s="8">
        <v>0.8024927323568676</v>
      </c>
      <c r="AA225" s="7">
        <v>0</v>
      </c>
      <c r="AB225" s="8">
        <v>0.955111455712639</v>
      </c>
      <c r="AC225" s="42"/>
      <c r="AD225" s="83">
        <f>IFERROR(P225,$AD$4)</f>
        <v>25569.5</v>
      </c>
      <c r="AE225" s="7">
        <f>IFERROR(U225,0)</f>
      </c>
      <c r="AF225" s="3"/>
      <c r="AG225" s="86">
        <f>Q224+S225+T225+U225</f>
      </c>
      <c r="AH225" s="86">
        <f>Q225+R225+X225</f>
      </c>
      <c r="AI225" s="59">
        <f>AH225-AG225</f>
      </c>
      <c r="AJ225" s="3"/>
      <c r="AK225" s="3"/>
    </row>
    <row x14ac:dyDescent="0.25" r="226" customHeight="1" ht="18.75">
      <c r="A226" s="3"/>
      <c r="B226" s="71"/>
      <c r="C226" s="3"/>
      <c r="D226" s="3"/>
      <c r="E226" s="3"/>
      <c r="F226" s="3"/>
      <c r="G226" s="59">
        <f>H226-DATE(YEAR(H226),1,0)+1</f>
      </c>
      <c r="H226" s="79">
        <f>H225+1</f>
        <v>25569.5</v>
      </c>
      <c r="I226" s="80">
        <f>HLOOKUP($H$4,'Met Data'!$A$2:$F$368,G226,FALSE)</f>
      </c>
      <c r="J226" s="80">
        <f>HLOOKUP($H$4,'Met Data'!$H$2:$M$368,G226,FALSE)*L226</f>
      </c>
      <c r="K226" s="81">
        <f>HLOOKUP($H$4,'Met Data'!$O$2:$T$368,G226,FALSE)</f>
      </c>
      <c r="L226" s="7">
        <f>IF(H226&lt;$B$31,$J$3,$J$4)</f>
      </c>
      <c r="M226" s="3"/>
      <c r="N226" s="82">
        <f>IF(P226&lt;$P$3,TRUE,FALSE)</f>
      </c>
      <c r="O226" s="82">
        <f>AND(IF(P226&gt;($P$2-1),TRUE,FALSE),IF(P226&lt;($P$3+1),TRUE,FALSE))</f>
      </c>
      <c r="P226" s="83">
        <v>45195</v>
      </c>
      <c r="Q226" s="8">
        <v>174.21465360772712</v>
      </c>
      <c r="R226" s="8">
        <v>0.267821783555794</v>
      </c>
      <c r="S226" s="8">
        <v>0.00021504000550642816</v>
      </c>
      <c r="T226" s="8">
        <v>0.8731658206910521</v>
      </c>
      <c r="U226" s="7">
        <v>0</v>
      </c>
      <c r="V226" s="8">
        <v>7.63524696744993</v>
      </c>
      <c r="W226" s="8">
        <v>6.98483704059308</v>
      </c>
      <c r="X226" s="7">
        <v>0</v>
      </c>
      <c r="Y226" s="7">
        <v>1</v>
      </c>
      <c r="Z226" s="8">
        <v>1.806837030496311</v>
      </c>
      <c r="AA226" s="7">
        <v>0</v>
      </c>
      <c r="AB226" s="8">
        <v>0.960712431647806</v>
      </c>
      <c r="AC226" s="42"/>
      <c r="AD226" s="83">
        <f>IFERROR(P226,$AD$4)</f>
        <v>25569.5</v>
      </c>
      <c r="AE226" s="7">
        <f>IFERROR(U226,0)</f>
      </c>
      <c r="AF226" s="3"/>
      <c r="AG226" s="86">
        <f>Q225+S226+T226+U226</f>
      </c>
      <c r="AH226" s="86">
        <f>Q226+R226+X226</f>
      </c>
      <c r="AI226" s="59">
        <f>AH226-AG226</f>
      </c>
      <c r="AJ226" s="3"/>
      <c r="AK226" s="3"/>
    </row>
    <row x14ac:dyDescent="0.25" r="227" customHeight="1" ht="18.75">
      <c r="A227" s="3"/>
      <c r="B227" s="71"/>
      <c r="C227" s="3"/>
      <c r="D227" s="3"/>
      <c r="E227" s="3"/>
      <c r="F227" s="3"/>
      <c r="G227" s="59">
        <f>H227-DATE(YEAR(H227),1,0)+1</f>
      </c>
      <c r="H227" s="79">
        <f>H226+1</f>
        <v>25569.5</v>
      </c>
      <c r="I227" s="80">
        <f>HLOOKUP($H$4,'Met Data'!$A$2:$F$368,G227,FALSE)</f>
      </c>
      <c r="J227" s="80">
        <f>HLOOKUP($H$4,'Met Data'!$H$2:$M$368,G227,FALSE)*L227</f>
      </c>
      <c r="K227" s="81">
        <f>HLOOKUP($H$4,'Met Data'!$O$2:$T$368,G227,FALSE)</f>
      </c>
      <c r="L227" s="7">
        <f>IF(H227&lt;$B$31,$J$3,$J$4)</f>
      </c>
      <c r="M227" s="3"/>
      <c r="N227" s="82">
        <f>IF(P227&lt;$P$3,TRUE,FALSE)</f>
      </c>
      <c r="O227" s="82">
        <f>AND(IF(P227&gt;($P$2-1),TRUE,FALSE),IF(P227&lt;($P$3+1),TRUE,FALSE))</f>
      </c>
      <c r="P227" s="83">
        <v>45196</v>
      </c>
      <c r="Q227" s="8">
        <v>174.83457681040613</v>
      </c>
      <c r="R227" s="8">
        <v>0.283542537487477</v>
      </c>
      <c r="S227" s="8">
        <v>0.00018878360341019075</v>
      </c>
      <c r="T227" s="8">
        <v>0.9032769565631077</v>
      </c>
      <c r="U227" s="7">
        <v>0</v>
      </c>
      <c r="V227" s="8">
        <v>7.91878950493741</v>
      </c>
      <c r="W227" s="8">
        <v>7.24422595451681</v>
      </c>
      <c r="X227" s="7">
        <v>0</v>
      </c>
      <c r="Y227" s="7">
        <v>1</v>
      </c>
      <c r="Z227" s="8">
        <v>0.19282927011568063</v>
      </c>
      <c r="AA227" s="7">
        <v>0</v>
      </c>
      <c r="AB227" s="8">
        <v>0.965780288589851</v>
      </c>
      <c r="AC227" s="42"/>
      <c r="AD227" s="83">
        <f>IFERROR(P227,$AD$4)</f>
        <v>25569.5</v>
      </c>
      <c r="AE227" s="7">
        <f>IFERROR(U227,0)</f>
      </c>
      <c r="AF227" s="3"/>
      <c r="AG227" s="86">
        <f>Q226+S227+T227+U227</f>
      </c>
      <c r="AH227" s="86">
        <f>Q227+R227+X227</f>
      </c>
      <c r="AI227" s="59">
        <f>AH227-AG227</f>
      </c>
      <c r="AJ227" s="3"/>
      <c r="AK227" s="3"/>
    </row>
    <row x14ac:dyDescent="0.25" r="228" customHeight="1" ht="18.75">
      <c r="A228" s="3"/>
      <c r="B228" s="71"/>
      <c r="C228" s="3"/>
      <c r="D228" s="3"/>
      <c r="E228" s="3"/>
      <c r="F228" s="3"/>
      <c r="G228" s="59">
        <f>H228-DATE(YEAR(H228),1,0)+1</f>
      </c>
      <c r="H228" s="79">
        <f>H227+1</f>
        <v>25569.5</v>
      </c>
      <c r="I228" s="80">
        <f>HLOOKUP($H$4,'Met Data'!$A$2:$F$368,G228,FALSE)</f>
      </c>
      <c r="J228" s="80">
        <f>HLOOKUP($H$4,'Met Data'!$H$2:$M$368,G228,FALSE)*L228</f>
      </c>
      <c r="K228" s="81">
        <f>HLOOKUP($H$4,'Met Data'!$O$2:$T$368,G228,FALSE)</f>
      </c>
      <c r="L228" s="7">
        <f>IF(H228&lt;$B$31,$J$3,$J$4)</f>
      </c>
      <c r="M228" s="3"/>
      <c r="N228" s="82">
        <f>IF(P228&lt;$P$3,TRUE,FALSE)</f>
      </c>
      <c r="O228" s="82">
        <f>AND(IF(P228&gt;($P$2-1),TRUE,FALSE),IF(P228&lt;($P$3+1),TRUE,FALSE))</f>
      </c>
      <c r="P228" s="83">
        <v>45197</v>
      </c>
      <c r="Q228" s="8">
        <v>175.46555449726995</v>
      </c>
      <c r="R228" s="8">
        <v>0.298680053892619</v>
      </c>
      <c r="S228" s="8">
        <v>0.00016401737959466166</v>
      </c>
      <c r="T228" s="8">
        <v>0.9294937233768313</v>
      </c>
      <c r="U228" s="7">
        <v>0</v>
      </c>
      <c r="V228" s="8">
        <v>8.21746955883003</v>
      </c>
      <c r="W228" s="8">
        <v>7.51746289270747</v>
      </c>
      <c r="X228" s="7">
        <v>0</v>
      </c>
      <c r="Y228" s="7">
        <v>1</v>
      </c>
      <c r="Z228" s="8">
        <v>1.8166179447524229</v>
      </c>
      <c r="AA228" s="7">
        <v>0</v>
      </c>
      <c r="AB228" s="8">
        <v>0.970319296402837</v>
      </c>
      <c r="AC228" s="42"/>
      <c r="AD228" s="83">
        <f>IFERROR(P228,$AD$4)</f>
        <v>25569.5</v>
      </c>
      <c r="AE228" s="7">
        <f>IFERROR(U228,0)</f>
      </c>
      <c r="AF228" s="3"/>
      <c r="AG228" s="86">
        <f>Q227+S228+T228+U228</f>
      </c>
      <c r="AH228" s="86">
        <f>Q228+R228+X228</f>
      </c>
      <c r="AI228" s="59">
        <f>AH228-AG228</f>
      </c>
      <c r="AJ228" s="3"/>
      <c r="AK228" s="3"/>
    </row>
    <row x14ac:dyDescent="0.25" r="229" customHeight="1" ht="18.75">
      <c r="A229" s="3"/>
      <c r="B229" s="71"/>
      <c r="C229" s="3"/>
      <c r="D229" s="3"/>
      <c r="E229" s="3"/>
      <c r="F229" s="3"/>
      <c r="G229" s="59">
        <f>H229-DATE(YEAR(H229),1,0)+1</f>
      </c>
      <c r="H229" s="79">
        <f>H228+1</f>
        <v>25569.5</v>
      </c>
      <c r="I229" s="80">
        <f>HLOOKUP($H$4,'Met Data'!$A$2:$F$368,G229,FALSE)</f>
      </c>
      <c r="J229" s="80">
        <f>HLOOKUP($H$4,'Met Data'!$H$2:$M$368,G229,FALSE)*L229</f>
      </c>
      <c r="K229" s="81">
        <f>HLOOKUP($H$4,'Met Data'!$O$2:$T$368,G229,FALSE)</f>
      </c>
      <c r="L229" s="7">
        <f>IF(H229&lt;$B$31,$J$3,$J$4)</f>
      </c>
      <c r="M229" s="3"/>
      <c r="N229" s="82">
        <f>IF(P229&lt;$P$3,TRUE,FALSE)</f>
      </c>
      <c r="O229" s="82">
        <f>AND(IF(P229&gt;($P$2-1),TRUE,FALSE),IF(P229&lt;($P$3+1),TRUE,FALSE))</f>
      </c>
      <c r="P229" s="83">
        <v>45198</v>
      </c>
      <c r="Q229" s="8">
        <v>176.10862051439628</v>
      </c>
      <c r="R229" s="8">
        <v>0.314872291659222</v>
      </c>
      <c r="S229" s="8">
        <v>0.0001419702515624314</v>
      </c>
      <c r="T229" s="8">
        <v>0.9577963385339764</v>
      </c>
      <c r="U229" s="7">
        <v>0</v>
      </c>
      <c r="V229" s="8">
        <v>8.53234185048925</v>
      </c>
      <c r="W229" s="8">
        <v>7.80551272989202</v>
      </c>
      <c r="X229" s="7">
        <v>0</v>
      </c>
      <c r="Y229" s="7">
        <v>1</v>
      </c>
      <c r="Z229" s="8">
        <v>1.0454741178045737</v>
      </c>
      <c r="AA229" s="7">
        <v>0</v>
      </c>
      <c r="AB229" s="8">
        <v>0.974368460303129</v>
      </c>
      <c r="AC229" s="42"/>
      <c r="AD229" s="83">
        <f>IFERROR(P229,$AD$4)</f>
        <v>25569.5</v>
      </c>
      <c r="AE229" s="7">
        <f>IFERROR(U229,0)</f>
      </c>
      <c r="AF229" s="3"/>
      <c r="AG229" s="86">
        <f>Q228+S229+T229+U229</f>
      </c>
      <c r="AH229" s="86">
        <f>Q229+R229+X229</f>
      </c>
      <c r="AI229" s="59">
        <f>AH229-AG229</f>
      </c>
      <c r="AJ229" s="3"/>
      <c r="AK229" s="3"/>
    </row>
    <row x14ac:dyDescent="0.25" r="230" customHeight="1" ht="18.75">
      <c r="A230" s="3"/>
      <c r="B230" s="71"/>
      <c r="C230" s="3"/>
      <c r="D230" s="3"/>
      <c r="E230" s="3"/>
      <c r="F230" s="3"/>
      <c r="G230" s="59">
        <f>H230-DATE(YEAR(H230),1,0)+1</f>
      </c>
      <c r="H230" s="79">
        <f>H229+1</f>
        <v>25569.5</v>
      </c>
      <c r="I230" s="80">
        <f>HLOOKUP($H$4,'Met Data'!$A$2:$F$368,G230,FALSE)</f>
      </c>
      <c r="J230" s="80">
        <f>HLOOKUP($H$4,'Met Data'!$H$2:$M$368,G230,FALSE)*L230</f>
      </c>
      <c r="K230" s="81">
        <f>HLOOKUP($H$4,'Met Data'!$O$2:$T$368,G230,FALSE)</f>
      </c>
      <c r="L230" s="7">
        <f>IF(H230&lt;$B$31,$J$3,$J$4)</f>
      </c>
      <c r="M230" s="3"/>
      <c r="N230" s="82">
        <f>IF(P230&lt;$P$3,TRUE,FALSE)</f>
      </c>
      <c r="O230" s="82">
        <f>AND(IF(P230&gt;($P$2-1),TRUE,FALSE),IF(P230&lt;($P$3+1),TRUE,FALSE))</f>
      </c>
      <c r="P230" s="83">
        <v>45199</v>
      </c>
      <c r="Q230" s="8">
        <v>176.73688668778422</v>
      </c>
      <c r="R230" s="8">
        <v>0.320720703515784</v>
      </c>
      <c r="S230" s="8">
        <v>0.00011822170689829191</v>
      </c>
      <c r="T230" s="8">
        <v>0.9488686551968427</v>
      </c>
      <c r="U230" s="7">
        <v>0</v>
      </c>
      <c r="V230" s="8">
        <v>8.85306255400503</v>
      </c>
      <c r="W230" s="8">
        <v>8.09891278088608</v>
      </c>
      <c r="X230" s="7">
        <v>0</v>
      </c>
      <c r="Y230" s="7">
        <v>1</v>
      </c>
      <c r="Z230" s="8">
        <v>2.829689020887713</v>
      </c>
      <c r="AA230" s="7">
        <v>0</v>
      </c>
      <c r="AB230" s="8">
        <v>0.977851732386111</v>
      </c>
      <c r="AC230" s="42"/>
      <c r="AD230" s="83">
        <f>IFERROR(P230,$AD$4)</f>
        <v>25569.5</v>
      </c>
      <c r="AE230" s="7">
        <f>IFERROR(U230,0)</f>
      </c>
      <c r="AF230" s="3"/>
      <c r="AG230" s="86">
        <f>Q229+S230+T230+U230</f>
      </c>
      <c r="AH230" s="86">
        <f>Q230+R230+X230</f>
      </c>
      <c r="AI230" s="59">
        <f>AH230-AG230</f>
      </c>
      <c r="AJ230" s="3"/>
      <c r="AK230" s="3"/>
    </row>
    <row x14ac:dyDescent="0.25" r="231" customHeight="1" ht="18.75">
      <c r="A231" s="3"/>
      <c r="B231" s="71"/>
      <c r="C231" s="3"/>
      <c r="D231" s="3"/>
      <c r="E231" s="3"/>
      <c r="F231" s="3"/>
      <c r="G231" s="59">
        <f>H231-DATE(YEAR(H231),1,0)+1</f>
      </c>
      <c r="H231" s="79">
        <f>H230+1</f>
        <v>25569.5</v>
      </c>
      <c r="I231" s="80">
        <f>HLOOKUP($H$4,'Met Data'!$A$2:$F$368,G231,FALSE)</f>
      </c>
      <c r="J231" s="80">
        <f>HLOOKUP($H$4,'Met Data'!$H$2:$M$368,G231,FALSE)*L231</f>
      </c>
      <c r="K231" s="81">
        <f>HLOOKUP($H$4,'Met Data'!$O$2:$T$368,G231,FALSE)</f>
      </c>
      <c r="L231" s="7">
        <f>IF(H231&lt;$B$31,$J$3,$J$4)</f>
      </c>
      <c r="M231" s="3"/>
      <c r="N231" s="82">
        <f>IF(P231&lt;$P$3,TRUE,FALSE)</f>
      </c>
      <c r="O231" s="82">
        <f>AND(IF(P231&gt;($P$2-1),TRUE,FALSE),IF(P231&lt;($P$3+1),TRUE,FALSE))</f>
      </c>
      <c r="P231" s="83">
        <v>45200</v>
      </c>
      <c r="Q231" s="8">
        <v>177.34239461416664</v>
      </c>
      <c r="R231" s="8">
        <v>0.322713530873081</v>
      </c>
      <c r="S231" s="8">
        <v>0.00009751231057823976</v>
      </c>
      <c r="T231" s="8">
        <v>0.9281239449449157</v>
      </c>
      <c r="U231" s="7">
        <v>0</v>
      </c>
      <c r="V231" s="8">
        <v>9.17577608487811</v>
      </c>
      <c r="W231" s="8">
        <v>8.39413589986998</v>
      </c>
      <c r="X231" s="7">
        <v>0</v>
      </c>
      <c r="Y231" s="7">
        <v>1</v>
      </c>
      <c r="Z231" s="8">
        <v>4.491246049128037</v>
      </c>
      <c r="AA231" s="7">
        <v>0</v>
      </c>
      <c r="AB231" s="8">
        <v>0.980817809159663</v>
      </c>
      <c r="AC231" s="42"/>
      <c r="AD231" s="83">
        <f>IFERROR(P231,$AD$4)</f>
        <v>25569.5</v>
      </c>
      <c r="AE231" s="7">
        <f>IFERROR(U231,0)</f>
      </c>
      <c r="AF231" s="3"/>
      <c r="AG231" s="86">
        <f>Q230+S231+T231+U231</f>
      </c>
      <c r="AH231" s="86">
        <f>Q231+R231+X231</f>
      </c>
      <c r="AI231" s="59">
        <f>AH231-AG231</f>
      </c>
      <c r="AJ231" s="3"/>
      <c r="AK231" s="3"/>
    </row>
    <row x14ac:dyDescent="0.25" r="232" customHeight="1" ht="18.75">
      <c r="A232" s="3"/>
      <c r="B232" s="71"/>
      <c r="C232" s="3"/>
      <c r="D232" s="3"/>
      <c r="E232" s="3"/>
      <c r="F232" s="3"/>
      <c r="G232" s="59">
        <f>H232-DATE(YEAR(H232),1,0)+1</f>
      </c>
      <c r="H232" s="79">
        <f>H231+1</f>
        <v>25569.5</v>
      </c>
      <c r="I232" s="80">
        <f>HLOOKUP($H$4,'Met Data'!$A$2:$F$368,G232,FALSE)</f>
      </c>
      <c r="J232" s="80">
        <f>HLOOKUP($H$4,'Met Data'!$H$2:$M$368,G232,FALSE)*L232</f>
      </c>
      <c r="K232" s="81">
        <f>HLOOKUP($H$4,'Met Data'!$O$2:$T$368,G232,FALSE)</f>
      </c>
      <c r="L232" s="7">
        <f>IF(H232&lt;$B$31,$J$3,$J$4)</f>
      </c>
      <c r="M232" s="3"/>
      <c r="N232" s="82">
        <f>IF(P232&lt;$P$3,TRUE,FALSE)</f>
      </c>
      <c r="O232" s="82">
        <f>AND(IF(P232&gt;($P$2-1),TRUE,FALSE),IF(P232&lt;($P$3+1),TRUE,FALSE))</f>
      </c>
      <c r="P232" s="83">
        <v>45201</v>
      </c>
      <c r="Q232" s="8">
        <v>177.9351907313846</v>
      </c>
      <c r="R232" s="8">
        <v>0.328443083123739</v>
      </c>
      <c r="S232" s="8">
        <v>0.00008173611107053568</v>
      </c>
      <c r="T232" s="8">
        <v>0.9211574642306312</v>
      </c>
      <c r="U232" s="7">
        <v>0</v>
      </c>
      <c r="V232" s="8">
        <v>9.50421916800185</v>
      </c>
      <c r="W232" s="8">
        <v>8.69460049813503</v>
      </c>
      <c r="X232" s="7">
        <v>0</v>
      </c>
      <c r="Y232" s="7">
        <v>1</v>
      </c>
      <c r="Z232" s="8">
        <v>1.8349237318771543</v>
      </c>
      <c r="AA232" s="7">
        <v>0</v>
      </c>
      <c r="AB232" s="8">
        <v>0.983377762459718</v>
      </c>
      <c r="AC232" s="42"/>
      <c r="AD232" s="83">
        <f>IFERROR(P232,$AD$4)</f>
        <v>25569.5</v>
      </c>
      <c r="AE232" s="7">
        <f>IFERROR(U232,0)</f>
      </c>
      <c r="AF232" s="3"/>
      <c r="AG232" s="86">
        <f>Q231+S232+T232+U232</f>
      </c>
      <c r="AH232" s="86">
        <f>Q232+R232+X232</f>
      </c>
      <c r="AI232" s="59">
        <f>AH232-AG232</f>
      </c>
      <c r="AJ232" s="3"/>
      <c r="AK232" s="3"/>
    </row>
    <row x14ac:dyDescent="0.25" r="233" customHeight="1" ht="18.75">
      <c r="A233" s="3"/>
      <c r="B233" s="71"/>
      <c r="C233" s="3"/>
      <c r="D233" s="3"/>
      <c r="E233" s="3"/>
      <c r="F233" s="3"/>
      <c r="G233" s="59">
        <f>H233-DATE(YEAR(H233),1,0)+1</f>
      </c>
      <c r="H233" s="79">
        <f>H232+1</f>
        <v>25569.5</v>
      </c>
      <c r="I233" s="80">
        <f>HLOOKUP($H$4,'Met Data'!$A$2:$F$368,G233,FALSE)</f>
      </c>
      <c r="J233" s="80">
        <f>HLOOKUP($H$4,'Met Data'!$H$2:$M$368,G233,FALSE)*L233</f>
      </c>
      <c r="K233" s="81">
        <f>HLOOKUP($H$4,'Met Data'!$O$2:$T$368,G233,FALSE)</f>
      </c>
      <c r="L233" s="7">
        <f>IF(H233&lt;$B$31,$J$3,$J$4)</f>
      </c>
      <c r="M233" s="3"/>
      <c r="N233" s="82">
        <f>IF(P233&lt;$P$3,TRUE,FALSE)</f>
      </c>
      <c r="O233" s="82">
        <f>AND(IF(P233&gt;($P$2-1),TRUE,FALSE),IF(P233&lt;($P$3+1),TRUE,FALSE))</f>
      </c>
      <c r="P233" s="83">
        <v>45202</v>
      </c>
      <c r="Q233" s="8">
        <v>178.53737849493672</v>
      </c>
      <c r="R233" s="8">
        <v>0.344188402222182</v>
      </c>
      <c r="S233" s="8">
        <v>0.00007067340313701478</v>
      </c>
      <c r="T233" s="8">
        <v>0.9463054923711474</v>
      </c>
      <c r="U233" s="7">
        <v>0</v>
      </c>
      <c r="V233" s="8">
        <v>9.84840757022403</v>
      </c>
      <c r="W233" s="8">
        <v>9.00946914757532</v>
      </c>
      <c r="X233" s="7">
        <v>0</v>
      </c>
      <c r="Y233" s="7">
        <v>1</v>
      </c>
      <c r="Z233" s="8">
        <v>2.2485286487944762</v>
      </c>
      <c r="AA233" s="7">
        <v>0</v>
      </c>
      <c r="AB233" s="8">
        <v>0.98564980432072</v>
      </c>
      <c r="AC233" s="42"/>
      <c r="AD233" s="83">
        <f>IFERROR(P233,$AD$4)</f>
        <v>25569.5</v>
      </c>
      <c r="AE233" s="7">
        <f>IFERROR(U233,0)</f>
      </c>
      <c r="AF233" s="3"/>
      <c r="AG233" s="86">
        <f>Q232+S233+T233+U233</f>
      </c>
      <c r="AH233" s="86">
        <f>Q233+R233+X233</f>
      </c>
      <c r="AI233" s="59">
        <f>AH233-AG233</f>
      </c>
      <c r="AJ233" s="3"/>
      <c r="AK233" s="3"/>
    </row>
    <row x14ac:dyDescent="0.25" r="234" customHeight="1" ht="18.75">
      <c r="A234" s="3"/>
      <c r="B234" s="71"/>
      <c r="C234" s="3"/>
      <c r="D234" s="3"/>
      <c r="E234" s="3"/>
      <c r="F234" s="3"/>
      <c r="G234" s="59">
        <f>H234-DATE(YEAR(H234),1,0)+1</f>
      </c>
      <c r="H234" s="79">
        <f>H233+1</f>
        <v>25569.5</v>
      </c>
      <c r="I234" s="80">
        <f>HLOOKUP($H$4,'Met Data'!$A$2:$F$368,G234,FALSE)</f>
      </c>
      <c r="J234" s="80">
        <f>HLOOKUP($H$4,'Met Data'!$H$2:$M$368,G234,FALSE)*L234</f>
      </c>
      <c r="K234" s="81">
        <f>HLOOKUP($H$4,'Met Data'!$O$2:$T$368,G234,FALSE)</f>
      </c>
      <c r="L234" s="7">
        <f>IF(H234&lt;$B$31,$J$3,$J$4)</f>
      </c>
      <c r="M234" s="3"/>
      <c r="N234" s="82">
        <f>IF(P234&lt;$P$3,TRUE,FALSE)</f>
      </c>
      <c r="O234" s="82">
        <f>AND(IF(P234&gt;($P$2-1),TRUE,FALSE),IF(P234&lt;($P$3+1),TRUE,FALSE))</f>
      </c>
      <c r="P234" s="83">
        <v>45203</v>
      </c>
      <c r="Q234" s="8">
        <v>179.10978728066254</v>
      </c>
      <c r="R234" s="8">
        <v>0.341600876559596</v>
      </c>
      <c r="S234" s="8">
        <v>0.00005754316628866421</v>
      </c>
      <c r="T234" s="8">
        <v>0.91395211911914</v>
      </c>
      <c r="U234" s="7">
        <v>0</v>
      </c>
      <c r="V234" s="8">
        <v>10.1900084467836</v>
      </c>
      <c r="W234" s="8">
        <v>9.32197069020576</v>
      </c>
      <c r="X234" s="7">
        <v>0</v>
      </c>
      <c r="Y234" s="8">
        <v>0.9976877212916645</v>
      </c>
      <c r="Z234" s="7">
        <v>0</v>
      </c>
      <c r="AA234" s="7">
        <v>0</v>
      </c>
      <c r="AB234" s="8">
        <v>0.987560849337576</v>
      </c>
      <c r="AC234" s="42"/>
      <c r="AD234" s="83">
        <f>IFERROR(P234,$AD$4)</f>
        <v>25569.5</v>
      </c>
      <c r="AE234" s="7">
        <f>IFERROR(U234,0)</f>
      </c>
      <c r="AF234" s="3"/>
      <c r="AG234" s="86">
        <f>Q233+S234+T234+U234</f>
      </c>
      <c r="AH234" s="86">
        <f>Q234+R234+X234</f>
      </c>
      <c r="AI234" s="59">
        <f>AH234-AG234</f>
      </c>
      <c r="AJ234" s="3"/>
      <c r="AK234" s="3"/>
    </row>
    <row x14ac:dyDescent="0.25" r="235" customHeight="1" ht="18.75">
      <c r="A235" s="3"/>
      <c r="B235" s="71"/>
      <c r="C235" s="3"/>
      <c r="D235" s="3"/>
      <c r="E235" s="3"/>
      <c r="F235" s="3"/>
      <c r="G235" s="59">
        <f>H235-DATE(YEAR(H235),1,0)+1</f>
      </c>
      <c r="H235" s="79">
        <f>H234+1</f>
        <v>25569.5</v>
      </c>
      <c r="I235" s="80">
        <f>HLOOKUP($H$4,'Met Data'!$A$2:$F$368,G235,FALSE)</f>
      </c>
      <c r="J235" s="80">
        <f>HLOOKUP($H$4,'Met Data'!$H$2:$M$368,G235,FALSE)*L235</f>
      </c>
      <c r="K235" s="81">
        <f>HLOOKUP($H$4,'Met Data'!$O$2:$T$368,G235,FALSE)</f>
      </c>
      <c r="L235" s="7">
        <f>IF(H235&lt;$B$31,$J$3,$J$4)</f>
      </c>
      <c r="M235" s="3"/>
      <c r="N235" s="82">
        <f>IF(P235&lt;$P$3,TRUE,FALSE)</f>
      </c>
      <c r="O235" s="82">
        <f>AND(IF(P235&gt;($P$2-1),TRUE,FALSE),IF(P235&lt;($P$3+1),TRUE,FALSE))</f>
      </c>
      <c r="P235" s="83">
        <v>45204</v>
      </c>
      <c r="Q235" s="8">
        <v>179.67618428532015</v>
      </c>
      <c r="R235" s="8">
        <v>0.349705430494014</v>
      </c>
      <c r="S235" s="8">
        <v>0.000048901385304480506</v>
      </c>
      <c r="T235" s="8">
        <v>0.9160535337663057</v>
      </c>
      <c r="U235" s="7">
        <v>0</v>
      </c>
      <c r="V235" s="8">
        <v>10.5397138772776</v>
      </c>
      <c r="W235" s="8">
        <v>9.64188639884288</v>
      </c>
      <c r="X235" s="7">
        <v>0</v>
      </c>
      <c r="Y235" s="7">
        <v>1</v>
      </c>
      <c r="Z235" s="8">
        <v>0.7807921920533119</v>
      </c>
      <c r="AA235" s="7">
        <v>0</v>
      </c>
      <c r="AB235" s="8">
        <v>0.989223281590555</v>
      </c>
      <c r="AC235" s="42"/>
      <c r="AD235" s="83">
        <f>IFERROR(P235,$AD$4)</f>
        <v>25569.5</v>
      </c>
      <c r="AE235" s="7">
        <f>IFERROR(U235,0)</f>
      </c>
      <c r="AF235" s="3"/>
      <c r="AG235" s="86">
        <f>Q234+S235+T235+U235</f>
      </c>
      <c r="AH235" s="86">
        <f>Q235+R235+X235</f>
      </c>
      <c r="AI235" s="59">
        <f>AH235-AG235</f>
      </c>
      <c r="AJ235" s="3"/>
      <c r="AK235" s="3"/>
    </row>
    <row x14ac:dyDescent="0.25" r="236" customHeight="1" ht="18.75">
      <c r="A236" s="3"/>
      <c r="B236" s="71"/>
      <c r="C236" s="3"/>
      <c r="D236" s="3"/>
      <c r="E236" s="3"/>
      <c r="F236" s="3"/>
      <c r="G236" s="59">
        <f>H236-DATE(YEAR(H236),1,0)+1</f>
      </c>
      <c r="H236" s="79">
        <f>H235+1</f>
        <v>25569.5</v>
      </c>
      <c r="I236" s="80">
        <f>HLOOKUP($H$4,'Met Data'!$A$2:$F$368,G236,FALSE)</f>
      </c>
      <c r="J236" s="80">
        <f>HLOOKUP($H$4,'Met Data'!$H$2:$M$368,G236,FALSE)*L236</f>
      </c>
      <c r="K236" s="81">
        <f>HLOOKUP($H$4,'Met Data'!$O$2:$T$368,G236,FALSE)</f>
      </c>
      <c r="L236" s="7">
        <f>IF(H236&lt;$B$31,$J$3,$J$4)</f>
      </c>
      <c r="M236" s="3"/>
      <c r="N236" s="82">
        <f>IF(P236&lt;$P$3,TRUE,FALSE)</f>
      </c>
      <c r="O236" s="82">
        <f>AND(IF(P236&gt;($P$2-1),TRUE,FALSE),IF(P236&lt;($P$3+1),TRUE,FALSE))</f>
      </c>
      <c r="P236" s="83">
        <v>45205</v>
      </c>
      <c r="Q236" s="8">
        <v>180.24178950381435</v>
      </c>
      <c r="R236" s="8">
        <v>0.360371338719403</v>
      </c>
      <c r="S236" s="8">
        <v>0.000041664522498514</v>
      </c>
      <c r="T236" s="8">
        <v>0.9259348926911092</v>
      </c>
      <c r="U236" s="7">
        <v>0</v>
      </c>
      <c r="V236" s="8">
        <v>10.900085215997</v>
      </c>
      <c r="W236" s="8">
        <v>9.97155943833804</v>
      </c>
      <c r="X236" s="7">
        <v>0</v>
      </c>
      <c r="Y236" s="8">
        <v>0.9983413627055219</v>
      </c>
      <c r="Z236" s="7">
        <v>0</v>
      </c>
      <c r="AA236" s="7">
        <v>0</v>
      </c>
      <c r="AB236" s="8">
        <v>0.990678227808753</v>
      </c>
      <c r="AC236" s="42"/>
      <c r="AD236" s="83">
        <f>IFERROR(P236,$AD$4)</f>
        <v>25569.5</v>
      </c>
      <c r="AE236" s="7">
        <f>IFERROR(U236,0)</f>
      </c>
      <c r="AF236" s="3"/>
      <c r="AG236" s="86">
        <f>Q235+S236+T236+U236</f>
      </c>
      <c r="AH236" s="86">
        <f>Q236+R236+X236</f>
      </c>
      <c r="AI236" s="59">
        <f>AH236-AG236</f>
      </c>
      <c r="AJ236" s="3"/>
      <c r="AK236" s="3"/>
    </row>
    <row x14ac:dyDescent="0.25" r="237" customHeight="1" ht="18.75">
      <c r="A237" s="3"/>
      <c r="B237" s="71"/>
      <c r="C237" s="3"/>
      <c r="D237" s="3"/>
      <c r="E237" s="3"/>
      <c r="F237" s="3"/>
      <c r="G237" s="59">
        <f>H237-DATE(YEAR(H237),1,0)+1</f>
      </c>
      <c r="H237" s="79">
        <f>H236+1</f>
        <v>25569.5</v>
      </c>
      <c r="I237" s="80">
        <f>HLOOKUP($H$4,'Met Data'!$A$2:$F$368,G237,FALSE)</f>
      </c>
      <c r="J237" s="80">
        <f>HLOOKUP($H$4,'Met Data'!$H$2:$M$368,G237,FALSE)*L237</f>
      </c>
      <c r="K237" s="81">
        <f>HLOOKUP($H$4,'Met Data'!$O$2:$T$368,G237,FALSE)</f>
      </c>
      <c r="L237" s="7">
        <f>IF(H237&lt;$B$31,$J$3,$J$4)</f>
      </c>
      <c r="M237" s="3"/>
      <c r="N237" s="82">
        <f>IF(P237&lt;$P$3,TRUE,FALSE)</f>
      </c>
      <c r="O237" s="82">
        <f>AND(IF(P237&gt;($P$2-1),TRUE,FALSE),IF(P237&lt;($P$3+1),TRUE,FALSE))</f>
      </c>
      <c r="P237" s="83">
        <v>45206</v>
      </c>
      <c r="Q237" s="8">
        <v>180.78778575259219</v>
      </c>
      <c r="R237" s="8">
        <v>0.360954935823194</v>
      </c>
      <c r="S237" s="8">
        <v>0.000034484626338978855</v>
      </c>
      <c r="T237" s="8">
        <v>0.9069166999746837</v>
      </c>
      <c r="U237" s="7">
        <v>0</v>
      </c>
      <c r="V237" s="8">
        <v>11.2610401518202</v>
      </c>
      <c r="W237" s="8">
        <v>10.3017663611096</v>
      </c>
      <c r="X237" s="7">
        <v>0</v>
      </c>
      <c r="Y237" s="8">
        <v>0.9965748858287569</v>
      </c>
      <c r="Z237" s="7">
        <v>0</v>
      </c>
      <c r="AA237" s="7">
        <v>0</v>
      </c>
      <c r="AB237" s="8">
        <v>0.991917284555636</v>
      </c>
      <c r="AC237" s="42"/>
      <c r="AD237" s="83">
        <f>IFERROR(P237,$AD$4)</f>
        <v>25569.5</v>
      </c>
      <c r="AE237" s="7">
        <f>IFERROR(U237,0)</f>
      </c>
      <c r="AF237" s="3"/>
      <c r="AG237" s="86">
        <f>Q236+S237+T237+U237</f>
      </c>
      <c r="AH237" s="86">
        <f>Q237+R237+X237</f>
      </c>
      <c r="AI237" s="59">
        <f>AH237-AG237</f>
      </c>
      <c r="AJ237" s="3"/>
      <c r="AK237" s="3"/>
    </row>
    <row x14ac:dyDescent="0.25" r="238" customHeight="1" ht="18.75">
      <c r="A238" s="3"/>
      <c r="B238" s="71"/>
      <c r="C238" s="3"/>
      <c r="D238" s="3"/>
      <c r="E238" s="3"/>
      <c r="F238" s="3"/>
      <c r="G238" s="59">
        <f>H238-DATE(YEAR(H238),1,0)+1</f>
      </c>
      <c r="H238" s="79">
        <f>H237+1</f>
        <v>25569.5</v>
      </c>
      <c r="I238" s="80">
        <f>HLOOKUP($H$4,'Met Data'!$A$2:$F$368,G238,FALSE)</f>
      </c>
      <c r="J238" s="80">
        <f>HLOOKUP($H$4,'Met Data'!$H$2:$M$368,G238,FALSE)*L238</f>
      </c>
      <c r="K238" s="81">
        <f>HLOOKUP($H$4,'Met Data'!$O$2:$T$368,G238,FALSE)</f>
      </c>
      <c r="L238" s="7">
        <f>IF(H238&lt;$B$31,$J$3,$J$4)</f>
      </c>
      <c r="M238" s="3"/>
      <c r="N238" s="82">
        <f>IF(P238&lt;$P$3,TRUE,FALSE)</f>
      </c>
      <c r="O238" s="82">
        <f>AND(IF(P238&gt;($P$2-1),TRUE,FALSE),IF(P238&lt;($P$3+1),TRUE,FALSE))</f>
      </c>
      <c r="P238" s="83">
        <v>45207</v>
      </c>
      <c r="Q238" s="8">
        <v>181.36540983213635</v>
      </c>
      <c r="R238" s="8">
        <v>0.388654766665342</v>
      </c>
      <c r="S238" s="8">
        <v>0.000030971723340389334</v>
      </c>
      <c r="T238" s="8">
        <v>0.9662478744861779</v>
      </c>
      <c r="U238" s="7">
        <v>0</v>
      </c>
      <c r="V238" s="8">
        <v>11.6496949184856</v>
      </c>
      <c r="W238" s="8">
        <v>10.6573134995035</v>
      </c>
      <c r="X238" s="7">
        <v>0</v>
      </c>
      <c r="Y238" s="7">
        <v>1</v>
      </c>
      <c r="Z238" s="8">
        <v>0.9702253321385399</v>
      </c>
      <c r="AA238" s="7">
        <v>0</v>
      </c>
      <c r="AB238" s="8">
        <v>0.993048928138296</v>
      </c>
      <c r="AC238" s="42"/>
      <c r="AD238" s="83">
        <f>IFERROR(P238,$AD$4)</f>
        <v>25569.5</v>
      </c>
      <c r="AE238" s="7">
        <f>IFERROR(U238,0)</f>
      </c>
      <c r="AF238" s="3"/>
      <c r="AG238" s="86">
        <f>Q237+S238+T238+U238</f>
      </c>
      <c r="AH238" s="86">
        <f>Q238+R238+X238</f>
      </c>
      <c r="AI238" s="59">
        <f>AH238-AG238</f>
      </c>
      <c r="AJ238" s="3"/>
      <c r="AK238" s="3"/>
    </row>
    <row x14ac:dyDescent="0.25" r="239" customHeight="1" ht="18.75">
      <c r="A239" s="3"/>
      <c r="B239" s="71"/>
      <c r="C239" s="3"/>
      <c r="D239" s="3"/>
      <c r="E239" s="3"/>
      <c r="F239" s="3"/>
      <c r="G239" s="59">
        <f>H239-DATE(YEAR(H239),1,0)+1</f>
      </c>
      <c r="H239" s="79">
        <f>H238+1</f>
        <v>25569.5</v>
      </c>
      <c r="I239" s="80">
        <f>HLOOKUP($H$4,'Met Data'!$A$2:$F$368,G239,FALSE)</f>
      </c>
      <c r="J239" s="80">
        <f>HLOOKUP($H$4,'Met Data'!$H$2:$M$368,G239,FALSE)*L239</f>
      </c>
      <c r="K239" s="81">
        <f>HLOOKUP($H$4,'Met Data'!$O$2:$T$368,G239,FALSE)</f>
      </c>
      <c r="L239" s="7">
        <f>IF(H239&lt;$B$31,$J$3,$J$4)</f>
      </c>
      <c r="M239" s="3"/>
      <c r="N239" s="82">
        <f>IF(P239&lt;$P$3,TRUE,FALSE)</f>
      </c>
      <c r="O239" s="82">
        <f>AND(IF(P239&gt;($P$2-1),TRUE,FALSE),IF(P239&lt;($P$3+1),TRUE,FALSE))</f>
      </c>
      <c r="P239" s="83">
        <v>45208</v>
      </c>
      <c r="Q239" s="8">
        <v>181.94733349281205</v>
      </c>
      <c r="R239" s="8">
        <v>0.402276356123791</v>
      </c>
      <c r="S239" s="8">
        <v>0.00002636871615548774</v>
      </c>
      <c r="T239" s="8">
        <v>0.9841736480833192</v>
      </c>
      <c r="U239" s="7">
        <v>0</v>
      </c>
      <c r="V239" s="8">
        <v>12.0519712746094</v>
      </c>
      <c r="W239" s="8">
        <v>11.0253218697352</v>
      </c>
      <c r="X239" s="7">
        <v>0</v>
      </c>
      <c r="Y239" s="7">
        <v>1</v>
      </c>
      <c r="Z239" s="8">
        <v>1.5230409351437828</v>
      </c>
      <c r="AA239" s="7">
        <v>0</v>
      </c>
      <c r="AB239" s="8">
        <v>0.994037246500335</v>
      </c>
      <c r="AC239" s="42"/>
      <c r="AD239" s="83">
        <f>IFERROR(P239,$AD$4)</f>
        <v>25569.5</v>
      </c>
      <c r="AE239" s="7">
        <f>IFERROR(U239,0)</f>
      </c>
      <c r="AF239" s="3"/>
      <c r="AG239" s="86">
        <f>Q238+S239+T239+U239</f>
      </c>
      <c r="AH239" s="86">
        <f>Q239+R239+X239</f>
      </c>
      <c r="AI239" s="59">
        <f>AH239-AG239</f>
      </c>
      <c r="AJ239" s="3"/>
      <c r="AK239" s="3"/>
    </row>
    <row x14ac:dyDescent="0.25" r="240" customHeight="1" ht="18.75">
      <c r="A240" s="3"/>
      <c r="B240" s="71"/>
      <c r="C240" s="3"/>
      <c r="D240" s="3"/>
      <c r="E240" s="3"/>
      <c r="F240" s="3"/>
      <c r="G240" s="59">
        <f>H240-DATE(YEAR(H240),1,0)+1</f>
      </c>
      <c r="H240" s="79">
        <f>H239+1</f>
        <v>25569.5</v>
      </c>
      <c r="I240" s="80">
        <f>HLOOKUP($H$4,'Met Data'!$A$2:$F$368,G240,FALSE)</f>
      </c>
      <c r="J240" s="80">
        <f>HLOOKUP($H$4,'Met Data'!$H$2:$M$368,G240,FALSE)*L240</f>
      </c>
      <c r="K240" s="81">
        <f>HLOOKUP($H$4,'Met Data'!$O$2:$T$368,G240,FALSE)</f>
      </c>
      <c r="L240" s="7">
        <f>IF(H240&lt;$B$31,$J$3,$J$4)</f>
      </c>
      <c r="M240" s="3"/>
      <c r="N240" s="82">
        <f>IF(P240&lt;$P$3,TRUE,FALSE)</f>
      </c>
      <c r="O240" s="82">
        <f>AND(IF(P240&gt;($P$2-1),TRUE,FALSE),IF(P240&lt;($P$3+1),TRUE,FALSE))</f>
      </c>
      <c r="P240" s="83">
        <v>45209</v>
      </c>
      <c r="Q240" s="8">
        <v>182.48266637362312</v>
      </c>
      <c r="R240" s="8">
        <v>0.387364083138934</v>
      </c>
      <c r="S240" s="8">
        <v>0.000020850707934084115</v>
      </c>
      <c r="T240" s="8">
        <v>0.9226761132420731</v>
      </c>
      <c r="U240" s="7">
        <v>0</v>
      </c>
      <c r="V240" s="8">
        <v>12.4393353577483</v>
      </c>
      <c r="W240" s="8">
        <v>11.3796882717179</v>
      </c>
      <c r="X240" s="7">
        <v>0</v>
      </c>
      <c r="Y240" s="7">
        <v>1</v>
      </c>
      <c r="Z240" s="8">
        <v>1.6925680749415193</v>
      </c>
      <c r="AA240" s="7">
        <v>0</v>
      </c>
      <c r="AB240" s="8">
        <v>0.994843354689334</v>
      </c>
      <c r="AC240" s="42"/>
      <c r="AD240" s="83">
        <f>IFERROR(P240,$AD$4)</f>
        <v>25569.5</v>
      </c>
      <c r="AE240" s="7">
        <f>IFERROR(U240,0)</f>
      </c>
      <c r="AF240" s="3"/>
      <c r="AG240" s="86">
        <f>Q239+S240+T240+U240</f>
      </c>
      <c r="AH240" s="86">
        <f>Q240+R240+X240</f>
      </c>
      <c r="AI240" s="59">
        <f>AH240-AG240</f>
      </c>
      <c r="AJ240" s="3"/>
      <c r="AK240" s="3"/>
    </row>
    <row x14ac:dyDescent="0.25" r="241" customHeight="1" ht="18.75">
      <c r="A241" s="3"/>
      <c r="B241" s="71"/>
      <c r="C241" s="3"/>
      <c r="D241" s="3"/>
      <c r="E241" s="3"/>
      <c r="F241" s="3"/>
      <c r="G241" s="59">
        <f>H241-DATE(YEAR(H241),1,0)+1</f>
      </c>
      <c r="H241" s="79">
        <f>H240+1</f>
        <v>25569.5</v>
      </c>
      <c r="I241" s="80">
        <f>HLOOKUP($H$4,'Met Data'!$A$2:$F$368,G241,FALSE)</f>
      </c>
      <c r="J241" s="80">
        <f>HLOOKUP($H$4,'Met Data'!$H$2:$M$368,G241,FALSE)*L241</f>
      </c>
      <c r="K241" s="81">
        <f>HLOOKUP($H$4,'Met Data'!$O$2:$T$368,G241,FALSE)</f>
      </c>
      <c r="L241" s="7">
        <f>IF(H241&lt;$B$31,$J$3,$J$4)</f>
      </c>
      <c r="M241" s="3"/>
      <c r="N241" s="82">
        <f>IF(P241&lt;$P$3,TRUE,FALSE)</f>
      </c>
      <c r="O241" s="82">
        <f>AND(IF(P241&gt;($P$2-1),TRUE,FALSE),IF(P241&lt;($P$3+1),TRUE,FALSE))</f>
      </c>
      <c r="P241" s="83">
        <v>45210</v>
      </c>
      <c r="Q241" s="8">
        <v>183.02585132882248</v>
      </c>
      <c r="R241" s="8">
        <v>0.401973039452324</v>
      </c>
      <c r="S241" s="8">
        <v>0.000017901251480978894</v>
      </c>
      <c r="T241" s="8">
        <v>0.9451400934001983</v>
      </c>
      <c r="U241" s="7">
        <v>0</v>
      </c>
      <c r="V241" s="8">
        <v>12.8413083972006</v>
      </c>
      <c r="W241" s="8">
        <v>11.747419163365</v>
      </c>
      <c r="X241" s="7">
        <v>0</v>
      </c>
      <c r="Y241" s="8">
        <v>0.9956755784273038</v>
      </c>
      <c r="Z241" s="7">
        <v>0</v>
      </c>
      <c r="AA241" s="7">
        <v>0</v>
      </c>
      <c r="AB241" s="8">
        <v>0.995554584428425</v>
      </c>
      <c r="AC241" s="42"/>
      <c r="AD241" s="83">
        <f>IFERROR(P241,$AD$4)</f>
        <v>25569.5</v>
      </c>
      <c r="AE241" s="7">
        <f>IFERROR(U241,0)</f>
      </c>
      <c r="AF241" s="3"/>
      <c r="AG241" s="86">
        <f>Q240+S241+T241+U241</f>
      </c>
      <c r="AH241" s="86">
        <f>Q241+R241+X241</f>
      </c>
      <c r="AI241" s="59">
        <f>AH241-AG241</f>
      </c>
      <c r="AJ241" s="3"/>
      <c r="AK241" s="3"/>
    </row>
    <row x14ac:dyDescent="0.25" r="242" customHeight="1" ht="18.75">
      <c r="A242" s="3"/>
      <c r="B242" s="71"/>
      <c r="C242" s="3"/>
      <c r="D242" s="3"/>
      <c r="E242" s="3"/>
      <c r="F242" s="3"/>
      <c r="G242" s="59">
        <f>H242-DATE(YEAR(H242),1,0)+1</f>
      </c>
      <c r="H242" s="79">
        <f>H241+1</f>
        <v>25569.5</v>
      </c>
      <c r="I242" s="80">
        <f>HLOOKUP($H$4,'Met Data'!$A$2:$F$368,G242,FALSE)</f>
      </c>
      <c r="J242" s="80">
        <f>HLOOKUP($H$4,'Met Data'!$H$2:$M$368,G242,FALSE)*L242</f>
      </c>
      <c r="K242" s="81">
        <f>HLOOKUP($H$4,'Met Data'!$O$2:$T$368,G242,FALSE)</f>
      </c>
      <c r="L242" s="7">
        <f>IF(H242&lt;$B$31,$J$3,$J$4)</f>
      </c>
      <c r="M242" s="3"/>
      <c r="N242" s="82">
        <f>IF(P242&lt;$P$3,TRUE,FALSE)</f>
      </c>
      <c r="O242" s="82">
        <f>AND(IF(P242&gt;($P$2-1),TRUE,FALSE),IF(P242&lt;($P$3+1),TRUE,FALSE))</f>
      </c>
      <c r="P242" s="83">
        <v>45211</v>
      </c>
      <c r="Q242" s="8">
        <v>183.590108733539</v>
      </c>
      <c r="R242" s="8">
        <v>0.4241763100414</v>
      </c>
      <c r="S242" s="8">
        <v>0.000015725034346387082</v>
      </c>
      <c r="T242" s="8">
        <v>0.9884179897235891</v>
      </c>
      <c r="U242" s="7">
        <v>0</v>
      </c>
      <c r="V242" s="8">
        <v>13.265484707242</v>
      </c>
      <c r="W242" s="8">
        <v>12.1354619358844</v>
      </c>
      <c r="X242" s="7">
        <v>0</v>
      </c>
      <c r="Y242" s="7">
        <v>1</v>
      </c>
      <c r="Z242" s="8">
        <v>1.9555079015260475</v>
      </c>
      <c r="AA242" s="7">
        <v>0</v>
      </c>
      <c r="AB242" s="8">
        <v>0.996190140659207</v>
      </c>
      <c r="AC242" s="42"/>
      <c r="AD242" s="83">
        <f>IFERROR(P242,$AD$4)</f>
        <v>25569.5</v>
      </c>
      <c r="AE242" s="7">
        <f>IFERROR(U242,0)</f>
      </c>
      <c r="AF242" s="3"/>
      <c r="AG242" s="86">
        <f>Q241+S242+T242+U242</f>
      </c>
      <c r="AH242" s="86">
        <f>Q242+R242+X242</f>
      </c>
      <c r="AI242" s="59">
        <f>AH242-AG242</f>
      </c>
      <c r="AJ242" s="3"/>
      <c r="AK242" s="3"/>
    </row>
    <row x14ac:dyDescent="0.25" r="243" customHeight="1" ht="18.75">
      <c r="A243" s="3"/>
      <c r="B243" s="71"/>
      <c r="C243" s="3"/>
      <c r="D243" s="3"/>
      <c r="E243" s="3"/>
      <c r="F243" s="3"/>
      <c r="G243" s="59">
        <f>H243-DATE(YEAR(H243),1,0)+1</f>
      </c>
      <c r="H243" s="79">
        <f>H242+1</f>
        <v>25569.5</v>
      </c>
      <c r="I243" s="80">
        <f>HLOOKUP($H$4,'Met Data'!$A$2:$F$368,G243,FALSE)</f>
      </c>
      <c r="J243" s="80">
        <f>HLOOKUP($H$4,'Met Data'!$H$2:$M$368,G243,FALSE)*L243</f>
      </c>
      <c r="K243" s="81">
        <f>HLOOKUP($H$4,'Met Data'!$O$2:$T$368,G243,FALSE)</f>
      </c>
      <c r="L243" s="7">
        <f>IF(H243&lt;$B$31,$J$3,$J$4)</f>
      </c>
      <c r="M243" s="3"/>
      <c r="N243" s="82">
        <f>IF(P243&lt;$P$3,TRUE,FALSE)</f>
      </c>
      <c r="O243" s="82">
        <f>AND(IF(P243&gt;($P$2-1),TRUE,FALSE),IF(P243&lt;($P$3+1),TRUE,FALSE))</f>
      </c>
      <c r="P243" s="83">
        <v>45212</v>
      </c>
      <c r="Q243" s="8">
        <v>184.14329455812674</v>
      </c>
      <c r="R243" s="8">
        <v>0.427754128677503</v>
      </c>
      <c r="S243" s="8">
        <v>0.000013047685872058432</v>
      </c>
      <c r="T243" s="8">
        <v>0.9809269055793786</v>
      </c>
      <c r="U243" s="7">
        <v>0</v>
      </c>
      <c r="V243" s="8">
        <v>13.6932388359195</v>
      </c>
      <c r="W243" s="8">
        <v>12.5267777498968</v>
      </c>
      <c r="X243" s="7">
        <v>0</v>
      </c>
      <c r="Y243" s="7">
        <v>1</v>
      </c>
      <c r="Z243" s="8">
        <v>1.9641891021881293</v>
      </c>
      <c r="AA243" s="7">
        <v>0</v>
      </c>
      <c r="AB243" s="8">
        <v>0.996731902919518</v>
      </c>
      <c r="AC243" s="42"/>
      <c r="AD243" s="83">
        <f>IFERROR(P243,$AD$4)</f>
        <v>25569.5</v>
      </c>
      <c r="AE243" s="7">
        <f>IFERROR(U243,0)</f>
      </c>
      <c r="AF243" s="3"/>
      <c r="AG243" s="86">
        <f>Q242+S243+T243+U243</f>
      </c>
      <c r="AH243" s="86">
        <f>Q243+R243+X243</f>
      </c>
      <c r="AI243" s="59">
        <f>AH243-AG243</f>
      </c>
      <c r="AJ243" s="3"/>
      <c r="AK243" s="3"/>
    </row>
    <row x14ac:dyDescent="0.25" r="244" customHeight="1" ht="18.75">
      <c r="A244" s="3"/>
      <c r="B244" s="71"/>
      <c r="C244" s="3"/>
      <c r="D244" s="3"/>
      <c r="E244" s="3"/>
      <c r="F244" s="3"/>
      <c r="G244" s="59">
        <f>H244-DATE(YEAR(H244),1,0)+1</f>
      </c>
      <c r="H244" s="79">
        <f>H243+1</f>
        <v>25569.5</v>
      </c>
      <c r="I244" s="80">
        <f>HLOOKUP($H$4,'Met Data'!$A$2:$F$368,G244,FALSE)</f>
      </c>
      <c r="J244" s="80">
        <f>HLOOKUP($H$4,'Met Data'!$H$2:$M$368,G244,FALSE)*L244</f>
      </c>
      <c r="K244" s="81">
        <f>HLOOKUP($H$4,'Met Data'!$O$2:$T$368,G244,FALSE)</f>
      </c>
      <c r="L244" s="7">
        <f>IF(H244&lt;$B$31,$J$3,$J$4)</f>
      </c>
      <c r="M244" s="3"/>
      <c r="N244" s="82">
        <f>IF(P244&lt;$P$3,TRUE,FALSE)</f>
      </c>
      <c r="O244" s="82">
        <f>AND(IF(P244&gt;($P$2-1),TRUE,FALSE),IF(P244&lt;($P$3+1),TRUE,FALSE))</f>
      </c>
      <c r="P244" s="83">
        <v>45213</v>
      </c>
      <c r="Q244" s="8">
        <v>184.673819783372</v>
      </c>
      <c r="R244" s="8">
        <v>0.423387580981309</v>
      </c>
      <c r="S244" s="8">
        <v>0.000010653453238664832</v>
      </c>
      <c r="T244" s="8">
        <v>0.9539021527733399</v>
      </c>
      <c r="U244" s="7">
        <v>0</v>
      </c>
      <c r="V244" s="8">
        <v>14.1166264169008</v>
      </c>
      <c r="W244" s="8">
        <v>12.9140989813871</v>
      </c>
      <c r="X244" s="7">
        <v>0</v>
      </c>
      <c r="Y244" s="7">
        <v>1</v>
      </c>
      <c r="Z244" s="8">
        <v>2.7538560855635126</v>
      </c>
      <c r="AA244" s="7">
        <v>0</v>
      </c>
      <c r="AB244" s="8">
        <v>0.997186720199666</v>
      </c>
      <c r="AC244" s="42"/>
      <c r="AD244" s="83">
        <f>IFERROR(P244,$AD$4)</f>
        <v>25569.5</v>
      </c>
      <c r="AE244" s="7">
        <f>IFERROR(U244,0)</f>
      </c>
      <c r="AF244" s="3"/>
      <c r="AG244" s="86">
        <f>Q243+S244+T244+U244</f>
      </c>
      <c r="AH244" s="86">
        <f>Q244+R244+X244</f>
      </c>
      <c r="AI244" s="59">
        <f>AH244-AG244</f>
      </c>
      <c r="AJ244" s="3"/>
      <c r="AK244" s="3"/>
    </row>
    <row x14ac:dyDescent="0.25" r="245" customHeight="1" ht="18.75">
      <c r="A245" s="3"/>
      <c r="B245" s="71"/>
      <c r="C245" s="3"/>
      <c r="D245" s="3"/>
      <c r="E245" s="3"/>
      <c r="F245" s="3"/>
      <c r="G245" s="59">
        <f>H245-DATE(YEAR(H245),1,0)+1</f>
      </c>
      <c r="H245" s="79">
        <f>H244+1</f>
        <v>25569.5</v>
      </c>
      <c r="I245" s="80">
        <f>HLOOKUP($H$4,'Met Data'!$A$2:$F$368,G245,FALSE)</f>
      </c>
      <c r="J245" s="80">
        <f>HLOOKUP($H$4,'Met Data'!$H$2:$M$368,G245,FALSE)*L245</f>
      </c>
      <c r="K245" s="81">
        <f>HLOOKUP($H$4,'Met Data'!$O$2:$T$368,G245,FALSE)</f>
      </c>
      <c r="L245" s="7">
        <f>IF(H245&lt;$B$31,$J$3,$J$4)</f>
      </c>
      <c r="M245" s="3"/>
      <c r="N245" s="82">
        <f>IF(P245&lt;$P$3,TRUE,FALSE)</f>
      </c>
      <c r="O245" s="82">
        <f>AND(IF(P245&gt;($P$2-1),TRUE,FALSE),IF(P245&lt;($P$3+1),TRUE,FALSE))</f>
      </c>
      <c r="P245" s="83">
        <v>45214</v>
      </c>
      <c r="Q245" s="8">
        <v>185.18412734565567</v>
      </c>
      <c r="R245" s="8">
        <v>0.419024801583335</v>
      </c>
      <c r="S245" s="8">
        <v>0.000008749738305708496</v>
      </c>
      <c r="T245" s="8">
        <v>0.9293236141286836</v>
      </c>
      <c r="U245" s="7">
        <v>0</v>
      </c>
      <c r="V245" s="8">
        <v>14.5356512184842</v>
      </c>
      <c r="W245" s="8">
        <v>13.2974290776503</v>
      </c>
      <c r="X245" s="7">
        <v>0</v>
      </c>
      <c r="Y245" s="7">
        <v>1</v>
      </c>
      <c r="Z245" s="8">
        <v>2.75323333009419</v>
      </c>
      <c r="AA245" s="7">
        <v>0</v>
      </c>
      <c r="AB245" s="8">
        <v>0.997570305882709</v>
      </c>
      <c r="AC245" s="42"/>
      <c r="AD245" s="83">
        <f>IFERROR(P245,$AD$4)</f>
        <v>25569.5</v>
      </c>
      <c r="AE245" s="7">
        <f>IFERROR(U245,0)</f>
      </c>
      <c r="AF245" s="3"/>
      <c r="AG245" s="86">
        <f>Q244+S245+T245+U245</f>
      </c>
      <c r="AH245" s="86">
        <f>Q245+R245+X245</f>
      </c>
      <c r="AI245" s="59">
        <f>AH245-AG245</f>
      </c>
      <c r="AJ245" s="3"/>
      <c r="AK245" s="3"/>
    </row>
    <row x14ac:dyDescent="0.25" r="246" customHeight="1" ht="18.75">
      <c r="A246" s="3"/>
      <c r="B246" s="71"/>
      <c r="C246" s="3"/>
      <c r="D246" s="3"/>
      <c r="E246" s="3"/>
      <c r="F246" s="3"/>
      <c r="G246" s="59">
        <f>H246-DATE(YEAR(H246),1,0)+1</f>
      </c>
      <c r="H246" s="79">
        <f>H245+1</f>
        <v>25569.5</v>
      </c>
      <c r="I246" s="80">
        <f>HLOOKUP($H$4,'Met Data'!$A$2:$F$368,G246,FALSE)</f>
      </c>
      <c r="J246" s="80">
        <f>HLOOKUP($H$4,'Met Data'!$H$2:$M$368,G246,FALSE)*L246</f>
      </c>
      <c r="K246" s="81">
        <f>HLOOKUP($H$4,'Met Data'!$O$2:$T$368,G246,FALSE)</f>
      </c>
      <c r="L246" s="7">
        <f>IF(H246&lt;$B$31,$J$3,$J$4)</f>
      </c>
      <c r="M246" s="3"/>
      <c r="N246" s="82">
        <f>IF(P246&lt;$P$3,TRUE,FALSE)</f>
      </c>
      <c r="O246" s="82">
        <f>AND(IF(P246&gt;($P$2-1),TRUE,FALSE),IF(P246&lt;($P$3+1),TRUE,FALSE))</f>
      </c>
      <c r="P246" s="83">
        <v>45215</v>
      </c>
      <c r="Q246" s="8">
        <v>185.6926473423356</v>
      </c>
      <c r="R246" s="8">
        <v>0.425496038090964</v>
      </c>
      <c r="S246" s="8">
        <v>0.000007413005732008519</v>
      </c>
      <c r="T246" s="8">
        <v>0.9340086217651361</v>
      </c>
      <c r="U246" s="7">
        <v>0</v>
      </c>
      <c r="V246" s="8">
        <v>14.9611472565751</v>
      </c>
      <c r="W246" s="8">
        <v>13.686679156941</v>
      </c>
      <c r="X246" s="7">
        <v>0</v>
      </c>
      <c r="Y246" s="7">
        <v>1</v>
      </c>
      <c r="Z246" s="8">
        <v>0.10156062937780064</v>
      </c>
      <c r="AA246" s="7">
        <v>0</v>
      </c>
      <c r="AB246" s="8">
        <v>0.997903042922725</v>
      </c>
      <c r="AC246" s="42"/>
      <c r="AD246" s="83">
        <f>IFERROR(P246,$AD$4)</f>
        <v>25569.5</v>
      </c>
      <c r="AE246" s="7">
        <f>IFERROR(U246,0)</f>
      </c>
      <c r="AF246" s="3"/>
      <c r="AG246" s="86">
        <f>Q245+S246+T246+U246</f>
      </c>
      <c r="AH246" s="86">
        <f>Q246+R246+X246</f>
      </c>
      <c r="AI246" s="59">
        <f>AH246-AG246</f>
      </c>
      <c r="AJ246" s="3"/>
      <c r="AK246" s="3"/>
    </row>
    <row x14ac:dyDescent="0.25" r="247" customHeight="1" ht="18.75">
      <c r="A247" s="3"/>
      <c r="B247" s="71"/>
      <c r="C247" s="3"/>
      <c r="D247" s="3"/>
      <c r="E247" s="3"/>
      <c r="F247" s="3"/>
      <c r="G247" s="59">
        <f>H247-DATE(YEAR(H247),1,0)+1</f>
      </c>
      <c r="H247" s="79">
        <f>H246+1</f>
        <v>25569.5</v>
      </c>
      <c r="I247" s="80">
        <f>HLOOKUP($H$4,'Met Data'!$A$2:$F$368,G247,FALSE)</f>
      </c>
      <c r="J247" s="80">
        <f>HLOOKUP($H$4,'Met Data'!$H$2:$M$368,G247,FALSE)*L247</f>
      </c>
      <c r="K247" s="81">
        <f>HLOOKUP($H$4,'Met Data'!$O$2:$T$368,G247,FALSE)</f>
      </c>
      <c r="L247" s="7">
        <f>IF(H247&lt;$B$31,$J$3,$J$4)</f>
      </c>
      <c r="M247" s="3"/>
      <c r="N247" s="82">
        <f>IF(P247&lt;$P$3,TRUE,FALSE)</f>
      </c>
      <c r="O247" s="82">
        <f>AND(IF(P247&gt;($P$2-1),TRUE,FALSE),IF(P247&lt;($P$3+1),TRUE,FALSE))</f>
      </c>
      <c r="P247" s="83">
        <v>45216</v>
      </c>
      <c r="Q247" s="8">
        <v>186.2265251275674</v>
      </c>
      <c r="R247" s="8">
        <v>0.448961821707485</v>
      </c>
      <c r="S247" s="8">
        <v>0.000006526202148508225</v>
      </c>
      <c r="T247" s="8">
        <v>0.9828330807371479</v>
      </c>
      <c r="U247" s="7">
        <v>0</v>
      </c>
      <c r="V247" s="8">
        <v>15.4101090782826</v>
      </c>
      <c r="W247" s="8">
        <v>14.0973960827252</v>
      </c>
      <c r="X247" s="7">
        <v>0</v>
      </c>
      <c r="Y247" s="7">
        <v>1</v>
      </c>
      <c r="Z247" s="8">
        <v>0.19407766188045628</v>
      </c>
      <c r="AA247" s="7">
        <v>0</v>
      </c>
      <c r="AB247" s="8">
        <v>0.998202123557789</v>
      </c>
      <c r="AC247" s="42"/>
      <c r="AD247" s="83">
        <f>IFERROR(P247,$AD$4)</f>
        <v>25569.5</v>
      </c>
      <c r="AE247" s="7">
        <f>IFERROR(U247,0)</f>
      </c>
      <c r="AF247" s="3"/>
      <c r="AG247" s="86">
        <f>Q246+S247+T247+U247</f>
      </c>
      <c r="AH247" s="86">
        <f>Q247+R247+X247</f>
      </c>
      <c r="AI247" s="59">
        <f>AH247-AG247</f>
      </c>
      <c r="AJ247" s="3"/>
      <c r="AK247" s="3"/>
    </row>
    <row x14ac:dyDescent="0.25" r="248" customHeight="1" ht="18.75">
      <c r="A248" s="3"/>
      <c r="B248" s="71"/>
      <c r="C248" s="3"/>
      <c r="D248" s="3"/>
      <c r="E248" s="3"/>
      <c r="F248" s="3"/>
      <c r="G248" s="59">
        <f>H248-DATE(YEAR(H248),1,0)+1</f>
      </c>
      <c r="H248" s="79">
        <f>H247+1</f>
        <v>25569.5</v>
      </c>
      <c r="I248" s="80">
        <f>HLOOKUP($H$4,'Met Data'!$A$2:$F$368,G248,FALSE)</f>
      </c>
      <c r="J248" s="80">
        <f>HLOOKUP($H$4,'Met Data'!$H$2:$M$368,G248,FALSE)*L248</f>
      </c>
      <c r="K248" s="81">
        <f>HLOOKUP($H$4,'Met Data'!$O$2:$T$368,G248,FALSE)</f>
      </c>
      <c r="L248" s="7">
        <f>IF(H248&lt;$B$31,$J$3,$J$4)</f>
      </c>
      <c r="M248" s="3"/>
      <c r="N248" s="82">
        <f>IF(P248&lt;$P$3,TRUE,FALSE)</f>
      </c>
      <c r="O248" s="82">
        <f>AND(IF(P248&gt;($P$2-1),TRUE,FALSE),IF(P248&lt;($P$3+1),TRUE,FALSE))</f>
      </c>
      <c r="P248" s="83">
        <v>45217</v>
      </c>
      <c r="Q248" s="8">
        <v>186.73149445091735</v>
      </c>
      <c r="R248" s="8">
        <v>0.436885221648925</v>
      </c>
      <c r="S248" s="8">
        <v>0.000005260447657319949</v>
      </c>
      <c r="T248" s="8">
        <v>0.9418492845512262</v>
      </c>
      <c r="U248" s="7">
        <v>0</v>
      </c>
      <c r="V248" s="8">
        <v>15.8469942999316</v>
      </c>
      <c r="W248" s="8">
        <v>14.4970651558633</v>
      </c>
      <c r="X248" s="7">
        <v>0</v>
      </c>
      <c r="Y248" s="7">
        <v>1</v>
      </c>
      <c r="Z248" s="8">
        <v>0.6718870701504329</v>
      </c>
      <c r="AA248" s="7">
        <v>0</v>
      </c>
      <c r="AB248" s="8">
        <v>0.998450125273331</v>
      </c>
      <c r="AC248" s="42"/>
      <c r="AD248" s="83">
        <f>IFERROR(P248,$AD$4)</f>
        <v>25569.5</v>
      </c>
      <c r="AE248" s="7">
        <f>IFERROR(U248,0)</f>
      </c>
      <c r="AF248" s="3"/>
      <c r="AG248" s="86">
        <f>Q247+S248+T248+U248</f>
      </c>
      <c r="AH248" s="86">
        <f>Q248+R248+X248</f>
      </c>
      <c r="AI248" s="59">
        <f>AH248-AG248</f>
      </c>
      <c r="AJ248" s="3"/>
      <c r="AK248" s="3"/>
    </row>
    <row x14ac:dyDescent="0.25" r="249" customHeight="1" ht="18.75">
      <c r="A249" s="3"/>
      <c r="B249" s="71"/>
      <c r="C249" s="3"/>
      <c r="D249" s="3"/>
      <c r="E249" s="3"/>
      <c r="F249" s="3"/>
      <c r="G249" s="59">
        <f>H249-DATE(YEAR(H249),1,0)+1</f>
      </c>
      <c r="H249" s="79">
        <f>H248+1</f>
        <v>25569.5</v>
      </c>
      <c r="I249" s="80">
        <f>HLOOKUP($H$4,'Met Data'!$A$2:$F$368,G249,FALSE)</f>
      </c>
      <c r="J249" s="80">
        <f>HLOOKUP($H$4,'Met Data'!$H$2:$M$368,G249,FALSE)*L249</f>
      </c>
      <c r="K249" s="81">
        <f>HLOOKUP($H$4,'Met Data'!$O$2:$T$368,G249,FALSE)</f>
      </c>
      <c r="L249" s="7">
        <f>IF(H249&lt;$B$31,$J$3,$J$4)</f>
      </c>
      <c r="M249" s="3"/>
      <c r="N249" s="82">
        <f>IF(P249&lt;$P$3,TRUE,FALSE)</f>
      </c>
      <c r="O249" s="82">
        <f>AND(IF(P249&gt;($P$2-1),TRUE,FALSE),IF(P249&lt;($P$3+1),TRUE,FALSE))</f>
      </c>
      <c r="P249" s="83">
        <v>45218</v>
      </c>
      <c r="Q249" s="8">
        <v>187.22099427316664</v>
      </c>
      <c r="R249" s="8">
        <v>0.432031899336685</v>
      </c>
      <c r="S249" s="8">
        <v>0.000004308840216227746</v>
      </c>
      <c r="T249" s="8">
        <v>0.9215274127457639</v>
      </c>
      <c r="U249" s="7">
        <v>0</v>
      </c>
      <c r="V249" s="8">
        <v>16.2790261992682</v>
      </c>
      <c r="W249" s="8">
        <v>14.8922943378491</v>
      </c>
      <c r="X249" s="7">
        <v>0</v>
      </c>
      <c r="Y249" s="8">
        <v>0.9916791637263096</v>
      </c>
      <c r="Z249" s="7">
        <v>0</v>
      </c>
      <c r="AA249" s="7">
        <v>0</v>
      </c>
      <c r="AB249" s="8">
        <v>0.998660245968207</v>
      </c>
      <c r="AC249" s="42"/>
      <c r="AD249" s="83">
        <f>IFERROR(P249,$AD$4)</f>
        <v>25569.5</v>
      </c>
      <c r="AE249" s="7">
        <f>IFERROR(U249,0)</f>
      </c>
      <c r="AF249" s="3"/>
      <c r="AG249" s="86">
        <f>Q248+S249+T249+U249</f>
      </c>
      <c r="AH249" s="86">
        <f>Q249+R249+X249</f>
      </c>
      <c r="AI249" s="59">
        <f>AH249-AG249</f>
      </c>
      <c r="AJ249" s="3"/>
      <c r="AK249" s="3"/>
    </row>
    <row x14ac:dyDescent="0.25" r="250" customHeight="1" ht="18.75">
      <c r="A250" s="3"/>
      <c r="B250" s="71"/>
      <c r="C250" s="3"/>
      <c r="D250" s="3"/>
      <c r="E250" s="3"/>
      <c r="F250" s="3"/>
      <c r="G250" s="59">
        <f>H250-DATE(YEAR(H250),1,0)+1</f>
      </c>
      <c r="H250" s="79">
        <f>H249+1</f>
        <v>25569.5</v>
      </c>
      <c r="I250" s="80">
        <f>HLOOKUP($H$4,'Met Data'!$A$2:$F$368,G250,FALSE)</f>
      </c>
      <c r="J250" s="80">
        <f>HLOOKUP($H$4,'Met Data'!$H$2:$M$368,G250,FALSE)*L250</f>
      </c>
      <c r="K250" s="81">
        <f>HLOOKUP($H$4,'Met Data'!$O$2:$T$368,G250,FALSE)</f>
      </c>
      <c r="L250" s="7">
        <f>IF(H250&lt;$B$31,$J$3,$J$4)</f>
      </c>
      <c r="M250" s="3"/>
      <c r="N250" s="82">
        <f>IF(P250&lt;$P$3,TRUE,FALSE)</f>
      </c>
      <c r="O250" s="82">
        <f>AND(IF(P250&gt;($P$2-1),TRUE,FALSE),IF(P250&lt;($P$3+1),TRUE,FALSE))</f>
      </c>
      <c r="P250" s="83">
        <v>45219</v>
      </c>
      <c r="Q250" s="8">
        <v>187.701752498649</v>
      </c>
      <c r="R250" s="8">
        <v>0.430729295668748</v>
      </c>
      <c r="S250" s="8">
        <v>0.000003559286009062023</v>
      </c>
      <c r="T250" s="8">
        <v>0.9114839618650835</v>
      </c>
      <c r="U250" s="7">
        <v>0</v>
      </c>
      <c r="V250" s="8">
        <v>16.709755494937</v>
      </c>
      <c r="W250" s="8">
        <v>15.2863318787016</v>
      </c>
      <c r="X250" s="7">
        <v>0</v>
      </c>
      <c r="Y250" s="8">
        <v>0.9776171645198312</v>
      </c>
      <c r="Z250" s="7">
        <v>0</v>
      </c>
      <c r="AA250" s="7">
        <v>0</v>
      </c>
      <c r="AB250" s="8">
        <v>0.998840305317657</v>
      </c>
      <c r="AC250" s="42"/>
      <c r="AD250" s="83">
        <f>IFERROR(P250,$AD$4)</f>
        <v>25569.5</v>
      </c>
      <c r="AE250" s="7">
        <f>IFERROR(U250,0)</f>
      </c>
      <c r="AF250" s="3"/>
      <c r="AG250" s="86">
        <f>Q249+S250+T250+U250</f>
      </c>
      <c r="AH250" s="86">
        <f>Q250+R250+X250</f>
      </c>
      <c r="AI250" s="59">
        <f>AH250-AG250</f>
      </c>
      <c r="AJ250" s="3"/>
      <c r="AK250" s="3"/>
    </row>
    <row x14ac:dyDescent="0.25" r="251" customHeight="1" ht="18.75">
      <c r="A251" s="3"/>
      <c r="B251" s="71"/>
      <c r="C251" s="3"/>
      <c r="D251" s="3"/>
      <c r="E251" s="3"/>
      <c r="F251" s="3"/>
      <c r="G251" s="59">
        <f>H251-DATE(YEAR(H251),1,0)+1</f>
      </c>
      <c r="H251" s="79">
        <f>H250+1</f>
        <v>25569.5</v>
      </c>
      <c r="I251" s="80">
        <f>HLOOKUP($H$4,'Met Data'!$A$2:$F$368,G251,FALSE)</f>
      </c>
      <c r="J251" s="80">
        <f>HLOOKUP($H$4,'Met Data'!$H$2:$M$368,G251,FALSE)*L251</f>
      </c>
      <c r="K251" s="81">
        <f>HLOOKUP($H$4,'Met Data'!$O$2:$T$368,G251,FALSE)</f>
      </c>
      <c r="L251" s="7">
        <f>IF(H251&lt;$B$31,$J$3,$J$4)</f>
      </c>
      <c r="M251" s="3"/>
      <c r="N251" s="82">
        <f>IF(P251&lt;$P$3,TRUE,FALSE)</f>
      </c>
      <c r="O251" s="82">
        <f>AND(IF(P251&gt;($P$2-1),TRUE,FALSE),IF(P251&lt;($P$3+1),TRUE,FALSE))</f>
      </c>
      <c r="P251" s="83">
        <v>45220</v>
      </c>
      <c r="Q251" s="8">
        <v>188.20236378555256</v>
      </c>
      <c r="R251" s="8">
        <v>0.448629750288774</v>
      </c>
      <c r="S251" s="8">
        <v>0.000003131831932473113</v>
      </c>
      <c r="T251" s="8">
        <v>0.9492379053604263</v>
      </c>
      <c r="U251" s="7">
        <v>0</v>
      </c>
      <c r="V251" s="8">
        <v>17.1583852452258</v>
      </c>
      <c r="W251" s="8">
        <v>15.6967450206325</v>
      </c>
      <c r="X251" s="7">
        <v>0</v>
      </c>
      <c r="Y251" s="8">
        <v>0.9774860764416522</v>
      </c>
      <c r="Z251" s="7">
        <v>0</v>
      </c>
      <c r="AA251" s="7">
        <v>0</v>
      </c>
      <c r="AB251" s="8">
        <v>0.99900136390577</v>
      </c>
      <c r="AC251" s="42"/>
      <c r="AD251" s="83">
        <f>IFERROR(P251,$AD$4)</f>
        <v>25569.5</v>
      </c>
      <c r="AE251" s="7">
        <f>IFERROR(U251,0)</f>
      </c>
      <c r="AF251" s="3"/>
      <c r="AG251" s="86">
        <f>Q250+S251+T251+U251</f>
      </c>
      <c r="AH251" s="86">
        <f>Q251+R251+X251</f>
      </c>
      <c r="AI251" s="59">
        <f>AH251-AG251</f>
      </c>
      <c r="AJ251" s="3"/>
      <c r="AK251" s="3"/>
    </row>
    <row x14ac:dyDescent="0.25" r="252" customHeight="1" ht="18.75">
      <c r="A252" s="3"/>
      <c r="B252" s="71"/>
      <c r="C252" s="3"/>
      <c r="D252" s="3"/>
      <c r="E252" s="3"/>
      <c r="F252" s="3"/>
      <c r="G252" s="59">
        <f>H252-DATE(YEAR(H252),1,0)+1</f>
      </c>
      <c r="H252" s="79">
        <f>H251+1</f>
        <v>25569.5</v>
      </c>
      <c r="I252" s="80">
        <f>HLOOKUP($H$4,'Met Data'!$A$2:$F$368,G252,FALSE)</f>
      </c>
      <c r="J252" s="80">
        <f>HLOOKUP($H$4,'Met Data'!$H$2:$M$368,G252,FALSE)*L252</f>
      </c>
      <c r="K252" s="81">
        <f>HLOOKUP($H$4,'Met Data'!$O$2:$T$368,G252,FALSE)</f>
      </c>
      <c r="L252" s="7">
        <f>IF(H252&lt;$B$31,$J$3,$J$4)</f>
      </c>
      <c r="M252" s="3"/>
      <c r="N252" s="82">
        <f>IF(P252&lt;$P$3,TRUE,FALSE)</f>
      </c>
      <c r="O252" s="82">
        <f>AND(IF(P252&gt;($P$2-1),TRUE,FALSE),IF(P252&lt;($P$3+1),TRUE,FALSE))</f>
      </c>
      <c r="P252" s="83">
        <v>45221</v>
      </c>
      <c r="Q252" s="8">
        <v>188.71511851219825</v>
      </c>
      <c r="R252" s="8">
        <v>0.460317665124833</v>
      </c>
      <c r="S252" s="8">
        <v>0.0000027106715641500255</v>
      </c>
      <c r="T252" s="8">
        <v>0.97306968109893</v>
      </c>
      <c r="U252" s="7">
        <v>0</v>
      </c>
      <c r="V252" s="8">
        <v>17.6187029103506</v>
      </c>
      <c r="W252" s="8">
        <v>16.1178504402096</v>
      </c>
      <c r="X252" s="7">
        <v>0</v>
      </c>
      <c r="Y252" s="8">
        <v>0.9811431041685802</v>
      </c>
      <c r="Z252" s="7">
        <v>0</v>
      </c>
      <c r="AA252" s="7">
        <v>0</v>
      </c>
      <c r="AB252" s="8">
        <v>0.999142819421496</v>
      </c>
      <c r="AC252" s="42"/>
      <c r="AD252" s="83">
        <f>IFERROR(P252,$AD$4)</f>
        <v>25569.5</v>
      </c>
      <c r="AE252" s="7">
        <f>IFERROR(U252,0)</f>
      </c>
      <c r="AF252" s="3"/>
      <c r="AG252" s="86">
        <f>Q251+S252+T252+U252</f>
      </c>
      <c r="AH252" s="86">
        <f>Q252+R252+X252</f>
      </c>
      <c r="AI252" s="59">
        <f>AH252-AG252</f>
      </c>
      <c r="AJ252" s="3"/>
      <c r="AK252" s="3"/>
    </row>
    <row x14ac:dyDescent="0.25" r="253" customHeight="1" ht="18.75">
      <c r="A253" s="3"/>
      <c r="B253" s="71"/>
      <c r="C253" s="3"/>
      <c r="D253" s="3"/>
      <c r="E253" s="3"/>
      <c r="F253" s="3"/>
      <c r="G253" s="59">
        <f>H253-DATE(YEAR(H253),1,0)+1</f>
      </c>
      <c r="H253" s="79">
        <f>H252+1</f>
        <v>25569.5</v>
      </c>
      <c r="I253" s="80">
        <f>HLOOKUP($H$4,'Met Data'!$A$2:$F$368,G253,FALSE)</f>
      </c>
      <c r="J253" s="80">
        <f>HLOOKUP($H$4,'Met Data'!$H$2:$M$368,G253,FALSE)*L253</f>
      </c>
      <c r="K253" s="81">
        <f>HLOOKUP($H$4,'Met Data'!$O$2:$T$368,G253,FALSE)</f>
      </c>
      <c r="L253" s="7">
        <f>IF(H253&lt;$B$31,$J$3,$J$4)</f>
      </c>
      <c r="M253" s="3"/>
      <c r="N253" s="82">
        <f>IF(P253&lt;$P$3,TRUE,FALSE)</f>
      </c>
      <c r="O253" s="82">
        <f>AND(IF(P253&gt;($P$2-1),TRUE,FALSE),IF(P253&lt;($P$3+1),TRUE,FALSE))</f>
      </c>
      <c r="P253" s="83">
        <v>45222</v>
      </c>
      <c r="Q253" s="8">
        <v>189.24519901130196</v>
      </c>
      <c r="R253" s="8">
        <v>0.47446739381121</v>
      </c>
      <c r="S253" s="8">
        <v>0.000002361225497767895</v>
      </c>
      <c r="T253" s="8">
        <v>1.0045455316894343</v>
      </c>
      <c r="U253" s="7">
        <v>0</v>
      </c>
      <c r="V253" s="8">
        <v>18.0931703041618</v>
      </c>
      <c r="W253" s="8">
        <v>16.5519002412147</v>
      </c>
      <c r="X253" s="7">
        <v>0</v>
      </c>
      <c r="Y253" s="8">
        <v>0.9901594614887177</v>
      </c>
      <c r="Z253" s="7">
        <v>0</v>
      </c>
      <c r="AA253" s="7">
        <v>0</v>
      </c>
      <c r="AB253" s="8">
        <v>0.999267300649145</v>
      </c>
      <c r="AC253" s="42"/>
      <c r="AD253" s="83">
        <f>IFERROR(P253,$AD$4)</f>
        <v>25569.5</v>
      </c>
      <c r="AE253" s="7">
        <f>IFERROR(U253,0)</f>
      </c>
      <c r="AF253" s="3"/>
      <c r="AG253" s="86">
        <f>Q252+S253+T253+U253</f>
      </c>
      <c r="AH253" s="86">
        <f>Q253+R253+X253</f>
      </c>
      <c r="AI253" s="59">
        <f>AH253-AG253</f>
      </c>
      <c r="AJ253" s="3"/>
      <c r="AK253" s="3"/>
    </row>
    <row x14ac:dyDescent="0.25" r="254" customHeight="1" ht="18.75">
      <c r="A254" s="3"/>
      <c r="B254" s="71"/>
      <c r="C254" s="3"/>
      <c r="D254" s="3"/>
      <c r="E254" s="3"/>
      <c r="F254" s="3"/>
      <c r="G254" s="59">
        <f>H254-DATE(YEAR(H254),1,0)+1</f>
      </c>
      <c r="H254" s="79">
        <f>H253+1</f>
        <v>25569.5</v>
      </c>
      <c r="I254" s="80">
        <f>HLOOKUP($H$4,'Met Data'!$A$2:$F$368,G254,FALSE)</f>
      </c>
      <c r="J254" s="80">
        <f>HLOOKUP($H$4,'Met Data'!$H$2:$M$368,G254,FALSE)*L254</f>
      </c>
      <c r="K254" s="81">
        <f>HLOOKUP($H$4,'Met Data'!$O$2:$T$368,G254,FALSE)</f>
      </c>
      <c r="L254" s="7">
        <f>IF(H254&lt;$B$31,$J$3,$J$4)</f>
      </c>
      <c r="M254" s="3"/>
      <c r="N254" s="82">
        <f>IF(P254&lt;$P$3,TRUE,FALSE)</f>
      </c>
      <c r="O254" s="82">
        <f>AND(IF(P254&gt;($P$2-1),TRUE,FALSE),IF(P254&lt;($P$3+1),TRUE,FALSE))</f>
      </c>
      <c r="P254" s="83">
        <v>45223</v>
      </c>
      <c r="Q254" s="8">
        <v>189.74402259692727</v>
      </c>
      <c r="R254" s="8">
        <v>0.45522450925673</v>
      </c>
      <c r="S254" s="8">
        <v>0.0000018870255754047547</v>
      </c>
      <c r="T254" s="8">
        <v>0.9540462078564413</v>
      </c>
      <c r="U254" s="7">
        <v>0</v>
      </c>
      <c r="V254" s="8">
        <v>18.5483948134185</v>
      </c>
      <c r="W254" s="8">
        <v>16.9683463663495</v>
      </c>
      <c r="X254" s="7">
        <v>0</v>
      </c>
      <c r="Y254" s="8">
        <v>0.9905682366382086</v>
      </c>
      <c r="Z254" s="7">
        <v>0</v>
      </c>
      <c r="AA254" s="7">
        <v>0</v>
      </c>
      <c r="AB254" s="8">
        <v>0.999369505017156</v>
      </c>
      <c r="AC254" s="42"/>
      <c r="AD254" s="83">
        <f>IFERROR(P254,$AD$4)</f>
        <v>25569.5</v>
      </c>
      <c r="AE254" s="7">
        <f>IFERROR(U254,0)</f>
      </c>
      <c r="AF254" s="3"/>
      <c r="AG254" s="86">
        <f>Q253+S254+T254+U254</f>
      </c>
      <c r="AH254" s="86">
        <f>Q254+R254+X254</f>
      </c>
      <c r="AI254" s="59">
        <f>AH254-AG254</f>
      </c>
      <c r="AJ254" s="3"/>
      <c r="AK254" s="3"/>
    </row>
    <row x14ac:dyDescent="0.25" r="255" customHeight="1" ht="18.75">
      <c r="A255" s="3"/>
      <c r="B255" s="71"/>
      <c r="C255" s="3"/>
      <c r="D255" s="3"/>
      <c r="E255" s="3"/>
      <c r="F255" s="3"/>
      <c r="G255" s="59">
        <f>H255-DATE(YEAR(H255),1,0)+1</f>
      </c>
      <c r="H255" s="79">
        <f>H254+1</f>
        <v>25569.5</v>
      </c>
      <c r="I255" s="80">
        <f>HLOOKUP($H$4,'Met Data'!$A$2:$F$368,G255,FALSE)</f>
      </c>
      <c r="J255" s="80">
        <f>HLOOKUP($H$4,'Met Data'!$H$2:$M$368,G255,FALSE)*L255</f>
      </c>
      <c r="K255" s="81">
        <f>HLOOKUP($H$4,'Met Data'!$O$2:$T$368,G255,FALSE)</f>
      </c>
      <c r="L255" s="7">
        <f>IF(H255&lt;$B$31,$J$3,$J$4)</f>
      </c>
      <c r="M255" s="3"/>
      <c r="N255" s="82">
        <f>IF(P255&lt;$P$3,TRUE,FALSE)</f>
      </c>
      <c r="O255" s="82">
        <f>AND(IF(P255&gt;($P$2-1),TRUE,FALSE),IF(P255&lt;($P$3+1),TRUE,FALSE))</f>
      </c>
      <c r="P255" s="83">
        <v>45224</v>
      </c>
      <c r="Q255" s="8">
        <v>190.26524069841466</v>
      </c>
      <c r="R255" s="8">
        <v>0.471181521283071</v>
      </c>
      <c r="S255" s="8">
        <v>0.0000016198728761878232</v>
      </c>
      <c r="T255" s="8">
        <v>0.9923980028976032</v>
      </c>
      <c r="U255" s="7">
        <v>0</v>
      </c>
      <c r="V255" s="8">
        <v>19.0195763347016</v>
      </c>
      <c r="W255" s="8">
        <v>17.3993902024863</v>
      </c>
      <c r="X255" s="7">
        <v>0</v>
      </c>
      <c r="Y255" s="8">
        <v>0.9772941169342467</v>
      </c>
      <c r="Z255" s="7">
        <v>0</v>
      </c>
      <c r="AA255" s="7">
        <v>0</v>
      </c>
      <c r="AB255" s="8">
        <v>0.999460225241023</v>
      </c>
      <c r="AC255" s="42"/>
      <c r="AD255" s="83">
        <f>IFERROR(P255,$AD$4)</f>
        <v>25569.5</v>
      </c>
      <c r="AE255" s="7">
        <f>IFERROR(U255,0)</f>
      </c>
      <c r="AF255" s="3"/>
      <c r="AG255" s="86">
        <f>Q254+S255+T255+U255</f>
      </c>
      <c r="AH255" s="86">
        <f>Q255+R255+X255</f>
      </c>
      <c r="AI255" s="59">
        <f>AH255-AG255</f>
      </c>
      <c r="AJ255" s="3"/>
      <c r="AK255" s="3"/>
    </row>
    <row x14ac:dyDescent="0.25" r="256" customHeight="1" ht="18.75">
      <c r="A256" s="3"/>
      <c r="B256" s="71"/>
      <c r="C256" s="3"/>
      <c r="D256" s="3"/>
      <c r="E256" s="3"/>
      <c r="F256" s="3"/>
      <c r="G256" s="59">
        <f>H256-DATE(YEAR(H256),1,0)+1</f>
      </c>
      <c r="H256" s="79">
        <f>H255+1</f>
        <v>25569.5</v>
      </c>
      <c r="I256" s="80">
        <f>HLOOKUP($H$4,'Met Data'!$A$2:$F$368,G256,FALSE)</f>
      </c>
      <c r="J256" s="80">
        <f>HLOOKUP($H$4,'Met Data'!$H$2:$M$368,G256,FALSE)*L256</f>
      </c>
      <c r="K256" s="81">
        <f>HLOOKUP($H$4,'Met Data'!$O$2:$T$368,G256,FALSE)</f>
      </c>
      <c r="L256" s="7">
        <f>IF(H256&lt;$B$31,$J$3,$J$4)</f>
      </c>
      <c r="M256" s="3"/>
      <c r="N256" s="82">
        <f>IF(P256&lt;$P$3,TRUE,FALSE)</f>
      </c>
      <c r="O256" s="82">
        <f>AND(IF(P256&gt;($P$2-1),TRUE,FALSE),IF(P256&lt;($P$3+1),TRUE,FALSE))</f>
      </c>
      <c r="P256" s="83">
        <v>45225</v>
      </c>
      <c r="Q256" s="8">
        <v>190.796698530531</v>
      </c>
      <c r="R256" s="8">
        <v>0.481041342733718</v>
      </c>
      <c r="S256" s="8">
        <v>0.0000013572002600460926</v>
      </c>
      <c r="T256" s="8">
        <v>1.0124978176498018</v>
      </c>
      <c r="U256" s="7">
        <v>0</v>
      </c>
      <c r="V256" s="8">
        <v>19.5006176774353</v>
      </c>
      <c r="W256" s="8">
        <v>17.8394539493575</v>
      </c>
      <c r="X256" s="7">
        <v>0</v>
      </c>
      <c r="Y256" s="8">
        <v>0.9565711804741936</v>
      </c>
      <c r="Z256" s="7">
        <v>0</v>
      </c>
      <c r="AA256" s="7">
        <v>0</v>
      </c>
      <c r="AB256" s="8">
        <v>0.999539412633576</v>
      </c>
      <c r="AC256" s="42"/>
      <c r="AD256" s="83">
        <f>IFERROR(P256,$AD$4)</f>
        <v>25569.5</v>
      </c>
      <c r="AE256" s="7">
        <f>IFERROR(U256,0)</f>
      </c>
      <c r="AF256" s="3"/>
      <c r="AG256" s="86">
        <f>Q255+S256+T256+U256</f>
      </c>
      <c r="AH256" s="86">
        <f>Q256+R256+X256</f>
      </c>
      <c r="AI256" s="59">
        <f>AH256-AG256</f>
      </c>
      <c r="AJ256" s="3"/>
      <c r="AK256" s="3"/>
    </row>
    <row x14ac:dyDescent="0.25" r="257" customHeight="1" ht="18.75">
      <c r="A257" s="3"/>
      <c r="B257" s="71"/>
      <c r="C257" s="3"/>
      <c r="D257" s="3"/>
      <c r="E257" s="3"/>
      <c r="F257" s="3"/>
      <c r="G257" s="59">
        <f>H257-DATE(YEAR(H257),1,0)+1</f>
      </c>
      <c r="H257" s="79">
        <f>H256+1</f>
        <v>25569.5</v>
      </c>
      <c r="I257" s="80">
        <f>HLOOKUP($H$4,'Met Data'!$A$2:$F$368,G257,FALSE)</f>
      </c>
      <c r="J257" s="80">
        <f>HLOOKUP($H$4,'Met Data'!$H$2:$M$368,G257,FALSE)*L257</f>
      </c>
      <c r="K257" s="81">
        <f>HLOOKUP($H$4,'Met Data'!$O$2:$T$368,G257,FALSE)</f>
      </c>
      <c r="L257" s="7">
        <f>IF(H257&lt;$B$31,$J$3,$J$4)</f>
      </c>
      <c r="M257" s="3"/>
      <c r="N257" s="82">
        <f>IF(P257&lt;$P$3,TRUE,FALSE)</f>
      </c>
      <c r="O257" s="82">
        <f>AND(IF(P257&gt;($P$2-1),TRUE,FALSE),IF(P257&lt;($P$3+1),TRUE,FALSE))</f>
      </c>
      <c r="P257" s="83">
        <v>45226</v>
      </c>
      <c r="Q257" s="8">
        <v>191.37130433832272</v>
      </c>
      <c r="R257" s="8">
        <v>0.506174219972067</v>
      </c>
      <c r="S257" s="8">
        <v>0.000001200404148521039</v>
      </c>
      <c r="T257" s="8">
        <v>1.0807788273596124</v>
      </c>
      <c r="U257" s="7">
        <v>0</v>
      </c>
      <c r="V257" s="8">
        <v>20.0067918974074</v>
      </c>
      <c r="W257" s="8">
        <v>18.3025096246653</v>
      </c>
      <c r="X257" s="7">
        <v>0</v>
      </c>
      <c r="Y257" s="8">
        <v>0.957586499335776</v>
      </c>
      <c r="Z257" s="7">
        <v>0</v>
      </c>
      <c r="AA257" s="7">
        <v>0</v>
      </c>
      <c r="AB257" s="8">
        <v>0.999610332683291</v>
      </c>
      <c r="AC257" s="42"/>
      <c r="AD257" s="83">
        <f>IFERROR(P257,$AD$4)</f>
        <v>25569.5</v>
      </c>
      <c r="AE257" s="7">
        <f>IFERROR(U257,0)</f>
      </c>
      <c r="AF257" s="3"/>
      <c r="AG257" s="86">
        <f>Q256+S257+T257+U257</f>
      </c>
      <c r="AH257" s="86">
        <f>Q257+R257+X257</f>
      </c>
      <c r="AI257" s="59">
        <f>AH257-AG257</f>
      </c>
      <c r="AJ257" s="3"/>
      <c r="AK257" s="3"/>
    </row>
    <row x14ac:dyDescent="0.25" r="258" customHeight="1" ht="18.75">
      <c r="A258" s="3"/>
      <c r="B258" s="71"/>
      <c r="C258" s="3"/>
      <c r="D258" s="3"/>
      <c r="E258" s="3"/>
      <c r="F258" s="3"/>
      <c r="G258" s="59">
        <f>H258-DATE(YEAR(H258),1,0)+1</f>
      </c>
      <c r="H258" s="79">
        <f>H257+1</f>
        <v>25569.5</v>
      </c>
      <c r="I258" s="80">
        <f>HLOOKUP($H$4,'Met Data'!$A$2:$F$368,G258,FALSE)</f>
      </c>
      <c r="J258" s="80">
        <f>HLOOKUP($H$4,'Met Data'!$H$2:$M$368,G258,FALSE)*L258</f>
      </c>
      <c r="K258" s="81">
        <f>HLOOKUP($H$4,'Met Data'!$O$2:$T$368,G258,FALSE)</f>
      </c>
      <c r="L258" s="7">
        <f>IF(H258&lt;$B$31,$J$3,$J$4)</f>
      </c>
      <c r="M258" s="3"/>
      <c r="N258" s="82">
        <f>IF(P258&lt;$P$3,TRUE,FALSE)</f>
      </c>
      <c r="O258" s="82">
        <f>AND(IF(P258&gt;($P$2-1),TRUE,FALSE),IF(P258&lt;($P$3+1),TRUE,FALSE))</f>
      </c>
      <c r="P258" s="83">
        <v>45227</v>
      </c>
      <c r="Q258" s="8">
        <v>191.92024106103685</v>
      </c>
      <c r="R258" s="8">
        <v>0.485466211347351</v>
      </c>
      <c r="S258" s="8">
        <v>9.679533598071766e-7</v>
      </c>
      <c r="T258" s="8">
        <v>1.0344019661081378</v>
      </c>
      <c r="U258" s="7">
        <v>0</v>
      </c>
      <c r="V258" s="8">
        <v>20.4922581087547</v>
      </c>
      <c r="W258" s="8">
        <v>18.7466213068979</v>
      </c>
      <c r="X258" s="7">
        <v>0</v>
      </c>
      <c r="Y258" s="8">
        <v>0.9677753413609861</v>
      </c>
      <c r="Z258" s="7">
        <v>0</v>
      </c>
      <c r="AA258" s="7">
        <v>0</v>
      </c>
      <c r="AB258" s="8">
        <v>0.99966822869566</v>
      </c>
      <c r="AC258" s="42"/>
      <c r="AD258" s="83">
        <f>IFERROR(P258,$AD$4)</f>
        <v>25569.5</v>
      </c>
      <c r="AE258" s="7">
        <f>IFERROR(U258,0)</f>
      </c>
      <c r="AF258" s="3"/>
      <c r="AG258" s="86">
        <f>Q257+S258+T258+U258</f>
      </c>
      <c r="AH258" s="86">
        <f>Q258+R258+X258</f>
      </c>
      <c r="AI258" s="59">
        <f>AH258-AG258</f>
      </c>
      <c r="AJ258" s="3"/>
      <c r="AK258" s="3"/>
    </row>
    <row x14ac:dyDescent="0.25" r="259" customHeight="1" ht="18.75">
      <c r="A259" s="3"/>
      <c r="B259" s="71"/>
      <c r="C259" s="3"/>
      <c r="D259" s="3"/>
      <c r="E259" s="3"/>
      <c r="F259" s="3"/>
      <c r="G259" s="59">
        <f>H259-DATE(YEAR(H259),1,0)+1</f>
      </c>
      <c r="H259" s="79">
        <f>H258+1</f>
        <v>25569.5</v>
      </c>
      <c r="I259" s="80">
        <f>HLOOKUP($H$4,'Met Data'!$A$2:$F$368,G259,FALSE)</f>
      </c>
      <c r="J259" s="80">
        <f>HLOOKUP($H$4,'Met Data'!$H$2:$M$368,G259,FALSE)*L259</f>
      </c>
      <c r="K259" s="81">
        <f>HLOOKUP($H$4,'Met Data'!$O$2:$T$368,G259,FALSE)</f>
      </c>
      <c r="L259" s="7">
        <f>IF(H259&lt;$B$31,$J$3,$J$4)</f>
      </c>
      <c r="M259" s="3"/>
      <c r="N259" s="82">
        <f>IF(P259&lt;$P$3,TRUE,FALSE)</f>
      </c>
      <c r="O259" s="82">
        <f>AND(IF(P259&gt;($P$2-1),TRUE,FALSE),IF(P259&lt;($P$3+1),TRUE,FALSE))</f>
      </c>
      <c r="P259" s="83">
        <v>45228</v>
      </c>
      <c r="Q259" s="8">
        <v>192.472068375454</v>
      </c>
      <c r="R259" s="8">
        <v>0.483968665635103</v>
      </c>
      <c r="S259" s="8">
        <v>8.036181752845647e-7</v>
      </c>
      <c r="T259" s="8">
        <v>1.035795176434093</v>
      </c>
      <c r="U259" s="7">
        <v>0</v>
      </c>
      <c r="V259" s="8">
        <v>20.9762267743898</v>
      </c>
      <c r="W259" s="8">
        <v>19.189363012127</v>
      </c>
      <c r="X259" s="7">
        <v>0</v>
      </c>
      <c r="Y259" s="8">
        <v>0.9620589364961533</v>
      </c>
      <c r="Z259" s="7">
        <v>0</v>
      </c>
      <c r="AA259" s="7">
        <v>0</v>
      </c>
      <c r="AB259" s="8">
        <v>0.999717575551132</v>
      </c>
      <c r="AC259" s="42"/>
      <c r="AD259" s="83">
        <f>IFERROR(P259,$AD$4)</f>
        <v>25569.5</v>
      </c>
      <c r="AE259" s="7">
        <f>IFERROR(U259,0)</f>
      </c>
      <c r="AF259" s="3"/>
      <c r="AG259" s="86">
        <f>Q258+S259+T259+U259</f>
      </c>
      <c r="AH259" s="86">
        <f>Q259+R259+X259</f>
      </c>
      <c r="AI259" s="59">
        <f>AH259-AG259</f>
      </c>
      <c r="AJ259" s="3"/>
      <c r="AK259" s="3"/>
    </row>
    <row x14ac:dyDescent="0.25" r="260" customHeight="1" ht="18.75">
      <c r="A260" s="3"/>
      <c r="B260" s="71"/>
      <c r="C260" s="3"/>
      <c r="D260" s="3"/>
      <c r="E260" s="3"/>
      <c r="F260" s="3"/>
      <c r="G260" s="59">
        <f>H260-DATE(YEAR(H260),1,0)+1</f>
      </c>
      <c r="H260" s="79">
        <f>H259+1</f>
        <v>25569.5</v>
      </c>
      <c r="I260" s="80">
        <f>HLOOKUP($H$4,'Met Data'!$A$2:$F$368,G260,FALSE)</f>
      </c>
      <c r="J260" s="80">
        <f>HLOOKUP($H$4,'Met Data'!$H$2:$M$368,G260,FALSE)*L260</f>
      </c>
      <c r="K260" s="81">
        <f>HLOOKUP($H$4,'Met Data'!$O$2:$T$368,G260,FALSE)</f>
      </c>
      <c r="L260" s="7">
        <f>IF(H260&lt;$B$31,$J$3,$J$4)</f>
      </c>
      <c r="M260" s="3"/>
      <c r="N260" s="82">
        <f>IF(P260&lt;$P$3,TRUE,FALSE)</f>
      </c>
      <c r="O260" s="82">
        <f>AND(IF(P260&gt;($P$2-1),TRUE,FALSE),IF(P260&lt;($P$3+1),TRUE,FALSE))</f>
      </c>
      <c r="P260" s="83">
        <v>45229</v>
      </c>
      <c r="Q260" s="8">
        <v>193.03762418778877</v>
      </c>
      <c r="R260" s="8">
        <v>0.495572683403232</v>
      </c>
      <c r="S260" s="8">
        <v>6.832139448264773e-7</v>
      </c>
      <c r="T260" s="8">
        <v>1.0611278125240433</v>
      </c>
      <c r="U260" s="7">
        <v>0</v>
      </c>
      <c r="V260" s="8">
        <v>21.4717994577931</v>
      </c>
      <c r="W260" s="8">
        <v>19.6427202447218</v>
      </c>
      <c r="X260" s="7">
        <v>0</v>
      </c>
      <c r="Y260" s="8">
        <v>0.9512190607644637</v>
      </c>
      <c r="Z260" s="7">
        <v>0</v>
      </c>
      <c r="AA260" s="7">
        <v>0</v>
      </c>
      <c r="AB260" s="8">
        <v>0.99976073319813</v>
      </c>
      <c r="AC260" s="42"/>
      <c r="AD260" s="83">
        <f>IFERROR(P260,$AD$4)</f>
        <v>25569.5</v>
      </c>
      <c r="AE260" s="7">
        <f>IFERROR(U260,0)</f>
      </c>
      <c r="AF260" s="3"/>
      <c r="AG260" s="86">
        <f>Q259+S260+T260+U260</f>
      </c>
      <c r="AH260" s="86">
        <f>Q260+R260+X260</f>
      </c>
      <c r="AI260" s="59">
        <f>AH260-AG260</f>
      </c>
      <c r="AJ260" s="3"/>
      <c r="AK260" s="3"/>
    </row>
    <row x14ac:dyDescent="0.25" r="261" customHeight="1" ht="18.75">
      <c r="A261" s="3"/>
      <c r="B261" s="71"/>
      <c r="C261" s="3"/>
      <c r="D261" s="3"/>
      <c r="E261" s="3"/>
      <c r="F261" s="3"/>
      <c r="G261" s="59">
        <f>H261-DATE(YEAR(H261),1,0)+1</f>
      </c>
      <c r="H261" s="79">
        <f>H260+1</f>
        <v>25569.5</v>
      </c>
      <c r="I261" s="80">
        <f>HLOOKUP($H$4,'Met Data'!$A$2:$F$368,G261,FALSE)</f>
      </c>
      <c r="J261" s="80">
        <f>HLOOKUP($H$4,'Met Data'!$H$2:$M$368,G261,FALSE)*L261</f>
      </c>
      <c r="K261" s="81">
        <f>HLOOKUP($H$4,'Met Data'!$O$2:$T$368,G261,FALSE)</f>
      </c>
      <c r="L261" s="7">
        <f>IF(H261&lt;$B$31,$J$3,$J$4)</f>
      </c>
      <c r="M261" s="3"/>
      <c r="N261" s="82">
        <f>IF(P261&lt;$P$3,TRUE,FALSE)</f>
      </c>
      <c r="O261" s="82">
        <f>AND(IF(P261&gt;($P$2-1),TRUE,FALSE),IF(P261&lt;($P$3+1),TRUE,FALSE))</f>
      </c>
      <c r="P261" s="83">
        <v>45230</v>
      </c>
      <c r="Q261" s="8">
        <v>193.57429579620765</v>
      </c>
      <c r="R261" s="8">
        <v>0.485807912165534</v>
      </c>
      <c r="S261" s="8">
        <v>5.511471603520165e-7</v>
      </c>
      <c r="T261" s="8">
        <v>1.0224789694372398</v>
      </c>
      <c r="U261" s="7">
        <v>0</v>
      </c>
      <c r="V261" s="8">
        <v>21.9576073699586</v>
      </c>
      <c r="W261" s="8">
        <v>20.0871445199251</v>
      </c>
      <c r="X261" s="7">
        <v>0</v>
      </c>
      <c r="Y261" s="8">
        <v>0.9342105225683596</v>
      </c>
      <c r="Z261" s="7">
        <v>0</v>
      </c>
      <c r="AA261" s="7">
        <v>0</v>
      </c>
      <c r="AB261" s="8">
        <v>0.999796866500701</v>
      </c>
      <c r="AC261" s="42"/>
      <c r="AD261" s="83">
        <f>IFERROR(P261,$AD$4)</f>
        <v>25569.5</v>
      </c>
      <c r="AE261" s="7">
        <f>IFERROR(U261,0)</f>
      </c>
      <c r="AF261" s="3"/>
      <c r="AG261" s="86">
        <f>Q260+S261+T261+U261</f>
      </c>
      <c r="AH261" s="86">
        <f>Q261+R261+X261</f>
      </c>
      <c r="AI261" s="59">
        <f>AH261-AG261</f>
      </c>
      <c r="AJ261" s="3"/>
      <c r="AK261" s="3"/>
    </row>
    <row x14ac:dyDescent="0.25" r="262" customHeight="1" ht="18.75">
      <c r="A262" s="3"/>
      <c r="B262" s="71"/>
      <c r="C262" s="3"/>
      <c r="D262" s="3"/>
      <c r="E262" s="3"/>
      <c r="F262" s="3"/>
      <c r="G262" s="59">
        <f>H262-DATE(YEAR(H262),1,0)+1</f>
      </c>
      <c r="H262" s="79">
        <f>H261+1</f>
        <v>25569.5</v>
      </c>
      <c r="I262" s="80">
        <f>HLOOKUP($H$4,'Met Data'!$A$2:$F$368,G262,FALSE)</f>
      </c>
      <c r="J262" s="80">
        <f>HLOOKUP($H$4,'Met Data'!$H$2:$M$368,G262,FALSE)*L262</f>
      </c>
      <c r="K262" s="81">
        <f>HLOOKUP($H$4,'Met Data'!$O$2:$T$368,G262,FALSE)</f>
      </c>
      <c r="L262" s="7">
        <f>IF(H262&lt;$B$31,$J$3,$J$4)</f>
      </c>
      <c r="M262" s="3"/>
      <c r="N262" s="82">
        <f>IF(P262&lt;$P$3,TRUE,FALSE)</f>
      </c>
      <c r="O262" s="82">
        <f>AND(IF(P262&gt;($P$2-1),TRUE,FALSE),IF(P262&lt;($P$3+1),TRUE,FALSE))</f>
      </c>
      <c r="P262" s="83">
        <v>45231</v>
      </c>
      <c r="Q262" s="8">
        <v>194.07335022532595</v>
      </c>
      <c r="R262" s="8">
        <v>0.465767447319017</v>
      </c>
      <c r="S262" s="8">
        <v>4.395797566544149e-7</v>
      </c>
      <c r="T262" s="8">
        <v>0.9648214368575836</v>
      </c>
      <c r="U262" s="7">
        <v>0</v>
      </c>
      <c r="V262" s="8">
        <v>22.4233748172776</v>
      </c>
      <c r="W262" s="8">
        <v>20.513235480991</v>
      </c>
      <c r="X262" s="7">
        <v>0</v>
      </c>
      <c r="Y262" s="8">
        <v>0.9207881340873126</v>
      </c>
      <c r="Z262" s="7">
        <v>0</v>
      </c>
      <c r="AA262" s="7">
        <v>0</v>
      </c>
      <c r="AB262" s="8">
        <v>0.99982659874554</v>
      </c>
      <c r="AC262" s="42"/>
      <c r="AD262" s="83">
        <f>IFERROR(P262,$AD$4)</f>
        <v>25569.5</v>
      </c>
      <c r="AE262" s="7">
        <f>IFERROR(U262,0)</f>
      </c>
      <c r="AF262" s="3"/>
      <c r="AG262" s="86">
        <f>Q261+S262+T262+U262</f>
      </c>
      <c r="AH262" s="86">
        <f>Q262+R262+X262</f>
      </c>
      <c r="AI262" s="59">
        <f>AH262-AG262</f>
      </c>
      <c r="AJ262" s="3"/>
      <c r="AK262" s="3"/>
    </row>
    <row x14ac:dyDescent="0.25" r="263" customHeight="1" ht="18.75">
      <c r="A263" s="3"/>
      <c r="B263" s="71"/>
      <c r="C263" s="3"/>
      <c r="D263" s="3"/>
      <c r="E263" s="3"/>
      <c r="F263" s="3"/>
      <c r="G263" s="59">
        <f>H263-DATE(YEAR(H263),1,0)+1</f>
      </c>
      <c r="H263" s="79">
        <f>H262+1</f>
        <v>25569.5</v>
      </c>
      <c r="I263" s="80">
        <f>HLOOKUP($H$4,'Met Data'!$A$2:$F$368,G263,FALSE)</f>
      </c>
      <c r="J263" s="80">
        <f>HLOOKUP($H$4,'Met Data'!$H$2:$M$368,G263,FALSE)*L263</f>
      </c>
      <c r="K263" s="81">
        <f>HLOOKUP($H$4,'Met Data'!$O$2:$T$368,G263,FALSE)</f>
      </c>
      <c r="L263" s="7">
        <f>IF(H263&lt;$B$31,$J$3,$J$4)</f>
      </c>
      <c r="M263" s="3"/>
      <c r="N263" s="82">
        <f>IF(P263&lt;$P$3,TRUE,FALSE)</f>
      </c>
      <c r="O263" s="82">
        <f>AND(IF(P263&gt;($P$2-1),TRUE,FALSE),IF(P263&lt;($P$3+1),TRUE,FALSE))</f>
      </c>
      <c r="P263" s="83">
        <v>45232</v>
      </c>
      <c r="Q263" s="8">
        <v>194.55122538944426</v>
      </c>
      <c r="R263" s="8">
        <v>0.463313182206008</v>
      </c>
      <c r="S263" s="8">
        <v>3.6339121659720883e-7</v>
      </c>
      <c r="T263" s="8">
        <v>0.9411879829330911</v>
      </c>
      <c r="U263" s="7">
        <v>0</v>
      </c>
      <c r="V263" s="8">
        <v>22.8866879994836</v>
      </c>
      <c r="W263" s="8">
        <v>20.9370812439721</v>
      </c>
      <c r="X263" s="7">
        <v>0</v>
      </c>
      <c r="Y263" s="8">
        <v>0.8973650925858961</v>
      </c>
      <c r="Z263" s="7">
        <v>0</v>
      </c>
      <c r="AA263" s="7">
        <v>0</v>
      </c>
      <c r="AB263" s="8">
        <v>0.999852074292866</v>
      </c>
      <c r="AC263" s="42"/>
      <c r="AD263" s="83">
        <f>IFERROR(P263,$AD$4)</f>
        <v>25569.5</v>
      </c>
      <c r="AE263" s="7">
        <f>IFERROR(U263,0)</f>
      </c>
      <c r="AF263" s="3"/>
      <c r="AG263" s="86">
        <f>Q262+S263+T263+U263</f>
      </c>
      <c r="AH263" s="86">
        <f>Q263+R263+X263</f>
      </c>
      <c r="AI263" s="59">
        <f>AH263-AG263</f>
      </c>
      <c r="AJ263" s="3"/>
      <c r="AK263" s="3"/>
    </row>
    <row x14ac:dyDescent="0.25" r="264" customHeight="1" ht="18.75">
      <c r="A264" s="3"/>
      <c r="B264" s="71"/>
      <c r="C264" s="3"/>
      <c r="D264" s="3"/>
      <c r="E264" s="3"/>
      <c r="F264" s="3"/>
      <c r="G264" s="59">
        <f>H264-DATE(YEAR(H264),1,0)+1</f>
      </c>
      <c r="H264" s="79">
        <f>H263+1</f>
        <v>25569.5</v>
      </c>
      <c r="I264" s="80">
        <f>HLOOKUP($H$4,'Met Data'!$A$2:$F$368,G264,FALSE)</f>
      </c>
      <c r="J264" s="80">
        <f>HLOOKUP($H$4,'Met Data'!$H$2:$M$368,G264,FALSE)*L264</f>
      </c>
      <c r="K264" s="81">
        <f>HLOOKUP($H$4,'Met Data'!$O$2:$T$368,G264,FALSE)</f>
      </c>
      <c r="L264" s="7">
        <f>IF(H264&lt;$B$31,$J$3,$J$4)</f>
      </c>
      <c r="M264" s="3"/>
      <c r="N264" s="82">
        <f>IF(P264&lt;$P$3,TRUE,FALSE)</f>
      </c>
      <c r="O264" s="82">
        <f>AND(IF(P264&gt;($P$2-1),TRUE,FALSE),IF(P264&lt;($P$3+1),TRUE,FALSE))</f>
      </c>
      <c r="P264" s="83">
        <v>45233</v>
      </c>
      <c r="Q264" s="8">
        <v>195.02079108315442</v>
      </c>
      <c r="R264" s="8">
        <v>0.455046175664215</v>
      </c>
      <c r="S264" s="8">
        <v>3.035700796805503e-7</v>
      </c>
      <c r="T264" s="8">
        <v>0.9246115658042827</v>
      </c>
      <c r="U264" s="7">
        <v>0</v>
      </c>
      <c r="V264" s="8">
        <v>23.3417341751478</v>
      </c>
      <c r="W264" s="8">
        <v>21.3533642268945</v>
      </c>
      <c r="X264" s="7">
        <v>0</v>
      </c>
      <c r="Y264" s="8">
        <v>0.8904516549918462</v>
      </c>
      <c r="Z264" s="7">
        <v>0</v>
      </c>
      <c r="AA264" s="7">
        <v>0</v>
      </c>
      <c r="AB264" s="8">
        <v>0.999873658095504</v>
      </c>
      <c r="AC264" s="42"/>
      <c r="AD264" s="83">
        <f>IFERROR(P264,$AD$4)</f>
        <v>25569.5</v>
      </c>
      <c r="AE264" s="7">
        <f>IFERROR(U264,0)</f>
      </c>
      <c r="AF264" s="3"/>
      <c r="AG264" s="86">
        <f>Q263+S264+T264+U264</f>
      </c>
      <c r="AH264" s="86">
        <f>Q264+R264+X264</f>
      </c>
      <c r="AI264" s="59">
        <f>AH264-AG264</f>
      </c>
      <c r="AJ264" s="3"/>
      <c r="AK264" s="3"/>
    </row>
    <row x14ac:dyDescent="0.25" r="265" customHeight="1" ht="18.75">
      <c r="A265" s="3"/>
      <c r="B265" s="71"/>
      <c r="C265" s="3"/>
      <c r="D265" s="3"/>
      <c r="E265" s="3"/>
      <c r="F265" s="3"/>
      <c r="G265" s="59">
        <f>H265-DATE(YEAR(H265),1,0)+1</f>
      </c>
      <c r="H265" s="79">
        <f>H264+1</f>
        <v>25569.5</v>
      </c>
      <c r="I265" s="80">
        <f>HLOOKUP($H$4,'Met Data'!$A$2:$F$368,G265,FALSE)</f>
      </c>
      <c r="J265" s="80">
        <f>HLOOKUP($H$4,'Met Data'!$H$2:$M$368,G265,FALSE)*L265</f>
      </c>
      <c r="K265" s="81">
        <f>HLOOKUP($H$4,'Met Data'!$O$2:$T$368,G265,FALSE)</f>
      </c>
      <c r="L265" s="7">
        <f>IF(H265&lt;$B$31,$J$3,$J$4)</f>
      </c>
      <c r="M265" s="3"/>
      <c r="N265" s="82">
        <f>IF(P265&lt;$P$3,TRUE,FALSE)</f>
      </c>
      <c r="O265" s="82">
        <f>AND(IF(P265&gt;($P$2-1),TRUE,FALSE),IF(P265&lt;($P$3+1),TRUE,FALSE))</f>
      </c>
      <c r="P265" s="83">
        <v>45234</v>
      </c>
      <c r="Q265" s="8">
        <v>195.50387872750787</v>
      </c>
      <c r="R265" s="8">
        <v>0.456404638963747</v>
      </c>
      <c r="S265" s="8">
        <v>2.616016382368596e-7</v>
      </c>
      <c r="T265" s="8">
        <v>0.9394920217155531</v>
      </c>
      <c r="U265" s="7">
        <v>0</v>
      </c>
      <c r="V265" s="8">
        <v>23.7981388141116</v>
      </c>
      <c r="W265" s="8">
        <v>21.7708899521688</v>
      </c>
      <c r="X265" s="7">
        <v>0</v>
      </c>
      <c r="Y265" s="8">
        <v>0.8890208981197179</v>
      </c>
      <c r="Z265" s="7">
        <v>0</v>
      </c>
      <c r="AA265" s="7">
        <v>0</v>
      </c>
      <c r="AB265" s="8">
        <v>0.999892346039437</v>
      </c>
      <c r="AC265" s="42"/>
      <c r="AD265" s="83">
        <f>IFERROR(P265,$AD$4)</f>
        <v>25569.5</v>
      </c>
      <c r="AE265" s="7">
        <f>IFERROR(U265,0)</f>
      </c>
      <c r="AF265" s="3"/>
      <c r="AG265" s="86">
        <f>Q264+S265+T265+U265</f>
      </c>
      <c r="AH265" s="86">
        <f>Q265+R265+X265</f>
      </c>
      <c r="AI265" s="59">
        <f>AH265-AG265</f>
      </c>
      <c r="AJ265" s="3"/>
      <c r="AK265" s="3"/>
    </row>
    <row x14ac:dyDescent="0.25" r="266" customHeight="1" ht="18.75">
      <c r="A266" s="3"/>
      <c r="B266" s="71"/>
      <c r="C266" s="3"/>
      <c r="D266" s="3"/>
      <c r="E266" s="3"/>
      <c r="F266" s="3"/>
      <c r="G266" s="59">
        <f>H266-DATE(YEAR(H266),1,0)+1</f>
      </c>
      <c r="H266" s="79">
        <f>H265+1</f>
        <v>25569.5</v>
      </c>
      <c r="I266" s="80">
        <f>HLOOKUP($H$4,'Met Data'!$A$2:$F$368,G266,FALSE)</f>
      </c>
      <c r="J266" s="80">
        <f>HLOOKUP($H$4,'Met Data'!$H$2:$M$368,G266,FALSE)*L266</f>
      </c>
      <c r="K266" s="81">
        <f>HLOOKUP($H$4,'Met Data'!$O$2:$T$368,G266,FALSE)</f>
      </c>
      <c r="L266" s="7">
        <f>IF(H266&lt;$B$31,$J$3,$J$4)</f>
      </c>
      <c r="M266" s="3"/>
      <c r="N266" s="82">
        <f>IF(P266&lt;$P$3,TRUE,FALSE)</f>
      </c>
      <c r="O266" s="82">
        <f>AND(IF(P266&gt;($P$2-1),TRUE,FALSE),IF(P266&lt;($P$3+1),TRUE,FALSE))</f>
      </c>
      <c r="P266" s="83">
        <v>45235</v>
      </c>
      <c r="Q266" s="8">
        <v>196.03821109189673</v>
      </c>
      <c r="R266" s="8">
        <v>0.461376657927065</v>
      </c>
      <c r="S266" s="8">
        <v>2.33188664428731e-7</v>
      </c>
      <c r="T266" s="8">
        <v>0.9957087891272658</v>
      </c>
      <c r="U266" s="7">
        <v>0</v>
      </c>
      <c r="V266" s="8">
        <v>24.2595154720387</v>
      </c>
      <c r="W266" s="8">
        <v>22.1929641540502</v>
      </c>
      <c r="X266" s="7">
        <v>0</v>
      </c>
      <c r="Y266" s="8">
        <v>0.9117100113837593</v>
      </c>
      <c r="Z266" s="7">
        <v>0</v>
      </c>
      <c r="AA266" s="7">
        <v>0</v>
      </c>
      <c r="AB266" s="8">
        <v>0.999908627728394</v>
      </c>
      <c r="AC266" s="42"/>
      <c r="AD266" s="83">
        <f>IFERROR(P266,$AD$4)</f>
        <v>25569.5</v>
      </c>
      <c r="AE266" s="7">
        <f>IFERROR(U266,0)</f>
      </c>
      <c r="AF266" s="3"/>
      <c r="AG266" s="86">
        <f>Q265+S266+T266+U266</f>
      </c>
      <c r="AH266" s="86">
        <f>Q266+R266+X266</f>
      </c>
      <c r="AI266" s="59">
        <f>AH266-AG266</f>
      </c>
      <c r="AJ266" s="3"/>
      <c r="AK266" s="3"/>
    </row>
    <row x14ac:dyDescent="0.25" r="267" customHeight="1" ht="18.75">
      <c r="A267" s="3"/>
      <c r="B267" s="71"/>
      <c r="C267" s="3"/>
      <c r="D267" s="3"/>
      <c r="E267" s="3"/>
      <c r="F267" s="3"/>
      <c r="G267" s="59">
        <f>H267-DATE(YEAR(H267),1,0)+1</f>
      </c>
      <c r="H267" s="79">
        <f>H266+1</f>
        <v>25569.5</v>
      </c>
      <c r="I267" s="80">
        <f>HLOOKUP($H$4,'Met Data'!$A$2:$F$368,G267,FALSE)</f>
      </c>
      <c r="J267" s="80">
        <f>HLOOKUP($H$4,'Met Data'!$H$2:$M$368,G267,FALSE)*L267</f>
      </c>
      <c r="K267" s="81">
        <f>HLOOKUP($H$4,'Met Data'!$O$2:$T$368,G267,FALSE)</f>
      </c>
      <c r="L267" s="7">
        <f>IF(H267&lt;$B$31,$J$3,$J$4)</f>
      </c>
      <c r="M267" s="3"/>
      <c r="N267" s="82">
        <f>IF(P267&lt;$P$3,TRUE,FALSE)</f>
      </c>
      <c r="O267" s="82">
        <f>AND(IF(P267&gt;($P$2-1),TRUE,FALSE),IF(P267&lt;($P$3+1),TRUE,FALSE))</f>
      </c>
      <c r="P267" s="83">
        <v>45236</v>
      </c>
      <c r="Q267" s="8">
        <v>196.56476281285677</v>
      </c>
      <c r="R267" s="8">
        <v>0.442492109331976</v>
      </c>
      <c r="S267" s="8">
        <v>1.917899867017263e-7</v>
      </c>
      <c r="T267" s="8">
        <v>0.969043638502019</v>
      </c>
      <c r="U267" s="7">
        <v>0</v>
      </c>
      <c r="V267" s="8">
        <v>24.7020075813706</v>
      </c>
      <c r="W267" s="8">
        <v>22.5977624911057</v>
      </c>
      <c r="X267" s="7">
        <v>0</v>
      </c>
      <c r="Y267" s="8">
        <v>0.916468120340605</v>
      </c>
      <c r="Z267" s="7">
        <v>0</v>
      </c>
      <c r="AA267" s="7">
        <v>0</v>
      </c>
      <c r="AB267" s="8">
        <v>0.99992210401874</v>
      </c>
      <c r="AC267" s="42"/>
      <c r="AD267" s="83">
        <f>IFERROR(P267,$AD$4)</f>
        <v>25569.5</v>
      </c>
      <c r="AE267" s="7">
        <f>IFERROR(U267,0)</f>
      </c>
      <c r="AF267" s="3"/>
      <c r="AG267" s="86">
        <f>Q266+S267+T267+U267</f>
      </c>
      <c r="AH267" s="86">
        <f>Q267+R267+X267</f>
      </c>
      <c r="AI267" s="59">
        <f>AH267-AG267</f>
      </c>
      <c r="AJ267" s="3"/>
      <c r="AK267" s="3"/>
    </row>
    <row x14ac:dyDescent="0.25" r="268" customHeight="1" ht="18.75">
      <c r="A268" s="3"/>
      <c r="B268" s="71"/>
      <c r="C268" s="3"/>
      <c r="D268" s="3"/>
      <c r="E268" s="3"/>
      <c r="F268" s="3"/>
      <c r="G268" s="59">
        <f>H268-DATE(YEAR(H268),1,0)+1</f>
      </c>
      <c r="H268" s="79">
        <f>H267+1</f>
        <v>25569.5</v>
      </c>
      <c r="I268" s="80">
        <f>HLOOKUP($H$4,'Met Data'!$A$2:$F$368,G268,FALSE)</f>
      </c>
      <c r="J268" s="80">
        <f>HLOOKUP($H$4,'Met Data'!$H$2:$M$368,G268,FALSE)*L268</f>
      </c>
      <c r="K268" s="81">
        <f>HLOOKUP($H$4,'Met Data'!$O$2:$T$368,G268,FALSE)</f>
      </c>
      <c r="L268" s="7">
        <f>IF(H268&lt;$B$31,$J$3,$J$4)</f>
      </c>
      <c r="M268" s="3"/>
      <c r="N268" s="82">
        <f>IF(P268&lt;$P$3,TRUE,FALSE)</f>
      </c>
      <c r="O268" s="82">
        <f>AND(IF(P268&gt;($P$2-1),TRUE,FALSE),IF(P268&lt;($P$3+1),TRUE,FALSE))</f>
      </c>
      <c r="P268" s="83">
        <v>45237</v>
      </c>
      <c r="Q268" s="8">
        <v>197.12353730018827</v>
      </c>
      <c r="R268" s="8">
        <v>0.445144781439598</v>
      </c>
      <c r="S268" s="8">
        <v>1.6677573727280714e-7</v>
      </c>
      <c r="T268" s="8">
        <v>1.0039191019953912</v>
      </c>
      <c r="U268" s="7">
        <v>0</v>
      </c>
      <c r="V268" s="8">
        <v>25.1471523628102</v>
      </c>
      <c r="W268" s="8">
        <v>23.0049875319042</v>
      </c>
      <c r="X268" s="7">
        <v>0</v>
      </c>
      <c r="Y268" s="8">
        <v>0.923665446839627</v>
      </c>
      <c r="Z268" s="7">
        <v>0</v>
      </c>
      <c r="AA268" s="7">
        <v>0</v>
      </c>
      <c r="AB268" s="8">
        <v>0.999933824491415</v>
      </c>
      <c r="AC268" s="42"/>
      <c r="AD268" s="83">
        <f>IFERROR(P268,$AD$4)</f>
        <v>25569.5</v>
      </c>
      <c r="AE268" s="7">
        <f>IFERROR(U268,0)</f>
      </c>
      <c r="AF268" s="3"/>
      <c r="AG268" s="86">
        <f>Q267+S268+T268+U268</f>
      </c>
      <c r="AH268" s="86">
        <f>Q268+R268+X268</f>
      </c>
      <c r="AI268" s="59">
        <f>AH268-AG268</f>
      </c>
      <c r="AJ268" s="3"/>
      <c r="AK268" s="3"/>
    </row>
    <row x14ac:dyDescent="0.25" r="269" customHeight="1" ht="18.75">
      <c r="A269" s="3"/>
      <c r="B269" s="71"/>
      <c r="C269" s="3"/>
      <c r="D269" s="3"/>
      <c r="E269" s="3"/>
      <c r="F269" s="3"/>
      <c r="G269" s="59">
        <f>H269-DATE(YEAR(H269),1,0)+1</f>
      </c>
      <c r="H269" s="79">
        <f>H268+1</f>
        <v>25569.5</v>
      </c>
      <c r="I269" s="80">
        <f>HLOOKUP($H$4,'Met Data'!$A$2:$F$368,G269,FALSE)</f>
      </c>
      <c r="J269" s="80">
        <f>HLOOKUP($H$4,'Met Data'!$H$2:$M$368,G269,FALSE)*L269</f>
      </c>
      <c r="K269" s="81">
        <f>HLOOKUP($H$4,'Met Data'!$O$2:$T$368,G269,FALSE)</f>
      </c>
      <c r="L269" s="7">
        <f>IF(H269&lt;$B$31,$J$3,$J$4)</f>
      </c>
      <c r="M269" s="3"/>
      <c r="N269" s="82">
        <f>IF(P269&lt;$P$3,TRUE,FALSE)</f>
      </c>
      <c r="O269" s="82">
        <f>AND(IF(P269&gt;($P$2-1),TRUE,FALSE),IF(P269&lt;($P$3+1),TRUE,FALSE))</f>
      </c>
      <c r="P269" s="83">
        <v>45238</v>
      </c>
      <c r="Q269" s="8">
        <v>197.70337913062113</v>
      </c>
      <c r="R269" s="8">
        <v>0.445453313460842</v>
      </c>
      <c r="S269" s="8">
        <v>1.4245561674106587e-7</v>
      </c>
      <c r="T269" s="8">
        <v>1.0252950014380589</v>
      </c>
      <c r="U269" s="7">
        <v>0</v>
      </c>
      <c r="V269" s="8">
        <v>25.5926056762711</v>
      </c>
      <c r="W269" s="8">
        <v>23.4124948223665</v>
      </c>
      <c r="X269" s="7">
        <v>0</v>
      </c>
      <c r="Y269" s="8">
        <v>0.922947749758584</v>
      </c>
      <c r="Z269" s="7">
        <v>0</v>
      </c>
      <c r="AA269" s="7">
        <v>0</v>
      </c>
      <c r="AB269" s="8">
        <v>0.999943947134865</v>
      </c>
      <c r="AC269" s="42"/>
      <c r="AD269" s="83">
        <f>IFERROR(P269,$AD$4)</f>
        <v>25569.5</v>
      </c>
      <c r="AE269" s="7">
        <f>IFERROR(U269,0)</f>
      </c>
      <c r="AF269" s="3"/>
      <c r="AG269" s="86">
        <f>Q268+S269+T269+U269</f>
      </c>
      <c r="AH269" s="86">
        <f>Q269+R269+X269</f>
      </c>
      <c r="AI269" s="59">
        <f>AH269-AG269</f>
      </c>
      <c r="AJ269" s="3"/>
      <c r="AK269" s="3"/>
    </row>
    <row x14ac:dyDescent="0.25" r="270" customHeight="1" ht="18.75">
      <c r="A270" s="3"/>
      <c r="B270" s="71"/>
      <c r="C270" s="3"/>
      <c r="D270" s="3"/>
      <c r="E270" s="3"/>
      <c r="F270" s="3"/>
      <c r="G270" s="59">
        <f>H270-DATE(YEAR(H270),1,0)+1</f>
      </c>
      <c r="H270" s="79">
        <f>H269+1</f>
        <v>25569.5</v>
      </c>
      <c r="I270" s="80">
        <f>HLOOKUP($H$4,'Met Data'!$A$2:$F$368,G270,FALSE)</f>
      </c>
      <c r="J270" s="80">
        <f>HLOOKUP($H$4,'Met Data'!$H$2:$M$368,G270,FALSE)*L270</f>
      </c>
      <c r="K270" s="81">
        <f>HLOOKUP($H$4,'Met Data'!$O$2:$T$368,G270,FALSE)</f>
      </c>
      <c r="L270" s="7">
        <f>IF(H270&lt;$B$31,$J$3,$J$4)</f>
      </c>
      <c r="M270" s="3"/>
      <c r="N270" s="82">
        <f>IF(P270&lt;$P$3,TRUE,FALSE)</f>
      </c>
      <c r="O270" s="82">
        <f>AND(IF(P270&gt;($P$2-1),TRUE,FALSE),IF(P270&lt;($P$3+1),TRUE,FALSE))</f>
      </c>
      <c r="P270" s="83">
        <v>45239</v>
      </c>
      <c r="Q270" s="8">
        <v>198.2709489575266</v>
      </c>
      <c r="R270" s="8">
        <v>0.426694598310736</v>
      </c>
      <c r="S270" s="8">
        <v>1.1625811505236143e-7</v>
      </c>
      <c r="T270" s="8">
        <v>0.9942643089580924</v>
      </c>
      <c r="U270" s="7">
        <v>0</v>
      </c>
      <c r="V270" s="8">
        <v>26.0193002745818</v>
      </c>
      <c r="W270" s="8">
        <v>23.8028413623026</v>
      </c>
      <c r="X270" s="7">
        <v>0</v>
      </c>
      <c r="Y270" s="8">
        <v>0.9224766651746246</v>
      </c>
      <c r="Z270" s="7">
        <v>0</v>
      </c>
      <c r="AA270" s="7">
        <v>0</v>
      </c>
      <c r="AB270" s="8">
        <v>0.999952329265678</v>
      </c>
      <c r="AC270" s="42"/>
      <c r="AD270" s="83">
        <f>IFERROR(P270,$AD$4)</f>
        <v>25569.5</v>
      </c>
      <c r="AE270" s="7">
        <f>IFERROR(U270,0)</f>
      </c>
      <c r="AF270" s="3"/>
      <c r="AG270" s="86">
        <f>Q269+S270+T270+U270</f>
      </c>
      <c r="AH270" s="86">
        <f>Q270+R270+X270</f>
      </c>
      <c r="AI270" s="59">
        <f>AH270-AG270</f>
      </c>
      <c r="AJ270" s="3"/>
      <c r="AK270" s="3"/>
    </row>
    <row x14ac:dyDescent="0.25" r="271" customHeight="1" ht="18.75">
      <c r="A271" s="3"/>
      <c r="B271" s="71"/>
      <c r="C271" s="3"/>
      <c r="D271" s="3"/>
      <c r="E271" s="3"/>
      <c r="F271" s="3"/>
      <c r="G271" s="59">
        <f>H271-DATE(YEAR(H271),1,0)+1</f>
      </c>
      <c r="H271" s="79">
        <f>H270+1</f>
        <v>25569.5</v>
      </c>
      <c r="I271" s="80">
        <f>HLOOKUP($H$4,'Met Data'!$A$2:$F$368,G271,FALSE)</f>
      </c>
      <c r="J271" s="80">
        <f>HLOOKUP($H$4,'Met Data'!$H$2:$M$368,G271,FALSE)*L271</f>
      </c>
      <c r="K271" s="81">
        <f>HLOOKUP($H$4,'Met Data'!$O$2:$T$368,G271,FALSE)</f>
      </c>
      <c r="L271" s="7">
        <f>IF(H271&lt;$B$31,$J$3,$J$4)</f>
      </c>
      <c r="M271" s="3"/>
      <c r="N271" s="82">
        <f>IF(P271&lt;$P$3,TRUE,FALSE)</f>
      </c>
      <c r="O271" s="82">
        <f>AND(IF(P271&gt;($P$2-1),TRUE,FALSE),IF(P271&lt;($P$3+1),TRUE,FALSE))</f>
      </c>
      <c r="P271" s="83">
        <v>45240</v>
      </c>
      <c r="Q271" s="8">
        <v>198.85588465831762</v>
      </c>
      <c r="R271" s="8">
        <v>0.428657140072072</v>
      </c>
      <c r="S271" s="8">
        <v>9.926863806809823e-8</v>
      </c>
      <c r="T271" s="8">
        <v>1.0135927415944543</v>
      </c>
      <c r="U271" s="7">
        <v>0</v>
      </c>
      <c r="V271" s="8">
        <v>26.4479574146539</v>
      </c>
      <c r="W271" s="8">
        <v>24.1949832645167</v>
      </c>
      <c r="X271" s="7">
        <v>0</v>
      </c>
      <c r="Y271" s="8">
        <v>0.9142923506689206</v>
      </c>
      <c r="Z271" s="7">
        <v>0</v>
      </c>
      <c r="AA271" s="7">
        <v>0</v>
      </c>
      <c r="AB271" s="8">
        <v>0.999959618376332</v>
      </c>
      <c r="AC271" s="42"/>
      <c r="AD271" s="83">
        <f>IFERROR(P271,$AD$4)</f>
        <v>25569.5</v>
      </c>
      <c r="AE271" s="7">
        <f>IFERROR(U271,0)</f>
      </c>
      <c r="AF271" s="3"/>
      <c r="AG271" s="86">
        <f>Q270+S271+T271+U271</f>
      </c>
      <c r="AH271" s="86">
        <f>Q271+R271+X271</f>
      </c>
      <c r="AI271" s="59">
        <f>AH271-AG271</f>
      </c>
      <c r="AJ271" s="3"/>
      <c r="AK271" s="3"/>
    </row>
    <row x14ac:dyDescent="0.25" r="272" customHeight="1" ht="18.75">
      <c r="A272" s="3"/>
      <c r="B272" s="71"/>
      <c r="C272" s="3"/>
      <c r="D272" s="3"/>
      <c r="E272" s="3"/>
      <c r="F272" s="3"/>
      <c r="G272" s="59">
        <f>H272-DATE(YEAR(H272),1,0)+1</f>
      </c>
      <c r="H272" s="79">
        <f>H271+1</f>
        <v>25569.5</v>
      </c>
      <c r="I272" s="80">
        <f>HLOOKUP($H$4,'Met Data'!$A$2:$F$368,G272,FALSE)</f>
      </c>
      <c r="J272" s="80">
        <f>HLOOKUP($H$4,'Met Data'!$H$2:$M$368,G272,FALSE)*L272</f>
      </c>
      <c r="K272" s="81">
        <f>HLOOKUP($H$4,'Met Data'!$O$2:$T$368,G272,FALSE)</f>
      </c>
      <c r="L272" s="7">
        <f>IF(H272&lt;$B$31,$J$3,$J$4)</f>
      </c>
      <c r="M272" s="3"/>
      <c r="N272" s="82">
        <f>IF(P272&lt;$P$3,TRUE,FALSE)</f>
      </c>
      <c r="O272" s="82">
        <f>AND(IF(P272&gt;($P$2-1),TRUE,FALSE),IF(P272&lt;($P$3+1),TRUE,FALSE))</f>
      </c>
      <c r="P272" s="83">
        <v>45241</v>
      </c>
      <c r="Q272" s="8">
        <v>199.43449148143256</v>
      </c>
      <c r="R272" s="8">
        <v>0.422420719162169</v>
      </c>
      <c r="S272" s="8">
        <v>8.229582204049e-8</v>
      </c>
      <c r="T272" s="8">
        <v>1.0010274599813014</v>
      </c>
      <c r="U272" s="7">
        <v>0</v>
      </c>
      <c r="V272" s="8">
        <v>26.8703781338161</v>
      </c>
      <c r="W272" s="8">
        <v>24.581419996491</v>
      </c>
      <c r="X272" s="7">
        <v>0</v>
      </c>
      <c r="Y272" s="8">
        <v>0.8981812718955927</v>
      </c>
      <c r="Z272" s="7">
        <v>0</v>
      </c>
      <c r="AA272" s="7">
        <v>0</v>
      </c>
      <c r="AB272" s="8">
        <v>0.999965829592091</v>
      </c>
      <c r="AC272" s="42"/>
      <c r="AD272" s="83">
        <f>IFERROR(P272,$AD$4)</f>
        <v>25569.5</v>
      </c>
      <c r="AE272" s="7">
        <f>IFERROR(U272,0)</f>
      </c>
      <c r="AF272" s="3"/>
      <c r="AG272" s="86">
        <f>Q271+S272+T272+U272</f>
      </c>
      <c r="AH272" s="86">
        <f>Q272+R272+X272</f>
      </c>
      <c r="AI272" s="59">
        <f>AH272-AG272</f>
      </c>
      <c r="AJ272" s="3"/>
      <c r="AK272" s="3"/>
    </row>
    <row x14ac:dyDescent="0.25" r="273" customHeight="1" ht="18.75">
      <c r="A273" s="3"/>
      <c r="B273" s="71"/>
      <c r="C273" s="3"/>
      <c r="D273" s="3"/>
      <c r="E273" s="3"/>
      <c r="F273" s="3"/>
      <c r="G273" s="59">
        <f>H273-DATE(YEAR(H273),1,0)+1</f>
      </c>
      <c r="H273" s="79">
        <f>H272+1</f>
        <v>25569.5</v>
      </c>
      <c r="I273" s="80">
        <f>HLOOKUP($H$4,'Met Data'!$A$2:$F$368,G273,FALSE)</f>
      </c>
      <c r="J273" s="80">
        <f>HLOOKUP($H$4,'Met Data'!$H$2:$M$368,G273,FALSE)*L273</f>
      </c>
      <c r="K273" s="81">
        <f>HLOOKUP($H$4,'Met Data'!$O$2:$T$368,G273,FALSE)</f>
      </c>
      <c r="L273" s="7">
        <f>IF(H273&lt;$B$31,$J$3,$J$4)</f>
      </c>
      <c r="M273" s="3"/>
      <c r="N273" s="82">
        <f>IF(P273&lt;$P$3,TRUE,FALSE)</f>
      </c>
      <c r="O273" s="82">
        <f>AND(IF(P273&gt;($P$2-1),TRUE,FALSE),IF(P273&lt;($P$3+1),TRUE,FALSE))</f>
      </c>
      <c r="P273" s="83">
        <v>45242</v>
      </c>
      <c r="Q273" s="8">
        <v>200.0219968439572</v>
      </c>
      <c r="R273" s="8">
        <v>0.412305625536543</v>
      </c>
      <c r="S273" s="8">
        <v>6.909065832439391e-8</v>
      </c>
      <c r="T273" s="8">
        <v>0.9998109189705211</v>
      </c>
      <c r="U273" s="7">
        <v>0</v>
      </c>
      <c r="V273" s="8">
        <v>27.2826837593526</v>
      </c>
      <c r="W273" s="8">
        <v>24.9586032909633</v>
      </c>
      <c r="X273" s="7">
        <v>0</v>
      </c>
      <c r="Y273" s="8">
        <v>0.8990849183815572</v>
      </c>
      <c r="Z273" s="7">
        <v>0</v>
      </c>
      <c r="AA273" s="7">
        <v>0</v>
      </c>
      <c r="AB273" s="8">
        <v>0.999971076234039</v>
      </c>
      <c r="AC273" s="42"/>
      <c r="AD273" s="83">
        <f>IFERROR(P273,$AD$4)</f>
        <v>25569.5</v>
      </c>
      <c r="AE273" s="7">
        <f>IFERROR(U273,0)</f>
      </c>
      <c r="AF273" s="3"/>
      <c r="AG273" s="86">
        <f>Q272+S273+T273+U273</f>
      </c>
      <c r="AH273" s="86">
        <f>Q273+R273+X273</f>
      </c>
      <c r="AI273" s="59">
        <f>AH273-AG273</f>
      </c>
      <c r="AJ273" s="3"/>
      <c r="AK273" s="3"/>
    </row>
    <row x14ac:dyDescent="0.25" r="274" customHeight="1" ht="18.75">
      <c r="A274" s="3"/>
      <c r="B274" s="71"/>
      <c r="C274" s="3"/>
      <c r="D274" s="3"/>
      <c r="E274" s="3"/>
      <c r="F274" s="3"/>
      <c r="G274" s="59">
        <f>H274-DATE(YEAR(H274),1,0)+1</f>
      </c>
      <c r="H274" s="79">
        <f>H273+1</f>
        <v>25569.5</v>
      </c>
      <c r="I274" s="80">
        <f>HLOOKUP($H$4,'Met Data'!$A$2:$F$368,G274,FALSE)</f>
      </c>
      <c r="J274" s="80">
        <f>HLOOKUP($H$4,'Met Data'!$H$2:$M$368,G274,FALSE)*L274</f>
      </c>
      <c r="K274" s="81">
        <f>HLOOKUP($H$4,'Met Data'!$O$2:$T$368,G274,FALSE)</f>
      </c>
      <c r="L274" s="7">
        <f>IF(H274&lt;$B$31,$J$3,$J$4)</f>
      </c>
      <c r="M274" s="3"/>
      <c r="N274" s="82">
        <f>IF(P274&lt;$P$3,TRUE,FALSE)</f>
      </c>
      <c r="O274" s="82">
        <f>AND(IF(P274&gt;($P$2-1),TRUE,FALSE),IF(P274&lt;($P$3+1),TRUE,FALSE))</f>
      </c>
      <c r="P274" s="83">
        <v>45243</v>
      </c>
      <c r="Q274" s="8">
        <v>200.59811805321436</v>
      </c>
      <c r="R274" s="8">
        <v>0.396554960506535</v>
      </c>
      <c r="S274" s="8">
        <v>5.675123692810851e-8</v>
      </c>
      <c r="T274" s="8">
        <v>0.9726761130124612</v>
      </c>
      <c r="U274" s="7">
        <v>0</v>
      </c>
      <c r="V274" s="8">
        <v>27.6792387198591</v>
      </c>
      <c r="W274" s="8">
        <v>25.321377643723</v>
      </c>
      <c r="X274" s="7">
        <v>0</v>
      </c>
      <c r="Y274" s="8">
        <v>0.8925925053478032</v>
      </c>
      <c r="Z274" s="7">
        <v>0</v>
      </c>
      <c r="AA274" s="7">
        <v>0</v>
      </c>
      <c r="AB274" s="8">
        <v>0.999975453751743</v>
      </c>
      <c r="AC274" s="42"/>
      <c r="AD274" s="83">
        <f>IFERROR(P274,$AD$4)</f>
        <v>25569.5</v>
      </c>
      <c r="AE274" s="7">
        <f>IFERROR(U274,0)</f>
      </c>
      <c r="AF274" s="3"/>
      <c r="AG274" s="86">
        <f>Q273+S274+T274+U274</f>
      </c>
      <c r="AH274" s="86">
        <f>Q274+R274+X274</f>
      </c>
      <c r="AI274" s="59">
        <f>AH274-AG274</f>
      </c>
      <c r="AJ274" s="3"/>
      <c r="AK274" s="3"/>
    </row>
    <row x14ac:dyDescent="0.25" r="275" customHeight="1" ht="18.75">
      <c r="A275" s="3"/>
      <c r="B275" s="71"/>
      <c r="C275" s="3"/>
      <c r="D275" s="3"/>
      <c r="E275" s="3"/>
      <c r="F275" s="3"/>
      <c r="G275" s="59">
        <f>H275-DATE(YEAR(H275),1,0)+1</f>
      </c>
      <c r="H275" s="79">
        <f>H274+1</f>
        <v>25569.5</v>
      </c>
      <c r="I275" s="80">
        <f>HLOOKUP($H$4,'Met Data'!$A$2:$F$368,G275,FALSE)</f>
      </c>
      <c r="J275" s="80">
        <f>HLOOKUP($H$4,'Met Data'!$H$2:$M$368,G275,FALSE)*L275</f>
      </c>
      <c r="K275" s="81">
        <f>HLOOKUP($H$4,'Met Data'!$O$2:$T$368,G275,FALSE)</f>
      </c>
      <c r="L275" s="7">
        <f>IF(H275&lt;$B$31,$J$3,$J$4)</f>
      </c>
      <c r="M275" s="3"/>
      <c r="N275" s="82">
        <f>IF(P275&lt;$P$3,TRUE,FALSE)</f>
      </c>
      <c r="O275" s="82">
        <f>AND(IF(P275&gt;($P$2-1),TRUE,FALSE),IF(P275&lt;($P$3+1),TRUE,FALSE))</f>
      </c>
      <c r="P275" s="83">
        <v>45244</v>
      </c>
      <c r="Q275" s="8">
        <v>201.17425289881552</v>
      </c>
      <c r="R275" s="8">
        <v>0.385717946354475</v>
      </c>
      <c r="S275" s="8">
        <v>4.74442349212453e-8</v>
      </c>
      <c r="T275" s="8">
        <v>0.9618527445113926</v>
      </c>
      <c r="U275" s="7">
        <v>0</v>
      </c>
      <c r="V275" s="8">
        <v>28.0649566662136</v>
      </c>
      <c r="W275" s="8">
        <v>25.674238135388</v>
      </c>
      <c r="X275" s="7">
        <v>0</v>
      </c>
      <c r="Y275" s="8">
        <v>0.8872172053855906</v>
      </c>
      <c r="Z275" s="7">
        <v>0</v>
      </c>
      <c r="AA275" s="7">
        <v>0</v>
      </c>
      <c r="AB275" s="8">
        <v>0.999979156624546</v>
      </c>
      <c r="AC275" s="42"/>
      <c r="AD275" s="83">
        <f>IFERROR(P275,$AD$4)</f>
        <v>25569.5</v>
      </c>
      <c r="AE275" s="7">
        <f>IFERROR(U275,0)</f>
      </c>
      <c r="AF275" s="3"/>
      <c r="AG275" s="86">
        <f>Q274+S275+T275+U275</f>
      </c>
      <c r="AH275" s="86">
        <f>Q275+R275+X275</f>
      </c>
      <c r="AI275" s="59">
        <f>AH275-AG275</f>
      </c>
      <c r="AJ275" s="3"/>
      <c r="AK275" s="3"/>
    </row>
    <row x14ac:dyDescent="0.25" r="276" customHeight="1" ht="18.75">
      <c r="A276" s="3"/>
      <c r="B276" s="71"/>
      <c r="C276" s="3"/>
      <c r="D276" s="3"/>
      <c r="E276" s="3"/>
      <c r="F276" s="3"/>
      <c r="G276" s="59">
        <f>H276-DATE(YEAR(H276),1,0)+1</f>
      </c>
      <c r="H276" s="79">
        <f>H275+1</f>
        <v>25569.5</v>
      </c>
      <c r="I276" s="80">
        <f>HLOOKUP($H$4,'Met Data'!$A$2:$F$368,G276,FALSE)</f>
      </c>
      <c r="J276" s="80">
        <f>HLOOKUP($H$4,'Met Data'!$H$2:$M$368,G276,FALSE)*L276</f>
      </c>
      <c r="K276" s="81">
        <f>HLOOKUP($H$4,'Met Data'!$O$2:$T$368,G276,FALSE)</f>
      </c>
      <c r="L276" s="7">
        <f>IF(H276&lt;$B$31,$J$3,$J$4)</f>
      </c>
      <c r="M276" s="3"/>
      <c r="N276" s="82">
        <f>IF(P276&lt;$P$3,TRUE,FALSE)</f>
      </c>
      <c r="O276" s="82">
        <f>AND(IF(P276&gt;($P$2-1),TRUE,FALSE),IF(P276&lt;($P$3+1),TRUE,FALSE))</f>
      </c>
      <c r="P276" s="83">
        <v>45245</v>
      </c>
      <c r="Q276" s="8">
        <v>201.761691523406</v>
      </c>
      <c r="R276" s="8">
        <v>0.385253761152232</v>
      </c>
      <c r="S276" s="8">
        <v>4.0425804675926685e-8</v>
      </c>
      <c r="T276" s="8">
        <v>0.9726923453169064</v>
      </c>
      <c r="U276" s="7">
        <v>0</v>
      </c>
      <c r="V276" s="8">
        <v>28.4502104273658</v>
      </c>
      <c r="W276" s="8">
        <v>26.0266739835532</v>
      </c>
      <c r="X276" s="7">
        <v>0</v>
      </c>
      <c r="Y276" s="8">
        <v>0.8726008726436836</v>
      </c>
      <c r="Z276" s="7">
        <v>0</v>
      </c>
      <c r="AA276" s="7">
        <v>0</v>
      </c>
      <c r="AB276" s="8">
        <v>0.999982371933682</v>
      </c>
      <c r="AC276" s="42"/>
      <c r="AD276" s="83">
        <f>IFERROR(P276,$AD$4)</f>
        <v>25569.5</v>
      </c>
      <c r="AE276" s="7">
        <f>IFERROR(U276,0)</f>
      </c>
      <c r="AF276" s="3"/>
      <c r="AG276" s="86">
        <f>Q275+S276+T276+U276</f>
      </c>
      <c r="AH276" s="86">
        <f>Q276+R276+X276</f>
      </c>
      <c r="AI276" s="59">
        <f>AH276-AG276</f>
      </c>
      <c r="AJ276" s="3"/>
      <c r="AK276" s="3"/>
    </row>
    <row x14ac:dyDescent="0.25" r="277" customHeight="1" ht="18.75">
      <c r="A277" s="3"/>
      <c r="B277" s="71"/>
      <c r="C277" s="3"/>
      <c r="D277" s="3"/>
      <c r="E277" s="3"/>
      <c r="F277" s="3"/>
      <c r="G277" s="59">
        <f>H277-DATE(YEAR(H277),1,0)+1</f>
      </c>
      <c r="H277" s="79">
        <f>H276+1</f>
        <v>25569.5</v>
      </c>
      <c r="I277" s="80">
        <f>HLOOKUP($H$4,'Met Data'!$A$2:$F$368,G277,FALSE)</f>
      </c>
      <c r="J277" s="80">
        <f>HLOOKUP($H$4,'Met Data'!$H$2:$M$368,G277,FALSE)*L277</f>
      </c>
      <c r="K277" s="81">
        <f>HLOOKUP($H$4,'Met Data'!$O$2:$T$368,G277,FALSE)</f>
      </c>
      <c r="L277" s="7">
        <f>IF(H277&lt;$B$31,$J$3,$J$4)</f>
      </c>
      <c r="M277" s="3"/>
      <c r="N277" s="82">
        <f>IF(P277&lt;$P$3,TRUE,FALSE)</f>
      </c>
      <c r="O277" s="82">
        <f>AND(IF(P277&gt;($P$2-1),TRUE,FALSE),IF(P277&lt;($P$3+1),TRUE,FALSE))</f>
      </c>
      <c r="P277" s="83">
        <v>45246</v>
      </c>
      <c r="Q277" s="8">
        <v>202.3850082522284</v>
      </c>
      <c r="R277" s="8">
        <v>0.383202364839203</v>
      </c>
      <c r="S277" s="8">
        <v>3.510705863363959e-8</v>
      </c>
      <c r="T277" s="8">
        <v>1.0065190585545547</v>
      </c>
      <c r="U277" s="7">
        <v>0</v>
      </c>
      <c r="V277" s="8">
        <v>28.833412792205</v>
      </c>
      <c r="W277" s="8">
        <v>26.3772331839802</v>
      </c>
      <c r="X277" s="7">
        <v>0</v>
      </c>
      <c r="Y277" s="8">
        <v>0.8780779312601037</v>
      </c>
      <c r="Z277" s="7">
        <v>0</v>
      </c>
      <c r="AA277" s="7">
        <v>0</v>
      </c>
      <c r="AB277" s="8">
        <v>0.999985146331637</v>
      </c>
      <c r="AC277" s="42"/>
      <c r="AD277" s="83">
        <f>IFERROR(P277,$AD$4)</f>
        <v>25569.5</v>
      </c>
      <c r="AE277" s="7">
        <f>IFERROR(U277,0)</f>
      </c>
      <c r="AF277" s="3"/>
      <c r="AG277" s="86">
        <f>Q276+S277+T277+U277</f>
      </c>
      <c r="AH277" s="86">
        <f>Q277+R277+X277</f>
      </c>
      <c r="AI277" s="59">
        <f>AH277-AG277</f>
      </c>
      <c r="AJ277" s="3"/>
      <c r="AK277" s="3"/>
    </row>
    <row x14ac:dyDescent="0.25" r="278" customHeight="1" ht="18.75">
      <c r="A278" s="3"/>
      <c r="B278" s="71"/>
      <c r="C278" s="3"/>
      <c r="D278" s="3"/>
      <c r="E278" s="3"/>
      <c r="F278" s="3"/>
      <c r="G278" s="59">
        <f>H278-DATE(YEAR(H278),1,0)+1</f>
      </c>
      <c r="H278" s="79">
        <f>H277+1</f>
        <v>25569.5</v>
      </c>
      <c r="I278" s="80">
        <f>HLOOKUP($H$4,'Met Data'!$A$2:$F$368,G278,FALSE)</f>
      </c>
      <c r="J278" s="80">
        <f>HLOOKUP($H$4,'Met Data'!$H$2:$M$368,G278,FALSE)*L278</f>
      </c>
      <c r="K278" s="81">
        <f>HLOOKUP($H$4,'Met Data'!$O$2:$T$368,G278,FALSE)</f>
      </c>
      <c r="L278" s="7">
        <f>IF(H278&lt;$B$31,$J$3,$J$4)</f>
      </c>
      <c r="M278" s="3"/>
      <c r="N278" s="82">
        <f>IF(P278&lt;$P$3,TRUE,FALSE)</f>
      </c>
      <c r="O278" s="82">
        <f>AND(IF(P278&gt;($P$2-1),TRUE,FALSE),IF(P278&lt;($P$3+1),TRUE,FALSE))</f>
      </c>
      <c r="P278" s="83">
        <v>45247</v>
      </c>
      <c r="Q278" s="8">
        <v>202.9800525129664</v>
      </c>
      <c r="R278" s="8">
        <v>0.363058919633435</v>
      </c>
      <c r="S278" s="8">
        <v>2.8295580138818333e-8</v>
      </c>
      <c r="T278" s="8">
        <v>0.9581031520758577</v>
      </c>
      <c r="U278" s="7">
        <v>0</v>
      </c>
      <c r="V278" s="8">
        <v>29.1964717118385</v>
      </c>
      <c r="W278" s="8">
        <v>26.7093648623115</v>
      </c>
      <c r="X278" s="7">
        <v>0</v>
      </c>
      <c r="Y278" s="8">
        <v>0.8645955634689642</v>
      </c>
      <c r="Z278" s="7">
        <v>0</v>
      </c>
      <c r="AA278" s="7">
        <v>0</v>
      </c>
      <c r="AB278" s="8">
        <v>0.999987429414147</v>
      </c>
      <c r="AC278" s="42"/>
      <c r="AD278" s="83">
        <f>IFERROR(P278,$AD$4)</f>
        <v>25569.5</v>
      </c>
      <c r="AE278" s="7">
        <f>IFERROR(U278,0)</f>
      </c>
      <c r="AF278" s="3"/>
      <c r="AG278" s="86">
        <f>Q277+S278+T278+U278</f>
      </c>
      <c r="AH278" s="86">
        <f>Q278+R278+X278</f>
      </c>
      <c r="AI278" s="59">
        <f>AH278-AG278</f>
      </c>
      <c r="AJ278" s="3"/>
      <c r="AK278" s="3"/>
    </row>
    <row x14ac:dyDescent="0.25" r="279" customHeight="1" ht="18.75">
      <c r="A279" s="3"/>
      <c r="B279" s="71"/>
      <c r="C279" s="3"/>
      <c r="D279" s="3"/>
      <c r="E279" s="3"/>
      <c r="F279" s="3"/>
      <c r="G279" s="59">
        <f>H279-DATE(YEAR(H279),1,0)+1</f>
      </c>
      <c r="H279" s="79">
        <f>H278+1</f>
        <v>25569.5</v>
      </c>
      <c r="I279" s="80">
        <f>HLOOKUP($H$4,'Met Data'!$A$2:$F$368,G279,FALSE)</f>
      </c>
      <c r="J279" s="80">
        <f>HLOOKUP($H$4,'Met Data'!$H$2:$M$368,G279,FALSE)*L279</f>
      </c>
      <c r="K279" s="81">
        <f>HLOOKUP($H$4,'Met Data'!$O$2:$T$368,G279,FALSE)</f>
      </c>
      <c r="L279" s="7">
        <f>IF(H279&lt;$B$31,$J$3,$J$4)</f>
      </c>
      <c r="M279" s="3"/>
      <c r="N279" s="82">
        <f>IF(P279&lt;$P$3,TRUE,FALSE)</f>
      </c>
      <c r="O279" s="82">
        <f>AND(IF(P279&gt;($P$2-1),TRUE,FALSE),IF(P279&lt;($P$3+1),TRUE,FALSE))</f>
      </c>
      <c r="P279" s="83">
        <v>45248</v>
      </c>
      <c r="Q279" s="8">
        <v>203.54875489349564</v>
      </c>
      <c r="R279" s="8">
        <v>0.344073094919533</v>
      </c>
      <c r="S279" s="8">
        <v>2.2984199994772483e-8</v>
      </c>
      <c r="T279" s="8">
        <v>0.9127754524645537</v>
      </c>
      <c r="U279" s="7">
        <v>0</v>
      </c>
      <c r="V279" s="8">
        <v>29.540544806758</v>
      </c>
      <c r="W279" s="8">
        <v>27.0241280269231</v>
      </c>
      <c r="X279" s="7">
        <v>0</v>
      </c>
      <c r="Y279" s="8">
        <v>0.850925810591374</v>
      </c>
      <c r="Z279" s="7">
        <v>0</v>
      </c>
      <c r="AA279" s="7">
        <v>0</v>
      </c>
      <c r="AB279" s="8">
        <v>0.999989317316766</v>
      </c>
      <c r="AC279" s="42"/>
      <c r="AD279" s="83">
        <f>IFERROR(P279,$AD$4)</f>
        <v>25569.5</v>
      </c>
      <c r="AE279" s="7">
        <f>IFERROR(U279,0)</f>
      </c>
      <c r="AF279" s="3"/>
      <c r="AG279" s="86">
        <f>Q278+S279+T279+U279</f>
      </c>
      <c r="AH279" s="86">
        <f>Q279+R279+X279</f>
      </c>
      <c r="AI279" s="59">
        <f>AH279-AG279</f>
      </c>
      <c r="AJ279" s="3"/>
      <c r="AK279" s="3"/>
    </row>
    <row x14ac:dyDescent="0.25" r="280" customHeight="1" ht="18.75">
      <c r="A280" s="3"/>
      <c r="B280" s="71"/>
      <c r="C280" s="3"/>
      <c r="D280" s="3"/>
      <c r="E280" s="3"/>
      <c r="F280" s="3"/>
      <c r="G280" s="59">
        <f>H280-DATE(YEAR(H280),1,0)+1</f>
      </c>
      <c r="H280" s="79">
        <f>H279+1</f>
        <v>25569.5</v>
      </c>
      <c r="I280" s="80">
        <f>HLOOKUP($H$4,'Met Data'!$A$2:$F$368,G280,FALSE)</f>
      </c>
      <c r="J280" s="80">
        <f>HLOOKUP($H$4,'Met Data'!$H$2:$M$368,G280,FALSE)*L280</f>
      </c>
      <c r="K280" s="81">
        <f>HLOOKUP($H$4,'Met Data'!$O$2:$T$368,G280,FALSE)</f>
      </c>
      <c r="L280" s="7">
        <f>IF(H280&lt;$B$31,$J$3,$J$4)</f>
      </c>
      <c r="M280" s="3"/>
      <c r="N280" s="82">
        <f>IF(P280&lt;$P$3,TRUE,FALSE)</f>
      </c>
      <c r="O280" s="82">
        <f>AND(IF(P280&gt;($P$2-1),TRUE,FALSE),IF(P280&lt;($P$3+1),TRUE,FALSE))</f>
      </c>
      <c r="P280" s="83">
        <v>45249</v>
      </c>
      <c r="Q280" s="8">
        <v>204.1042560012518</v>
      </c>
      <c r="R280" s="8">
        <v>0.333669210723873</v>
      </c>
      <c r="S280" s="8">
        <v>1.9132492437437735e-8</v>
      </c>
      <c r="T280" s="8">
        <v>0.8891702993475418</v>
      </c>
      <c r="U280" s="7">
        <v>0</v>
      </c>
      <c r="V280" s="8">
        <v>29.8742140174819</v>
      </c>
      <c r="W280" s="8">
        <v>27.3293735641408</v>
      </c>
      <c r="X280" s="7">
        <v>0</v>
      </c>
      <c r="Y280" s="8">
        <v>0.8321437472274484</v>
      </c>
      <c r="Z280" s="7">
        <v>0</v>
      </c>
      <c r="AA280" s="7">
        <v>0</v>
      </c>
      <c r="AB280" s="8">
        <v>0.999990919300811</v>
      </c>
      <c r="AC280" s="42"/>
      <c r="AD280" s="83">
        <f>IFERROR(P280,$AD$4)</f>
        <v>25569.5</v>
      </c>
      <c r="AE280" s="7">
        <f>IFERROR(U280,0)</f>
      </c>
      <c r="AF280" s="3"/>
      <c r="AG280" s="86">
        <f>Q279+S280+T280+U280</f>
      </c>
      <c r="AH280" s="86">
        <f>Q280+R280+X280</f>
      </c>
      <c r="AI280" s="59">
        <f>AH280-AG280</f>
      </c>
      <c r="AJ280" s="3"/>
      <c r="AK280" s="3"/>
    </row>
    <row x14ac:dyDescent="0.25" r="281" customHeight="1" ht="18.75">
      <c r="A281" s="3"/>
      <c r="B281" s="71"/>
      <c r="C281" s="3"/>
      <c r="D281" s="3"/>
      <c r="E281" s="3"/>
      <c r="F281" s="3"/>
      <c r="G281" s="59">
        <f>H281-DATE(YEAR(H281),1,0)+1</f>
      </c>
      <c r="H281" s="79">
        <f>H280+1</f>
        <v>25569.5</v>
      </c>
      <c r="I281" s="80">
        <f>HLOOKUP($H$4,'Met Data'!$A$2:$F$368,G281,FALSE)</f>
      </c>
      <c r="J281" s="80">
        <f>HLOOKUP($H$4,'Met Data'!$H$2:$M$368,G281,FALSE)*L281</f>
      </c>
      <c r="K281" s="81">
        <f>HLOOKUP($H$4,'Met Data'!$O$2:$T$368,G281,FALSE)</f>
      </c>
      <c r="L281" s="7">
        <f>IF(H281&lt;$B$31,$J$3,$J$4)</f>
      </c>
      <c r="M281" s="3"/>
      <c r="N281" s="82">
        <f>IF(P281&lt;$P$3,TRUE,FALSE)</f>
      </c>
      <c r="O281" s="82">
        <f>AND(IF(P281&gt;($P$2-1),TRUE,FALSE),IF(P281&lt;($P$3+1),TRUE,FALSE))</f>
      </c>
      <c r="P281" s="83">
        <v>45250</v>
      </c>
      <c r="Q281" s="8">
        <v>204.67862828119348</v>
      </c>
      <c r="R281" s="8">
        <v>0.332955413082573</v>
      </c>
      <c r="S281" s="8">
        <v>1.6622289819363773e-8</v>
      </c>
      <c r="T281" s="8">
        <v>0.9073276764019778</v>
      </c>
      <c r="U281" s="7">
        <v>0</v>
      </c>
      <c r="V281" s="8">
        <v>30.2071694305645</v>
      </c>
      <c r="W281" s="8">
        <v>27.6339661087016</v>
      </c>
      <c r="X281" s="7">
        <v>0</v>
      </c>
      <c r="Y281" s="8">
        <v>0.8209714538200356</v>
      </c>
      <c r="Z281" s="7">
        <v>0</v>
      </c>
      <c r="AA281" s="7">
        <v>0</v>
      </c>
      <c r="AB281" s="8">
        <v>0.999992316932851</v>
      </c>
      <c r="AC281" s="42"/>
      <c r="AD281" s="83">
        <f>IFERROR(P281,$AD$4)</f>
        <v>25569.5</v>
      </c>
      <c r="AE281" s="7">
        <f>IFERROR(U281,0)</f>
      </c>
      <c r="AF281" s="3"/>
      <c r="AG281" s="86">
        <f>Q280+S281+T281+U281</f>
      </c>
      <c r="AH281" s="86">
        <f>Q281+R281+X281</f>
      </c>
      <c r="AI281" s="59">
        <f>AH281-AG281</f>
      </c>
      <c r="AJ281" s="3"/>
      <c r="AK281" s="3"/>
    </row>
    <row x14ac:dyDescent="0.25" r="282" customHeight="1" ht="18.75">
      <c r="A282" s="3"/>
      <c r="B282" s="71"/>
      <c r="C282" s="3"/>
      <c r="D282" s="3"/>
      <c r="E282" s="3"/>
      <c r="F282" s="3"/>
      <c r="G282" s="59">
        <f>H282-DATE(YEAR(H282),1,0)+1</f>
      </c>
      <c r="H282" s="79">
        <f>H281+1</f>
        <v>25569.5</v>
      </c>
      <c r="I282" s="80">
        <f>HLOOKUP($H$4,'Met Data'!$A$2:$F$368,G282,FALSE)</f>
      </c>
      <c r="J282" s="80">
        <f>HLOOKUP($H$4,'Met Data'!$H$2:$M$368,G282,FALSE)*L282</f>
      </c>
      <c r="K282" s="81">
        <f>HLOOKUP($H$4,'Met Data'!$O$2:$T$368,G282,FALSE)</f>
      </c>
      <c r="L282" s="7">
        <f>IF(H282&lt;$B$31,$J$3,$J$4)</f>
      </c>
      <c r="M282" s="3"/>
      <c r="N282" s="82">
        <f>IF(P282&lt;$P$3,TRUE,FALSE)</f>
      </c>
      <c r="O282" s="82">
        <f>AND(IF(P282&gt;($P$2-1),TRUE,FALSE),IF(P282&lt;($P$3+1),TRUE,FALSE))</f>
      </c>
      <c r="P282" s="83">
        <v>45251</v>
      </c>
      <c r="Q282" s="8">
        <v>205.260392597862</v>
      </c>
      <c r="R282" s="8">
        <v>0.324110524878762</v>
      </c>
      <c r="S282" s="8">
        <v>1.416134373771883e-8</v>
      </c>
      <c r="T282" s="8">
        <v>0.9058748273859365</v>
      </c>
      <c r="U282" s="7">
        <v>0</v>
      </c>
      <c r="V282" s="8">
        <v>30.5312799554432</v>
      </c>
      <c r="W282" s="8">
        <v>27.9304672184981</v>
      </c>
      <c r="X282" s="7">
        <v>0</v>
      </c>
      <c r="Y282" s="8">
        <v>0.8150331095956713</v>
      </c>
      <c r="Z282" s="7">
        <v>0</v>
      </c>
      <c r="AA282" s="7">
        <v>0</v>
      </c>
      <c r="AB282" s="8">
        <v>0.999993504824839</v>
      </c>
      <c r="AC282" s="42"/>
      <c r="AD282" s="83">
        <f>IFERROR(P282,$AD$4)</f>
        <v>25569.5</v>
      </c>
      <c r="AE282" s="7">
        <f>IFERROR(U282,0)</f>
      </c>
      <c r="AF282" s="3"/>
      <c r="AG282" s="86">
        <f>Q281+S282+T282+U282</f>
      </c>
      <c r="AH282" s="86">
        <f>Q282+R282+X282</f>
      </c>
      <c r="AI282" s="59">
        <f>AH282-AG282</f>
      </c>
      <c r="AJ282" s="3"/>
      <c r="AK282" s="3"/>
    </row>
    <row x14ac:dyDescent="0.25" r="283" customHeight="1" ht="18.75">
      <c r="A283" s="3"/>
      <c r="B283" s="71"/>
      <c r="C283" s="3"/>
      <c r="D283" s="3"/>
      <c r="E283" s="3"/>
      <c r="F283" s="3"/>
      <c r="G283" s="59">
        <f>H283-DATE(YEAR(H283),1,0)+1</f>
      </c>
      <c r="H283" s="79">
        <f>H282+1</f>
        <v>25569.5</v>
      </c>
      <c r="I283" s="80">
        <f>HLOOKUP($H$4,'Met Data'!$A$2:$F$368,G283,FALSE)</f>
      </c>
      <c r="J283" s="80">
        <f>HLOOKUP($H$4,'Met Data'!$H$2:$M$368,G283,FALSE)*L283</f>
      </c>
      <c r="K283" s="81">
        <f>HLOOKUP($H$4,'Met Data'!$O$2:$T$368,G283,FALSE)</f>
      </c>
      <c r="L283" s="7">
        <f>IF(H283&lt;$B$31,$J$3,$J$4)</f>
      </c>
      <c r="M283" s="3"/>
      <c r="N283" s="82">
        <f>IF(P283&lt;$P$3,TRUE,FALSE)</f>
      </c>
      <c r="O283" s="82">
        <f>AND(IF(P283&gt;($P$2-1),TRUE,FALSE),IF(P283&lt;($P$3+1),TRUE,FALSE))</f>
      </c>
      <c r="P283" s="83" t="s">
        <v>374</v>
      </c>
      <c r="Q283" s="13" t="s">
        <v>374</v>
      </c>
      <c r="R283" s="13" t="s">
        <v>374</v>
      </c>
      <c r="S283" s="13" t="s">
        <v>374</v>
      </c>
      <c r="T283" s="13" t="s">
        <v>374</v>
      </c>
      <c r="U283" s="12" t="s">
        <v>374</v>
      </c>
      <c r="V283" s="13" t="s">
        <v>374</v>
      </c>
      <c r="W283" s="13" t="s">
        <v>374</v>
      </c>
      <c r="X283" s="12" t="s">
        <v>374</v>
      </c>
      <c r="Y283" s="13" t="s">
        <v>374</v>
      </c>
      <c r="Z283" s="12" t="s">
        <v>374</v>
      </c>
      <c r="AA283" s="12" t="s">
        <v>374</v>
      </c>
      <c r="AB283" s="13" t="s">
        <v>374</v>
      </c>
      <c r="AC283" s="42"/>
      <c r="AD283" s="83">
        <f>IFERROR(P283,$AD$4)</f>
        <v>25569.5</v>
      </c>
      <c r="AE283" s="7">
        <f>IFERROR(U283,0)</f>
      </c>
      <c r="AF283" s="3"/>
      <c r="AG283" s="105">
        <f>Q282+S283+T283+U283</f>
      </c>
      <c r="AH283" s="105">
        <f>Q283+R283+X283</f>
      </c>
      <c r="AI283" s="60">
        <f>AH283-AG283</f>
      </c>
      <c r="AJ283" s="3"/>
      <c r="AK283" s="3"/>
    </row>
    <row x14ac:dyDescent="0.25" r="284" customHeight="1" ht="18.75">
      <c r="A284" s="3"/>
      <c r="B284" s="71"/>
      <c r="C284" s="3"/>
      <c r="D284" s="3"/>
      <c r="E284" s="3"/>
      <c r="F284" s="3"/>
      <c r="G284" s="59">
        <f>H284-DATE(YEAR(H284),1,0)+1</f>
      </c>
      <c r="H284" s="79">
        <f>H283+1</f>
        <v>25569.5</v>
      </c>
      <c r="I284" s="80">
        <f>HLOOKUP($H$4,'Met Data'!$A$2:$F$368,G284,FALSE)</f>
      </c>
      <c r="J284" s="80">
        <f>HLOOKUP($H$4,'Met Data'!$H$2:$M$368,G284,FALSE)*L284</f>
      </c>
      <c r="K284" s="81">
        <f>HLOOKUP($H$4,'Met Data'!$O$2:$T$368,G284,FALSE)</f>
      </c>
      <c r="L284" s="7">
        <f>IF(H284&lt;$B$31,$J$3,$J$4)</f>
      </c>
      <c r="M284" s="3"/>
      <c r="N284" s="82">
        <f>IF(P284&lt;$P$3,TRUE,FALSE)</f>
      </c>
      <c r="O284" s="82">
        <f>AND(IF(P284&gt;($P$2-1),TRUE,FALSE),IF(P284&lt;($P$3+1),TRUE,FALSE))</f>
      </c>
      <c r="P284" s="83" t="s">
        <v>374</v>
      </c>
      <c r="Q284" s="13" t="s">
        <v>374</v>
      </c>
      <c r="R284" s="13" t="s">
        <v>374</v>
      </c>
      <c r="S284" s="13" t="s">
        <v>374</v>
      </c>
      <c r="T284" s="13" t="s">
        <v>374</v>
      </c>
      <c r="U284" s="12" t="s">
        <v>374</v>
      </c>
      <c r="V284" s="13" t="s">
        <v>374</v>
      </c>
      <c r="W284" s="13" t="s">
        <v>374</v>
      </c>
      <c r="X284" s="12" t="s">
        <v>374</v>
      </c>
      <c r="Y284" s="13" t="s">
        <v>374</v>
      </c>
      <c r="Z284" s="12" t="s">
        <v>374</v>
      </c>
      <c r="AA284" s="12" t="s">
        <v>374</v>
      </c>
      <c r="AB284" s="13" t="s">
        <v>374</v>
      </c>
      <c r="AC284" s="42"/>
      <c r="AD284" s="83">
        <f>IFERROR(P284,$AD$4)</f>
        <v>25569.5</v>
      </c>
      <c r="AE284" s="7">
        <f>IFERROR(U284,0)</f>
      </c>
      <c r="AF284" s="3"/>
      <c r="AG284" s="105">
        <f>Q283+S284+T284+U284</f>
      </c>
      <c r="AH284" s="105">
        <f>Q284+R284+X284</f>
      </c>
      <c r="AI284" s="60">
        <f>AH284-AG284</f>
      </c>
      <c r="AJ284" s="3"/>
      <c r="AK284" s="3"/>
    </row>
    <row x14ac:dyDescent="0.25" r="285" customHeight="1" ht="18.75">
      <c r="A285" s="3"/>
      <c r="B285" s="71"/>
      <c r="C285" s="3"/>
      <c r="D285" s="3"/>
      <c r="E285" s="3"/>
      <c r="F285" s="3"/>
      <c r="G285" s="59">
        <f>H285-DATE(YEAR(H285),1,0)+1</f>
      </c>
      <c r="H285" s="79">
        <f>H284+1</f>
        <v>25569.5</v>
      </c>
      <c r="I285" s="80">
        <f>HLOOKUP($H$4,'Met Data'!$A$2:$F$368,G285,FALSE)</f>
      </c>
      <c r="J285" s="80">
        <f>HLOOKUP($H$4,'Met Data'!$H$2:$M$368,G285,FALSE)*L285</f>
      </c>
      <c r="K285" s="81">
        <f>HLOOKUP($H$4,'Met Data'!$O$2:$T$368,G285,FALSE)</f>
      </c>
      <c r="L285" s="7">
        <f>IF(H285&lt;$B$31,$J$3,$J$4)</f>
      </c>
      <c r="M285" s="3"/>
      <c r="N285" s="82">
        <f>IF(P285&lt;$P$3,TRUE,FALSE)</f>
      </c>
      <c r="O285" s="82">
        <f>AND(IF(P285&gt;($P$2-1),TRUE,FALSE),IF(P285&lt;($P$3+1),TRUE,FALSE))</f>
      </c>
      <c r="P285" s="83" t="s">
        <v>374</v>
      </c>
      <c r="Q285" s="13" t="s">
        <v>374</v>
      </c>
      <c r="R285" s="13" t="s">
        <v>374</v>
      </c>
      <c r="S285" s="13" t="s">
        <v>374</v>
      </c>
      <c r="T285" s="13" t="s">
        <v>374</v>
      </c>
      <c r="U285" s="12" t="s">
        <v>374</v>
      </c>
      <c r="V285" s="13" t="s">
        <v>374</v>
      </c>
      <c r="W285" s="13" t="s">
        <v>374</v>
      </c>
      <c r="X285" s="12" t="s">
        <v>374</v>
      </c>
      <c r="Y285" s="13" t="s">
        <v>374</v>
      </c>
      <c r="Z285" s="12" t="s">
        <v>374</v>
      </c>
      <c r="AA285" s="12" t="s">
        <v>374</v>
      </c>
      <c r="AB285" s="13" t="s">
        <v>374</v>
      </c>
      <c r="AC285" s="42"/>
      <c r="AD285" s="83">
        <f>IFERROR(P285,$AD$4)</f>
        <v>25569.5</v>
      </c>
      <c r="AE285" s="7">
        <f>IFERROR(U285,0)</f>
      </c>
      <c r="AF285" s="3"/>
      <c r="AG285" s="105">
        <f>Q284+S285+T285+U285</f>
      </c>
      <c r="AH285" s="105">
        <f>Q285+R285+X285</f>
      </c>
      <c r="AI285" s="60">
        <f>AH285-AG285</f>
      </c>
      <c r="AJ285" s="3"/>
      <c r="AK285" s="3"/>
    </row>
    <row x14ac:dyDescent="0.25" r="286" customHeight="1" ht="18.75">
      <c r="A286" s="3"/>
      <c r="B286" s="71"/>
      <c r="C286" s="3"/>
      <c r="D286" s="3"/>
      <c r="E286" s="3"/>
      <c r="F286" s="3"/>
      <c r="G286" s="59">
        <f>H286-DATE(YEAR(H286),1,0)+1</f>
      </c>
      <c r="H286" s="79">
        <f>H285+1</f>
        <v>25569.5</v>
      </c>
      <c r="I286" s="80">
        <f>HLOOKUP($H$4,'Met Data'!$A$2:$F$368,G286,FALSE)</f>
      </c>
      <c r="J286" s="80">
        <f>HLOOKUP($H$4,'Met Data'!$H$2:$M$368,G286,FALSE)*L286</f>
      </c>
      <c r="K286" s="81">
        <f>HLOOKUP($H$4,'Met Data'!$O$2:$T$368,G286,FALSE)</f>
      </c>
      <c r="L286" s="7">
        <f>IF(H286&lt;$B$31,$J$3,$J$4)</f>
      </c>
      <c r="M286" s="3"/>
      <c r="N286" s="82">
        <f>IF(P286&lt;$P$3,TRUE,FALSE)</f>
      </c>
      <c r="O286" s="82">
        <f>AND(IF(P286&gt;($P$2-1),TRUE,FALSE),IF(P286&lt;($P$3+1),TRUE,FALSE))</f>
      </c>
      <c r="P286" s="83" t="s">
        <v>374</v>
      </c>
      <c r="Q286" s="13" t="s">
        <v>374</v>
      </c>
      <c r="R286" s="13" t="s">
        <v>374</v>
      </c>
      <c r="S286" s="13" t="s">
        <v>374</v>
      </c>
      <c r="T286" s="13" t="s">
        <v>374</v>
      </c>
      <c r="U286" s="12" t="s">
        <v>374</v>
      </c>
      <c r="V286" s="13" t="s">
        <v>374</v>
      </c>
      <c r="W286" s="13" t="s">
        <v>374</v>
      </c>
      <c r="X286" s="12" t="s">
        <v>374</v>
      </c>
      <c r="Y286" s="13" t="s">
        <v>374</v>
      </c>
      <c r="Z286" s="12" t="s">
        <v>374</v>
      </c>
      <c r="AA286" s="12" t="s">
        <v>374</v>
      </c>
      <c r="AB286" s="13" t="s">
        <v>374</v>
      </c>
      <c r="AC286" s="42"/>
      <c r="AD286" s="83">
        <f>IFERROR(P286,$AD$4)</f>
        <v>25569.5</v>
      </c>
      <c r="AE286" s="7">
        <f>IFERROR(U286,0)</f>
      </c>
      <c r="AF286" s="3"/>
      <c r="AG286" s="105">
        <f>Q285+S286+T286+U286</f>
      </c>
      <c r="AH286" s="105">
        <f>Q286+R286+X286</f>
      </c>
      <c r="AI286" s="60">
        <f>AH286-AG286</f>
      </c>
      <c r="AJ286" s="3"/>
      <c r="AK286" s="3"/>
    </row>
    <row x14ac:dyDescent="0.25" r="287" customHeight="1" ht="18.75">
      <c r="A287" s="3"/>
      <c r="B287" s="71"/>
      <c r="C287" s="3"/>
      <c r="D287" s="3"/>
      <c r="E287" s="3"/>
      <c r="F287" s="3"/>
      <c r="G287" s="59">
        <f>H287-DATE(YEAR(H287),1,0)+1</f>
      </c>
      <c r="H287" s="79">
        <f>H286+1</f>
        <v>25569.5</v>
      </c>
      <c r="I287" s="80">
        <f>HLOOKUP($H$4,'Met Data'!$A$2:$F$368,G287,FALSE)</f>
      </c>
      <c r="J287" s="80">
        <f>HLOOKUP($H$4,'Met Data'!$H$2:$M$368,G287,FALSE)*L287</f>
      </c>
      <c r="K287" s="81">
        <f>HLOOKUP($H$4,'Met Data'!$O$2:$T$368,G287,FALSE)</f>
      </c>
      <c r="L287" s="7">
        <f>IF(H287&lt;$B$31,$J$3,$J$4)</f>
      </c>
      <c r="M287" s="3"/>
      <c r="N287" s="82">
        <f>IF(P287&lt;$P$3,TRUE,FALSE)</f>
      </c>
      <c r="O287" s="82">
        <f>AND(IF(P287&gt;($P$2-1),TRUE,FALSE),IF(P287&lt;($P$3+1),TRUE,FALSE))</f>
      </c>
      <c r="P287" s="83" t="s">
        <v>374</v>
      </c>
      <c r="Q287" s="13" t="s">
        <v>374</v>
      </c>
      <c r="R287" s="13" t="s">
        <v>374</v>
      </c>
      <c r="S287" s="13" t="s">
        <v>374</v>
      </c>
      <c r="T287" s="13" t="s">
        <v>374</v>
      </c>
      <c r="U287" s="12" t="s">
        <v>374</v>
      </c>
      <c r="V287" s="13" t="s">
        <v>374</v>
      </c>
      <c r="W287" s="13" t="s">
        <v>374</v>
      </c>
      <c r="X287" s="12" t="s">
        <v>374</v>
      </c>
      <c r="Y287" s="13" t="s">
        <v>374</v>
      </c>
      <c r="Z287" s="12" t="s">
        <v>374</v>
      </c>
      <c r="AA287" s="12" t="s">
        <v>374</v>
      </c>
      <c r="AB287" s="13" t="s">
        <v>374</v>
      </c>
      <c r="AC287" s="42"/>
      <c r="AD287" s="83">
        <f>IFERROR(P287,$AD$4)</f>
        <v>25569.5</v>
      </c>
      <c r="AE287" s="7">
        <f>IFERROR(U287,0)</f>
      </c>
      <c r="AF287" s="3"/>
      <c r="AG287" s="105">
        <f>Q286+S287+T287+U287</f>
      </c>
      <c r="AH287" s="105">
        <f>Q287+R287+X287</f>
      </c>
      <c r="AI287" s="60">
        <f>AH287-AG287</f>
      </c>
      <c r="AJ287" s="3"/>
      <c r="AK287" s="3"/>
    </row>
    <row x14ac:dyDescent="0.25" r="288" customHeight="1" ht="18.75">
      <c r="A288" s="3"/>
      <c r="B288" s="71"/>
      <c r="C288" s="3"/>
      <c r="D288" s="3"/>
      <c r="E288" s="3"/>
      <c r="F288" s="3"/>
      <c r="G288" s="59">
        <f>H288-DATE(YEAR(H288),1,0)+1</f>
      </c>
      <c r="H288" s="79">
        <f>H287+1</f>
        <v>25569.5</v>
      </c>
      <c r="I288" s="80">
        <f>HLOOKUP($H$4,'Met Data'!$A$2:$F$368,G288,FALSE)</f>
      </c>
      <c r="J288" s="80">
        <f>HLOOKUP($H$4,'Met Data'!$H$2:$M$368,G288,FALSE)*L288</f>
      </c>
      <c r="K288" s="81">
        <f>HLOOKUP($H$4,'Met Data'!$O$2:$T$368,G288,FALSE)</f>
      </c>
      <c r="L288" s="7">
        <f>IF(H288&lt;$B$31,$J$3,$J$4)</f>
      </c>
      <c r="M288" s="3"/>
      <c r="N288" s="82">
        <f>IF(P288&lt;$P$3,TRUE,FALSE)</f>
      </c>
      <c r="O288" s="82">
        <f>AND(IF(P288&gt;($P$2-1),TRUE,FALSE),IF(P288&lt;($P$3+1),TRUE,FALSE))</f>
      </c>
      <c r="P288" s="83" t="s">
        <v>374</v>
      </c>
      <c r="Q288" s="13" t="s">
        <v>374</v>
      </c>
      <c r="R288" s="13" t="s">
        <v>374</v>
      </c>
      <c r="S288" s="13" t="s">
        <v>374</v>
      </c>
      <c r="T288" s="13" t="s">
        <v>374</v>
      </c>
      <c r="U288" s="12" t="s">
        <v>374</v>
      </c>
      <c r="V288" s="13" t="s">
        <v>374</v>
      </c>
      <c r="W288" s="13" t="s">
        <v>374</v>
      </c>
      <c r="X288" s="12" t="s">
        <v>374</v>
      </c>
      <c r="Y288" s="13" t="s">
        <v>374</v>
      </c>
      <c r="Z288" s="12" t="s">
        <v>374</v>
      </c>
      <c r="AA288" s="12" t="s">
        <v>374</v>
      </c>
      <c r="AB288" s="13" t="s">
        <v>374</v>
      </c>
      <c r="AC288" s="42"/>
      <c r="AD288" s="83">
        <f>IFERROR(P288,$AD$4)</f>
        <v>25569.5</v>
      </c>
      <c r="AE288" s="7">
        <f>IFERROR(U288,0)</f>
      </c>
      <c r="AF288" s="3"/>
      <c r="AG288" s="105">
        <f>Q287+S288+T288+U288</f>
      </c>
      <c r="AH288" s="105">
        <f>Q288+R288+X288</f>
      </c>
      <c r="AI288" s="60">
        <f>AH288-AG288</f>
      </c>
      <c r="AJ288" s="3"/>
      <c r="AK288" s="3"/>
    </row>
    <row x14ac:dyDescent="0.25" r="289" customHeight="1" ht="18.75">
      <c r="A289" s="3"/>
      <c r="B289" s="71"/>
      <c r="C289" s="3"/>
      <c r="D289" s="3"/>
      <c r="E289" s="3"/>
      <c r="F289" s="3"/>
      <c r="G289" s="59">
        <f>H289-DATE(YEAR(H289),1,0)+1</f>
      </c>
      <c r="H289" s="79">
        <f>H288+1</f>
        <v>25569.5</v>
      </c>
      <c r="I289" s="80">
        <f>HLOOKUP($H$4,'Met Data'!$A$2:$F$368,G289,FALSE)</f>
      </c>
      <c r="J289" s="80">
        <f>HLOOKUP($H$4,'Met Data'!$H$2:$M$368,G289,FALSE)*L289</f>
      </c>
      <c r="K289" s="81">
        <f>HLOOKUP($H$4,'Met Data'!$O$2:$T$368,G289,FALSE)</f>
      </c>
      <c r="L289" s="7">
        <f>IF(H289&lt;$B$31,$J$3,$J$4)</f>
      </c>
      <c r="M289" s="3"/>
      <c r="N289" s="82">
        <f>IF(P289&lt;$P$3,TRUE,FALSE)</f>
      </c>
      <c r="O289" s="82">
        <f>AND(IF(P289&gt;($P$2-1),TRUE,FALSE),IF(P289&lt;($P$3+1),TRUE,FALSE))</f>
      </c>
      <c r="P289" s="83" t="s">
        <v>374</v>
      </c>
      <c r="Q289" s="13" t="s">
        <v>374</v>
      </c>
      <c r="R289" s="13" t="s">
        <v>374</v>
      </c>
      <c r="S289" s="13" t="s">
        <v>374</v>
      </c>
      <c r="T289" s="13" t="s">
        <v>374</v>
      </c>
      <c r="U289" s="12" t="s">
        <v>374</v>
      </c>
      <c r="V289" s="13" t="s">
        <v>374</v>
      </c>
      <c r="W289" s="13" t="s">
        <v>374</v>
      </c>
      <c r="X289" s="12" t="s">
        <v>374</v>
      </c>
      <c r="Y289" s="13" t="s">
        <v>374</v>
      </c>
      <c r="Z289" s="12" t="s">
        <v>374</v>
      </c>
      <c r="AA289" s="12" t="s">
        <v>374</v>
      </c>
      <c r="AB289" s="13" t="s">
        <v>374</v>
      </c>
      <c r="AC289" s="42"/>
      <c r="AD289" s="83">
        <f>IFERROR(P289,$AD$4)</f>
        <v>25569.5</v>
      </c>
      <c r="AE289" s="7">
        <f>IFERROR(U289,0)</f>
      </c>
      <c r="AF289" s="3"/>
      <c r="AG289" s="105">
        <f>Q288+S289+T289+U289</f>
      </c>
      <c r="AH289" s="105">
        <f>Q289+R289+X289</f>
      </c>
      <c r="AI289" s="60">
        <f>AH289-AG289</f>
      </c>
      <c r="AJ289" s="3"/>
      <c r="AK289" s="3"/>
    </row>
    <row x14ac:dyDescent="0.25" r="290" customHeight="1" ht="18.75">
      <c r="A290" s="3"/>
      <c r="B290" s="71"/>
      <c r="C290" s="3"/>
      <c r="D290" s="3"/>
      <c r="E290" s="3"/>
      <c r="F290" s="3"/>
      <c r="G290" s="59">
        <f>H290-DATE(YEAR(H290),1,0)+1</f>
      </c>
      <c r="H290" s="79">
        <f>H289+1</f>
        <v>25569.5</v>
      </c>
      <c r="I290" s="80">
        <f>HLOOKUP($H$4,'Met Data'!$A$2:$F$368,G290,FALSE)</f>
      </c>
      <c r="J290" s="80">
        <f>HLOOKUP($H$4,'Met Data'!$H$2:$M$368,G290,FALSE)*L290</f>
      </c>
      <c r="K290" s="81">
        <f>HLOOKUP($H$4,'Met Data'!$O$2:$T$368,G290,FALSE)</f>
      </c>
      <c r="L290" s="7">
        <f>IF(H290&lt;$B$31,$J$3,$J$4)</f>
      </c>
      <c r="M290" s="3"/>
      <c r="N290" s="82">
        <f>IF(P290&lt;$P$3,TRUE,FALSE)</f>
      </c>
      <c r="O290" s="82">
        <f>AND(IF(P290&gt;($P$2-1),TRUE,FALSE),IF(P290&lt;($P$3+1),TRUE,FALSE))</f>
      </c>
      <c r="P290" s="83" t="s">
        <v>374</v>
      </c>
      <c r="Q290" s="13" t="s">
        <v>374</v>
      </c>
      <c r="R290" s="13" t="s">
        <v>374</v>
      </c>
      <c r="S290" s="13" t="s">
        <v>374</v>
      </c>
      <c r="T290" s="13" t="s">
        <v>374</v>
      </c>
      <c r="U290" s="12" t="s">
        <v>374</v>
      </c>
      <c r="V290" s="13" t="s">
        <v>374</v>
      </c>
      <c r="W290" s="13" t="s">
        <v>374</v>
      </c>
      <c r="X290" s="12" t="s">
        <v>374</v>
      </c>
      <c r="Y290" s="13" t="s">
        <v>374</v>
      </c>
      <c r="Z290" s="12" t="s">
        <v>374</v>
      </c>
      <c r="AA290" s="12" t="s">
        <v>374</v>
      </c>
      <c r="AB290" s="13" t="s">
        <v>374</v>
      </c>
      <c r="AC290" s="42"/>
      <c r="AD290" s="83">
        <f>IFERROR(P290,$AD$4)</f>
        <v>25569.5</v>
      </c>
      <c r="AE290" s="7">
        <f>IFERROR(U290,0)</f>
      </c>
      <c r="AF290" s="3"/>
      <c r="AG290" s="105">
        <f>Q289+S290+T290+U290</f>
      </c>
      <c r="AH290" s="105">
        <f>Q290+R290+X290</f>
      </c>
      <c r="AI290" s="60">
        <f>AH290-AG290</f>
      </c>
      <c r="AJ290" s="3"/>
      <c r="AK290" s="3"/>
    </row>
    <row x14ac:dyDescent="0.25" r="291" customHeight="1" ht="18.75">
      <c r="A291" s="3"/>
      <c r="B291" s="71"/>
      <c r="C291" s="3"/>
      <c r="D291" s="3"/>
      <c r="E291" s="3"/>
      <c r="F291" s="3"/>
      <c r="G291" s="59">
        <f>H291-DATE(YEAR(H291),1,0)+1</f>
      </c>
      <c r="H291" s="79">
        <f>H290+1</f>
        <v>25569.5</v>
      </c>
      <c r="I291" s="80">
        <f>HLOOKUP($H$4,'Met Data'!$A$2:$F$368,G291,FALSE)</f>
      </c>
      <c r="J291" s="80">
        <f>HLOOKUP($H$4,'Met Data'!$H$2:$M$368,G291,FALSE)*L291</f>
      </c>
      <c r="K291" s="81">
        <f>HLOOKUP($H$4,'Met Data'!$O$2:$T$368,G291,FALSE)</f>
      </c>
      <c r="L291" s="7">
        <f>IF(H291&lt;$B$31,$J$3,$J$4)</f>
      </c>
      <c r="M291" s="3"/>
      <c r="N291" s="82">
        <f>IF(P291&lt;$P$3,TRUE,FALSE)</f>
      </c>
      <c r="O291" s="82">
        <f>AND(IF(P291&gt;($P$2-1),TRUE,FALSE),IF(P291&lt;($P$3+1),TRUE,FALSE))</f>
      </c>
      <c r="P291" s="83" t="s">
        <v>374</v>
      </c>
      <c r="Q291" s="13" t="s">
        <v>374</v>
      </c>
      <c r="R291" s="13" t="s">
        <v>374</v>
      </c>
      <c r="S291" s="13" t="s">
        <v>374</v>
      </c>
      <c r="T291" s="13" t="s">
        <v>374</v>
      </c>
      <c r="U291" s="12" t="s">
        <v>374</v>
      </c>
      <c r="V291" s="13" t="s">
        <v>374</v>
      </c>
      <c r="W291" s="13" t="s">
        <v>374</v>
      </c>
      <c r="X291" s="12" t="s">
        <v>374</v>
      </c>
      <c r="Y291" s="13" t="s">
        <v>374</v>
      </c>
      <c r="Z291" s="12" t="s">
        <v>374</v>
      </c>
      <c r="AA291" s="12" t="s">
        <v>374</v>
      </c>
      <c r="AB291" s="13" t="s">
        <v>374</v>
      </c>
      <c r="AC291" s="42"/>
      <c r="AD291" s="83">
        <f>IFERROR(P291,$AD$4)</f>
        <v>25569.5</v>
      </c>
      <c r="AE291" s="7">
        <f>IFERROR(U291,0)</f>
      </c>
      <c r="AF291" s="3"/>
      <c r="AG291" s="105">
        <f>Q290+S291+T291+U291</f>
      </c>
      <c r="AH291" s="105">
        <f>Q291+R291+X291</f>
      </c>
      <c r="AI291" s="60">
        <f>AH291-AG291</f>
      </c>
      <c r="AJ291" s="3"/>
      <c r="AK291" s="3"/>
    </row>
    <row x14ac:dyDescent="0.25" r="292" customHeight="1" ht="18.75">
      <c r="A292" s="3"/>
      <c r="B292" s="71"/>
      <c r="C292" s="3"/>
      <c r="D292" s="3"/>
      <c r="E292" s="3"/>
      <c r="F292" s="3"/>
      <c r="G292" s="59">
        <f>H292-DATE(YEAR(H292),1,0)+1</f>
      </c>
      <c r="H292" s="79">
        <f>H291+1</f>
        <v>25569.5</v>
      </c>
      <c r="I292" s="80">
        <f>HLOOKUP($H$4,'Met Data'!$A$2:$F$368,G292,FALSE)</f>
      </c>
      <c r="J292" s="80">
        <f>HLOOKUP($H$4,'Met Data'!$H$2:$M$368,G292,FALSE)*L292</f>
      </c>
      <c r="K292" s="81">
        <f>HLOOKUP($H$4,'Met Data'!$O$2:$T$368,G292,FALSE)</f>
      </c>
      <c r="L292" s="7">
        <f>IF(H292&lt;$B$31,$J$3,$J$4)</f>
      </c>
      <c r="M292" s="3"/>
      <c r="N292" s="82">
        <f>IF(P292&lt;$P$3,TRUE,FALSE)</f>
      </c>
      <c r="O292" s="82">
        <f>AND(IF(P292&gt;($P$2-1),TRUE,FALSE),IF(P292&lt;($P$3+1),TRUE,FALSE))</f>
      </c>
      <c r="P292" s="83" t="s">
        <v>374</v>
      </c>
      <c r="Q292" s="13" t="s">
        <v>374</v>
      </c>
      <c r="R292" s="13" t="s">
        <v>374</v>
      </c>
      <c r="S292" s="13" t="s">
        <v>374</v>
      </c>
      <c r="T292" s="13" t="s">
        <v>374</v>
      </c>
      <c r="U292" s="12" t="s">
        <v>374</v>
      </c>
      <c r="V292" s="13" t="s">
        <v>374</v>
      </c>
      <c r="W292" s="13" t="s">
        <v>374</v>
      </c>
      <c r="X292" s="12" t="s">
        <v>374</v>
      </c>
      <c r="Y292" s="13" t="s">
        <v>374</v>
      </c>
      <c r="Z292" s="12" t="s">
        <v>374</v>
      </c>
      <c r="AA292" s="12" t="s">
        <v>374</v>
      </c>
      <c r="AB292" s="13" t="s">
        <v>374</v>
      </c>
      <c r="AC292" s="42"/>
      <c r="AD292" s="83">
        <f>IFERROR(P292,$AD$4)</f>
        <v>25569.5</v>
      </c>
      <c r="AE292" s="7">
        <f>IFERROR(U292,0)</f>
      </c>
      <c r="AF292" s="3"/>
      <c r="AG292" s="105">
        <f>Q291+S292+T292+U292</f>
      </c>
      <c r="AH292" s="105">
        <f>Q292+R292+X292</f>
      </c>
      <c r="AI292" s="60">
        <f>AH292-AG292</f>
      </c>
      <c r="AJ292" s="3"/>
      <c r="AK292" s="3"/>
    </row>
    <row x14ac:dyDescent="0.25" r="293" customHeight="1" ht="18.75">
      <c r="A293" s="3"/>
      <c r="B293" s="71"/>
      <c r="C293" s="3"/>
      <c r="D293" s="3"/>
      <c r="E293" s="3"/>
      <c r="F293" s="3"/>
      <c r="G293" s="59">
        <f>H293-DATE(YEAR(H293),1,0)+1</f>
      </c>
      <c r="H293" s="79">
        <f>H292+1</f>
        <v>25569.5</v>
      </c>
      <c r="I293" s="80">
        <f>HLOOKUP($H$4,'Met Data'!$A$2:$F$368,G293,FALSE)</f>
      </c>
      <c r="J293" s="80">
        <f>HLOOKUP($H$4,'Met Data'!$H$2:$M$368,G293,FALSE)*L293</f>
      </c>
      <c r="K293" s="81">
        <f>HLOOKUP($H$4,'Met Data'!$O$2:$T$368,G293,FALSE)</f>
      </c>
      <c r="L293" s="7">
        <f>IF(H293&lt;$B$31,$J$3,$J$4)</f>
      </c>
      <c r="M293" s="3"/>
      <c r="N293" s="82">
        <f>IF(P293&lt;$P$3,TRUE,FALSE)</f>
      </c>
      <c r="O293" s="82">
        <f>AND(IF(P293&gt;($P$2-1),TRUE,FALSE),IF(P293&lt;($P$3+1),TRUE,FALSE))</f>
      </c>
      <c r="P293" s="83" t="s">
        <v>374</v>
      </c>
      <c r="Q293" s="13" t="s">
        <v>374</v>
      </c>
      <c r="R293" s="13" t="s">
        <v>374</v>
      </c>
      <c r="S293" s="13" t="s">
        <v>374</v>
      </c>
      <c r="T293" s="13" t="s">
        <v>374</v>
      </c>
      <c r="U293" s="12" t="s">
        <v>374</v>
      </c>
      <c r="V293" s="13" t="s">
        <v>374</v>
      </c>
      <c r="W293" s="13" t="s">
        <v>374</v>
      </c>
      <c r="X293" s="12" t="s">
        <v>374</v>
      </c>
      <c r="Y293" s="13" t="s">
        <v>374</v>
      </c>
      <c r="Z293" s="12" t="s">
        <v>374</v>
      </c>
      <c r="AA293" s="12" t="s">
        <v>374</v>
      </c>
      <c r="AB293" s="13" t="s">
        <v>374</v>
      </c>
      <c r="AC293" s="42"/>
      <c r="AD293" s="83">
        <f>IFERROR(P293,$AD$4)</f>
        <v>25569.5</v>
      </c>
      <c r="AE293" s="7">
        <f>IFERROR(U293,0)</f>
      </c>
      <c r="AF293" s="3"/>
      <c r="AG293" s="105">
        <f>Q292+S293+T293+U293</f>
      </c>
      <c r="AH293" s="105">
        <f>Q293+R293+X293</f>
      </c>
      <c r="AI293" s="60">
        <f>AH293-AG293</f>
      </c>
      <c r="AJ293" s="3"/>
      <c r="AK293" s="3"/>
    </row>
    <row x14ac:dyDescent="0.25" r="294" customHeight="1" ht="18.75">
      <c r="A294" s="3"/>
      <c r="B294" s="71"/>
      <c r="C294" s="3"/>
      <c r="D294" s="3"/>
      <c r="E294" s="3"/>
      <c r="F294" s="3"/>
      <c r="G294" s="59">
        <f>H294-DATE(YEAR(H294),1,0)+1</f>
      </c>
      <c r="H294" s="79">
        <f>H293+1</f>
        <v>25569.5</v>
      </c>
      <c r="I294" s="80">
        <f>HLOOKUP($H$4,'Met Data'!$A$2:$F$368,G294,FALSE)</f>
      </c>
      <c r="J294" s="80">
        <f>HLOOKUP($H$4,'Met Data'!$H$2:$M$368,G294,FALSE)*L294</f>
      </c>
      <c r="K294" s="81">
        <f>HLOOKUP($H$4,'Met Data'!$O$2:$T$368,G294,FALSE)</f>
      </c>
      <c r="L294" s="7">
        <f>IF(H294&lt;$B$31,$J$3,$J$4)</f>
      </c>
      <c r="M294" s="3"/>
      <c r="N294" s="82">
        <f>IF(P294&lt;$P$3,TRUE,FALSE)</f>
      </c>
      <c r="O294" s="82">
        <f>AND(IF(P294&gt;($P$2-1),TRUE,FALSE),IF(P294&lt;($P$3+1),TRUE,FALSE))</f>
      </c>
      <c r="P294" s="83" t="s">
        <v>374</v>
      </c>
      <c r="Q294" s="13" t="s">
        <v>374</v>
      </c>
      <c r="R294" s="13" t="s">
        <v>374</v>
      </c>
      <c r="S294" s="13" t="s">
        <v>374</v>
      </c>
      <c r="T294" s="13" t="s">
        <v>374</v>
      </c>
      <c r="U294" s="12" t="s">
        <v>374</v>
      </c>
      <c r="V294" s="13" t="s">
        <v>374</v>
      </c>
      <c r="W294" s="13" t="s">
        <v>374</v>
      </c>
      <c r="X294" s="12" t="s">
        <v>374</v>
      </c>
      <c r="Y294" s="13" t="s">
        <v>374</v>
      </c>
      <c r="Z294" s="12" t="s">
        <v>374</v>
      </c>
      <c r="AA294" s="12" t="s">
        <v>374</v>
      </c>
      <c r="AB294" s="13" t="s">
        <v>374</v>
      </c>
      <c r="AC294" s="42"/>
      <c r="AD294" s="83">
        <f>IFERROR(P294,$AD$4)</f>
        <v>25569.5</v>
      </c>
      <c r="AE294" s="7">
        <f>IFERROR(U294,0)</f>
      </c>
      <c r="AF294" s="3"/>
      <c r="AG294" s="105">
        <f>Q293+S294+T294+U294</f>
      </c>
      <c r="AH294" s="105">
        <f>Q294+R294+X294</f>
      </c>
      <c r="AI294" s="60">
        <f>AH294-AG294</f>
      </c>
      <c r="AJ294" s="3"/>
      <c r="AK294" s="3"/>
    </row>
    <row x14ac:dyDescent="0.25" r="295" customHeight="1" ht="18.75">
      <c r="A295" s="3"/>
      <c r="B295" s="71"/>
      <c r="C295" s="3"/>
      <c r="D295" s="3"/>
      <c r="E295" s="3"/>
      <c r="F295" s="3"/>
      <c r="G295" s="59">
        <f>H295-DATE(YEAR(H295),1,0)+1</f>
      </c>
      <c r="H295" s="79">
        <f>H294+1</f>
        <v>25569.5</v>
      </c>
      <c r="I295" s="80">
        <f>HLOOKUP($H$4,'Met Data'!$A$2:$F$368,G295,FALSE)</f>
      </c>
      <c r="J295" s="80">
        <f>HLOOKUP($H$4,'Met Data'!$H$2:$M$368,G295,FALSE)*L295</f>
      </c>
      <c r="K295" s="81">
        <f>HLOOKUP($H$4,'Met Data'!$O$2:$T$368,G295,FALSE)</f>
      </c>
      <c r="L295" s="7">
        <f>IF(H295&lt;$B$31,$J$3,$J$4)</f>
      </c>
      <c r="M295" s="3"/>
      <c r="N295" s="82">
        <f>IF(P295&lt;$P$3,TRUE,FALSE)</f>
      </c>
      <c r="O295" s="82">
        <f>AND(IF(P295&gt;($P$2-1),TRUE,FALSE),IF(P295&lt;($P$3+1),TRUE,FALSE))</f>
      </c>
      <c r="P295" s="83" t="s">
        <v>374</v>
      </c>
      <c r="Q295" s="13" t="s">
        <v>374</v>
      </c>
      <c r="R295" s="13" t="s">
        <v>374</v>
      </c>
      <c r="S295" s="13" t="s">
        <v>374</v>
      </c>
      <c r="T295" s="13" t="s">
        <v>374</v>
      </c>
      <c r="U295" s="12" t="s">
        <v>374</v>
      </c>
      <c r="V295" s="13" t="s">
        <v>374</v>
      </c>
      <c r="W295" s="13" t="s">
        <v>374</v>
      </c>
      <c r="X295" s="12" t="s">
        <v>374</v>
      </c>
      <c r="Y295" s="13" t="s">
        <v>374</v>
      </c>
      <c r="Z295" s="12" t="s">
        <v>374</v>
      </c>
      <c r="AA295" s="12" t="s">
        <v>374</v>
      </c>
      <c r="AB295" s="13" t="s">
        <v>374</v>
      </c>
      <c r="AC295" s="42"/>
      <c r="AD295" s="83">
        <f>IFERROR(P295,$AD$4)</f>
        <v>25569.5</v>
      </c>
      <c r="AE295" s="7">
        <f>IFERROR(U295,0)</f>
      </c>
      <c r="AF295" s="3"/>
      <c r="AG295" s="105">
        <f>Q294+S295+T295+U295</f>
      </c>
      <c r="AH295" s="105">
        <f>Q295+R295+X295</f>
      </c>
      <c r="AI295" s="60">
        <f>AH295-AG295</f>
      </c>
      <c r="AJ295" s="3"/>
      <c r="AK295" s="3"/>
    </row>
    <row x14ac:dyDescent="0.25" r="296" customHeight="1" ht="18.75">
      <c r="A296" s="3"/>
      <c r="B296" s="71"/>
      <c r="C296" s="3"/>
      <c r="D296" s="3"/>
      <c r="E296" s="3"/>
      <c r="F296" s="3"/>
      <c r="G296" s="59">
        <f>H296-DATE(YEAR(H296),1,0)+1</f>
      </c>
      <c r="H296" s="79">
        <f>H295+1</f>
        <v>25569.5</v>
      </c>
      <c r="I296" s="80">
        <f>HLOOKUP($H$4,'Met Data'!$A$2:$F$368,G296,FALSE)</f>
      </c>
      <c r="J296" s="80">
        <f>HLOOKUP($H$4,'Met Data'!$H$2:$M$368,G296,FALSE)*L296</f>
      </c>
      <c r="K296" s="81">
        <f>HLOOKUP($H$4,'Met Data'!$O$2:$T$368,G296,FALSE)</f>
      </c>
      <c r="L296" s="7">
        <f>IF(H296&lt;$B$31,$J$3,$J$4)</f>
      </c>
      <c r="M296" s="3"/>
      <c r="N296" s="82">
        <f>IF(P296&lt;$P$3,TRUE,FALSE)</f>
      </c>
      <c r="O296" s="82">
        <f>AND(IF(P296&gt;($P$2-1),TRUE,FALSE),IF(P296&lt;($P$3+1),TRUE,FALSE))</f>
      </c>
      <c r="P296" s="83" t="s">
        <v>374</v>
      </c>
      <c r="Q296" s="13" t="s">
        <v>374</v>
      </c>
      <c r="R296" s="13" t="s">
        <v>374</v>
      </c>
      <c r="S296" s="13" t="s">
        <v>374</v>
      </c>
      <c r="T296" s="13" t="s">
        <v>374</v>
      </c>
      <c r="U296" s="12" t="s">
        <v>374</v>
      </c>
      <c r="V296" s="13" t="s">
        <v>374</v>
      </c>
      <c r="W296" s="13" t="s">
        <v>374</v>
      </c>
      <c r="X296" s="12" t="s">
        <v>374</v>
      </c>
      <c r="Y296" s="13" t="s">
        <v>374</v>
      </c>
      <c r="Z296" s="12" t="s">
        <v>374</v>
      </c>
      <c r="AA296" s="12" t="s">
        <v>374</v>
      </c>
      <c r="AB296" s="13" t="s">
        <v>374</v>
      </c>
      <c r="AC296" s="42"/>
      <c r="AD296" s="83">
        <f>IFERROR(P296,$AD$4)</f>
        <v>25569.5</v>
      </c>
      <c r="AE296" s="7">
        <f>IFERROR(U296,0)</f>
      </c>
      <c r="AF296" s="3"/>
      <c r="AG296" s="105">
        <f>Q295+S296+T296+U296</f>
      </c>
      <c r="AH296" s="105">
        <f>Q296+R296+X296</f>
      </c>
      <c r="AI296" s="60">
        <f>AH296-AG296</f>
      </c>
      <c r="AJ296" s="3"/>
      <c r="AK296" s="3"/>
    </row>
    <row x14ac:dyDescent="0.25" r="297" customHeight="1" ht="18.75">
      <c r="A297" s="3"/>
      <c r="B297" s="71"/>
      <c r="C297" s="3"/>
      <c r="D297" s="3"/>
      <c r="E297" s="3"/>
      <c r="F297" s="3"/>
      <c r="G297" s="59">
        <f>H297-DATE(YEAR(H297),1,0)+1</f>
      </c>
      <c r="H297" s="79">
        <f>H296+1</f>
        <v>25569.5</v>
      </c>
      <c r="I297" s="80">
        <f>HLOOKUP($H$4,'Met Data'!$A$2:$F$368,G297,FALSE)</f>
      </c>
      <c r="J297" s="80">
        <f>HLOOKUP($H$4,'Met Data'!$H$2:$M$368,G297,FALSE)*L297</f>
      </c>
      <c r="K297" s="81">
        <f>HLOOKUP($H$4,'Met Data'!$O$2:$T$368,G297,FALSE)</f>
      </c>
      <c r="L297" s="7">
        <f>IF(H297&lt;$B$31,$J$3,$J$4)</f>
      </c>
      <c r="M297" s="3"/>
      <c r="N297" s="82">
        <f>IF(P297&lt;$P$3,TRUE,FALSE)</f>
      </c>
      <c r="O297" s="82">
        <f>AND(IF(P297&gt;($P$2-1),TRUE,FALSE),IF(P297&lt;($P$3+1),TRUE,FALSE))</f>
      </c>
      <c r="P297" s="83" t="s">
        <v>374</v>
      </c>
      <c r="Q297" s="13" t="s">
        <v>374</v>
      </c>
      <c r="R297" s="13" t="s">
        <v>374</v>
      </c>
      <c r="S297" s="13" t="s">
        <v>374</v>
      </c>
      <c r="T297" s="13" t="s">
        <v>374</v>
      </c>
      <c r="U297" s="12" t="s">
        <v>374</v>
      </c>
      <c r="V297" s="13" t="s">
        <v>374</v>
      </c>
      <c r="W297" s="13" t="s">
        <v>374</v>
      </c>
      <c r="X297" s="12" t="s">
        <v>374</v>
      </c>
      <c r="Y297" s="13" t="s">
        <v>374</v>
      </c>
      <c r="Z297" s="12" t="s">
        <v>374</v>
      </c>
      <c r="AA297" s="12" t="s">
        <v>374</v>
      </c>
      <c r="AB297" s="13" t="s">
        <v>374</v>
      </c>
      <c r="AC297" s="42"/>
      <c r="AD297" s="83">
        <f>IFERROR(P297,$AD$4)</f>
        <v>25569.5</v>
      </c>
      <c r="AE297" s="7">
        <f>IFERROR(U297,0)</f>
      </c>
      <c r="AF297" s="3"/>
      <c r="AG297" s="105">
        <f>Q296+S297+T297+U297</f>
      </c>
      <c r="AH297" s="105">
        <f>Q297+R297+X297</f>
      </c>
      <c r="AI297" s="60">
        <f>AH297-AG297</f>
      </c>
      <c r="AJ297" s="3"/>
      <c r="AK297" s="3"/>
    </row>
    <row x14ac:dyDescent="0.25" r="298" customHeight="1" ht="18.75">
      <c r="A298" s="3"/>
      <c r="B298" s="71"/>
      <c r="C298" s="3"/>
      <c r="D298" s="3"/>
      <c r="E298" s="3"/>
      <c r="F298" s="3"/>
      <c r="G298" s="59">
        <f>H298-DATE(YEAR(H298),1,0)+1</f>
      </c>
      <c r="H298" s="79">
        <f>H297+1</f>
        <v>25569.5</v>
      </c>
      <c r="I298" s="80">
        <f>HLOOKUP($H$4,'Met Data'!$A$2:$F$368,G298,FALSE)</f>
      </c>
      <c r="J298" s="80">
        <f>HLOOKUP($H$4,'Met Data'!$H$2:$M$368,G298,FALSE)*L298</f>
      </c>
      <c r="K298" s="81">
        <f>HLOOKUP($H$4,'Met Data'!$O$2:$T$368,G298,FALSE)</f>
      </c>
      <c r="L298" s="7">
        <f>IF(H298&lt;$B$31,$J$3,$J$4)</f>
      </c>
      <c r="M298" s="3"/>
      <c r="N298" s="82">
        <f>IF(P298&lt;$P$3,TRUE,FALSE)</f>
      </c>
      <c r="O298" s="82">
        <f>AND(IF(P298&gt;($P$2-1),TRUE,FALSE),IF(P298&lt;($P$3+1),TRUE,FALSE))</f>
      </c>
      <c r="P298" s="83" t="s">
        <v>374</v>
      </c>
      <c r="Q298" s="13" t="s">
        <v>374</v>
      </c>
      <c r="R298" s="13" t="s">
        <v>374</v>
      </c>
      <c r="S298" s="13" t="s">
        <v>374</v>
      </c>
      <c r="T298" s="13" t="s">
        <v>374</v>
      </c>
      <c r="U298" s="12" t="s">
        <v>374</v>
      </c>
      <c r="V298" s="13" t="s">
        <v>374</v>
      </c>
      <c r="W298" s="13" t="s">
        <v>374</v>
      </c>
      <c r="X298" s="12" t="s">
        <v>374</v>
      </c>
      <c r="Y298" s="13" t="s">
        <v>374</v>
      </c>
      <c r="Z298" s="12" t="s">
        <v>374</v>
      </c>
      <c r="AA298" s="12" t="s">
        <v>374</v>
      </c>
      <c r="AB298" s="13" t="s">
        <v>374</v>
      </c>
      <c r="AC298" s="42"/>
      <c r="AD298" s="83">
        <f>IFERROR(P298,$AD$4)</f>
        <v>25569.5</v>
      </c>
      <c r="AE298" s="7">
        <f>IFERROR(U298,0)</f>
      </c>
      <c r="AF298" s="3"/>
      <c r="AG298" s="105">
        <f>Q297+S298+T298+U298</f>
      </c>
      <c r="AH298" s="105">
        <f>Q298+R298+X298</f>
      </c>
      <c r="AI298" s="60">
        <f>AH298-AG298</f>
      </c>
      <c r="AJ298" s="3"/>
      <c r="AK298" s="3"/>
    </row>
    <row x14ac:dyDescent="0.25" r="299" customHeight="1" ht="18.75">
      <c r="A299" s="3"/>
      <c r="B299" s="71"/>
      <c r="C299" s="3"/>
      <c r="D299" s="3"/>
      <c r="E299" s="3"/>
      <c r="F299" s="3"/>
      <c r="G299" s="59">
        <f>H299-DATE(YEAR(H299),1,0)+1</f>
      </c>
      <c r="H299" s="79">
        <f>H298+1</f>
        <v>25569.5</v>
      </c>
      <c r="I299" s="80">
        <f>HLOOKUP($H$4,'Met Data'!$A$2:$F$368,G299,FALSE)</f>
      </c>
      <c r="J299" s="80">
        <f>HLOOKUP($H$4,'Met Data'!$H$2:$M$368,G299,FALSE)*L299</f>
      </c>
      <c r="K299" s="81">
        <f>HLOOKUP($H$4,'Met Data'!$O$2:$T$368,G299,FALSE)</f>
      </c>
      <c r="L299" s="7">
        <f>IF(H299&lt;$B$31,$J$3,$J$4)</f>
      </c>
      <c r="M299" s="3"/>
      <c r="N299" s="82">
        <f>IF(P299&lt;$P$3,TRUE,FALSE)</f>
      </c>
      <c r="O299" s="82">
        <f>AND(IF(P299&gt;($P$2-1),TRUE,FALSE),IF(P299&lt;($P$3+1),TRUE,FALSE))</f>
      </c>
      <c r="P299" s="83" t="s">
        <v>374</v>
      </c>
      <c r="Q299" s="13" t="s">
        <v>374</v>
      </c>
      <c r="R299" s="13" t="s">
        <v>374</v>
      </c>
      <c r="S299" s="13" t="s">
        <v>374</v>
      </c>
      <c r="T299" s="13" t="s">
        <v>374</v>
      </c>
      <c r="U299" s="12" t="s">
        <v>374</v>
      </c>
      <c r="V299" s="13" t="s">
        <v>374</v>
      </c>
      <c r="W299" s="13" t="s">
        <v>374</v>
      </c>
      <c r="X299" s="12" t="s">
        <v>374</v>
      </c>
      <c r="Y299" s="13" t="s">
        <v>374</v>
      </c>
      <c r="Z299" s="12" t="s">
        <v>374</v>
      </c>
      <c r="AA299" s="12" t="s">
        <v>374</v>
      </c>
      <c r="AB299" s="13" t="s">
        <v>374</v>
      </c>
      <c r="AC299" s="42"/>
      <c r="AD299" s="83">
        <f>IFERROR(P299,$AD$4)</f>
        <v>25569.5</v>
      </c>
      <c r="AE299" s="7">
        <f>IFERROR(U299,0)</f>
      </c>
      <c r="AF299" s="3"/>
      <c r="AG299" s="105">
        <f>Q298+S299+T299+U299</f>
      </c>
      <c r="AH299" s="105">
        <f>Q299+R299+X299</f>
      </c>
      <c r="AI299" s="60">
        <f>AH299-AG299</f>
      </c>
      <c r="AJ299" s="3"/>
      <c r="AK299" s="3"/>
    </row>
    <row x14ac:dyDescent="0.25" r="300" customHeight="1" ht="18.75">
      <c r="A300" s="3"/>
      <c r="B300" s="71"/>
      <c r="C300" s="3"/>
      <c r="D300" s="3"/>
      <c r="E300" s="3"/>
      <c r="F300" s="3"/>
      <c r="G300" s="59">
        <f>H300-DATE(YEAR(H300),1,0)+1</f>
      </c>
      <c r="H300" s="79">
        <f>H299+1</f>
        <v>25569.5</v>
      </c>
      <c r="I300" s="80">
        <f>HLOOKUP($H$4,'Met Data'!$A$2:$F$368,G300,FALSE)</f>
      </c>
      <c r="J300" s="80">
        <f>HLOOKUP($H$4,'Met Data'!$H$2:$M$368,G300,FALSE)*L300</f>
      </c>
      <c r="K300" s="81">
        <f>HLOOKUP($H$4,'Met Data'!$O$2:$T$368,G300,FALSE)</f>
      </c>
      <c r="L300" s="7">
        <f>IF(H300&lt;$B$31,$J$3,$J$4)</f>
      </c>
      <c r="M300" s="3"/>
      <c r="N300" s="82">
        <f>IF(P300&lt;$P$3,TRUE,FALSE)</f>
      </c>
      <c r="O300" s="82">
        <f>AND(IF(P300&gt;($P$2-1),TRUE,FALSE),IF(P300&lt;($P$3+1),TRUE,FALSE))</f>
      </c>
      <c r="P300" s="83" t="s">
        <v>374</v>
      </c>
      <c r="Q300" s="13" t="s">
        <v>374</v>
      </c>
      <c r="R300" s="13" t="s">
        <v>374</v>
      </c>
      <c r="S300" s="13" t="s">
        <v>374</v>
      </c>
      <c r="T300" s="13" t="s">
        <v>374</v>
      </c>
      <c r="U300" s="12" t="s">
        <v>374</v>
      </c>
      <c r="V300" s="13" t="s">
        <v>374</v>
      </c>
      <c r="W300" s="13" t="s">
        <v>374</v>
      </c>
      <c r="X300" s="12" t="s">
        <v>374</v>
      </c>
      <c r="Y300" s="13" t="s">
        <v>374</v>
      </c>
      <c r="Z300" s="12" t="s">
        <v>374</v>
      </c>
      <c r="AA300" s="12" t="s">
        <v>374</v>
      </c>
      <c r="AB300" s="13" t="s">
        <v>374</v>
      </c>
      <c r="AC300" s="42"/>
      <c r="AD300" s="83">
        <f>IFERROR(P300,$AD$4)</f>
        <v>25569.5</v>
      </c>
      <c r="AE300" s="7">
        <f>IFERROR(U300,0)</f>
      </c>
      <c r="AF300" s="3"/>
      <c r="AG300" s="105">
        <f>Q299+S300+T300+U300</f>
      </c>
      <c r="AH300" s="105">
        <f>Q300+R300+X300</f>
      </c>
      <c r="AI300" s="60">
        <f>AH300-AG300</f>
      </c>
      <c r="AJ300" s="3"/>
      <c r="AK300" s="3"/>
    </row>
    <row x14ac:dyDescent="0.25" r="301" customHeight="1" ht="18.75">
      <c r="A301" s="3"/>
      <c r="B301" s="71"/>
      <c r="C301" s="3"/>
      <c r="D301" s="3"/>
      <c r="E301" s="3"/>
      <c r="F301" s="3"/>
      <c r="G301" s="59">
        <f>H301-DATE(YEAR(H301),1,0)+1</f>
      </c>
      <c r="H301" s="79">
        <f>H300+1</f>
        <v>25569.5</v>
      </c>
      <c r="I301" s="80">
        <f>HLOOKUP($H$4,'Met Data'!$A$2:$F$368,G301,FALSE)</f>
      </c>
      <c r="J301" s="80">
        <f>HLOOKUP($H$4,'Met Data'!$H$2:$M$368,G301,FALSE)*L301</f>
      </c>
      <c r="K301" s="81">
        <f>HLOOKUP($H$4,'Met Data'!$O$2:$T$368,G301,FALSE)</f>
      </c>
      <c r="L301" s="7">
        <f>IF(H301&lt;$B$31,$J$3,$J$4)</f>
      </c>
      <c r="M301" s="3"/>
      <c r="N301" s="82">
        <f>IF(P301&lt;$P$3,TRUE,FALSE)</f>
      </c>
      <c r="O301" s="82">
        <f>AND(IF(P301&gt;($P$2-1),TRUE,FALSE),IF(P301&lt;($P$3+1),TRUE,FALSE))</f>
      </c>
      <c r="P301" s="83" t="s">
        <v>374</v>
      </c>
      <c r="Q301" s="13" t="s">
        <v>374</v>
      </c>
      <c r="R301" s="13" t="s">
        <v>374</v>
      </c>
      <c r="S301" s="13" t="s">
        <v>374</v>
      </c>
      <c r="T301" s="13" t="s">
        <v>374</v>
      </c>
      <c r="U301" s="12" t="s">
        <v>374</v>
      </c>
      <c r="V301" s="13" t="s">
        <v>374</v>
      </c>
      <c r="W301" s="13" t="s">
        <v>374</v>
      </c>
      <c r="X301" s="12" t="s">
        <v>374</v>
      </c>
      <c r="Y301" s="13" t="s">
        <v>374</v>
      </c>
      <c r="Z301" s="12" t="s">
        <v>374</v>
      </c>
      <c r="AA301" s="12" t="s">
        <v>374</v>
      </c>
      <c r="AB301" s="13" t="s">
        <v>374</v>
      </c>
      <c r="AC301" s="42"/>
      <c r="AD301" s="83">
        <f>IFERROR(P301,$AD$4)</f>
        <v>25569.5</v>
      </c>
      <c r="AE301" s="7">
        <f>IFERROR(U301,0)</f>
      </c>
      <c r="AF301" s="3"/>
      <c r="AG301" s="105">
        <f>Q300+S301+T301+U301</f>
      </c>
      <c r="AH301" s="105">
        <f>Q301+R301+X301</f>
      </c>
      <c r="AI301" s="60">
        <f>AH301-AG301</f>
      </c>
      <c r="AJ301" s="3"/>
      <c r="AK301" s="3"/>
    </row>
    <row x14ac:dyDescent="0.25" r="302" customHeight="1" ht="18.75">
      <c r="A302" s="3"/>
      <c r="B302" s="71"/>
      <c r="C302" s="3"/>
      <c r="D302" s="3"/>
      <c r="E302" s="3"/>
      <c r="F302" s="3"/>
      <c r="G302" s="59">
        <f>H302-DATE(YEAR(H302),1,0)+1</f>
      </c>
      <c r="H302" s="79">
        <f>H301+1</f>
        <v>25569.5</v>
      </c>
      <c r="I302" s="80">
        <f>HLOOKUP($H$4,'Met Data'!$A$2:$F$368,G302,FALSE)</f>
      </c>
      <c r="J302" s="80">
        <f>HLOOKUP($H$4,'Met Data'!$H$2:$M$368,G302,FALSE)*L302</f>
      </c>
      <c r="K302" s="81">
        <f>HLOOKUP($H$4,'Met Data'!$O$2:$T$368,G302,FALSE)</f>
      </c>
      <c r="L302" s="7">
        <f>IF(H302&lt;$B$31,$J$3,$J$4)</f>
      </c>
      <c r="M302" s="3"/>
      <c r="N302" s="82">
        <f>IF(P302&lt;$P$3,TRUE,FALSE)</f>
      </c>
      <c r="O302" s="82">
        <f>AND(IF(P302&gt;($P$2-1),TRUE,FALSE),IF(P302&lt;($P$3+1),TRUE,FALSE))</f>
      </c>
      <c r="P302" s="83" t="s">
        <v>374</v>
      </c>
      <c r="Q302" s="13" t="s">
        <v>374</v>
      </c>
      <c r="R302" s="13" t="s">
        <v>374</v>
      </c>
      <c r="S302" s="13" t="s">
        <v>374</v>
      </c>
      <c r="T302" s="13" t="s">
        <v>374</v>
      </c>
      <c r="U302" s="12" t="s">
        <v>374</v>
      </c>
      <c r="V302" s="13" t="s">
        <v>374</v>
      </c>
      <c r="W302" s="13" t="s">
        <v>374</v>
      </c>
      <c r="X302" s="12" t="s">
        <v>374</v>
      </c>
      <c r="Y302" s="13" t="s">
        <v>374</v>
      </c>
      <c r="Z302" s="12" t="s">
        <v>374</v>
      </c>
      <c r="AA302" s="12" t="s">
        <v>374</v>
      </c>
      <c r="AB302" s="13" t="s">
        <v>374</v>
      </c>
      <c r="AC302" s="42"/>
      <c r="AD302" s="83">
        <f>IFERROR(P302,$AD$4)</f>
        <v>25569.5</v>
      </c>
      <c r="AE302" s="7">
        <f>IFERROR(U302,0)</f>
      </c>
      <c r="AF302" s="3"/>
      <c r="AG302" s="105">
        <f>Q301+S302+T302+U302</f>
      </c>
      <c r="AH302" s="105">
        <f>Q302+R302+X302</f>
      </c>
      <c r="AI302" s="60">
        <f>AH302-AG302</f>
      </c>
      <c r="AJ302" s="3"/>
      <c r="AK302" s="3"/>
    </row>
    <row x14ac:dyDescent="0.25" r="303" customHeight="1" ht="18.75">
      <c r="A303" s="3"/>
      <c r="B303" s="71"/>
      <c r="C303" s="3"/>
      <c r="D303" s="3"/>
      <c r="E303" s="3"/>
      <c r="F303" s="3"/>
      <c r="G303" s="59">
        <f>H303-DATE(YEAR(H303),1,0)+1</f>
      </c>
      <c r="H303" s="79">
        <f>H302+1</f>
        <v>25569.5</v>
      </c>
      <c r="I303" s="80">
        <f>HLOOKUP($H$4,'Met Data'!$A$2:$F$368,G303,FALSE)</f>
      </c>
      <c r="J303" s="80">
        <f>HLOOKUP($H$4,'Met Data'!$H$2:$M$368,G303,FALSE)*L303</f>
      </c>
      <c r="K303" s="81">
        <f>HLOOKUP($H$4,'Met Data'!$O$2:$T$368,G303,FALSE)</f>
      </c>
      <c r="L303" s="7">
        <f>IF(H303&lt;$B$31,$J$3,$J$4)</f>
      </c>
      <c r="M303" s="3"/>
      <c r="N303" s="82">
        <f>IF(P303&lt;$P$3,TRUE,FALSE)</f>
      </c>
      <c r="O303" s="82">
        <f>AND(IF(P303&gt;($P$2-1),TRUE,FALSE),IF(P303&lt;($P$3+1),TRUE,FALSE))</f>
      </c>
      <c r="P303" s="83" t="s">
        <v>374</v>
      </c>
      <c r="Q303" s="13" t="s">
        <v>374</v>
      </c>
      <c r="R303" s="13" t="s">
        <v>374</v>
      </c>
      <c r="S303" s="13" t="s">
        <v>374</v>
      </c>
      <c r="T303" s="13" t="s">
        <v>374</v>
      </c>
      <c r="U303" s="12" t="s">
        <v>374</v>
      </c>
      <c r="V303" s="13" t="s">
        <v>374</v>
      </c>
      <c r="W303" s="13" t="s">
        <v>374</v>
      </c>
      <c r="X303" s="12" t="s">
        <v>374</v>
      </c>
      <c r="Y303" s="13" t="s">
        <v>374</v>
      </c>
      <c r="Z303" s="12" t="s">
        <v>374</v>
      </c>
      <c r="AA303" s="12" t="s">
        <v>374</v>
      </c>
      <c r="AB303" s="13" t="s">
        <v>374</v>
      </c>
      <c r="AC303" s="42"/>
      <c r="AD303" s="83">
        <f>IFERROR(P303,$AD$4)</f>
        <v>25569.5</v>
      </c>
      <c r="AE303" s="7">
        <f>IFERROR(U303,0)</f>
      </c>
      <c r="AF303" s="3"/>
      <c r="AG303" s="105">
        <f>Q302+S303+T303+U303</f>
      </c>
      <c r="AH303" s="105">
        <f>Q303+R303+X303</f>
      </c>
      <c r="AI303" s="60">
        <f>AH303-AG303</f>
      </c>
      <c r="AJ303" s="3"/>
      <c r="AK303" s="3"/>
    </row>
    <row x14ac:dyDescent="0.25" r="304" customHeight="1" ht="18.75">
      <c r="A304" s="3"/>
      <c r="B304" s="71"/>
      <c r="C304" s="3"/>
      <c r="D304" s="3"/>
      <c r="E304" s="3"/>
      <c r="F304" s="3"/>
      <c r="G304" s="59">
        <f>H304-DATE(YEAR(H304),1,0)+1</f>
      </c>
      <c r="H304" s="79">
        <f>H303+1</f>
        <v>25569.5</v>
      </c>
      <c r="I304" s="80">
        <f>HLOOKUP($H$4,'Met Data'!$A$2:$F$368,G304,FALSE)</f>
      </c>
      <c r="J304" s="80">
        <f>HLOOKUP($H$4,'Met Data'!$H$2:$M$368,G304,FALSE)*L304</f>
      </c>
      <c r="K304" s="81">
        <f>HLOOKUP($H$4,'Met Data'!$O$2:$T$368,G304,FALSE)</f>
      </c>
      <c r="L304" s="7">
        <f>IF(H304&lt;$B$31,$J$3,$J$4)</f>
      </c>
      <c r="M304" s="3"/>
      <c r="N304" s="82">
        <f>IF(P304&lt;$P$3,TRUE,FALSE)</f>
      </c>
      <c r="O304" s="82">
        <f>AND(IF(P304&gt;($P$2-1),TRUE,FALSE),IF(P304&lt;($P$3+1),TRUE,FALSE))</f>
      </c>
      <c r="P304" s="83" t="s">
        <v>374</v>
      </c>
      <c r="Q304" s="13" t="s">
        <v>374</v>
      </c>
      <c r="R304" s="13" t="s">
        <v>374</v>
      </c>
      <c r="S304" s="13" t="s">
        <v>374</v>
      </c>
      <c r="T304" s="13" t="s">
        <v>374</v>
      </c>
      <c r="U304" s="12" t="s">
        <v>374</v>
      </c>
      <c r="V304" s="13" t="s">
        <v>374</v>
      </c>
      <c r="W304" s="13" t="s">
        <v>374</v>
      </c>
      <c r="X304" s="12" t="s">
        <v>374</v>
      </c>
      <c r="Y304" s="13" t="s">
        <v>374</v>
      </c>
      <c r="Z304" s="12" t="s">
        <v>374</v>
      </c>
      <c r="AA304" s="12" t="s">
        <v>374</v>
      </c>
      <c r="AB304" s="13" t="s">
        <v>374</v>
      </c>
      <c r="AC304" s="42"/>
      <c r="AD304" s="83">
        <f>IFERROR(P304,$AD$4)</f>
        <v>25569.5</v>
      </c>
      <c r="AE304" s="7">
        <f>IFERROR(U304,0)</f>
      </c>
      <c r="AF304" s="3"/>
      <c r="AG304" s="105">
        <f>Q303+S304+T304+U304</f>
      </c>
      <c r="AH304" s="105">
        <f>Q304+R304+X304</f>
      </c>
      <c r="AI304" s="60">
        <f>AH304-AG304</f>
      </c>
      <c r="AJ304" s="3"/>
      <c r="AK304" s="3"/>
    </row>
    <row x14ac:dyDescent="0.25" r="305" customHeight="1" ht="18.75">
      <c r="A305" s="3"/>
      <c r="B305" s="71"/>
      <c r="C305" s="3"/>
      <c r="D305" s="3"/>
      <c r="E305" s="3"/>
      <c r="F305" s="3"/>
      <c r="G305" s="59">
        <f>H305-DATE(YEAR(H305),1,0)+1</f>
      </c>
      <c r="H305" s="79">
        <f>H304+1</f>
        <v>25569.5</v>
      </c>
      <c r="I305" s="80">
        <f>HLOOKUP($H$4,'Met Data'!$A$2:$F$368,G305,FALSE)</f>
      </c>
      <c r="J305" s="80">
        <f>HLOOKUP($H$4,'Met Data'!$H$2:$M$368,G305,FALSE)*L305</f>
      </c>
      <c r="K305" s="81">
        <f>HLOOKUP($H$4,'Met Data'!$O$2:$T$368,G305,FALSE)</f>
      </c>
      <c r="L305" s="7">
        <f>IF(H305&lt;$B$31,$J$3,$J$4)</f>
      </c>
      <c r="M305" s="3"/>
      <c r="N305" s="82">
        <f>IF(P305&lt;$P$3,TRUE,FALSE)</f>
      </c>
      <c r="O305" s="82">
        <f>AND(IF(P305&gt;($P$2-1),TRUE,FALSE),IF(P305&lt;($P$3+1),TRUE,FALSE))</f>
      </c>
      <c r="P305" s="83" t="s">
        <v>374</v>
      </c>
      <c r="Q305" s="13" t="s">
        <v>374</v>
      </c>
      <c r="R305" s="13" t="s">
        <v>374</v>
      </c>
      <c r="S305" s="13" t="s">
        <v>374</v>
      </c>
      <c r="T305" s="13" t="s">
        <v>374</v>
      </c>
      <c r="U305" s="12" t="s">
        <v>374</v>
      </c>
      <c r="V305" s="13" t="s">
        <v>374</v>
      </c>
      <c r="W305" s="13" t="s">
        <v>374</v>
      </c>
      <c r="X305" s="12" t="s">
        <v>374</v>
      </c>
      <c r="Y305" s="13" t="s">
        <v>374</v>
      </c>
      <c r="Z305" s="12" t="s">
        <v>374</v>
      </c>
      <c r="AA305" s="12" t="s">
        <v>374</v>
      </c>
      <c r="AB305" s="13" t="s">
        <v>374</v>
      </c>
      <c r="AC305" s="42"/>
      <c r="AD305" s="83">
        <f>IFERROR(P305,$AD$4)</f>
        <v>25569.5</v>
      </c>
      <c r="AE305" s="7">
        <f>IFERROR(U305,0)</f>
      </c>
      <c r="AF305" s="3"/>
      <c r="AG305" s="105">
        <f>Q304+S305+T305+U305</f>
      </c>
      <c r="AH305" s="105">
        <f>Q305+R305+X305</f>
      </c>
      <c r="AI305" s="60">
        <f>AH305-AG305</f>
      </c>
      <c r="AJ305" s="3"/>
      <c r="AK305" s="3"/>
    </row>
    <row x14ac:dyDescent="0.25" r="306" customHeight="1" ht="18.75">
      <c r="A306" s="3"/>
      <c r="B306" s="71"/>
      <c r="C306" s="3"/>
      <c r="D306" s="3"/>
      <c r="E306" s="3"/>
      <c r="F306" s="3"/>
      <c r="G306" s="59">
        <f>H306-DATE(YEAR(H306),1,0)+1</f>
      </c>
      <c r="H306" s="79">
        <f>H305+1</f>
        <v>25569.5</v>
      </c>
      <c r="I306" s="80">
        <f>HLOOKUP($H$4,'Met Data'!$A$2:$F$368,G306,FALSE)</f>
      </c>
      <c r="J306" s="80">
        <f>HLOOKUP($H$4,'Met Data'!$H$2:$M$368,G306,FALSE)*L306</f>
      </c>
      <c r="K306" s="81">
        <f>HLOOKUP($H$4,'Met Data'!$O$2:$T$368,G306,FALSE)</f>
      </c>
      <c r="L306" s="7">
        <f>IF(H306&lt;$B$31,$J$3,$J$4)</f>
      </c>
      <c r="M306" s="3"/>
      <c r="N306" s="82">
        <f>IF(P306&lt;$P$3,TRUE,FALSE)</f>
      </c>
      <c r="O306" s="82">
        <f>AND(IF(P306&gt;($P$2-1),TRUE,FALSE),IF(P306&lt;($P$3+1),TRUE,FALSE))</f>
      </c>
      <c r="P306" s="83" t="s">
        <v>374</v>
      </c>
      <c r="Q306" s="13" t="s">
        <v>374</v>
      </c>
      <c r="R306" s="13" t="s">
        <v>374</v>
      </c>
      <c r="S306" s="13" t="s">
        <v>374</v>
      </c>
      <c r="T306" s="13" t="s">
        <v>374</v>
      </c>
      <c r="U306" s="12" t="s">
        <v>374</v>
      </c>
      <c r="V306" s="13" t="s">
        <v>374</v>
      </c>
      <c r="W306" s="13" t="s">
        <v>374</v>
      </c>
      <c r="X306" s="12" t="s">
        <v>374</v>
      </c>
      <c r="Y306" s="13" t="s">
        <v>374</v>
      </c>
      <c r="Z306" s="12" t="s">
        <v>374</v>
      </c>
      <c r="AA306" s="12" t="s">
        <v>374</v>
      </c>
      <c r="AB306" s="13" t="s">
        <v>374</v>
      </c>
      <c r="AC306" s="42"/>
      <c r="AD306" s="83">
        <f>IFERROR(P306,$AD$4)</f>
        <v>25569.5</v>
      </c>
      <c r="AE306" s="7">
        <f>IFERROR(U306,0)</f>
      </c>
      <c r="AF306" s="3"/>
      <c r="AG306" s="105">
        <f>Q305+S306+T306+U306</f>
      </c>
      <c r="AH306" s="105">
        <f>Q306+R306+X306</f>
      </c>
      <c r="AI306" s="60">
        <f>AH306-AG306</f>
      </c>
      <c r="AJ306" s="3"/>
      <c r="AK306" s="3"/>
    </row>
    <row x14ac:dyDescent="0.25" r="307" customHeight="1" ht="18.75">
      <c r="A307" s="3"/>
      <c r="B307" s="71"/>
      <c r="C307" s="3"/>
      <c r="D307" s="3"/>
      <c r="E307" s="3"/>
      <c r="F307" s="3"/>
      <c r="G307" s="59">
        <f>H307-DATE(YEAR(H307),1,0)+1</f>
      </c>
      <c r="H307" s="79">
        <f>H306+1</f>
        <v>25569.5</v>
      </c>
      <c r="I307" s="80">
        <f>HLOOKUP($H$4,'Met Data'!$A$2:$F$368,G307,FALSE)</f>
      </c>
      <c r="J307" s="80">
        <f>HLOOKUP($H$4,'Met Data'!$H$2:$M$368,G307,FALSE)*L307</f>
      </c>
      <c r="K307" s="81">
        <f>HLOOKUP($H$4,'Met Data'!$O$2:$T$368,G307,FALSE)</f>
      </c>
      <c r="L307" s="7">
        <f>IF(H307&lt;$B$31,$J$3,$J$4)</f>
      </c>
      <c r="M307" s="3"/>
      <c r="N307" s="82">
        <f>IF(P307&lt;$P$3,TRUE,FALSE)</f>
      </c>
      <c r="O307" s="82">
        <f>AND(IF(P307&gt;($P$2-1),TRUE,FALSE),IF(P307&lt;($P$3+1),TRUE,FALSE))</f>
      </c>
      <c r="P307" s="83" t="s">
        <v>374</v>
      </c>
      <c r="Q307" s="13" t="s">
        <v>374</v>
      </c>
      <c r="R307" s="13" t="s">
        <v>374</v>
      </c>
      <c r="S307" s="13" t="s">
        <v>374</v>
      </c>
      <c r="T307" s="13" t="s">
        <v>374</v>
      </c>
      <c r="U307" s="12" t="s">
        <v>374</v>
      </c>
      <c r="V307" s="13" t="s">
        <v>374</v>
      </c>
      <c r="W307" s="13" t="s">
        <v>374</v>
      </c>
      <c r="X307" s="12" t="s">
        <v>374</v>
      </c>
      <c r="Y307" s="13" t="s">
        <v>374</v>
      </c>
      <c r="Z307" s="12" t="s">
        <v>374</v>
      </c>
      <c r="AA307" s="12" t="s">
        <v>374</v>
      </c>
      <c r="AB307" s="13" t="s">
        <v>374</v>
      </c>
      <c r="AC307" s="42"/>
      <c r="AD307" s="83">
        <f>IFERROR(P307,$AD$4)</f>
        <v>25569.5</v>
      </c>
      <c r="AE307" s="7">
        <f>IFERROR(U307,0)</f>
      </c>
      <c r="AF307" s="3"/>
      <c r="AG307" s="105">
        <f>Q306+S307+T307+U307</f>
      </c>
      <c r="AH307" s="105">
        <f>Q307+R307+X307</f>
      </c>
      <c r="AI307" s="60">
        <f>AH307-AG307</f>
      </c>
      <c r="AJ307" s="3"/>
      <c r="AK307" s="3"/>
    </row>
    <row x14ac:dyDescent="0.25" r="308" customHeight="1" ht="18.75">
      <c r="A308" s="3"/>
      <c r="B308" s="71"/>
      <c r="C308" s="3"/>
      <c r="D308" s="3"/>
      <c r="E308" s="3"/>
      <c r="F308" s="3"/>
      <c r="G308" s="59">
        <f>H308-DATE(YEAR(H308),1,0)+1</f>
      </c>
      <c r="H308" s="79">
        <f>H307+1</f>
        <v>25569.5</v>
      </c>
      <c r="I308" s="80">
        <f>HLOOKUP($H$4,'Met Data'!$A$2:$F$368,G308,FALSE)</f>
      </c>
      <c r="J308" s="80">
        <f>HLOOKUP($H$4,'Met Data'!$H$2:$M$368,G308,FALSE)*L308</f>
      </c>
      <c r="K308" s="81">
        <f>HLOOKUP($H$4,'Met Data'!$O$2:$T$368,G308,FALSE)</f>
      </c>
      <c r="L308" s="7">
        <f>IF(H308&lt;$B$31,$J$3,$J$4)</f>
      </c>
      <c r="M308" s="3"/>
      <c r="N308" s="82">
        <f>IF(P308&lt;$P$3,TRUE,FALSE)</f>
      </c>
      <c r="O308" s="82">
        <f>AND(IF(P308&gt;($P$2-1),TRUE,FALSE),IF(P308&lt;($P$3+1),TRUE,FALSE))</f>
      </c>
      <c r="P308" s="83" t="s">
        <v>374</v>
      </c>
      <c r="Q308" s="13" t="s">
        <v>374</v>
      </c>
      <c r="R308" s="13" t="s">
        <v>374</v>
      </c>
      <c r="S308" s="13" t="s">
        <v>374</v>
      </c>
      <c r="T308" s="13" t="s">
        <v>374</v>
      </c>
      <c r="U308" s="12" t="s">
        <v>374</v>
      </c>
      <c r="V308" s="13" t="s">
        <v>374</v>
      </c>
      <c r="W308" s="13" t="s">
        <v>374</v>
      </c>
      <c r="X308" s="12" t="s">
        <v>374</v>
      </c>
      <c r="Y308" s="13" t="s">
        <v>374</v>
      </c>
      <c r="Z308" s="12" t="s">
        <v>374</v>
      </c>
      <c r="AA308" s="12" t="s">
        <v>374</v>
      </c>
      <c r="AB308" s="13" t="s">
        <v>374</v>
      </c>
      <c r="AC308" s="42"/>
      <c r="AD308" s="83">
        <f>IFERROR(P308,$AD$4)</f>
        <v>25569.5</v>
      </c>
      <c r="AE308" s="7">
        <f>IFERROR(U308,0)</f>
      </c>
      <c r="AF308" s="3"/>
      <c r="AG308" s="105">
        <f>Q307+S308+T308+U308</f>
      </c>
      <c r="AH308" s="105">
        <f>Q308+R308+X308</f>
      </c>
      <c r="AI308" s="60">
        <f>AH308-AG308</f>
      </c>
      <c r="AJ308" s="3"/>
      <c r="AK308" s="3"/>
    </row>
    <row x14ac:dyDescent="0.25" r="309" customHeight="1" ht="18.75">
      <c r="A309" s="3"/>
      <c r="B309" s="71"/>
      <c r="C309" s="3"/>
      <c r="D309" s="3"/>
      <c r="E309" s="3"/>
      <c r="F309" s="3"/>
      <c r="G309" s="59">
        <f>H309-DATE(YEAR(H309),1,0)+1</f>
      </c>
      <c r="H309" s="79">
        <f>H308+1</f>
        <v>25569.5</v>
      </c>
      <c r="I309" s="80">
        <f>HLOOKUP($H$4,'Met Data'!$A$2:$F$368,G309,FALSE)</f>
      </c>
      <c r="J309" s="80">
        <f>HLOOKUP($H$4,'Met Data'!$H$2:$M$368,G309,FALSE)*L309</f>
      </c>
      <c r="K309" s="81">
        <f>HLOOKUP($H$4,'Met Data'!$O$2:$T$368,G309,FALSE)</f>
      </c>
      <c r="L309" s="7">
        <f>IF(H309&lt;$B$31,$J$3,$J$4)</f>
      </c>
      <c r="M309" s="3"/>
      <c r="N309" s="82">
        <f>IF(P309&lt;$P$3,TRUE,FALSE)</f>
      </c>
      <c r="O309" s="82">
        <f>AND(IF(P309&gt;($P$2-1),TRUE,FALSE),IF(P309&lt;($P$3+1),TRUE,FALSE))</f>
      </c>
      <c r="P309" s="83" t="s">
        <v>374</v>
      </c>
      <c r="Q309" s="13" t="s">
        <v>374</v>
      </c>
      <c r="R309" s="13" t="s">
        <v>374</v>
      </c>
      <c r="S309" s="13" t="s">
        <v>374</v>
      </c>
      <c r="T309" s="13" t="s">
        <v>374</v>
      </c>
      <c r="U309" s="12" t="s">
        <v>374</v>
      </c>
      <c r="V309" s="13" t="s">
        <v>374</v>
      </c>
      <c r="W309" s="13" t="s">
        <v>374</v>
      </c>
      <c r="X309" s="12" t="s">
        <v>374</v>
      </c>
      <c r="Y309" s="13" t="s">
        <v>374</v>
      </c>
      <c r="Z309" s="12" t="s">
        <v>374</v>
      </c>
      <c r="AA309" s="12" t="s">
        <v>374</v>
      </c>
      <c r="AB309" s="13" t="s">
        <v>374</v>
      </c>
      <c r="AC309" s="42"/>
      <c r="AD309" s="83">
        <f>IFERROR(P309,$AD$4)</f>
        <v>25569.5</v>
      </c>
      <c r="AE309" s="7">
        <f>IFERROR(U309,0)</f>
      </c>
      <c r="AF309" s="3"/>
      <c r="AG309" s="105">
        <f>Q308+S309+T309+U309</f>
      </c>
      <c r="AH309" s="105">
        <f>Q309+R309+X309</f>
      </c>
      <c r="AI309" s="60">
        <f>AH309-AG309</f>
      </c>
      <c r="AJ309" s="3"/>
      <c r="AK309" s="3"/>
    </row>
    <row x14ac:dyDescent="0.25" r="310" customHeight="1" ht="18.75">
      <c r="A310" s="3"/>
      <c r="B310" s="71"/>
      <c r="C310" s="3"/>
      <c r="D310" s="3"/>
      <c r="E310" s="3"/>
      <c r="F310" s="3"/>
      <c r="G310" s="59">
        <f>H310-DATE(YEAR(H310),1,0)+1</f>
      </c>
      <c r="H310" s="79">
        <f>H309+1</f>
        <v>25569.5</v>
      </c>
      <c r="I310" s="80">
        <f>HLOOKUP($H$4,'Met Data'!$A$2:$F$368,G310,FALSE)</f>
      </c>
      <c r="J310" s="80">
        <f>HLOOKUP($H$4,'Met Data'!$H$2:$M$368,G310,FALSE)*L310</f>
      </c>
      <c r="K310" s="81">
        <f>HLOOKUP($H$4,'Met Data'!$O$2:$T$368,G310,FALSE)</f>
      </c>
      <c r="L310" s="7">
        <f>IF(H310&lt;$B$31,$J$3,$J$4)</f>
      </c>
      <c r="M310" s="3"/>
      <c r="N310" s="82">
        <f>IF(P310&lt;$P$3,TRUE,FALSE)</f>
      </c>
      <c r="O310" s="82">
        <f>AND(IF(P310&gt;($P$2-1),TRUE,FALSE),IF(P310&lt;($P$3+1),TRUE,FALSE))</f>
      </c>
      <c r="P310" s="83" t="s">
        <v>374</v>
      </c>
      <c r="Q310" s="13" t="s">
        <v>374</v>
      </c>
      <c r="R310" s="13" t="s">
        <v>374</v>
      </c>
      <c r="S310" s="13" t="s">
        <v>374</v>
      </c>
      <c r="T310" s="13" t="s">
        <v>374</v>
      </c>
      <c r="U310" s="12" t="s">
        <v>374</v>
      </c>
      <c r="V310" s="13" t="s">
        <v>374</v>
      </c>
      <c r="W310" s="13" t="s">
        <v>374</v>
      </c>
      <c r="X310" s="12" t="s">
        <v>374</v>
      </c>
      <c r="Y310" s="13" t="s">
        <v>374</v>
      </c>
      <c r="Z310" s="12" t="s">
        <v>374</v>
      </c>
      <c r="AA310" s="12" t="s">
        <v>374</v>
      </c>
      <c r="AB310" s="13" t="s">
        <v>374</v>
      </c>
      <c r="AC310" s="42"/>
      <c r="AD310" s="83">
        <f>IFERROR(P310,$AD$4)</f>
        <v>25569.5</v>
      </c>
      <c r="AE310" s="7">
        <f>IFERROR(U310,0)</f>
      </c>
      <c r="AF310" s="3"/>
      <c r="AG310" s="105">
        <f>Q309+S310+T310+U310</f>
      </c>
      <c r="AH310" s="105">
        <f>Q310+R310+X310</f>
      </c>
      <c r="AI310" s="60">
        <f>AH310-AG310</f>
      </c>
      <c r="AJ310" s="3"/>
      <c r="AK310" s="3"/>
    </row>
    <row x14ac:dyDescent="0.25" r="311" customHeight="1" ht="18.75">
      <c r="A311" s="3"/>
      <c r="B311" s="71"/>
      <c r="C311" s="3"/>
      <c r="D311" s="3"/>
      <c r="E311" s="3"/>
      <c r="F311" s="3"/>
      <c r="G311" s="59">
        <f>H311-DATE(YEAR(H311),1,0)+1</f>
      </c>
      <c r="H311" s="79">
        <f>H310+1</f>
        <v>25569.5</v>
      </c>
      <c r="I311" s="80">
        <f>HLOOKUP($H$4,'Met Data'!$A$2:$F$368,G311,FALSE)</f>
      </c>
      <c r="J311" s="80">
        <f>HLOOKUP($H$4,'Met Data'!$H$2:$M$368,G311,FALSE)*L311</f>
      </c>
      <c r="K311" s="81">
        <f>HLOOKUP($H$4,'Met Data'!$O$2:$T$368,G311,FALSE)</f>
      </c>
      <c r="L311" s="7">
        <f>IF(H311&lt;$B$31,$J$3,$J$4)</f>
      </c>
      <c r="M311" s="3"/>
      <c r="N311" s="82">
        <f>IF(P311&lt;$P$3,TRUE,FALSE)</f>
      </c>
      <c r="O311" s="82">
        <f>AND(IF(P311&gt;($P$2-1),TRUE,FALSE),IF(P311&lt;($P$3+1),TRUE,FALSE))</f>
      </c>
      <c r="P311" s="83" t="s">
        <v>374</v>
      </c>
      <c r="Q311" s="13" t="s">
        <v>374</v>
      </c>
      <c r="R311" s="13" t="s">
        <v>374</v>
      </c>
      <c r="S311" s="13" t="s">
        <v>374</v>
      </c>
      <c r="T311" s="13" t="s">
        <v>374</v>
      </c>
      <c r="U311" s="12" t="s">
        <v>374</v>
      </c>
      <c r="V311" s="13" t="s">
        <v>374</v>
      </c>
      <c r="W311" s="13" t="s">
        <v>374</v>
      </c>
      <c r="X311" s="12" t="s">
        <v>374</v>
      </c>
      <c r="Y311" s="13" t="s">
        <v>374</v>
      </c>
      <c r="Z311" s="12" t="s">
        <v>374</v>
      </c>
      <c r="AA311" s="12" t="s">
        <v>374</v>
      </c>
      <c r="AB311" s="13" t="s">
        <v>374</v>
      </c>
      <c r="AC311" s="42"/>
      <c r="AD311" s="83">
        <f>IFERROR(P311,$AD$4)</f>
        <v>25569.5</v>
      </c>
      <c r="AE311" s="7">
        <f>IFERROR(U311,0)</f>
      </c>
      <c r="AF311" s="3"/>
      <c r="AG311" s="105">
        <f>Q310+S311+T311+U311</f>
      </c>
      <c r="AH311" s="105">
        <f>Q311+R311+X311</f>
      </c>
      <c r="AI311" s="60">
        <f>AH311-AG311</f>
      </c>
      <c r="AJ311" s="3"/>
      <c r="AK311" s="3"/>
    </row>
    <row x14ac:dyDescent="0.25" r="312" customHeight="1" ht="18.75">
      <c r="A312" s="3"/>
      <c r="B312" s="71"/>
      <c r="C312" s="3"/>
      <c r="D312" s="3"/>
      <c r="E312" s="3"/>
      <c r="F312" s="3"/>
      <c r="G312" s="59">
        <f>H312-DATE(YEAR(H312),1,0)+1</f>
      </c>
      <c r="H312" s="79">
        <f>H311+1</f>
        <v>25569.5</v>
      </c>
      <c r="I312" s="80">
        <f>HLOOKUP($H$4,'Met Data'!$A$2:$F$368,G312,FALSE)</f>
      </c>
      <c r="J312" s="80">
        <f>HLOOKUP($H$4,'Met Data'!$H$2:$M$368,G312,FALSE)*L312</f>
      </c>
      <c r="K312" s="81">
        <f>HLOOKUP($H$4,'Met Data'!$O$2:$T$368,G312,FALSE)</f>
      </c>
      <c r="L312" s="7">
        <f>IF(H312&lt;$B$31,$J$3,$J$4)</f>
      </c>
      <c r="M312" s="3"/>
      <c r="N312" s="82">
        <f>IF(P312&lt;$P$3,TRUE,FALSE)</f>
      </c>
      <c r="O312" s="82">
        <f>AND(IF(P312&gt;($P$2-1),TRUE,FALSE),IF(P312&lt;($P$3+1),TRUE,FALSE))</f>
      </c>
      <c r="P312" s="83" t="s">
        <v>374</v>
      </c>
      <c r="Q312" s="13" t="s">
        <v>374</v>
      </c>
      <c r="R312" s="13" t="s">
        <v>374</v>
      </c>
      <c r="S312" s="13" t="s">
        <v>374</v>
      </c>
      <c r="T312" s="13" t="s">
        <v>374</v>
      </c>
      <c r="U312" s="12" t="s">
        <v>374</v>
      </c>
      <c r="V312" s="13" t="s">
        <v>374</v>
      </c>
      <c r="W312" s="13" t="s">
        <v>374</v>
      </c>
      <c r="X312" s="12" t="s">
        <v>374</v>
      </c>
      <c r="Y312" s="13" t="s">
        <v>374</v>
      </c>
      <c r="Z312" s="12" t="s">
        <v>374</v>
      </c>
      <c r="AA312" s="12" t="s">
        <v>374</v>
      </c>
      <c r="AB312" s="13" t="s">
        <v>374</v>
      </c>
      <c r="AC312" s="42"/>
      <c r="AD312" s="83">
        <f>IFERROR(P312,$AD$4)</f>
        <v>25569.5</v>
      </c>
      <c r="AE312" s="7">
        <f>IFERROR(U312,0)</f>
      </c>
      <c r="AF312" s="3"/>
      <c r="AG312" s="105">
        <f>Q311+S312+T312+U312</f>
      </c>
      <c r="AH312" s="105">
        <f>Q312+R312+X312</f>
      </c>
      <c r="AI312" s="60">
        <f>AH312-AG312</f>
      </c>
      <c r="AJ312" s="3"/>
      <c r="AK312" s="3"/>
    </row>
    <row x14ac:dyDescent="0.25" r="313" customHeight="1" ht="18.75">
      <c r="A313" s="3"/>
      <c r="B313" s="71"/>
      <c r="C313" s="3"/>
      <c r="D313" s="3"/>
      <c r="E313" s="3"/>
      <c r="F313" s="3"/>
      <c r="G313" s="59">
        <f>H313-DATE(YEAR(H313),1,0)+1</f>
      </c>
      <c r="H313" s="79">
        <f>H312+1</f>
        <v>25569.5</v>
      </c>
      <c r="I313" s="80">
        <f>HLOOKUP($H$4,'Met Data'!$A$2:$F$368,G313,FALSE)</f>
      </c>
      <c r="J313" s="80">
        <f>HLOOKUP($H$4,'Met Data'!$H$2:$M$368,G313,FALSE)*L313</f>
      </c>
      <c r="K313" s="81">
        <f>HLOOKUP($H$4,'Met Data'!$O$2:$T$368,G313,FALSE)</f>
      </c>
      <c r="L313" s="7">
        <f>IF(H313&lt;$B$31,$J$3,$J$4)</f>
      </c>
      <c r="M313" s="3"/>
      <c r="N313" s="82">
        <f>IF(P313&lt;$P$3,TRUE,FALSE)</f>
      </c>
      <c r="O313" s="82">
        <f>AND(IF(P313&gt;($P$2-1),TRUE,FALSE),IF(P313&lt;($P$3+1),TRUE,FALSE))</f>
      </c>
      <c r="P313" s="83" t="s">
        <v>374</v>
      </c>
      <c r="Q313" s="13" t="s">
        <v>374</v>
      </c>
      <c r="R313" s="13" t="s">
        <v>374</v>
      </c>
      <c r="S313" s="13" t="s">
        <v>374</v>
      </c>
      <c r="T313" s="13" t="s">
        <v>374</v>
      </c>
      <c r="U313" s="12" t="s">
        <v>374</v>
      </c>
      <c r="V313" s="13" t="s">
        <v>374</v>
      </c>
      <c r="W313" s="13" t="s">
        <v>374</v>
      </c>
      <c r="X313" s="12" t="s">
        <v>374</v>
      </c>
      <c r="Y313" s="13" t="s">
        <v>374</v>
      </c>
      <c r="Z313" s="12" t="s">
        <v>374</v>
      </c>
      <c r="AA313" s="12" t="s">
        <v>374</v>
      </c>
      <c r="AB313" s="13" t="s">
        <v>374</v>
      </c>
      <c r="AC313" s="42"/>
      <c r="AD313" s="83">
        <f>IFERROR(P313,$AD$4)</f>
        <v>25569.5</v>
      </c>
      <c r="AE313" s="7">
        <f>IFERROR(U313,0)</f>
      </c>
      <c r="AF313" s="3"/>
      <c r="AG313" s="105">
        <f>Q312+S313+T313+U313</f>
      </c>
      <c r="AH313" s="105">
        <f>Q313+R313+X313</f>
      </c>
      <c r="AI313" s="60">
        <f>AH313-AG313</f>
      </c>
      <c r="AJ313" s="3"/>
      <c r="AK313" s="3"/>
    </row>
    <row x14ac:dyDescent="0.25" r="314" customHeight="1" ht="18.75">
      <c r="A314" s="3"/>
      <c r="B314" s="71"/>
      <c r="C314" s="3"/>
      <c r="D314" s="3"/>
      <c r="E314" s="3"/>
      <c r="F314" s="3"/>
      <c r="G314" s="59">
        <f>H314-DATE(YEAR(H314),1,0)+1</f>
      </c>
      <c r="H314" s="79">
        <f>H313+1</f>
        <v>25569.5</v>
      </c>
      <c r="I314" s="80">
        <f>HLOOKUP($H$4,'Met Data'!$A$2:$F$368,G314,FALSE)</f>
      </c>
      <c r="J314" s="80">
        <f>HLOOKUP($H$4,'Met Data'!$H$2:$M$368,G314,FALSE)*L314</f>
      </c>
      <c r="K314" s="81">
        <f>HLOOKUP($H$4,'Met Data'!$O$2:$T$368,G314,FALSE)</f>
      </c>
      <c r="L314" s="7">
        <f>IF(H314&lt;$B$31,$J$3,$J$4)</f>
      </c>
      <c r="M314" s="3"/>
      <c r="N314" s="82">
        <f>IF(P314&lt;$P$3,TRUE,FALSE)</f>
      </c>
      <c r="O314" s="82">
        <f>AND(IF(P314&gt;($P$2-1),TRUE,FALSE),IF(P314&lt;($P$3+1),TRUE,FALSE))</f>
      </c>
      <c r="P314" s="83" t="s">
        <v>374</v>
      </c>
      <c r="Q314" s="13" t="s">
        <v>374</v>
      </c>
      <c r="R314" s="13" t="s">
        <v>374</v>
      </c>
      <c r="S314" s="13" t="s">
        <v>374</v>
      </c>
      <c r="T314" s="13" t="s">
        <v>374</v>
      </c>
      <c r="U314" s="12" t="s">
        <v>374</v>
      </c>
      <c r="V314" s="13" t="s">
        <v>374</v>
      </c>
      <c r="W314" s="13" t="s">
        <v>374</v>
      </c>
      <c r="X314" s="12" t="s">
        <v>374</v>
      </c>
      <c r="Y314" s="13" t="s">
        <v>374</v>
      </c>
      <c r="Z314" s="12" t="s">
        <v>374</v>
      </c>
      <c r="AA314" s="12" t="s">
        <v>374</v>
      </c>
      <c r="AB314" s="13" t="s">
        <v>374</v>
      </c>
      <c r="AC314" s="42"/>
      <c r="AD314" s="83">
        <f>IFERROR(P314,$AD$4)</f>
        <v>25569.5</v>
      </c>
      <c r="AE314" s="7">
        <f>IFERROR(U314,0)</f>
      </c>
      <c r="AF314" s="3"/>
      <c r="AG314" s="105">
        <f>Q313+S314+T314+U314</f>
      </c>
      <c r="AH314" s="105">
        <f>Q314+R314+X314</f>
      </c>
      <c r="AI314" s="60">
        <f>AH314-AG314</f>
      </c>
      <c r="AJ314" s="3"/>
      <c r="AK314" s="3"/>
    </row>
    <row x14ac:dyDescent="0.25" r="315" customHeight="1" ht="18.75">
      <c r="A315" s="3"/>
      <c r="B315" s="71"/>
      <c r="C315" s="3"/>
      <c r="D315" s="3"/>
      <c r="E315" s="3"/>
      <c r="F315" s="3"/>
      <c r="G315" s="59">
        <f>H315-DATE(YEAR(H315),1,0)+1</f>
      </c>
      <c r="H315" s="79">
        <f>H314+1</f>
        <v>25569.5</v>
      </c>
      <c r="I315" s="80">
        <f>HLOOKUP($H$4,'Met Data'!$A$2:$F$368,G315,FALSE)</f>
      </c>
      <c r="J315" s="80">
        <f>HLOOKUP($H$4,'Met Data'!$H$2:$M$368,G315,FALSE)*L315</f>
      </c>
      <c r="K315" s="81">
        <f>HLOOKUP($H$4,'Met Data'!$O$2:$T$368,G315,FALSE)</f>
      </c>
      <c r="L315" s="7">
        <f>IF(H315&lt;$B$31,$J$3,$J$4)</f>
      </c>
      <c r="M315" s="3"/>
      <c r="N315" s="82">
        <f>IF(P315&lt;$P$3,TRUE,FALSE)</f>
      </c>
      <c r="O315" s="82">
        <f>AND(IF(P315&gt;($P$2-1),TRUE,FALSE),IF(P315&lt;($P$3+1),TRUE,FALSE))</f>
      </c>
      <c r="P315" s="83" t="s">
        <v>374</v>
      </c>
      <c r="Q315" s="13" t="s">
        <v>374</v>
      </c>
      <c r="R315" s="13" t="s">
        <v>374</v>
      </c>
      <c r="S315" s="13" t="s">
        <v>374</v>
      </c>
      <c r="T315" s="13" t="s">
        <v>374</v>
      </c>
      <c r="U315" s="12" t="s">
        <v>374</v>
      </c>
      <c r="V315" s="13" t="s">
        <v>374</v>
      </c>
      <c r="W315" s="13" t="s">
        <v>374</v>
      </c>
      <c r="X315" s="12" t="s">
        <v>374</v>
      </c>
      <c r="Y315" s="13" t="s">
        <v>374</v>
      </c>
      <c r="Z315" s="12" t="s">
        <v>374</v>
      </c>
      <c r="AA315" s="12" t="s">
        <v>374</v>
      </c>
      <c r="AB315" s="13" t="s">
        <v>374</v>
      </c>
      <c r="AC315" s="42"/>
      <c r="AD315" s="83">
        <f>IFERROR(P315,$AD$4)</f>
        <v>25569.5</v>
      </c>
      <c r="AE315" s="7">
        <f>IFERROR(U315,0)</f>
      </c>
      <c r="AF315" s="3"/>
      <c r="AG315" s="105">
        <f>Q314+S315+T315+U315</f>
      </c>
      <c r="AH315" s="105">
        <f>Q315+R315+X315</f>
      </c>
      <c r="AI315" s="60">
        <f>AH315-AG315</f>
      </c>
      <c r="AJ315" s="3"/>
      <c r="AK315" s="3"/>
    </row>
    <row x14ac:dyDescent="0.25" r="316" customHeight="1" ht="18.75">
      <c r="A316" s="3"/>
      <c r="B316" s="71"/>
      <c r="C316" s="3"/>
      <c r="D316" s="3"/>
      <c r="E316" s="3"/>
      <c r="F316" s="3"/>
      <c r="G316" s="59">
        <f>H316-DATE(YEAR(H316),1,0)+1</f>
      </c>
      <c r="H316" s="79">
        <f>H315+1</f>
        <v>25569.5</v>
      </c>
      <c r="I316" s="80">
        <f>HLOOKUP($H$4,'Met Data'!$A$2:$F$368,G316,FALSE)</f>
      </c>
      <c r="J316" s="80">
        <f>HLOOKUP($H$4,'Met Data'!$H$2:$M$368,G316,FALSE)*L316</f>
      </c>
      <c r="K316" s="81">
        <f>HLOOKUP($H$4,'Met Data'!$O$2:$T$368,G316,FALSE)</f>
      </c>
      <c r="L316" s="7">
        <f>IF(H316&lt;$B$31,$J$3,$J$4)</f>
      </c>
      <c r="M316" s="3"/>
      <c r="N316" s="82">
        <f>IF(P316&lt;$P$3,TRUE,FALSE)</f>
      </c>
      <c r="O316" s="82">
        <f>AND(IF(P316&gt;($P$2-1),TRUE,FALSE),IF(P316&lt;($P$3+1),TRUE,FALSE))</f>
      </c>
      <c r="P316" s="83" t="s">
        <v>374</v>
      </c>
      <c r="Q316" s="13" t="s">
        <v>374</v>
      </c>
      <c r="R316" s="13" t="s">
        <v>374</v>
      </c>
      <c r="S316" s="13" t="s">
        <v>374</v>
      </c>
      <c r="T316" s="13" t="s">
        <v>374</v>
      </c>
      <c r="U316" s="12" t="s">
        <v>374</v>
      </c>
      <c r="V316" s="13" t="s">
        <v>374</v>
      </c>
      <c r="W316" s="13" t="s">
        <v>374</v>
      </c>
      <c r="X316" s="12" t="s">
        <v>374</v>
      </c>
      <c r="Y316" s="13" t="s">
        <v>374</v>
      </c>
      <c r="Z316" s="12" t="s">
        <v>374</v>
      </c>
      <c r="AA316" s="12" t="s">
        <v>374</v>
      </c>
      <c r="AB316" s="13" t="s">
        <v>374</v>
      </c>
      <c r="AC316" s="42"/>
      <c r="AD316" s="83">
        <f>IFERROR(P316,$AD$4)</f>
        <v>25569.5</v>
      </c>
      <c r="AE316" s="7">
        <f>IFERROR(U316,0)</f>
      </c>
      <c r="AF316" s="3"/>
      <c r="AG316" s="105">
        <f>Q315+S316+T316+U316</f>
      </c>
      <c r="AH316" s="105">
        <f>Q316+R316+X316</f>
      </c>
      <c r="AI316" s="60">
        <f>AH316-AG316</f>
      </c>
      <c r="AJ316" s="3"/>
      <c r="AK316" s="3"/>
    </row>
    <row x14ac:dyDescent="0.25" r="317" customHeight="1" ht="18.75">
      <c r="A317" s="3"/>
      <c r="B317" s="71"/>
      <c r="C317" s="3"/>
      <c r="D317" s="3"/>
      <c r="E317" s="3"/>
      <c r="F317" s="3"/>
      <c r="G317" s="59">
        <f>H317-DATE(YEAR(H317),1,0)+1</f>
      </c>
      <c r="H317" s="79">
        <f>H316+1</f>
        <v>25569.5</v>
      </c>
      <c r="I317" s="80">
        <f>HLOOKUP($H$4,'Met Data'!$A$2:$F$368,G317,FALSE)</f>
      </c>
      <c r="J317" s="80">
        <f>HLOOKUP($H$4,'Met Data'!$H$2:$M$368,G317,FALSE)*L317</f>
      </c>
      <c r="K317" s="81">
        <f>HLOOKUP($H$4,'Met Data'!$O$2:$T$368,G317,FALSE)</f>
      </c>
      <c r="L317" s="7">
        <f>IF(H317&lt;$B$31,$J$3,$J$4)</f>
      </c>
      <c r="M317" s="3"/>
      <c r="N317" s="82">
        <f>IF(P317&lt;$P$3,TRUE,FALSE)</f>
      </c>
      <c r="O317" s="82">
        <f>AND(IF(P317&gt;($P$2-1),TRUE,FALSE),IF(P317&lt;($P$3+1),TRUE,FALSE))</f>
      </c>
      <c r="P317" s="83" t="s">
        <v>374</v>
      </c>
      <c r="Q317" s="13" t="s">
        <v>374</v>
      </c>
      <c r="R317" s="13" t="s">
        <v>374</v>
      </c>
      <c r="S317" s="13" t="s">
        <v>374</v>
      </c>
      <c r="T317" s="13" t="s">
        <v>374</v>
      </c>
      <c r="U317" s="12" t="s">
        <v>374</v>
      </c>
      <c r="V317" s="13" t="s">
        <v>374</v>
      </c>
      <c r="W317" s="13" t="s">
        <v>374</v>
      </c>
      <c r="X317" s="12" t="s">
        <v>374</v>
      </c>
      <c r="Y317" s="13" t="s">
        <v>374</v>
      </c>
      <c r="Z317" s="12" t="s">
        <v>374</v>
      </c>
      <c r="AA317" s="12" t="s">
        <v>374</v>
      </c>
      <c r="AB317" s="13" t="s">
        <v>374</v>
      </c>
      <c r="AC317" s="42"/>
      <c r="AD317" s="83">
        <f>IFERROR(P317,$AD$4)</f>
        <v>25569.5</v>
      </c>
      <c r="AE317" s="7">
        <f>IFERROR(U317,0)</f>
      </c>
      <c r="AF317" s="3"/>
      <c r="AG317" s="105">
        <f>Q316+S317+T317+U317</f>
      </c>
      <c r="AH317" s="105">
        <f>Q317+R317+X317</f>
      </c>
      <c r="AI317" s="60">
        <f>AH317-AG317</f>
      </c>
      <c r="AJ317" s="3"/>
      <c r="AK317" s="3"/>
    </row>
    <row x14ac:dyDescent="0.25" r="318" customHeight="1" ht="18.75">
      <c r="A318" s="3"/>
      <c r="B318" s="71"/>
      <c r="C318" s="3"/>
      <c r="D318" s="3"/>
      <c r="E318" s="3"/>
      <c r="F318" s="3"/>
      <c r="G318" s="59">
        <f>H318-DATE(YEAR(H318),1,0)+1</f>
      </c>
      <c r="H318" s="79">
        <f>H317+1</f>
        <v>25569.5</v>
      </c>
      <c r="I318" s="80">
        <f>HLOOKUP($H$4,'Met Data'!$A$2:$F$368,G318,FALSE)</f>
      </c>
      <c r="J318" s="80">
        <f>HLOOKUP($H$4,'Met Data'!$H$2:$M$368,G318,FALSE)*L318</f>
      </c>
      <c r="K318" s="81">
        <f>HLOOKUP($H$4,'Met Data'!$O$2:$T$368,G318,FALSE)</f>
      </c>
      <c r="L318" s="7">
        <f>IF(H318&lt;$B$31,$J$3,$J$4)</f>
      </c>
      <c r="M318" s="3"/>
      <c r="N318" s="82">
        <f>IF(P318&lt;$P$3,TRUE,FALSE)</f>
      </c>
      <c r="O318" s="82">
        <f>AND(IF(P318&gt;($P$2-1),TRUE,FALSE),IF(P318&lt;($P$3+1),TRUE,FALSE))</f>
      </c>
      <c r="P318" s="83" t="s">
        <v>374</v>
      </c>
      <c r="Q318" s="13" t="s">
        <v>374</v>
      </c>
      <c r="R318" s="13" t="s">
        <v>374</v>
      </c>
      <c r="S318" s="13" t="s">
        <v>374</v>
      </c>
      <c r="T318" s="13" t="s">
        <v>374</v>
      </c>
      <c r="U318" s="12" t="s">
        <v>374</v>
      </c>
      <c r="V318" s="13" t="s">
        <v>374</v>
      </c>
      <c r="W318" s="13" t="s">
        <v>374</v>
      </c>
      <c r="X318" s="12" t="s">
        <v>374</v>
      </c>
      <c r="Y318" s="13" t="s">
        <v>374</v>
      </c>
      <c r="Z318" s="12" t="s">
        <v>374</v>
      </c>
      <c r="AA318" s="12" t="s">
        <v>374</v>
      </c>
      <c r="AB318" s="13" t="s">
        <v>374</v>
      </c>
      <c r="AC318" s="42"/>
      <c r="AD318" s="83">
        <f>IFERROR(P318,$AD$4)</f>
        <v>25569.5</v>
      </c>
      <c r="AE318" s="7">
        <f>IFERROR(U318,0)</f>
      </c>
      <c r="AF318" s="3"/>
      <c r="AG318" s="105">
        <f>Q317+S318+T318+U318</f>
      </c>
      <c r="AH318" s="105">
        <f>Q318+R318+X318</f>
      </c>
      <c r="AI318" s="60">
        <f>AH318-AG318</f>
      </c>
      <c r="AJ318" s="3"/>
      <c r="AK318" s="3"/>
    </row>
    <row x14ac:dyDescent="0.25" r="319" customHeight="1" ht="18.75">
      <c r="A319" s="3"/>
      <c r="B319" s="71"/>
      <c r="C319" s="3"/>
      <c r="D319" s="3"/>
      <c r="E319" s="3"/>
      <c r="F319" s="3"/>
      <c r="G319" s="59">
        <f>H319-DATE(YEAR(H319),1,0)+1</f>
      </c>
      <c r="H319" s="79">
        <f>H318+1</f>
        <v>25569.5</v>
      </c>
      <c r="I319" s="80">
        <f>HLOOKUP($H$4,'Met Data'!$A$2:$F$368,G319,FALSE)</f>
      </c>
      <c r="J319" s="80">
        <f>HLOOKUP($H$4,'Met Data'!$H$2:$M$368,G319,FALSE)*L319</f>
      </c>
      <c r="K319" s="81">
        <f>HLOOKUP($H$4,'Met Data'!$O$2:$T$368,G319,FALSE)</f>
      </c>
      <c r="L319" s="7">
        <f>IF(H319&lt;$B$31,$J$3,$J$4)</f>
      </c>
      <c r="M319" s="3"/>
      <c r="N319" s="82">
        <f>IF(P319&lt;$P$3,TRUE,FALSE)</f>
      </c>
      <c r="O319" s="82">
        <f>AND(IF(P319&gt;($P$2-1),TRUE,FALSE),IF(P319&lt;($P$3+1),TRUE,FALSE))</f>
      </c>
      <c r="P319" s="83" t="s">
        <v>374</v>
      </c>
      <c r="Q319" s="13" t="s">
        <v>374</v>
      </c>
      <c r="R319" s="13" t="s">
        <v>374</v>
      </c>
      <c r="S319" s="13" t="s">
        <v>374</v>
      </c>
      <c r="T319" s="13" t="s">
        <v>374</v>
      </c>
      <c r="U319" s="12" t="s">
        <v>374</v>
      </c>
      <c r="V319" s="13" t="s">
        <v>374</v>
      </c>
      <c r="W319" s="13" t="s">
        <v>374</v>
      </c>
      <c r="X319" s="12" t="s">
        <v>374</v>
      </c>
      <c r="Y319" s="13" t="s">
        <v>374</v>
      </c>
      <c r="Z319" s="12" t="s">
        <v>374</v>
      </c>
      <c r="AA319" s="12" t="s">
        <v>374</v>
      </c>
      <c r="AB319" s="13" t="s">
        <v>374</v>
      </c>
      <c r="AC319" s="42"/>
      <c r="AD319" s="83">
        <f>IFERROR(P319,$AD$4)</f>
        <v>25569.5</v>
      </c>
      <c r="AE319" s="7">
        <f>IFERROR(U319,0)</f>
      </c>
      <c r="AF319" s="3"/>
      <c r="AG319" s="105">
        <f>Q318+S319+T319+U319</f>
      </c>
      <c r="AH319" s="105">
        <f>Q319+R319+X319</f>
      </c>
      <c r="AI319" s="60">
        <f>AH319-AG319</f>
      </c>
      <c r="AJ319" s="3"/>
      <c r="AK319" s="3"/>
    </row>
    <row x14ac:dyDescent="0.25" r="320" customHeight="1" ht="18.75">
      <c r="A320" s="3"/>
      <c r="B320" s="71"/>
      <c r="C320" s="3"/>
      <c r="D320" s="3"/>
      <c r="E320" s="3"/>
      <c r="F320" s="3"/>
      <c r="G320" s="59">
        <f>H320-DATE(YEAR(H320),1,0)+1</f>
      </c>
      <c r="H320" s="79">
        <f>H319+1</f>
        <v>25569.5</v>
      </c>
      <c r="I320" s="80">
        <f>HLOOKUP($H$4,'Met Data'!$A$2:$F$368,G320,FALSE)</f>
      </c>
      <c r="J320" s="80">
        <f>HLOOKUP($H$4,'Met Data'!$H$2:$M$368,G320,FALSE)*L320</f>
      </c>
      <c r="K320" s="81">
        <f>HLOOKUP($H$4,'Met Data'!$O$2:$T$368,G320,FALSE)</f>
      </c>
      <c r="L320" s="7">
        <f>IF(H320&lt;$B$31,$J$3,$J$4)</f>
      </c>
      <c r="M320" s="3"/>
      <c r="N320" s="82">
        <f>IF(P320&lt;$P$3,TRUE,FALSE)</f>
      </c>
      <c r="O320" s="82">
        <f>AND(IF(P320&gt;($P$2-1),TRUE,FALSE),IF(P320&lt;($P$3+1),TRUE,FALSE))</f>
      </c>
      <c r="P320" s="83" t="s">
        <v>374</v>
      </c>
      <c r="Q320" s="13" t="s">
        <v>374</v>
      </c>
      <c r="R320" s="13" t="s">
        <v>374</v>
      </c>
      <c r="S320" s="13" t="s">
        <v>374</v>
      </c>
      <c r="T320" s="13" t="s">
        <v>374</v>
      </c>
      <c r="U320" s="12" t="s">
        <v>374</v>
      </c>
      <c r="V320" s="13" t="s">
        <v>374</v>
      </c>
      <c r="W320" s="13" t="s">
        <v>374</v>
      </c>
      <c r="X320" s="12" t="s">
        <v>374</v>
      </c>
      <c r="Y320" s="13" t="s">
        <v>374</v>
      </c>
      <c r="Z320" s="12" t="s">
        <v>374</v>
      </c>
      <c r="AA320" s="12" t="s">
        <v>374</v>
      </c>
      <c r="AB320" s="13" t="s">
        <v>374</v>
      </c>
      <c r="AC320" s="42"/>
      <c r="AD320" s="83">
        <f>IFERROR(P320,$AD$4)</f>
        <v>25569.5</v>
      </c>
      <c r="AE320" s="7">
        <f>IFERROR(U320,0)</f>
      </c>
      <c r="AF320" s="3"/>
      <c r="AG320" s="105">
        <f>Q319+S320+T320+U320</f>
      </c>
      <c r="AH320" s="105">
        <f>Q320+R320+X320</f>
      </c>
      <c r="AI320" s="60">
        <f>AH320-AG320</f>
      </c>
      <c r="AJ320" s="3"/>
      <c r="AK320" s="3"/>
    </row>
    <row x14ac:dyDescent="0.25" r="321" customHeight="1" ht="18.75">
      <c r="A321" s="3"/>
      <c r="B321" s="71"/>
      <c r="C321" s="3"/>
      <c r="D321" s="3"/>
      <c r="E321" s="3"/>
      <c r="F321" s="3"/>
      <c r="G321" s="59">
        <f>H321-DATE(YEAR(H321),1,0)+1</f>
      </c>
      <c r="H321" s="79">
        <f>H320+1</f>
        <v>25569.5</v>
      </c>
      <c r="I321" s="80">
        <f>HLOOKUP($H$4,'Met Data'!$A$2:$F$368,G321,FALSE)</f>
      </c>
      <c r="J321" s="80">
        <f>HLOOKUP($H$4,'Met Data'!$H$2:$M$368,G321,FALSE)*L321</f>
      </c>
      <c r="K321" s="81">
        <f>HLOOKUP($H$4,'Met Data'!$O$2:$T$368,G321,FALSE)</f>
      </c>
      <c r="L321" s="7">
        <f>IF(H321&lt;$B$31,$J$3,$J$4)</f>
      </c>
      <c r="M321" s="3"/>
      <c r="N321" s="82">
        <f>IF(P321&lt;$P$3,TRUE,FALSE)</f>
      </c>
      <c r="O321" s="82">
        <f>AND(IF(P321&gt;($P$2-1),TRUE,FALSE),IF(P321&lt;($P$3+1),TRUE,FALSE))</f>
      </c>
      <c r="P321" s="83" t="s">
        <v>374</v>
      </c>
      <c r="Q321" s="13" t="s">
        <v>374</v>
      </c>
      <c r="R321" s="13" t="s">
        <v>374</v>
      </c>
      <c r="S321" s="13" t="s">
        <v>374</v>
      </c>
      <c r="T321" s="13" t="s">
        <v>374</v>
      </c>
      <c r="U321" s="12" t="s">
        <v>374</v>
      </c>
      <c r="V321" s="13" t="s">
        <v>374</v>
      </c>
      <c r="W321" s="13" t="s">
        <v>374</v>
      </c>
      <c r="X321" s="12" t="s">
        <v>374</v>
      </c>
      <c r="Y321" s="13" t="s">
        <v>374</v>
      </c>
      <c r="Z321" s="12" t="s">
        <v>374</v>
      </c>
      <c r="AA321" s="12" t="s">
        <v>374</v>
      </c>
      <c r="AB321" s="13" t="s">
        <v>374</v>
      </c>
      <c r="AC321" s="42"/>
      <c r="AD321" s="83">
        <f>IFERROR(P321,$AD$4)</f>
        <v>25569.5</v>
      </c>
      <c r="AE321" s="7">
        <f>IFERROR(U321,0)</f>
      </c>
      <c r="AF321" s="3"/>
      <c r="AG321" s="105">
        <f>Q320+S321+T321+U321</f>
      </c>
      <c r="AH321" s="105">
        <f>Q321+R321+X321</f>
      </c>
      <c r="AI321" s="60">
        <f>AH321-AG321</f>
      </c>
      <c r="AJ321" s="3"/>
      <c r="AK321" s="3"/>
    </row>
    <row x14ac:dyDescent="0.25" r="322" customHeight="1" ht="18.75">
      <c r="A322" s="3"/>
      <c r="B322" s="71"/>
      <c r="C322" s="3"/>
      <c r="D322" s="3"/>
      <c r="E322" s="3"/>
      <c r="F322" s="3"/>
      <c r="G322" s="59">
        <f>H322-DATE(YEAR(H322),1,0)+1</f>
      </c>
      <c r="H322" s="79">
        <f>H321+1</f>
        <v>25569.5</v>
      </c>
      <c r="I322" s="80">
        <f>HLOOKUP($H$4,'Met Data'!$A$2:$F$368,G322,FALSE)</f>
      </c>
      <c r="J322" s="80">
        <f>HLOOKUP($H$4,'Met Data'!$H$2:$M$368,G322,FALSE)*L322</f>
      </c>
      <c r="K322" s="81">
        <f>HLOOKUP($H$4,'Met Data'!$O$2:$T$368,G322,FALSE)</f>
      </c>
      <c r="L322" s="7">
        <f>IF(H322&lt;$B$31,$J$3,$J$4)</f>
      </c>
      <c r="M322" s="3"/>
      <c r="N322" s="82">
        <f>IF(P322&lt;$P$3,TRUE,FALSE)</f>
      </c>
      <c r="O322" s="82">
        <f>AND(IF(P322&gt;($P$2-1),TRUE,FALSE),IF(P322&lt;($P$3+1),TRUE,FALSE))</f>
      </c>
      <c r="P322" s="83" t="s">
        <v>374</v>
      </c>
      <c r="Q322" s="13" t="s">
        <v>374</v>
      </c>
      <c r="R322" s="13" t="s">
        <v>374</v>
      </c>
      <c r="S322" s="13" t="s">
        <v>374</v>
      </c>
      <c r="T322" s="13" t="s">
        <v>374</v>
      </c>
      <c r="U322" s="12" t="s">
        <v>374</v>
      </c>
      <c r="V322" s="13" t="s">
        <v>374</v>
      </c>
      <c r="W322" s="13" t="s">
        <v>374</v>
      </c>
      <c r="X322" s="12" t="s">
        <v>374</v>
      </c>
      <c r="Y322" s="13" t="s">
        <v>374</v>
      </c>
      <c r="Z322" s="12" t="s">
        <v>374</v>
      </c>
      <c r="AA322" s="12" t="s">
        <v>374</v>
      </c>
      <c r="AB322" s="13" t="s">
        <v>374</v>
      </c>
      <c r="AC322" s="42"/>
      <c r="AD322" s="83">
        <f>IFERROR(P322,$AD$4)</f>
        <v>25569.5</v>
      </c>
      <c r="AE322" s="7">
        <f>IFERROR(U322,0)</f>
      </c>
      <c r="AF322" s="3"/>
      <c r="AG322" s="105">
        <f>Q321+S322+T322+U322</f>
      </c>
      <c r="AH322" s="105">
        <f>Q322+R322+X322</f>
      </c>
      <c r="AI322" s="60">
        <f>AH322-AG322</f>
      </c>
      <c r="AJ322" s="3"/>
      <c r="AK322" s="3"/>
    </row>
    <row x14ac:dyDescent="0.25" r="323" customHeight="1" ht="18.75">
      <c r="A323" s="3"/>
      <c r="B323" s="71"/>
      <c r="C323" s="3"/>
      <c r="D323" s="3"/>
      <c r="E323" s="3"/>
      <c r="F323" s="3"/>
      <c r="G323" s="59">
        <f>H323-DATE(YEAR(H323),1,0)+1</f>
      </c>
      <c r="H323" s="79">
        <f>H322+1</f>
        <v>25569.5</v>
      </c>
      <c r="I323" s="80">
        <f>HLOOKUP($H$4,'Met Data'!$A$2:$F$368,G323,FALSE)</f>
      </c>
      <c r="J323" s="80">
        <f>HLOOKUP($H$4,'Met Data'!$H$2:$M$368,G323,FALSE)*L323</f>
      </c>
      <c r="K323" s="81">
        <f>HLOOKUP($H$4,'Met Data'!$O$2:$T$368,G323,FALSE)</f>
      </c>
      <c r="L323" s="7">
        <f>IF(H323&lt;$B$31,$J$3,$J$4)</f>
      </c>
      <c r="M323" s="3"/>
      <c r="N323" s="82">
        <f>IF(P323&lt;$P$3,TRUE,FALSE)</f>
      </c>
      <c r="O323" s="82">
        <f>AND(IF(P323&gt;($P$2-1),TRUE,FALSE),IF(P323&lt;($P$3+1),TRUE,FALSE))</f>
      </c>
      <c r="P323" s="83" t="s">
        <v>374</v>
      </c>
      <c r="Q323" s="13" t="s">
        <v>374</v>
      </c>
      <c r="R323" s="13" t="s">
        <v>374</v>
      </c>
      <c r="S323" s="13" t="s">
        <v>374</v>
      </c>
      <c r="T323" s="13" t="s">
        <v>374</v>
      </c>
      <c r="U323" s="12" t="s">
        <v>374</v>
      </c>
      <c r="V323" s="13" t="s">
        <v>374</v>
      </c>
      <c r="W323" s="13" t="s">
        <v>374</v>
      </c>
      <c r="X323" s="12" t="s">
        <v>374</v>
      </c>
      <c r="Y323" s="13" t="s">
        <v>374</v>
      </c>
      <c r="Z323" s="12" t="s">
        <v>374</v>
      </c>
      <c r="AA323" s="12" t="s">
        <v>374</v>
      </c>
      <c r="AB323" s="13" t="s">
        <v>374</v>
      </c>
      <c r="AC323" s="42"/>
      <c r="AD323" s="83">
        <f>IFERROR(P323,$AD$4)</f>
        <v>25569.5</v>
      </c>
      <c r="AE323" s="7">
        <f>IFERROR(U323,0)</f>
      </c>
      <c r="AF323" s="3"/>
      <c r="AG323" s="105">
        <f>Q322+S323+T323+U323</f>
      </c>
      <c r="AH323" s="105">
        <f>Q323+R323+X323</f>
      </c>
      <c r="AI323" s="60">
        <f>AH323-AG323</f>
      </c>
      <c r="AJ323" s="3"/>
      <c r="AK323" s="3"/>
    </row>
    <row x14ac:dyDescent="0.25" r="324" customHeight="1" ht="18.75">
      <c r="A324" s="3"/>
      <c r="B324" s="71"/>
      <c r="C324" s="3"/>
      <c r="D324" s="3"/>
      <c r="E324" s="3"/>
      <c r="F324" s="3"/>
      <c r="G324" s="59">
        <f>H324-DATE(YEAR(H324),1,0)+1</f>
      </c>
      <c r="H324" s="79">
        <f>H323+1</f>
        <v>25569.5</v>
      </c>
      <c r="I324" s="80">
        <f>HLOOKUP($H$4,'Met Data'!$A$2:$F$368,G324,FALSE)</f>
      </c>
      <c r="J324" s="80">
        <f>HLOOKUP($H$4,'Met Data'!$H$2:$M$368,G324,FALSE)*L324</f>
      </c>
      <c r="K324" s="81">
        <f>HLOOKUP($H$4,'Met Data'!$O$2:$T$368,G324,FALSE)</f>
      </c>
      <c r="L324" s="7">
        <f>IF(H324&lt;$B$31,$J$3,$J$4)</f>
      </c>
      <c r="M324" s="3"/>
      <c r="N324" s="82">
        <f>IF(P324&lt;$P$3,TRUE,FALSE)</f>
      </c>
      <c r="O324" s="82">
        <f>AND(IF(P324&gt;($P$2-1),TRUE,FALSE),IF(P324&lt;($P$3+1),TRUE,FALSE))</f>
      </c>
      <c r="P324" s="83" t="s">
        <v>374</v>
      </c>
      <c r="Q324" s="13" t="s">
        <v>374</v>
      </c>
      <c r="R324" s="13" t="s">
        <v>374</v>
      </c>
      <c r="S324" s="13" t="s">
        <v>374</v>
      </c>
      <c r="T324" s="13" t="s">
        <v>374</v>
      </c>
      <c r="U324" s="12" t="s">
        <v>374</v>
      </c>
      <c r="V324" s="13" t="s">
        <v>374</v>
      </c>
      <c r="W324" s="13" t="s">
        <v>374</v>
      </c>
      <c r="X324" s="12" t="s">
        <v>374</v>
      </c>
      <c r="Y324" s="13" t="s">
        <v>374</v>
      </c>
      <c r="Z324" s="12" t="s">
        <v>374</v>
      </c>
      <c r="AA324" s="12" t="s">
        <v>374</v>
      </c>
      <c r="AB324" s="13" t="s">
        <v>374</v>
      </c>
      <c r="AC324" s="42"/>
      <c r="AD324" s="83">
        <f>IFERROR(P324,$AD$4)</f>
        <v>25569.5</v>
      </c>
      <c r="AE324" s="7">
        <f>IFERROR(U324,0)</f>
      </c>
      <c r="AF324" s="3"/>
      <c r="AG324" s="105">
        <f>Q323+S324+T324+U324</f>
      </c>
      <c r="AH324" s="105">
        <f>Q324+R324+X324</f>
      </c>
      <c r="AI324" s="60">
        <f>AH324-AG324</f>
      </c>
      <c r="AJ324" s="3"/>
      <c r="AK324" s="3"/>
    </row>
    <row x14ac:dyDescent="0.25" r="325" customHeight="1" ht="18.75">
      <c r="A325" s="3"/>
      <c r="B325" s="71"/>
      <c r="C325" s="3"/>
      <c r="D325" s="3"/>
      <c r="E325" s="3"/>
      <c r="F325" s="3"/>
      <c r="G325" s="59">
        <f>H325-DATE(YEAR(H325),1,0)+1</f>
      </c>
      <c r="H325" s="79">
        <f>H324+1</f>
        <v>25569.5</v>
      </c>
      <c r="I325" s="80">
        <f>HLOOKUP($H$4,'Met Data'!$A$2:$F$368,G325,FALSE)</f>
      </c>
      <c r="J325" s="80">
        <f>HLOOKUP($H$4,'Met Data'!$H$2:$M$368,G325,FALSE)*L325</f>
      </c>
      <c r="K325" s="81">
        <f>HLOOKUP($H$4,'Met Data'!$O$2:$T$368,G325,FALSE)</f>
      </c>
      <c r="L325" s="7">
        <f>IF(H325&lt;$B$31,$J$3,$J$4)</f>
      </c>
      <c r="M325" s="3"/>
      <c r="N325" s="82">
        <f>IF(P325&lt;$P$3,TRUE,FALSE)</f>
      </c>
      <c r="O325" s="82">
        <f>AND(IF(P325&gt;($P$2-1),TRUE,FALSE),IF(P325&lt;($P$3+1),TRUE,FALSE))</f>
      </c>
      <c r="P325" s="83" t="s">
        <v>374</v>
      </c>
      <c r="Q325" s="13" t="s">
        <v>374</v>
      </c>
      <c r="R325" s="13" t="s">
        <v>374</v>
      </c>
      <c r="S325" s="13" t="s">
        <v>374</v>
      </c>
      <c r="T325" s="13" t="s">
        <v>374</v>
      </c>
      <c r="U325" s="12" t="s">
        <v>374</v>
      </c>
      <c r="V325" s="13" t="s">
        <v>374</v>
      </c>
      <c r="W325" s="13" t="s">
        <v>374</v>
      </c>
      <c r="X325" s="12" t="s">
        <v>374</v>
      </c>
      <c r="Y325" s="13" t="s">
        <v>374</v>
      </c>
      <c r="Z325" s="12" t="s">
        <v>374</v>
      </c>
      <c r="AA325" s="12" t="s">
        <v>374</v>
      </c>
      <c r="AB325" s="13" t="s">
        <v>374</v>
      </c>
      <c r="AC325" s="42"/>
      <c r="AD325" s="83">
        <f>IFERROR(P325,$AD$4)</f>
        <v>25569.5</v>
      </c>
      <c r="AE325" s="7">
        <f>IFERROR(U325,0)</f>
      </c>
      <c r="AF325" s="3"/>
      <c r="AG325" s="105">
        <f>Q324+S325+T325+U325</f>
      </c>
      <c r="AH325" s="105">
        <f>Q325+R325+X325</f>
      </c>
      <c r="AI325" s="60">
        <f>AH325-AG325</f>
      </c>
      <c r="AJ325" s="3"/>
      <c r="AK325" s="3"/>
    </row>
    <row x14ac:dyDescent="0.25" r="326" customHeight="1" ht="18.75">
      <c r="A326" s="3"/>
      <c r="B326" s="71"/>
      <c r="C326" s="3"/>
      <c r="D326" s="3"/>
      <c r="E326" s="3"/>
      <c r="F326" s="3"/>
      <c r="G326" s="59">
        <f>H326-DATE(YEAR(H326),1,0)+1</f>
      </c>
      <c r="H326" s="79">
        <f>H325+1</f>
        <v>25569.5</v>
      </c>
      <c r="I326" s="80">
        <f>HLOOKUP($H$4,'Met Data'!$A$2:$F$368,G326,FALSE)</f>
      </c>
      <c r="J326" s="80">
        <f>HLOOKUP($H$4,'Met Data'!$H$2:$M$368,G326,FALSE)*L326</f>
      </c>
      <c r="K326" s="81">
        <f>HLOOKUP($H$4,'Met Data'!$O$2:$T$368,G326,FALSE)</f>
      </c>
      <c r="L326" s="7">
        <f>IF(H326&lt;$B$31,$J$3,$J$4)</f>
      </c>
      <c r="M326" s="3"/>
      <c r="N326" s="82">
        <f>IF(P326&lt;$P$3,TRUE,FALSE)</f>
      </c>
      <c r="O326" s="82">
        <f>AND(IF(P326&gt;($P$2-1),TRUE,FALSE),IF(P326&lt;($P$3+1),TRUE,FALSE))</f>
      </c>
      <c r="P326" s="83" t="s">
        <v>374</v>
      </c>
      <c r="Q326" s="13" t="s">
        <v>374</v>
      </c>
      <c r="R326" s="13" t="s">
        <v>374</v>
      </c>
      <c r="S326" s="13" t="s">
        <v>374</v>
      </c>
      <c r="T326" s="13" t="s">
        <v>374</v>
      </c>
      <c r="U326" s="12" t="s">
        <v>374</v>
      </c>
      <c r="V326" s="13" t="s">
        <v>374</v>
      </c>
      <c r="W326" s="13" t="s">
        <v>374</v>
      </c>
      <c r="X326" s="12" t="s">
        <v>374</v>
      </c>
      <c r="Y326" s="13" t="s">
        <v>374</v>
      </c>
      <c r="Z326" s="12" t="s">
        <v>374</v>
      </c>
      <c r="AA326" s="12" t="s">
        <v>374</v>
      </c>
      <c r="AB326" s="13" t="s">
        <v>374</v>
      </c>
      <c r="AC326" s="42"/>
      <c r="AD326" s="83">
        <f>IFERROR(P326,$AD$4)</f>
        <v>25569.5</v>
      </c>
      <c r="AE326" s="7">
        <f>IFERROR(U326,0)</f>
      </c>
      <c r="AF326" s="3"/>
      <c r="AG326" s="105">
        <f>Q325+S326+T326+U326</f>
      </c>
      <c r="AH326" s="105">
        <f>Q326+R326+X326</f>
      </c>
      <c r="AI326" s="60">
        <f>AH326-AG326</f>
      </c>
      <c r="AJ326" s="3"/>
      <c r="AK326" s="3"/>
    </row>
    <row x14ac:dyDescent="0.25" r="327" customHeight="1" ht="18.75">
      <c r="A327" s="3"/>
      <c r="B327" s="71"/>
      <c r="C327" s="3"/>
      <c r="D327" s="3"/>
      <c r="E327" s="3"/>
      <c r="F327" s="3"/>
      <c r="G327" s="59">
        <f>H327-DATE(YEAR(H327),1,0)+1</f>
      </c>
      <c r="H327" s="79">
        <f>H326+1</f>
        <v>25569.5</v>
      </c>
      <c r="I327" s="80">
        <f>HLOOKUP($H$4,'Met Data'!$A$2:$F$368,G327,FALSE)</f>
      </c>
      <c r="J327" s="80">
        <f>HLOOKUP($H$4,'Met Data'!$H$2:$M$368,G327,FALSE)*L327</f>
      </c>
      <c r="K327" s="81">
        <f>HLOOKUP($H$4,'Met Data'!$O$2:$T$368,G327,FALSE)</f>
      </c>
      <c r="L327" s="7">
        <f>IF(H327&lt;$B$31,$J$3,$J$4)</f>
      </c>
      <c r="M327" s="3"/>
      <c r="N327" s="82">
        <f>IF(P327&lt;$P$3,TRUE,FALSE)</f>
      </c>
      <c r="O327" s="82">
        <f>AND(IF(P327&gt;($P$2-1),TRUE,FALSE),IF(P327&lt;($P$3+1),TRUE,FALSE))</f>
      </c>
      <c r="P327" s="83" t="s">
        <v>374</v>
      </c>
      <c r="Q327" s="13" t="s">
        <v>374</v>
      </c>
      <c r="R327" s="13" t="s">
        <v>374</v>
      </c>
      <c r="S327" s="13" t="s">
        <v>374</v>
      </c>
      <c r="T327" s="13" t="s">
        <v>374</v>
      </c>
      <c r="U327" s="12" t="s">
        <v>374</v>
      </c>
      <c r="V327" s="13" t="s">
        <v>374</v>
      </c>
      <c r="W327" s="13" t="s">
        <v>374</v>
      </c>
      <c r="X327" s="12" t="s">
        <v>374</v>
      </c>
      <c r="Y327" s="13" t="s">
        <v>374</v>
      </c>
      <c r="Z327" s="12" t="s">
        <v>374</v>
      </c>
      <c r="AA327" s="12" t="s">
        <v>374</v>
      </c>
      <c r="AB327" s="13" t="s">
        <v>374</v>
      </c>
      <c r="AC327" s="42"/>
      <c r="AD327" s="83">
        <f>IFERROR(P327,$AD$4)</f>
        <v>25569.5</v>
      </c>
      <c r="AE327" s="7">
        <f>IFERROR(U327,0)</f>
      </c>
      <c r="AF327" s="3"/>
      <c r="AG327" s="105">
        <f>Q326+S327+T327+U327</f>
      </c>
      <c r="AH327" s="105">
        <f>Q327+R327+X327</f>
      </c>
      <c r="AI327" s="60">
        <f>AH327-AG327</f>
      </c>
      <c r="AJ327" s="3"/>
      <c r="AK327" s="3"/>
    </row>
    <row x14ac:dyDescent="0.25" r="328" customHeight="1" ht="18.75">
      <c r="A328" s="3"/>
      <c r="B328" s="71"/>
      <c r="C328" s="3"/>
      <c r="D328" s="3"/>
      <c r="E328" s="3"/>
      <c r="F328" s="3"/>
      <c r="G328" s="59">
        <f>H328-DATE(YEAR(H328),1,0)+1</f>
      </c>
      <c r="H328" s="79">
        <f>H327+1</f>
        <v>25569.5</v>
      </c>
      <c r="I328" s="80">
        <f>HLOOKUP($H$4,'Met Data'!$A$2:$F$368,G328,FALSE)</f>
      </c>
      <c r="J328" s="80">
        <f>HLOOKUP($H$4,'Met Data'!$H$2:$M$368,G328,FALSE)*L328</f>
      </c>
      <c r="K328" s="81">
        <f>HLOOKUP($H$4,'Met Data'!$O$2:$T$368,G328,FALSE)</f>
      </c>
      <c r="L328" s="7">
        <f>IF(H328&lt;$B$31,$J$3,$J$4)</f>
      </c>
      <c r="M328" s="3"/>
      <c r="N328" s="82">
        <f>IF(P328&lt;$P$3,TRUE,FALSE)</f>
      </c>
      <c r="O328" s="82">
        <f>AND(IF(P328&gt;($P$2-1),TRUE,FALSE),IF(P328&lt;($P$3+1),TRUE,FALSE))</f>
      </c>
      <c r="P328" s="83" t="s">
        <v>374</v>
      </c>
      <c r="Q328" s="13" t="s">
        <v>374</v>
      </c>
      <c r="R328" s="13" t="s">
        <v>374</v>
      </c>
      <c r="S328" s="13" t="s">
        <v>374</v>
      </c>
      <c r="T328" s="13" t="s">
        <v>374</v>
      </c>
      <c r="U328" s="12" t="s">
        <v>374</v>
      </c>
      <c r="V328" s="13" t="s">
        <v>374</v>
      </c>
      <c r="W328" s="13" t="s">
        <v>374</v>
      </c>
      <c r="X328" s="12" t="s">
        <v>374</v>
      </c>
      <c r="Y328" s="13" t="s">
        <v>374</v>
      </c>
      <c r="Z328" s="12" t="s">
        <v>374</v>
      </c>
      <c r="AA328" s="12" t="s">
        <v>374</v>
      </c>
      <c r="AB328" s="13" t="s">
        <v>374</v>
      </c>
      <c r="AC328" s="42"/>
      <c r="AD328" s="83">
        <f>IFERROR(P328,$AD$4)</f>
        <v>25569.5</v>
      </c>
      <c r="AE328" s="7">
        <f>IFERROR(U328,0)</f>
      </c>
      <c r="AF328" s="3"/>
      <c r="AG328" s="105">
        <f>Q327+S328+T328+U328</f>
      </c>
      <c r="AH328" s="105">
        <f>Q328+R328+X328</f>
      </c>
      <c r="AI328" s="60">
        <f>AH328-AG328</f>
      </c>
      <c r="AJ328" s="3"/>
      <c r="AK328" s="3"/>
    </row>
    <row x14ac:dyDescent="0.25" r="329" customHeight="1" ht="18.75">
      <c r="A329" s="3"/>
      <c r="B329" s="71"/>
      <c r="C329" s="3"/>
      <c r="D329" s="3"/>
      <c r="E329" s="3"/>
      <c r="F329" s="3"/>
      <c r="G329" s="59">
        <f>H329-DATE(YEAR(H329),1,0)+1</f>
      </c>
      <c r="H329" s="79">
        <f>H328+1</f>
        <v>25569.5</v>
      </c>
      <c r="I329" s="80">
        <f>HLOOKUP($H$4,'Met Data'!$A$2:$F$368,G329,FALSE)</f>
      </c>
      <c r="J329" s="80">
        <f>HLOOKUP($H$4,'Met Data'!$H$2:$M$368,G329,FALSE)*L329</f>
      </c>
      <c r="K329" s="81">
        <f>HLOOKUP($H$4,'Met Data'!$O$2:$T$368,G329,FALSE)</f>
      </c>
      <c r="L329" s="7">
        <f>IF(H329&lt;$B$31,$J$3,$J$4)</f>
      </c>
      <c r="M329" s="3"/>
      <c r="N329" s="82">
        <f>IF(P329&lt;$P$3,TRUE,FALSE)</f>
      </c>
      <c r="O329" s="82">
        <f>AND(IF(P329&gt;($P$2-1),TRUE,FALSE),IF(P329&lt;($P$3+1),TRUE,FALSE))</f>
      </c>
      <c r="P329" s="83" t="s">
        <v>374</v>
      </c>
      <c r="Q329" s="13" t="s">
        <v>374</v>
      </c>
      <c r="R329" s="13" t="s">
        <v>374</v>
      </c>
      <c r="S329" s="13" t="s">
        <v>374</v>
      </c>
      <c r="T329" s="13" t="s">
        <v>374</v>
      </c>
      <c r="U329" s="12" t="s">
        <v>374</v>
      </c>
      <c r="V329" s="13" t="s">
        <v>374</v>
      </c>
      <c r="W329" s="13" t="s">
        <v>374</v>
      </c>
      <c r="X329" s="12" t="s">
        <v>374</v>
      </c>
      <c r="Y329" s="13" t="s">
        <v>374</v>
      </c>
      <c r="Z329" s="12" t="s">
        <v>374</v>
      </c>
      <c r="AA329" s="12" t="s">
        <v>374</v>
      </c>
      <c r="AB329" s="13" t="s">
        <v>374</v>
      </c>
      <c r="AC329" s="42"/>
      <c r="AD329" s="83">
        <f>IFERROR(P329,$AD$4)</f>
        <v>25569.5</v>
      </c>
      <c r="AE329" s="7">
        <f>IFERROR(U329,0)</f>
      </c>
      <c r="AF329" s="3"/>
      <c r="AG329" s="105">
        <f>Q328+S329+T329+U329</f>
      </c>
      <c r="AH329" s="105">
        <f>Q329+R329+X329</f>
      </c>
      <c r="AI329" s="60">
        <f>AH329-AG329</f>
      </c>
      <c r="AJ329" s="3"/>
      <c r="AK329" s="3"/>
    </row>
    <row x14ac:dyDescent="0.25" r="330" customHeight="1" ht="18.75">
      <c r="A330" s="3"/>
      <c r="B330" s="71"/>
      <c r="C330" s="3"/>
      <c r="D330" s="3"/>
      <c r="E330" s="3"/>
      <c r="F330" s="3"/>
      <c r="G330" s="59">
        <f>H330-DATE(YEAR(H330),1,0)+1</f>
      </c>
      <c r="H330" s="79">
        <f>H329+1</f>
        <v>25569.5</v>
      </c>
      <c r="I330" s="80">
        <f>HLOOKUP($H$4,'Met Data'!$A$2:$F$368,G330,FALSE)</f>
      </c>
      <c r="J330" s="80">
        <f>HLOOKUP($H$4,'Met Data'!$H$2:$M$368,G330,FALSE)*L330</f>
      </c>
      <c r="K330" s="81">
        <f>HLOOKUP($H$4,'Met Data'!$O$2:$T$368,G330,FALSE)</f>
      </c>
      <c r="L330" s="7">
        <f>IF(H330&lt;$B$31,$J$3,$J$4)</f>
      </c>
      <c r="M330" s="3"/>
      <c r="N330" s="82">
        <f>IF(P330&lt;$P$3,TRUE,FALSE)</f>
      </c>
      <c r="O330" s="82">
        <f>AND(IF(P330&gt;($P$2-1),TRUE,FALSE),IF(P330&lt;($P$3+1),TRUE,FALSE))</f>
      </c>
      <c r="P330" s="83" t="s">
        <v>374</v>
      </c>
      <c r="Q330" s="13" t="s">
        <v>374</v>
      </c>
      <c r="R330" s="13" t="s">
        <v>374</v>
      </c>
      <c r="S330" s="13" t="s">
        <v>374</v>
      </c>
      <c r="T330" s="13" t="s">
        <v>374</v>
      </c>
      <c r="U330" s="12" t="s">
        <v>374</v>
      </c>
      <c r="V330" s="13" t="s">
        <v>374</v>
      </c>
      <c r="W330" s="13" t="s">
        <v>374</v>
      </c>
      <c r="X330" s="12" t="s">
        <v>374</v>
      </c>
      <c r="Y330" s="13" t="s">
        <v>374</v>
      </c>
      <c r="Z330" s="12" t="s">
        <v>374</v>
      </c>
      <c r="AA330" s="12" t="s">
        <v>374</v>
      </c>
      <c r="AB330" s="13" t="s">
        <v>374</v>
      </c>
      <c r="AC330" s="42"/>
      <c r="AD330" s="83">
        <f>IFERROR(P330,$AD$4)</f>
        <v>25569.5</v>
      </c>
      <c r="AE330" s="7">
        <f>IFERROR(U330,0)</f>
      </c>
      <c r="AF330" s="3"/>
      <c r="AG330" s="105">
        <f>Q329+S330+T330+U330</f>
      </c>
      <c r="AH330" s="105">
        <f>Q330+R330+X330</f>
      </c>
      <c r="AI330" s="60">
        <f>AH330-AG330</f>
      </c>
      <c r="AJ330" s="3"/>
      <c r="AK330" s="3"/>
    </row>
    <row x14ac:dyDescent="0.25" r="331" customHeight="1" ht="18.75">
      <c r="A331" s="3"/>
      <c r="B331" s="71"/>
      <c r="C331" s="3"/>
      <c r="D331" s="3"/>
      <c r="E331" s="3"/>
      <c r="F331" s="3"/>
      <c r="G331" s="59">
        <f>H331-DATE(YEAR(H331),1,0)+1</f>
      </c>
      <c r="H331" s="79">
        <f>H330+1</f>
        <v>25569.5</v>
      </c>
      <c r="I331" s="80">
        <f>HLOOKUP($H$4,'Met Data'!$A$2:$F$368,G331,FALSE)</f>
      </c>
      <c r="J331" s="80">
        <f>HLOOKUP($H$4,'Met Data'!$H$2:$M$368,G331,FALSE)*L331</f>
      </c>
      <c r="K331" s="81">
        <f>HLOOKUP($H$4,'Met Data'!$O$2:$T$368,G331,FALSE)</f>
      </c>
      <c r="L331" s="7">
        <f>IF(H331&lt;$B$31,$J$3,$J$4)</f>
      </c>
      <c r="M331" s="3"/>
      <c r="N331" s="82">
        <f>IF(P331&lt;$P$3,TRUE,FALSE)</f>
      </c>
      <c r="O331" s="82">
        <f>AND(IF(P331&gt;($P$2-1),TRUE,FALSE),IF(P331&lt;($P$3+1),TRUE,FALSE))</f>
      </c>
      <c r="P331" s="83" t="s">
        <v>374</v>
      </c>
      <c r="Q331" s="13" t="s">
        <v>374</v>
      </c>
      <c r="R331" s="13" t="s">
        <v>374</v>
      </c>
      <c r="S331" s="13" t="s">
        <v>374</v>
      </c>
      <c r="T331" s="13" t="s">
        <v>374</v>
      </c>
      <c r="U331" s="12" t="s">
        <v>374</v>
      </c>
      <c r="V331" s="13" t="s">
        <v>374</v>
      </c>
      <c r="W331" s="13" t="s">
        <v>374</v>
      </c>
      <c r="X331" s="12" t="s">
        <v>374</v>
      </c>
      <c r="Y331" s="13" t="s">
        <v>374</v>
      </c>
      <c r="Z331" s="12" t="s">
        <v>374</v>
      </c>
      <c r="AA331" s="12" t="s">
        <v>374</v>
      </c>
      <c r="AB331" s="13" t="s">
        <v>374</v>
      </c>
      <c r="AC331" s="42"/>
      <c r="AD331" s="83">
        <f>IFERROR(P331,$AD$4)</f>
        <v>25569.5</v>
      </c>
      <c r="AE331" s="7">
        <f>IFERROR(U331,0)</f>
      </c>
      <c r="AF331" s="3"/>
      <c r="AG331" s="105">
        <f>Q330+S331+T331+U331</f>
      </c>
      <c r="AH331" s="105">
        <f>Q331+R331+X331</f>
      </c>
      <c r="AI331" s="60">
        <f>AH331-AG331</f>
      </c>
      <c r="AJ331" s="3"/>
      <c r="AK331" s="3"/>
    </row>
    <row x14ac:dyDescent="0.25" r="332" customHeight="1" ht="18.75">
      <c r="A332" s="3"/>
      <c r="B332" s="71"/>
      <c r="C332" s="3"/>
      <c r="D332" s="3"/>
      <c r="E332" s="3"/>
      <c r="F332" s="3"/>
      <c r="G332" s="59">
        <f>H332-DATE(YEAR(H332),1,0)+1</f>
      </c>
      <c r="H332" s="79">
        <f>H331+1</f>
        <v>25569.5</v>
      </c>
      <c r="I332" s="80">
        <f>HLOOKUP($H$4,'Met Data'!$A$2:$F$368,G332,FALSE)</f>
      </c>
      <c r="J332" s="80">
        <f>HLOOKUP($H$4,'Met Data'!$H$2:$M$368,G332,FALSE)*L332</f>
      </c>
      <c r="K332" s="81">
        <f>HLOOKUP($H$4,'Met Data'!$O$2:$T$368,G332,FALSE)</f>
      </c>
      <c r="L332" s="7">
        <f>IF(H332&lt;$B$31,$J$3,$J$4)</f>
      </c>
      <c r="M332" s="3"/>
      <c r="N332" s="82">
        <f>IF(P332&lt;$P$3,TRUE,FALSE)</f>
      </c>
      <c r="O332" s="82">
        <f>AND(IF(P332&gt;($P$2-1),TRUE,FALSE),IF(P332&lt;($P$3+1),TRUE,FALSE))</f>
      </c>
      <c r="P332" s="83" t="s">
        <v>374</v>
      </c>
      <c r="Q332" s="13" t="s">
        <v>374</v>
      </c>
      <c r="R332" s="13" t="s">
        <v>374</v>
      </c>
      <c r="S332" s="13" t="s">
        <v>374</v>
      </c>
      <c r="T332" s="13" t="s">
        <v>374</v>
      </c>
      <c r="U332" s="12" t="s">
        <v>374</v>
      </c>
      <c r="V332" s="13" t="s">
        <v>374</v>
      </c>
      <c r="W332" s="13" t="s">
        <v>374</v>
      </c>
      <c r="X332" s="12" t="s">
        <v>374</v>
      </c>
      <c r="Y332" s="13" t="s">
        <v>374</v>
      </c>
      <c r="Z332" s="12" t="s">
        <v>374</v>
      </c>
      <c r="AA332" s="12" t="s">
        <v>374</v>
      </c>
      <c r="AB332" s="13" t="s">
        <v>374</v>
      </c>
      <c r="AC332" s="42"/>
      <c r="AD332" s="83">
        <f>IFERROR(P332,$AD$4)</f>
        <v>25569.5</v>
      </c>
      <c r="AE332" s="7">
        <f>IFERROR(U332,0)</f>
      </c>
      <c r="AF332" s="3"/>
      <c r="AG332" s="105">
        <f>Q331+S332+T332+U332</f>
      </c>
      <c r="AH332" s="105">
        <f>Q332+R332+X332</f>
      </c>
      <c r="AI332" s="60">
        <f>AH332-AG332</f>
      </c>
      <c r="AJ332" s="3"/>
      <c r="AK332" s="3"/>
    </row>
    <row x14ac:dyDescent="0.25" r="333" customHeight="1" ht="18.75">
      <c r="A333" s="3"/>
      <c r="B333" s="71"/>
      <c r="C333" s="3"/>
      <c r="D333" s="3"/>
      <c r="E333" s="3"/>
      <c r="F333" s="3"/>
      <c r="G333" s="59">
        <f>H333-DATE(YEAR(H333),1,0)+1</f>
      </c>
      <c r="H333" s="79">
        <f>H332+1</f>
        <v>25569.5</v>
      </c>
      <c r="I333" s="80">
        <f>HLOOKUP($H$4,'Met Data'!$A$2:$F$368,G333,FALSE)</f>
      </c>
      <c r="J333" s="80">
        <f>HLOOKUP($H$4,'Met Data'!$H$2:$M$368,G333,FALSE)*L333</f>
      </c>
      <c r="K333" s="81">
        <f>HLOOKUP($H$4,'Met Data'!$O$2:$T$368,G333,FALSE)</f>
      </c>
      <c r="L333" s="7">
        <f>IF(H333&lt;$B$31,$J$3,$J$4)</f>
      </c>
      <c r="M333" s="3"/>
      <c r="N333" s="82">
        <f>IF(P333&lt;$P$3,TRUE,FALSE)</f>
      </c>
      <c r="O333" s="82">
        <f>AND(IF(P333&gt;($P$2-1),TRUE,FALSE),IF(P333&lt;($P$3+1),TRUE,FALSE))</f>
      </c>
      <c r="P333" s="83" t="s">
        <v>374</v>
      </c>
      <c r="Q333" s="13" t="s">
        <v>374</v>
      </c>
      <c r="R333" s="13" t="s">
        <v>374</v>
      </c>
      <c r="S333" s="13" t="s">
        <v>374</v>
      </c>
      <c r="T333" s="13" t="s">
        <v>374</v>
      </c>
      <c r="U333" s="12" t="s">
        <v>374</v>
      </c>
      <c r="V333" s="13" t="s">
        <v>374</v>
      </c>
      <c r="W333" s="13" t="s">
        <v>374</v>
      </c>
      <c r="X333" s="12" t="s">
        <v>374</v>
      </c>
      <c r="Y333" s="13" t="s">
        <v>374</v>
      </c>
      <c r="Z333" s="12" t="s">
        <v>374</v>
      </c>
      <c r="AA333" s="12" t="s">
        <v>374</v>
      </c>
      <c r="AB333" s="13" t="s">
        <v>374</v>
      </c>
      <c r="AC333" s="42"/>
      <c r="AD333" s="83">
        <f>IFERROR(P333,$AD$4)</f>
        <v>25569.5</v>
      </c>
      <c r="AE333" s="7">
        <f>IFERROR(U333,0)</f>
      </c>
      <c r="AF333" s="3"/>
      <c r="AG333" s="105">
        <f>Q332+S333+T333+U333</f>
      </c>
      <c r="AH333" s="105">
        <f>Q333+R333+X333</f>
      </c>
      <c r="AI333" s="60">
        <f>AH333-AG333</f>
      </c>
      <c r="AJ333" s="3"/>
      <c r="AK333" s="3"/>
    </row>
    <row x14ac:dyDescent="0.25" r="334" customHeight="1" ht="18.75">
      <c r="A334" s="3"/>
      <c r="B334" s="71"/>
      <c r="C334" s="3"/>
      <c r="D334" s="3"/>
      <c r="E334" s="3"/>
      <c r="F334" s="3"/>
      <c r="G334" s="59">
        <f>H334-DATE(YEAR(H334),1,0)+1</f>
      </c>
      <c r="H334" s="79">
        <f>H333+1</f>
        <v>25569.5</v>
      </c>
      <c r="I334" s="80">
        <f>HLOOKUP($H$4,'Met Data'!$A$2:$F$368,G334,FALSE)</f>
      </c>
      <c r="J334" s="80">
        <f>HLOOKUP($H$4,'Met Data'!$H$2:$M$368,G334,FALSE)*L334</f>
      </c>
      <c r="K334" s="81">
        <f>HLOOKUP($H$4,'Met Data'!$O$2:$T$368,G334,FALSE)</f>
      </c>
      <c r="L334" s="7">
        <f>IF(H334&lt;$B$31,$J$3,$J$4)</f>
      </c>
      <c r="M334" s="3"/>
      <c r="N334" s="82">
        <f>IF(P334&lt;$P$3,TRUE,FALSE)</f>
      </c>
      <c r="O334" s="82">
        <f>AND(IF(P334&gt;($P$2-1),TRUE,FALSE),IF(P334&lt;($P$3+1),TRUE,FALSE))</f>
      </c>
      <c r="P334" s="83" t="s">
        <v>374</v>
      </c>
      <c r="Q334" s="13" t="s">
        <v>374</v>
      </c>
      <c r="R334" s="13" t="s">
        <v>374</v>
      </c>
      <c r="S334" s="13" t="s">
        <v>374</v>
      </c>
      <c r="T334" s="13" t="s">
        <v>374</v>
      </c>
      <c r="U334" s="12" t="s">
        <v>374</v>
      </c>
      <c r="V334" s="13" t="s">
        <v>374</v>
      </c>
      <c r="W334" s="13" t="s">
        <v>374</v>
      </c>
      <c r="X334" s="12" t="s">
        <v>374</v>
      </c>
      <c r="Y334" s="13" t="s">
        <v>374</v>
      </c>
      <c r="Z334" s="12" t="s">
        <v>374</v>
      </c>
      <c r="AA334" s="12" t="s">
        <v>374</v>
      </c>
      <c r="AB334" s="13" t="s">
        <v>374</v>
      </c>
      <c r="AC334" s="42"/>
      <c r="AD334" s="83">
        <f>IFERROR(P334,$AD$4)</f>
        <v>25569.5</v>
      </c>
      <c r="AE334" s="7">
        <f>IFERROR(U334,0)</f>
      </c>
      <c r="AF334" s="3"/>
      <c r="AG334" s="105">
        <f>Q333+S334+T334+U334</f>
      </c>
      <c r="AH334" s="105">
        <f>Q334+R334+X334</f>
      </c>
      <c r="AI334" s="60">
        <f>AH334-AG334</f>
      </c>
      <c r="AJ334" s="3"/>
      <c r="AK334" s="3"/>
    </row>
    <row x14ac:dyDescent="0.25" r="335" customHeight="1" ht="18.75">
      <c r="A335" s="3"/>
      <c r="B335" s="71"/>
      <c r="C335" s="3"/>
      <c r="D335" s="3"/>
      <c r="E335" s="3"/>
      <c r="F335" s="3"/>
      <c r="G335" s="59">
        <f>H335-DATE(YEAR(H335),1,0)+1</f>
      </c>
      <c r="H335" s="79">
        <f>H334+1</f>
        <v>25569.5</v>
      </c>
      <c r="I335" s="80">
        <f>HLOOKUP($H$4,'Met Data'!$A$2:$F$368,G335,FALSE)</f>
      </c>
      <c r="J335" s="80">
        <f>HLOOKUP($H$4,'Met Data'!$H$2:$M$368,G335,FALSE)*L335</f>
      </c>
      <c r="K335" s="81">
        <f>HLOOKUP($H$4,'Met Data'!$O$2:$T$368,G335,FALSE)</f>
      </c>
      <c r="L335" s="7">
        <f>IF(H335&lt;$B$31,$J$3,$J$4)</f>
      </c>
      <c r="M335" s="3"/>
      <c r="N335" s="82">
        <f>IF(P335&lt;$P$3,TRUE,FALSE)</f>
      </c>
      <c r="O335" s="82">
        <f>AND(IF(P335&gt;($P$2-1),TRUE,FALSE),IF(P335&lt;($P$3+1),TRUE,FALSE))</f>
      </c>
      <c r="P335" s="83" t="s">
        <v>374</v>
      </c>
      <c r="Q335" s="13" t="s">
        <v>374</v>
      </c>
      <c r="R335" s="13" t="s">
        <v>374</v>
      </c>
      <c r="S335" s="13" t="s">
        <v>374</v>
      </c>
      <c r="T335" s="13" t="s">
        <v>374</v>
      </c>
      <c r="U335" s="12" t="s">
        <v>374</v>
      </c>
      <c r="V335" s="13" t="s">
        <v>374</v>
      </c>
      <c r="W335" s="13" t="s">
        <v>374</v>
      </c>
      <c r="X335" s="12" t="s">
        <v>374</v>
      </c>
      <c r="Y335" s="13" t="s">
        <v>374</v>
      </c>
      <c r="Z335" s="12" t="s">
        <v>374</v>
      </c>
      <c r="AA335" s="12" t="s">
        <v>374</v>
      </c>
      <c r="AB335" s="13" t="s">
        <v>374</v>
      </c>
      <c r="AC335" s="42"/>
      <c r="AD335" s="83">
        <f>IFERROR(P335,$AD$4)</f>
        <v>25569.5</v>
      </c>
      <c r="AE335" s="7">
        <f>IFERROR(U335,0)</f>
      </c>
      <c r="AF335" s="3"/>
      <c r="AG335" s="105">
        <f>Q334+S335+T335+U335</f>
      </c>
      <c r="AH335" s="105">
        <f>Q335+R335+X335</f>
      </c>
      <c r="AI335" s="60">
        <f>AH335-AG335</f>
      </c>
      <c r="AJ335" s="3"/>
      <c r="AK335" s="3"/>
    </row>
    <row x14ac:dyDescent="0.25" r="336" customHeight="1" ht="18.75">
      <c r="A336" s="3"/>
      <c r="B336" s="71"/>
      <c r="C336" s="3"/>
      <c r="D336" s="3"/>
      <c r="E336" s="3"/>
      <c r="F336" s="3"/>
      <c r="G336" s="59">
        <f>H336-DATE(YEAR(H336),1,0)+1</f>
      </c>
      <c r="H336" s="79">
        <f>H335+1</f>
        <v>25569.5</v>
      </c>
      <c r="I336" s="80">
        <f>HLOOKUP($H$4,'Met Data'!$A$2:$F$368,G336,FALSE)</f>
      </c>
      <c r="J336" s="80">
        <f>HLOOKUP($H$4,'Met Data'!$H$2:$M$368,G336,FALSE)*L336</f>
      </c>
      <c r="K336" s="81">
        <f>HLOOKUP($H$4,'Met Data'!$O$2:$T$368,G336,FALSE)</f>
      </c>
      <c r="L336" s="7">
        <f>IF(H336&lt;$B$31,$J$3,$J$4)</f>
      </c>
      <c r="M336" s="3"/>
      <c r="N336" s="82">
        <f>IF(P336&lt;$P$3,TRUE,FALSE)</f>
      </c>
      <c r="O336" s="82">
        <f>AND(IF(P336&gt;($P$2-1),TRUE,FALSE),IF(P336&lt;($P$3+1),TRUE,FALSE))</f>
      </c>
      <c r="P336" s="83" t="s">
        <v>374</v>
      </c>
      <c r="Q336" s="13" t="s">
        <v>374</v>
      </c>
      <c r="R336" s="13" t="s">
        <v>374</v>
      </c>
      <c r="S336" s="13" t="s">
        <v>374</v>
      </c>
      <c r="T336" s="13" t="s">
        <v>374</v>
      </c>
      <c r="U336" s="12" t="s">
        <v>374</v>
      </c>
      <c r="V336" s="13" t="s">
        <v>374</v>
      </c>
      <c r="W336" s="13" t="s">
        <v>374</v>
      </c>
      <c r="X336" s="12" t="s">
        <v>374</v>
      </c>
      <c r="Y336" s="13" t="s">
        <v>374</v>
      </c>
      <c r="Z336" s="12" t="s">
        <v>374</v>
      </c>
      <c r="AA336" s="12" t="s">
        <v>374</v>
      </c>
      <c r="AB336" s="13" t="s">
        <v>374</v>
      </c>
      <c r="AC336" s="42"/>
      <c r="AD336" s="83">
        <f>IFERROR(P336,$AD$4)</f>
        <v>25569.5</v>
      </c>
      <c r="AE336" s="7">
        <f>IFERROR(U336,0)</f>
      </c>
      <c r="AF336" s="3"/>
      <c r="AG336" s="105">
        <f>Q335+S336+T336+U336</f>
      </c>
      <c r="AH336" s="105">
        <f>Q336+R336+X336</f>
      </c>
      <c r="AI336" s="60">
        <f>AH336-AG336</f>
      </c>
      <c r="AJ336" s="3"/>
      <c r="AK336" s="3"/>
    </row>
    <row x14ac:dyDescent="0.25" r="337" customHeight="1" ht="18.75">
      <c r="A337" s="3"/>
      <c r="B337" s="71"/>
      <c r="C337" s="3"/>
      <c r="D337" s="3"/>
      <c r="E337" s="3"/>
      <c r="F337" s="3"/>
      <c r="G337" s="59">
        <f>H337-DATE(YEAR(H337),1,0)+1</f>
      </c>
      <c r="H337" s="79">
        <f>H336+1</f>
        <v>25569.5</v>
      </c>
      <c r="I337" s="80">
        <f>HLOOKUP($H$4,'Met Data'!$A$2:$F$368,G337,FALSE)</f>
      </c>
      <c r="J337" s="80">
        <f>HLOOKUP($H$4,'Met Data'!$H$2:$M$368,G337,FALSE)*L337</f>
      </c>
      <c r="K337" s="81">
        <f>HLOOKUP($H$4,'Met Data'!$O$2:$T$368,G337,FALSE)</f>
      </c>
      <c r="L337" s="7">
        <f>IF(H337&lt;$B$31,$J$3,$J$4)</f>
      </c>
      <c r="M337" s="3"/>
      <c r="N337" s="82">
        <f>IF(P337&lt;$P$3,TRUE,FALSE)</f>
      </c>
      <c r="O337" s="82">
        <f>AND(IF(P337&gt;($P$2-1),TRUE,FALSE),IF(P337&lt;($P$3+1),TRUE,FALSE))</f>
      </c>
      <c r="P337" s="83" t="s">
        <v>374</v>
      </c>
      <c r="Q337" s="13" t="s">
        <v>374</v>
      </c>
      <c r="R337" s="13" t="s">
        <v>374</v>
      </c>
      <c r="S337" s="13" t="s">
        <v>374</v>
      </c>
      <c r="T337" s="13" t="s">
        <v>374</v>
      </c>
      <c r="U337" s="12" t="s">
        <v>374</v>
      </c>
      <c r="V337" s="13" t="s">
        <v>374</v>
      </c>
      <c r="W337" s="13" t="s">
        <v>374</v>
      </c>
      <c r="X337" s="12" t="s">
        <v>374</v>
      </c>
      <c r="Y337" s="13" t="s">
        <v>374</v>
      </c>
      <c r="Z337" s="12" t="s">
        <v>374</v>
      </c>
      <c r="AA337" s="12" t="s">
        <v>374</v>
      </c>
      <c r="AB337" s="13" t="s">
        <v>374</v>
      </c>
      <c r="AC337" s="42"/>
      <c r="AD337" s="83">
        <f>IFERROR(P337,$AD$4)</f>
        <v>25569.5</v>
      </c>
      <c r="AE337" s="7">
        <f>IFERROR(U337,0)</f>
      </c>
      <c r="AF337" s="3"/>
      <c r="AG337" s="105">
        <f>Q336+S337+T337+U337</f>
      </c>
      <c r="AH337" s="105">
        <f>Q337+R337+X337</f>
      </c>
      <c r="AI337" s="60">
        <f>AH337-AG337</f>
      </c>
      <c r="AJ337" s="3"/>
      <c r="AK337" s="3"/>
    </row>
    <row x14ac:dyDescent="0.25" r="338" customHeight="1" ht="18.75">
      <c r="A338" s="3"/>
      <c r="B338" s="71"/>
      <c r="C338" s="3"/>
      <c r="D338" s="3"/>
      <c r="E338" s="3"/>
      <c r="F338" s="3"/>
      <c r="G338" s="59">
        <f>H338-DATE(YEAR(H338),1,0)+1</f>
      </c>
      <c r="H338" s="79">
        <f>H337+1</f>
        <v>25569.5</v>
      </c>
      <c r="I338" s="80">
        <f>HLOOKUP($H$4,'Met Data'!$A$2:$F$368,G338,FALSE)</f>
      </c>
      <c r="J338" s="80">
        <f>HLOOKUP($H$4,'Met Data'!$H$2:$M$368,G338,FALSE)*L338</f>
      </c>
      <c r="K338" s="81">
        <f>HLOOKUP($H$4,'Met Data'!$O$2:$T$368,G338,FALSE)</f>
      </c>
      <c r="L338" s="7">
        <f>IF(H338&lt;$B$31,$J$3,$J$4)</f>
      </c>
      <c r="M338" s="3"/>
      <c r="N338" s="82">
        <f>IF(P338&lt;$P$3,TRUE,FALSE)</f>
      </c>
      <c r="O338" s="82">
        <f>AND(IF(P338&gt;($P$2-1),TRUE,FALSE),IF(P338&lt;($P$3+1),TRUE,FALSE))</f>
      </c>
      <c r="P338" s="83" t="s">
        <v>374</v>
      </c>
      <c r="Q338" s="13" t="s">
        <v>374</v>
      </c>
      <c r="R338" s="13" t="s">
        <v>374</v>
      </c>
      <c r="S338" s="13" t="s">
        <v>374</v>
      </c>
      <c r="T338" s="13" t="s">
        <v>374</v>
      </c>
      <c r="U338" s="12" t="s">
        <v>374</v>
      </c>
      <c r="V338" s="13" t="s">
        <v>374</v>
      </c>
      <c r="W338" s="13" t="s">
        <v>374</v>
      </c>
      <c r="X338" s="12" t="s">
        <v>374</v>
      </c>
      <c r="Y338" s="13" t="s">
        <v>374</v>
      </c>
      <c r="Z338" s="12" t="s">
        <v>374</v>
      </c>
      <c r="AA338" s="12" t="s">
        <v>374</v>
      </c>
      <c r="AB338" s="13" t="s">
        <v>374</v>
      </c>
      <c r="AC338" s="42"/>
      <c r="AD338" s="83">
        <f>IFERROR(P338,$AD$4)</f>
        <v>25569.5</v>
      </c>
      <c r="AE338" s="7">
        <f>IFERROR(U338,0)</f>
      </c>
      <c r="AF338" s="3"/>
      <c r="AG338" s="105">
        <f>Q337+S338+T338+U338</f>
      </c>
      <c r="AH338" s="105">
        <f>Q338+R338+X338</f>
      </c>
      <c r="AI338" s="60">
        <f>AH338-AG338</f>
      </c>
      <c r="AJ338" s="3"/>
      <c r="AK338" s="3"/>
    </row>
    <row x14ac:dyDescent="0.25" r="339" customHeight="1" ht="18.75">
      <c r="A339" s="3"/>
      <c r="B339" s="71"/>
      <c r="C339" s="3"/>
      <c r="D339" s="3"/>
      <c r="E339" s="3"/>
      <c r="F339" s="3"/>
      <c r="G339" s="59">
        <f>H339-DATE(YEAR(H339),1,0)+1</f>
      </c>
      <c r="H339" s="79">
        <f>H338+1</f>
        <v>25569.5</v>
      </c>
      <c r="I339" s="80">
        <f>HLOOKUP($H$4,'Met Data'!$A$2:$F$368,G339,FALSE)</f>
      </c>
      <c r="J339" s="80">
        <f>HLOOKUP($H$4,'Met Data'!$H$2:$M$368,G339,FALSE)*L339</f>
      </c>
      <c r="K339" s="81">
        <f>HLOOKUP($H$4,'Met Data'!$O$2:$T$368,G339,FALSE)</f>
      </c>
      <c r="L339" s="7">
        <f>IF(H339&lt;$B$31,$J$3,$J$4)</f>
      </c>
      <c r="M339" s="3"/>
      <c r="N339" s="82">
        <f>IF(P339&lt;$P$3,TRUE,FALSE)</f>
      </c>
      <c r="O339" s="82">
        <f>AND(IF(P339&gt;($P$2-1),TRUE,FALSE),IF(P339&lt;($P$3+1),TRUE,FALSE))</f>
      </c>
      <c r="P339" s="83" t="s">
        <v>374</v>
      </c>
      <c r="Q339" s="13" t="s">
        <v>374</v>
      </c>
      <c r="R339" s="13" t="s">
        <v>374</v>
      </c>
      <c r="S339" s="13" t="s">
        <v>374</v>
      </c>
      <c r="T339" s="13" t="s">
        <v>374</v>
      </c>
      <c r="U339" s="12" t="s">
        <v>374</v>
      </c>
      <c r="V339" s="13" t="s">
        <v>374</v>
      </c>
      <c r="W339" s="13" t="s">
        <v>374</v>
      </c>
      <c r="X339" s="12" t="s">
        <v>374</v>
      </c>
      <c r="Y339" s="13" t="s">
        <v>374</v>
      </c>
      <c r="Z339" s="12" t="s">
        <v>374</v>
      </c>
      <c r="AA339" s="12" t="s">
        <v>374</v>
      </c>
      <c r="AB339" s="13" t="s">
        <v>374</v>
      </c>
      <c r="AC339" s="42"/>
      <c r="AD339" s="83">
        <f>IFERROR(P339,$AD$4)</f>
        <v>25569.5</v>
      </c>
      <c r="AE339" s="7">
        <f>IFERROR(U339,0)</f>
      </c>
      <c r="AF339" s="3"/>
      <c r="AG339" s="105">
        <f>Q338+S339+T339+U339</f>
      </c>
      <c r="AH339" s="105">
        <f>Q339+R339+X339</f>
      </c>
      <c r="AI339" s="60">
        <f>AH339-AG339</f>
      </c>
      <c r="AJ339" s="3"/>
      <c r="AK339" s="3"/>
    </row>
    <row x14ac:dyDescent="0.25" r="340" customHeight="1" ht="18.75">
      <c r="A340" s="3"/>
      <c r="B340" s="71"/>
      <c r="C340" s="3"/>
      <c r="D340" s="3"/>
      <c r="E340" s="3"/>
      <c r="F340" s="3"/>
      <c r="G340" s="59">
        <f>H340-DATE(YEAR(H340),1,0)+1</f>
      </c>
      <c r="H340" s="79">
        <f>H339+1</f>
        <v>25569.5</v>
      </c>
      <c r="I340" s="80">
        <f>HLOOKUP($H$4,'Met Data'!$A$2:$F$368,G340,FALSE)</f>
      </c>
      <c r="J340" s="80">
        <f>HLOOKUP($H$4,'Met Data'!$H$2:$M$368,G340,FALSE)*L340</f>
      </c>
      <c r="K340" s="81">
        <f>HLOOKUP($H$4,'Met Data'!$O$2:$T$368,G340,FALSE)</f>
      </c>
      <c r="L340" s="7">
        <f>IF(H340&lt;$B$31,$J$3,$J$4)</f>
      </c>
      <c r="M340" s="3"/>
      <c r="N340" s="82">
        <f>IF(P340&lt;$P$3,TRUE,FALSE)</f>
      </c>
      <c r="O340" s="82">
        <f>AND(IF(P340&gt;($P$2-1),TRUE,FALSE),IF(P340&lt;($P$3+1),TRUE,FALSE))</f>
      </c>
      <c r="P340" s="83" t="s">
        <v>374</v>
      </c>
      <c r="Q340" s="13" t="s">
        <v>374</v>
      </c>
      <c r="R340" s="13" t="s">
        <v>374</v>
      </c>
      <c r="S340" s="13" t="s">
        <v>374</v>
      </c>
      <c r="T340" s="13" t="s">
        <v>374</v>
      </c>
      <c r="U340" s="12" t="s">
        <v>374</v>
      </c>
      <c r="V340" s="13" t="s">
        <v>374</v>
      </c>
      <c r="W340" s="13" t="s">
        <v>374</v>
      </c>
      <c r="X340" s="12" t="s">
        <v>374</v>
      </c>
      <c r="Y340" s="13" t="s">
        <v>374</v>
      </c>
      <c r="Z340" s="12" t="s">
        <v>374</v>
      </c>
      <c r="AA340" s="12" t="s">
        <v>374</v>
      </c>
      <c r="AB340" s="13" t="s">
        <v>374</v>
      </c>
      <c r="AC340" s="42"/>
      <c r="AD340" s="83">
        <f>IFERROR(P340,$AD$4)</f>
        <v>25569.5</v>
      </c>
      <c r="AE340" s="7">
        <f>IFERROR(U340,0)</f>
      </c>
      <c r="AF340" s="3"/>
      <c r="AG340" s="105">
        <f>Q339+S340+T340+U340</f>
      </c>
      <c r="AH340" s="105">
        <f>Q340+R340+X340</f>
      </c>
      <c r="AI340" s="60">
        <f>AH340-AG340</f>
      </c>
      <c r="AJ340" s="3"/>
      <c r="AK340" s="3"/>
    </row>
    <row x14ac:dyDescent="0.25" r="341" customHeight="1" ht="18.75">
      <c r="A341" s="3"/>
      <c r="B341" s="71"/>
      <c r="C341" s="3"/>
      <c r="D341" s="3"/>
      <c r="E341" s="3"/>
      <c r="F341" s="3"/>
      <c r="G341" s="59">
        <f>H341-DATE(YEAR(H341),1,0)+1</f>
      </c>
      <c r="H341" s="79">
        <f>H340+1</f>
        <v>25569.5</v>
      </c>
      <c r="I341" s="80">
        <f>HLOOKUP($H$4,'Met Data'!$A$2:$F$368,G341,FALSE)</f>
      </c>
      <c r="J341" s="80">
        <f>HLOOKUP($H$4,'Met Data'!$H$2:$M$368,G341,FALSE)*L341</f>
      </c>
      <c r="K341" s="81">
        <f>HLOOKUP($H$4,'Met Data'!$O$2:$T$368,G341,FALSE)</f>
      </c>
      <c r="L341" s="7">
        <f>IF(H341&lt;$B$31,$J$3,$J$4)</f>
      </c>
      <c r="M341" s="3"/>
      <c r="N341" s="82">
        <f>IF(P341&lt;$P$3,TRUE,FALSE)</f>
      </c>
      <c r="O341" s="82">
        <f>AND(IF(P341&gt;($P$2-1),TRUE,FALSE),IF(P341&lt;($P$3+1),TRUE,FALSE))</f>
      </c>
      <c r="P341" s="83" t="s">
        <v>374</v>
      </c>
      <c r="Q341" s="13" t="s">
        <v>374</v>
      </c>
      <c r="R341" s="13" t="s">
        <v>374</v>
      </c>
      <c r="S341" s="13" t="s">
        <v>374</v>
      </c>
      <c r="T341" s="13" t="s">
        <v>374</v>
      </c>
      <c r="U341" s="12" t="s">
        <v>374</v>
      </c>
      <c r="V341" s="13" t="s">
        <v>374</v>
      </c>
      <c r="W341" s="13" t="s">
        <v>374</v>
      </c>
      <c r="X341" s="12" t="s">
        <v>374</v>
      </c>
      <c r="Y341" s="13" t="s">
        <v>374</v>
      </c>
      <c r="Z341" s="12" t="s">
        <v>374</v>
      </c>
      <c r="AA341" s="12" t="s">
        <v>374</v>
      </c>
      <c r="AB341" s="13" t="s">
        <v>374</v>
      </c>
      <c r="AC341" s="42"/>
      <c r="AD341" s="83">
        <f>IFERROR(P341,$AD$4)</f>
        <v>25569.5</v>
      </c>
      <c r="AE341" s="7">
        <f>IFERROR(U341,0)</f>
      </c>
      <c r="AF341" s="3"/>
      <c r="AG341" s="105">
        <f>Q340+S341+T341+U341</f>
      </c>
      <c r="AH341" s="105">
        <f>Q341+R341+X341</f>
      </c>
      <c r="AI341" s="60">
        <f>AH341-AG341</f>
      </c>
      <c r="AJ341" s="3"/>
      <c r="AK341" s="3"/>
    </row>
    <row x14ac:dyDescent="0.25" r="342" customHeight="1" ht="18.75">
      <c r="A342" s="3"/>
      <c r="B342" s="71"/>
      <c r="C342" s="3"/>
      <c r="D342" s="3"/>
      <c r="E342" s="3"/>
      <c r="F342" s="3"/>
      <c r="G342" s="59">
        <f>H342-DATE(YEAR(H342),1,0)+1</f>
      </c>
      <c r="H342" s="79">
        <f>H341+1</f>
        <v>25569.5</v>
      </c>
      <c r="I342" s="80">
        <f>HLOOKUP($H$4,'Met Data'!$A$2:$F$368,G342,FALSE)</f>
      </c>
      <c r="J342" s="80">
        <f>HLOOKUP($H$4,'Met Data'!$H$2:$M$368,G342,FALSE)*L342</f>
      </c>
      <c r="K342" s="81">
        <f>HLOOKUP($H$4,'Met Data'!$O$2:$T$368,G342,FALSE)</f>
      </c>
      <c r="L342" s="7">
        <f>IF(H342&lt;$B$31,$J$3,$J$4)</f>
      </c>
      <c r="M342" s="3"/>
      <c r="N342" s="82">
        <f>IF(P342&lt;$P$3,TRUE,FALSE)</f>
      </c>
      <c r="O342" s="82">
        <f>AND(IF(P342&gt;($P$2-1),TRUE,FALSE),IF(P342&lt;($P$3+1),TRUE,FALSE))</f>
      </c>
      <c r="P342" s="83" t="s">
        <v>374</v>
      </c>
      <c r="Q342" s="13" t="s">
        <v>374</v>
      </c>
      <c r="R342" s="13" t="s">
        <v>374</v>
      </c>
      <c r="S342" s="13" t="s">
        <v>374</v>
      </c>
      <c r="T342" s="13" t="s">
        <v>374</v>
      </c>
      <c r="U342" s="12" t="s">
        <v>374</v>
      </c>
      <c r="V342" s="13" t="s">
        <v>374</v>
      </c>
      <c r="W342" s="13" t="s">
        <v>374</v>
      </c>
      <c r="X342" s="12" t="s">
        <v>374</v>
      </c>
      <c r="Y342" s="13" t="s">
        <v>374</v>
      </c>
      <c r="Z342" s="12" t="s">
        <v>374</v>
      </c>
      <c r="AA342" s="12" t="s">
        <v>374</v>
      </c>
      <c r="AB342" s="13" t="s">
        <v>374</v>
      </c>
      <c r="AC342" s="42"/>
      <c r="AD342" s="83">
        <f>IFERROR(P342,$AD$4)</f>
        <v>25569.5</v>
      </c>
      <c r="AE342" s="7">
        <f>IFERROR(U342,0)</f>
      </c>
      <c r="AF342" s="3"/>
      <c r="AG342" s="105">
        <f>Q341+S342+T342+U342</f>
      </c>
      <c r="AH342" s="105">
        <f>Q342+R342+X342</f>
      </c>
      <c r="AI342" s="60">
        <f>AH342-AG342</f>
      </c>
      <c r="AJ342" s="3"/>
      <c r="AK342" s="3"/>
    </row>
    <row x14ac:dyDescent="0.25" r="343" customHeight="1" ht="18.75">
      <c r="A343" s="3"/>
      <c r="B343" s="71"/>
      <c r="C343" s="3"/>
      <c r="D343" s="3"/>
      <c r="E343" s="3"/>
      <c r="F343" s="3"/>
      <c r="G343" s="59">
        <f>H343-DATE(YEAR(H343),1,0)+1</f>
      </c>
      <c r="H343" s="79">
        <f>H342+1</f>
        <v>25569.5</v>
      </c>
      <c r="I343" s="80">
        <f>HLOOKUP($H$4,'Met Data'!$A$2:$F$368,G343,FALSE)</f>
      </c>
      <c r="J343" s="80">
        <f>HLOOKUP($H$4,'Met Data'!$H$2:$M$368,G343,FALSE)*L343</f>
      </c>
      <c r="K343" s="81">
        <f>HLOOKUP($H$4,'Met Data'!$O$2:$T$368,G343,FALSE)</f>
      </c>
      <c r="L343" s="7">
        <f>IF(H343&lt;$B$31,$J$3,$J$4)</f>
      </c>
      <c r="M343" s="3"/>
      <c r="N343" s="82">
        <f>IF(P343&lt;$P$3,TRUE,FALSE)</f>
      </c>
      <c r="O343" s="82">
        <f>AND(IF(P343&gt;($P$2-1),TRUE,FALSE),IF(P343&lt;($P$3+1),TRUE,FALSE))</f>
      </c>
      <c r="P343" s="83" t="s">
        <v>374</v>
      </c>
      <c r="Q343" s="13" t="s">
        <v>374</v>
      </c>
      <c r="R343" s="13" t="s">
        <v>374</v>
      </c>
      <c r="S343" s="13" t="s">
        <v>374</v>
      </c>
      <c r="T343" s="13" t="s">
        <v>374</v>
      </c>
      <c r="U343" s="12" t="s">
        <v>374</v>
      </c>
      <c r="V343" s="13" t="s">
        <v>374</v>
      </c>
      <c r="W343" s="13" t="s">
        <v>374</v>
      </c>
      <c r="X343" s="12" t="s">
        <v>374</v>
      </c>
      <c r="Y343" s="13" t="s">
        <v>374</v>
      </c>
      <c r="Z343" s="12" t="s">
        <v>374</v>
      </c>
      <c r="AA343" s="12" t="s">
        <v>374</v>
      </c>
      <c r="AB343" s="13" t="s">
        <v>374</v>
      </c>
      <c r="AC343" s="42"/>
      <c r="AD343" s="83">
        <f>IFERROR(P343,$AD$4)</f>
        <v>25569.5</v>
      </c>
      <c r="AE343" s="7">
        <f>IFERROR(U343,0)</f>
      </c>
      <c r="AF343" s="3"/>
      <c r="AG343" s="105">
        <f>Q342+S343+T343+U343</f>
      </c>
      <c r="AH343" s="105">
        <f>Q343+R343+X343</f>
      </c>
      <c r="AI343" s="60">
        <f>AH343-AG343</f>
      </c>
      <c r="AJ343" s="3"/>
      <c r="AK343" s="3"/>
    </row>
    <row x14ac:dyDescent="0.25" r="344" customHeight="1" ht="18.75">
      <c r="A344" s="3"/>
      <c r="B344" s="71"/>
      <c r="C344" s="3"/>
      <c r="D344" s="3"/>
      <c r="E344" s="3"/>
      <c r="F344" s="3"/>
      <c r="G344" s="59">
        <f>H344-DATE(YEAR(H344),1,0)+1</f>
      </c>
      <c r="H344" s="79">
        <f>H343+1</f>
        <v>25569.5</v>
      </c>
      <c r="I344" s="80">
        <f>HLOOKUP($H$4,'Met Data'!$A$2:$F$368,G344,FALSE)</f>
      </c>
      <c r="J344" s="80">
        <f>HLOOKUP($H$4,'Met Data'!$H$2:$M$368,G344,FALSE)*L344</f>
      </c>
      <c r="K344" s="81">
        <f>HLOOKUP($H$4,'Met Data'!$O$2:$T$368,G344,FALSE)</f>
      </c>
      <c r="L344" s="7">
        <f>IF(H344&lt;$B$31,$J$3,$J$4)</f>
      </c>
      <c r="M344" s="3"/>
      <c r="N344" s="82">
        <f>IF(P344&lt;$P$3,TRUE,FALSE)</f>
      </c>
      <c r="O344" s="82">
        <f>AND(IF(P344&gt;($P$2-1),TRUE,FALSE),IF(P344&lt;($P$3+1),TRUE,FALSE))</f>
      </c>
      <c r="P344" s="83" t="s">
        <v>374</v>
      </c>
      <c r="Q344" s="13" t="s">
        <v>374</v>
      </c>
      <c r="R344" s="13" t="s">
        <v>374</v>
      </c>
      <c r="S344" s="13" t="s">
        <v>374</v>
      </c>
      <c r="T344" s="13" t="s">
        <v>374</v>
      </c>
      <c r="U344" s="12" t="s">
        <v>374</v>
      </c>
      <c r="V344" s="13" t="s">
        <v>374</v>
      </c>
      <c r="W344" s="13" t="s">
        <v>374</v>
      </c>
      <c r="X344" s="12" t="s">
        <v>374</v>
      </c>
      <c r="Y344" s="13" t="s">
        <v>374</v>
      </c>
      <c r="Z344" s="12" t="s">
        <v>374</v>
      </c>
      <c r="AA344" s="12" t="s">
        <v>374</v>
      </c>
      <c r="AB344" s="13" t="s">
        <v>374</v>
      </c>
      <c r="AC344" s="42"/>
      <c r="AD344" s="83">
        <f>IFERROR(P344,$AD$4)</f>
        <v>25569.5</v>
      </c>
      <c r="AE344" s="7">
        <f>IFERROR(U344,0)</f>
      </c>
      <c r="AF344" s="3"/>
      <c r="AG344" s="105">
        <f>Q343+S344+T344+U344</f>
      </c>
      <c r="AH344" s="105">
        <f>Q344+R344+X344</f>
      </c>
      <c r="AI344" s="60">
        <f>AH344-AG344</f>
      </c>
      <c r="AJ344" s="3"/>
      <c r="AK344" s="3"/>
    </row>
    <row x14ac:dyDescent="0.25" r="345" customHeight="1" ht="18.75">
      <c r="A345" s="3"/>
      <c r="B345" s="71"/>
      <c r="C345" s="3"/>
      <c r="D345" s="3"/>
      <c r="E345" s="3"/>
      <c r="F345" s="3"/>
      <c r="G345" s="59">
        <f>H345-DATE(YEAR(H345),1,0)+1</f>
      </c>
      <c r="H345" s="79">
        <f>H344+1</f>
        <v>25569.5</v>
      </c>
      <c r="I345" s="80">
        <f>HLOOKUP($H$4,'Met Data'!$A$2:$F$368,G345,FALSE)</f>
      </c>
      <c r="J345" s="80">
        <f>HLOOKUP($H$4,'Met Data'!$H$2:$M$368,G345,FALSE)*L345</f>
      </c>
      <c r="K345" s="81">
        <f>HLOOKUP($H$4,'Met Data'!$O$2:$T$368,G345,FALSE)</f>
      </c>
      <c r="L345" s="7">
        <f>IF(H345&lt;$B$31,$J$3,$J$4)</f>
      </c>
      <c r="M345" s="3"/>
      <c r="N345" s="82">
        <f>IF(P345&lt;$P$3,TRUE,FALSE)</f>
      </c>
      <c r="O345" s="82">
        <f>AND(IF(P345&gt;($P$2-1),TRUE,FALSE),IF(P345&lt;($P$3+1),TRUE,FALSE))</f>
      </c>
      <c r="P345" s="83" t="s">
        <v>374</v>
      </c>
      <c r="Q345" s="13" t="s">
        <v>374</v>
      </c>
      <c r="R345" s="13" t="s">
        <v>374</v>
      </c>
      <c r="S345" s="13" t="s">
        <v>374</v>
      </c>
      <c r="T345" s="13" t="s">
        <v>374</v>
      </c>
      <c r="U345" s="12" t="s">
        <v>374</v>
      </c>
      <c r="V345" s="13" t="s">
        <v>374</v>
      </c>
      <c r="W345" s="13" t="s">
        <v>374</v>
      </c>
      <c r="X345" s="12" t="s">
        <v>374</v>
      </c>
      <c r="Y345" s="13" t="s">
        <v>374</v>
      </c>
      <c r="Z345" s="12" t="s">
        <v>374</v>
      </c>
      <c r="AA345" s="12" t="s">
        <v>374</v>
      </c>
      <c r="AB345" s="13" t="s">
        <v>374</v>
      </c>
      <c r="AC345" s="42"/>
      <c r="AD345" s="83">
        <f>IFERROR(P345,$AD$4)</f>
        <v>25569.5</v>
      </c>
      <c r="AE345" s="7">
        <f>IFERROR(U345,0)</f>
      </c>
      <c r="AF345" s="3"/>
      <c r="AG345" s="105">
        <f>Q344+S345+T345+U345</f>
      </c>
      <c r="AH345" s="105">
        <f>Q345+R345+X345</f>
      </c>
      <c r="AI345" s="60">
        <f>AH345-AG345</f>
      </c>
      <c r="AJ345" s="3"/>
      <c r="AK345" s="3"/>
    </row>
    <row x14ac:dyDescent="0.25" r="346" customHeight="1" ht="18.75">
      <c r="A346" s="3"/>
      <c r="B346" s="71"/>
      <c r="C346" s="3"/>
      <c r="D346" s="3"/>
      <c r="E346" s="3"/>
      <c r="F346" s="3"/>
      <c r="G346" s="59">
        <f>H346-DATE(YEAR(H346),1,0)+1</f>
      </c>
      <c r="H346" s="79">
        <f>H345+1</f>
        <v>25569.5</v>
      </c>
      <c r="I346" s="80">
        <f>HLOOKUP($H$4,'Met Data'!$A$2:$F$368,G346,FALSE)</f>
      </c>
      <c r="J346" s="80">
        <f>HLOOKUP($H$4,'Met Data'!$H$2:$M$368,G346,FALSE)*L346</f>
      </c>
      <c r="K346" s="81">
        <f>HLOOKUP($H$4,'Met Data'!$O$2:$T$368,G346,FALSE)</f>
      </c>
      <c r="L346" s="7">
        <f>IF(H346&lt;$B$31,$J$3,$J$4)</f>
      </c>
      <c r="M346" s="3"/>
      <c r="N346" s="82">
        <f>IF(P346&lt;$P$3,TRUE,FALSE)</f>
      </c>
      <c r="O346" s="82">
        <f>AND(IF(P346&gt;($P$2-1),TRUE,FALSE),IF(P346&lt;($P$3+1),TRUE,FALSE))</f>
      </c>
      <c r="P346" s="83" t="s">
        <v>374</v>
      </c>
      <c r="Q346" s="13" t="s">
        <v>374</v>
      </c>
      <c r="R346" s="13" t="s">
        <v>374</v>
      </c>
      <c r="S346" s="13" t="s">
        <v>374</v>
      </c>
      <c r="T346" s="13" t="s">
        <v>374</v>
      </c>
      <c r="U346" s="12" t="s">
        <v>374</v>
      </c>
      <c r="V346" s="13" t="s">
        <v>374</v>
      </c>
      <c r="W346" s="13" t="s">
        <v>374</v>
      </c>
      <c r="X346" s="12" t="s">
        <v>374</v>
      </c>
      <c r="Y346" s="13" t="s">
        <v>374</v>
      </c>
      <c r="Z346" s="12" t="s">
        <v>374</v>
      </c>
      <c r="AA346" s="12" t="s">
        <v>374</v>
      </c>
      <c r="AB346" s="13" t="s">
        <v>374</v>
      </c>
      <c r="AC346" s="42"/>
      <c r="AD346" s="83">
        <f>IFERROR(P346,$AD$4)</f>
        <v>25569.5</v>
      </c>
      <c r="AE346" s="7">
        <f>IFERROR(U346,0)</f>
      </c>
      <c r="AF346" s="3"/>
      <c r="AG346" s="105">
        <f>Q345+S346+T346+U346</f>
      </c>
      <c r="AH346" s="105">
        <f>Q346+R346+X346</f>
      </c>
      <c r="AI346" s="60">
        <f>AH346-AG346</f>
      </c>
      <c r="AJ346" s="3"/>
      <c r="AK346" s="3"/>
    </row>
    <row x14ac:dyDescent="0.25" r="347" customHeight="1" ht="18.75">
      <c r="A347" s="3"/>
      <c r="B347" s="71"/>
      <c r="C347" s="3"/>
      <c r="D347" s="3"/>
      <c r="E347" s="3"/>
      <c r="F347" s="3"/>
      <c r="G347" s="59">
        <f>H347-DATE(YEAR(H347),1,0)+1</f>
      </c>
      <c r="H347" s="79">
        <f>H346+1</f>
        <v>25569.5</v>
      </c>
      <c r="I347" s="80">
        <f>HLOOKUP($H$4,'Met Data'!$A$2:$F$368,G347,FALSE)</f>
      </c>
      <c r="J347" s="80">
        <f>HLOOKUP($H$4,'Met Data'!$H$2:$M$368,G347,FALSE)*L347</f>
      </c>
      <c r="K347" s="81">
        <f>HLOOKUP($H$4,'Met Data'!$O$2:$T$368,G347,FALSE)</f>
      </c>
      <c r="L347" s="7">
        <f>IF(H347&lt;$B$31,$J$3,$J$4)</f>
      </c>
      <c r="M347" s="3"/>
      <c r="N347" s="82">
        <f>IF(P347&lt;$P$3,TRUE,FALSE)</f>
      </c>
      <c r="O347" s="82">
        <f>AND(IF(P347&gt;($P$2-1),TRUE,FALSE),IF(P347&lt;($P$3+1),TRUE,FALSE))</f>
      </c>
      <c r="P347" s="83" t="s">
        <v>374</v>
      </c>
      <c r="Q347" s="13" t="s">
        <v>374</v>
      </c>
      <c r="R347" s="13" t="s">
        <v>374</v>
      </c>
      <c r="S347" s="13" t="s">
        <v>374</v>
      </c>
      <c r="T347" s="13" t="s">
        <v>374</v>
      </c>
      <c r="U347" s="12" t="s">
        <v>374</v>
      </c>
      <c r="V347" s="13" t="s">
        <v>374</v>
      </c>
      <c r="W347" s="13" t="s">
        <v>374</v>
      </c>
      <c r="X347" s="12" t="s">
        <v>374</v>
      </c>
      <c r="Y347" s="13" t="s">
        <v>374</v>
      </c>
      <c r="Z347" s="12" t="s">
        <v>374</v>
      </c>
      <c r="AA347" s="12" t="s">
        <v>374</v>
      </c>
      <c r="AB347" s="13" t="s">
        <v>374</v>
      </c>
      <c r="AC347" s="42"/>
      <c r="AD347" s="83">
        <f>IFERROR(P347,$AD$4)</f>
        <v>25569.5</v>
      </c>
      <c r="AE347" s="7">
        <f>IFERROR(U347,0)</f>
      </c>
      <c r="AF347" s="3"/>
      <c r="AG347" s="105">
        <f>Q346+S347+T347+U347</f>
      </c>
      <c r="AH347" s="105">
        <f>Q347+R347+X347</f>
      </c>
      <c r="AI347" s="60">
        <f>AH347-AG347</f>
      </c>
      <c r="AJ347" s="3"/>
      <c r="AK347" s="3"/>
    </row>
    <row x14ac:dyDescent="0.25" r="348" customHeight="1" ht="18.75">
      <c r="A348" s="3"/>
      <c r="B348" s="71"/>
      <c r="C348" s="3"/>
      <c r="D348" s="3"/>
      <c r="E348" s="3"/>
      <c r="F348" s="3"/>
      <c r="G348" s="59">
        <f>H348-DATE(YEAR(H348),1,0)+1</f>
      </c>
      <c r="H348" s="79">
        <f>H347+1</f>
        <v>25569.5</v>
      </c>
      <c r="I348" s="80">
        <f>HLOOKUP($H$4,'Met Data'!$A$2:$F$368,G348,FALSE)</f>
      </c>
      <c r="J348" s="80">
        <f>HLOOKUP($H$4,'Met Data'!$H$2:$M$368,G348,FALSE)*L348</f>
      </c>
      <c r="K348" s="81">
        <f>HLOOKUP($H$4,'Met Data'!$O$2:$T$368,G348,FALSE)</f>
      </c>
      <c r="L348" s="7">
        <f>IF(H348&lt;$B$31,$J$3,$J$4)</f>
      </c>
      <c r="M348" s="3"/>
      <c r="N348" s="82">
        <f>IF(P348&lt;$P$3,TRUE,FALSE)</f>
      </c>
      <c r="O348" s="82">
        <f>AND(IF(P348&gt;($P$2-1),TRUE,FALSE),IF(P348&lt;($P$3+1),TRUE,FALSE))</f>
      </c>
      <c r="P348" s="83" t="s">
        <v>374</v>
      </c>
      <c r="Q348" s="13" t="s">
        <v>374</v>
      </c>
      <c r="R348" s="13" t="s">
        <v>374</v>
      </c>
      <c r="S348" s="13" t="s">
        <v>374</v>
      </c>
      <c r="T348" s="13" t="s">
        <v>374</v>
      </c>
      <c r="U348" s="12" t="s">
        <v>374</v>
      </c>
      <c r="V348" s="13" t="s">
        <v>374</v>
      </c>
      <c r="W348" s="13" t="s">
        <v>374</v>
      </c>
      <c r="X348" s="12" t="s">
        <v>374</v>
      </c>
      <c r="Y348" s="13" t="s">
        <v>374</v>
      </c>
      <c r="Z348" s="12" t="s">
        <v>374</v>
      </c>
      <c r="AA348" s="12" t="s">
        <v>374</v>
      </c>
      <c r="AB348" s="13" t="s">
        <v>374</v>
      </c>
      <c r="AC348" s="42"/>
      <c r="AD348" s="83">
        <f>IFERROR(P348,$AD$4)</f>
        <v>25569.5</v>
      </c>
      <c r="AE348" s="7">
        <f>IFERROR(U348,0)</f>
      </c>
      <c r="AF348" s="3"/>
      <c r="AG348" s="105">
        <f>Q347+S348+T348+U348</f>
      </c>
      <c r="AH348" s="105">
        <f>Q348+R348+X348</f>
      </c>
      <c r="AI348" s="60">
        <f>AH348-AG348</f>
      </c>
      <c r="AJ348" s="3"/>
      <c r="AK348" s="3"/>
    </row>
    <row x14ac:dyDescent="0.25" r="349" customHeight="1" ht="18.75">
      <c r="A349" s="3"/>
      <c r="B349" s="71"/>
      <c r="C349" s="3"/>
      <c r="D349" s="3"/>
      <c r="E349" s="3"/>
      <c r="F349" s="3"/>
      <c r="G349" s="59">
        <f>H349-DATE(YEAR(H349),1,0)+1</f>
      </c>
      <c r="H349" s="79">
        <f>H348+1</f>
        <v>25569.5</v>
      </c>
      <c r="I349" s="80">
        <f>HLOOKUP($H$4,'Met Data'!$A$2:$F$368,G349,FALSE)</f>
      </c>
      <c r="J349" s="80">
        <f>HLOOKUP($H$4,'Met Data'!$H$2:$M$368,G349,FALSE)*L349</f>
      </c>
      <c r="K349" s="81">
        <f>HLOOKUP($H$4,'Met Data'!$O$2:$T$368,G349,FALSE)</f>
      </c>
      <c r="L349" s="7">
        <f>IF(H349&lt;$B$31,$J$3,$J$4)</f>
      </c>
      <c r="M349" s="3"/>
      <c r="N349" s="82">
        <f>IF(P349&lt;$P$3,TRUE,FALSE)</f>
      </c>
      <c r="O349" s="82">
        <f>AND(IF(P349&gt;($P$2-1),TRUE,FALSE),IF(P349&lt;($P$3+1),TRUE,FALSE))</f>
      </c>
      <c r="P349" s="83" t="s">
        <v>374</v>
      </c>
      <c r="Q349" s="13" t="s">
        <v>374</v>
      </c>
      <c r="R349" s="13" t="s">
        <v>374</v>
      </c>
      <c r="S349" s="13" t="s">
        <v>374</v>
      </c>
      <c r="T349" s="13" t="s">
        <v>374</v>
      </c>
      <c r="U349" s="12" t="s">
        <v>374</v>
      </c>
      <c r="V349" s="13" t="s">
        <v>374</v>
      </c>
      <c r="W349" s="13" t="s">
        <v>374</v>
      </c>
      <c r="X349" s="12" t="s">
        <v>374</v>
      </c>
      <c r="Y349" s="13" t="s">
        <v>374</v>
      </c>
      <c r="Z349" s="12" t="s">
        <v>374</v>
      </c>
      <c r="AA349" s="12" t="s">
        <v>374</v>
      </c>
      <c r="AB349" s="13" t="s">
        <v>374</v>
      </c>
      <c r="AC349" s="42"/>
      <c r="AD349" s="83">
        <f>IFERROR(P349,$AD$4)</f>
        <v>25569.5</v>
      </c>
      <c r="AE349" s="7">
        <f>IFERROR(U349,0)</f>
      </c>
      <c r="AF349" s="3"/>
      <c r="AG349" s="105">
        <f>Q348+S349+T349+U349</f>
      </c>
      <c r="AH349" s="105">
        <f>Q349+R349+X349</f>
      </c>
      <c r="AI349" s="60">
        <f>AH349-AG349</f>
      </c>
      <c r="AJ349" s="3"/>
      <c r="AK349" s="3"/>
    </row>
    <row x14ac:dyDescent="0.25" r="350" customHeight="1" ht="18.75">
      <c r="A350" s="3"/>
      <c r="B350" s="71"/>
      <c r="C350" s="3"/>
      <c r="D350" s="3"/>
      <c r="E350" s="3"/>
      <c r="F350" s="3"/>
      <c r="G350" s="59">
        <f>H350-DATE(YEAR(H350),1,0)+1</f>
      </c>
      <c r="H350" s="79">
        <f>H349+1</f>
        <v>25569.5</v>
      </c>
      <c r="I350" s="80">
        <f>HLOOKUP($H$4,'Met Data'!$A$2:$F$368,G350,FALSE)</f>
      </c>
      <c r="J350" s="80">
        <f>HLOOKUP($H$4,'Met Data'!$H$2:$M$368,G350,FALSE)*L350</f>
      </c>
      <c r="K350" s="81">
        <f>HLOOKUP($H$4,'Met Data'!$O$2:$T$368,G350,FALSE)</f>
      </c>
      <c r="L350" s="7">
        <f>IF(H350&lt;$B$31,$J$3,$J$4)</f>
      </c>
      <c r="M350" s="3"/>
      <c r="N350" s="82">
        <f>IF(P350&lt;$P$3,TRUE,FALSE)</f>
      </c>
      <c r="O350" s="82">
        <f>AND(IF(P350&gt;($P$2-1),TRUE,FALSE),IF(P350&lt;($P$3+1),TRUE,FALSE))</f>
      </c>
      <c r="P350" s="83" t="s">
        <v>374</v>
      </c>
      <c r="Q350" s="13" t="s">
        <v>374</v>
      </c>
      <c r="R350" s="13" t="s">
        <v>374</v>
      </c>
      <c r="S350" s="13" t="s">
        <v>374</v>
      </c>
      <c r="T350" s="13" t="s">
        <v>374</v>
      </c>
      <c r="U350" s="12" t="s">
        <v>374</v>
      </c>
      <c r="V350" s="13" t="s">
        <v>374</v>
      </c>
      <c r="W350" s="13" t="s">
        <v>374</v>
      </c>
      <c r="X350" s="12" t="s">
        <v>374</v>
      </c>
      <c r="Y350" s="13" t="s">
        <v>374</v>
      </c>
      <c r="Z350" s="12" t="s">
        <v>374</v>
      </c>
      <c r="AA350" s="12" t="s">
        <v>374</v>
      </c>
      <c r="AB350" s="13" t="s">
        <v>374</v>
      </c>
      <c r="AC350" s="42"/>
      <c r="AD350" s="83">
        <f>IFERROR(P350,$AD$4)</f>
        <v>25569.5</v>
      </c>
      <c r="AE350" s="7">
        <f>IFERROR(U350,0)</f>
      </c>
      <c r="AF350" s="3"/>
      <c r="AG350" s="105">
        <f>Q349+S350+T350+U350</f>
      </c>
      <c r="AH350" s="105">
        <f>Q350+R350+X350</f>
      </c>
      <c r="AI350" s="60">
        <f>AH350-AG350</f>
      </c>
      <c r="AJ350" s="3"/>
      <c r="AK350" s="3"/>
    </row>
    <row x14ac:dyDescent="0.25" r="351" customHeight="1" ht="18.75">
      <c r="A351" s="3"/>
      <c r="B351" s="71"/>
      <c r="C351" s="3"/>
      <c r="D351" s="3"/>
      <c r="E351" s="3"/>
      <c r="F351" s="3"/>
      <c r="G351" s="59">
        <f>H351-DATE(YEAR(H351),1,0)+1</f>
      </c>
      <c r="H351" s="79">
        <f>H350+1</f>
        <v>25569.5</v>
      </c>
      <c r="I351" s="80">
        <f>HLOOKUP($H$4,'Met Data'!$A$2:$F$368,G351,FALSE)</f>
      </c>
      <c r="J351" s="80">
        <f>HLOOKUP($H$4,'Met Data'!$H$2:$M$368,G351,FALSE)*L351</f>
      </c>
      <c r="K351" s="81">
        <f>HLOOKUP($H$4,'Met Data'!$O$2:$T$368,G351,FALSE)</f>
      </c>
      <c r="L351" s="7">
        <f>IF(H351&lt;$B$31,$J$3,$J$4)</f>
      </c>
      <c r="M351" s="3"/>
      <c r="N351" s="82">
        <f>IF(P351&lt;$P$3,TRUE,FALSE)</f>
      </c>
      <c r="O351" s="82">
        <f>AND(IF(P351&gt;($P$2-1),TRUE,FALSE),IF(P351&lt;($P$3+1),TRUE,FALSE))</f>
      </c>
      <c r="P351" s="83" t="s">
        <v>374</v>
      </c>
      <c r="Q351" s="13" t="s">
        <v>374</v>
      </c>
      <c r="R351" s="13" t="s">
        <v>374</v>
      </c>
      <c r="S351" s="13" t="s">
        <v>374</v>
      </c>
      <c r="T351" s="13" t="s">
        <v>374</v>
      </c>
      <c r="U351" s="12" t="s">
        <v>374</v>
      </c>
      <c r="V351" s="13" t="s">
        <v>374</v>
      </c>
      <c r="W351" s="13" t="s">
        <v>374</v>
      </c>
      <c r="X351" s="12" t="s">
        <v>374</v>
      </c>
      <c r="Y351" s="13" t="s">
        <v>374</v>
      </c>
      <c r="Z351" s="12" t="s">
        <v>374</v>
      </c>
      <c r="AA351" s="12" t="s">
        <v>374</v>
      </c>
      <c r="AB351" s="13" t="s">
        <v>374</v>
      </c>
      <c r="AC351" s="42"/>
      <c r="AD351" s="83">
        <f>IFERROR(P351,$AD$4)</f>
        <v>25569.5</v>
      </c>
      <c r="AE351" s="7">
        <f>IFERROR(U351,0)</f>
      </c>
      <c r="AF351" s="3"/>
      <c r="AG351" s="105">
        <f>Q350+S351+T351+U351</f>
      </c>
      <c r="AH351" s="105">
        <f>Q351+R351+X351</f>
      </c>
      <c r="AI351" s="60">
        <f>AH351-AG351</f>
      </c>
      <c r="AJ351" s="3"/>
      <c r="AK351" s="3"/>
    </row>
    <row x14ac:dyDescent="0.25" r="352" customHeight="1" ht="18.75">
      <c r="A352" s="3"/>
      <c r="B352" s="71"/>
      <c r="C352" s="3"/>
      <c r="D352" s="3"/>
      <c r="E352" s="3"/>
      <c r="F352" s="3"/>
      <c r="G352" s="59">
        <f>H352-DATE(YEAR(H352),1,0)+1</f>
      </c>
      <c r="H352" s="79">
        <f>H351+1</f>
        <v>25569.5</v>
      </c>
      <c r="I352" s="80">
        <f>HLOOKUP($H$4,'Met Data'!$A$2:$F$368,G352,FALSE)</f>
      </c>
      <c r="J352" s="80">
        <f>HLOOKUP($H$4,'Met Data'!$H$2:$M$368,G352,FALSE)*L352</f>
      </c>
      <c r="K352" s="81">
        <f>HLOOKUP($H$4,'Met Data'!$O$2:$T$368,G352,FALSE)</f>
      </c>
      <c r="L352" s="7">
        <f>IF(H352&lt;$B$31,$J$3,$J$4)</f>
      </c>
      <c r="M352" s="3"/>
      <c r="N352" s="82">
        <f>IF(P352&lt;$P$3,TRUE,FALSE)</f>
      </c>
      <c r="O352" s="82">
        <f>AND(IF(P352&gt;($P$2-1),TRUE,FALSE),IF(P352&lt;($P$3+1),TRUE,FALSE))</f>
      </c>
      <c r="P352" s="83" t="s">
        <v>374</v>
      </c>
      <c r="Q352" s="13" t="s">
        <v>374</v>
      </c>
      <c r="R352" s="13" t="s">
        <v>374</v>
      </c>
      <c r="S352" s="13" t="s">
        <v>374</v>
      </c>
      <c r="T352" s="13" t="s">
        <v>374</v>
      </c>
      <c r="U352" s="12" t="s">
        <v>374</v>
      </c>
      <c r="V352" s="13" t="s">
        <v>374</v>
      </c>
      <c r="W352" s="13" t="s">
        <v>374</v>
      </c>
      <c r="X352" s="12" t="s">
        <v>374</v>
      </c>
      <c r="Y352" s="13" t="s">
        <v>374</v>
      </c>
      <c r="Z352" s="12" t="s">
        <v>374</v>
      </c>
      <c r="AA352" s="12" t="s">
        <v>374</v>
      </c>
      <c r="AB352" s="13" t="s">
        <v>374</v>
      </c>
      <c r="AC352" s="42"/>
      <c r="AD352" s="83">
        <f>IFERROR(P352,$AD$4)</f>
        <v>25569.5</v>
      </c>
      <c r="AE352" s="7">
        <f>IFERROR(U352,0)</f>
      </c>
      <c r="AF352" s="3"/>
      <c r="AG352" s="105">
        <f>Q351+S352+T352+U352</f>
      </c>
      <c r="AH352" s="105">
        <f>Q352+R352+X352</f>
      </c>
      <c r="AI352" s="60">
        <f>AH352-AG352</f>
      </c>
      <c r="AJ352" s="3"/>
      <c r="AK352" s="3"/>
    </row>
    <row x14ac:dyDescent="0.25" r="353" customHeight="1" ht="18.75">
      <c r="A353" s="3"/>
      <c r="B353" s="71"/>
      <c r="C353" s="3"/>
      <c r="D353" s="3"/>
      <c r="E353" s="3"/>
      <c r="F353" s="3"/>
      <c r="G353" s="59">
        <f>H353-DATE(YEAR(H353),1,0)+1</f>
      </c>
      <c r="H353" s="79">
        <f>H352+1</f>
        <v>25569.5</v>
      </c>
      <c r="I353" s="80">
        <f>HLOOKUP($H$4,'Met Data'!$A$2:$F$368,G353,FALSE)</f>
      </c>
      <c r="J353" s="80">
        <f>HLOOKUP($H$4,'Met Data'!$H$2:$M$368,G353,FALSE)*L353</f>
      </c>
      <c r="K353" s="81">
        <f>HLOOKUP($H$4,'Met Data'!$O$2:$T$368,G353,FALSE)</f>
      </c>
      <c r="L353" s="7">
        <f>IF(H353&lt;$B$31,$J$3,$J$4)</f>
      </c>
      <c r="M353" s="3"/>
      <c r="N353" s="82">
        <f>IF(P353&lt;$P$3,TRUE,FALSE)</f>
      </c>
      <c r="O353" s="82">
        <f>AND(IF(P353&gt;($P$2-1),TRUE,FALSE),IF(P353&lt;($P$3+1),TRUE,FALSE))</f>
      </c>
      <c r="P353" s="83" t="s">
        <v>374</v>
      </c>
      <c r="Q353" s="13" t="s">
        <v>374</v>
      </c>
      <c r="R353" s="13" t="s">
        <v>374</v>
      </c>
      <c r="S353" s="13" t="s">
        <v>374</v>
      </c>
      <c r="T353" s="13" t="s">
        <v>374</v>
      </c>
      <c r="U353" s="12" t="s">
        <v>374</v>
      </c>
      <c r="V353" s="13" t="s">
        <v>374</v>
      </c>
      <c r="W353" s="13" t="s">
        <v>374</v>
      </c>
      <c r="X353" s="12" t="s">
        <v>374</v>
      </c>
      <c r="Y353" s="13" t="s">
        <v>374</v>
      </c>
      <c r="Z353" s="12" t="s">
        <v>374</v>
      </c>
      <c r="AA353" s="12" t="s">
        <v>374</v>
      </c>
      <c r="AB353" s="13" t="s">
        <v>374</v>
      </c>
      <c r="AC353" s="42"/>
      <c r="AD353" s="83">
        <f>IFERROR(P353,$AD$4)</f>
        <v>25569.5</v>
      </c>
      <c r="AE353" s="7">
        <f>IFERROR(U353,0)</f>
      </c>
      <c r="AF353" s="3"/>
      <c r="AG353" s="105">
        <f>Q352+S353+T353+U353</f>
      </c>
      <c r="AH353" s="105">
        <f>Q353+R353+X353</f>
      </c>
      <c r="AI353" s="60">
        <f>AH353-AG353</f>
      </c>
      <c r="AJ353" s="3"/>
      <c r="AK353" s="3"/>
    </row>
    <row x14ac:dyDescent="0.25" r="354" customHeight="1" ht="18.75">
      <c r="A354" s="3"/>
      <c r="B354" s="71"/>
      <c r="C354" s="3"/>
      <c r="D354" s="3"/>
      <c r="E354" s="3"/>
      <c r="F354" s="3"/>
      <c r="G354" s="59">
        <f>H354-DATE(YEAR(H354),1,0)+1</f>
      </c>
      <c r="H354" s="79">
        <f>H353+1</f>
        <v>25569.5</v>
      </c>
      <c r="I354" s="80">
        <f>HLOOKUP($H$4,'Met Data'!$A$2:$F$368,G354,FALSE)</f>
      </c>
      <c r="J354" s="80">
        <f>HLOOKUP($H$4,'Met Data'!$H$2:$M$368,G354,FALSE)*L354</f>
      </c>
      <c r="K354" s="81">
        <f>HLOOKUP($H$4,'Met Data'!$O$2:$T$368,G354,FALSE)</f>
      </c>
      <c r="L354" s="7">
        <f>IF(H354&lt;$B$31,$J$3,$J$4)</f>
      </c>
      <c r="M354" s="3"/>
      <c r="N354" s="82">
        <f>IF(P354&lt;$P$3,TRUE,FALSE)</f>
      </c>
      <c r="O354" s="82">
        <f>AND(IF(P354&gt;($P$2-1),TRUE,FALSE),IF(P354&lt;($P$3+1),TRUE,FALSE))</f>
      </c>
      <c r="P354" s="83" t="s">
        <v>374</v>
      </c>
      <c r="Q354" s="13" t="s">
        <v>374</v>
      </c>
      <c r="R354" s="13" t="s">
        <v>374</v>
      </c>
      <c r="S354" s="13" t="s">
        <v>374</v>
      </c>
      <c r="T354" s="13" t="s">
        <v>374</v>
      </c>
      <c r="U354" s="12" t="s">
        <v>374</v>
      </c>
      <c r="V354" s="13" t="s">
        <v>374</v>
      </c>
      <c r="W354" s="13" t="s">
        <v>374</v>
      </c>
      <c r="X354" s="12" t="s">
        <v>374</v>
      </c>
      <c r="Y354" s="13" t="s">
        <v>374</v>
      </c>
      <c r="Z354" s="12" t="s">
        <v>374</v>
      </c>
      <c r="AA354" s="12" t="s">
        <v>374</v>
      </c>
      <c r="AB354" s="13" t="s">
        <v>374</v>
      </c>
      <c r="AC354" s="42"/>
      <c r="AD354" s="83">
        <f>IFERROR(P354,$AD$4)</f>
        <v>25569.5</v>
      </c>
      <c r="AE354" s="7">
        <f>IFERROR(U354,0)</f>
      </c>
      <c r="AF354" s="3"/>
      <c r="AG354" s="105">
        <f>Q353+S354+T354+U354</f>
      </c>
      <c r="AH354" s="105">
        <f>Q354+R354+X354</f>
      </c>
      <c r="AI354" s="60">
        <f>AH354-AG354</f>
      </c>
      <c r="AJ354" s="3"/>
      <c r="AK354" s="3"/>
    </row>
    <row x14ac:dyDescent="0.25" r="355" customHeight="1" ht="18.75">
      <c r="A355" s="3"/>
      <c r="B355" s="71"/>
      <c r="C355" s="3"/>
      <c r="D355" s="3"/>
      <c r="E355" s="3"/>
      <c r="F355" s="3"/>
      <c r="G355" s="59">
        <f>H355-DATE(YEAR(H355),1,0)+1</f>
      </c>
      <c r="H355" s="79">
        <f>H354+1</f>
        <v>25569.5</v>
      </c>
      <c r="I355" s="80">
        <f>HLOOKUP($H$4,'Met Data'!$A$2:$F$368,G355,FALSE)</f>
      </c>
      <c r="J355" s="80">
        <f>HLOOKUP($H$4,'Met Data'!$H$2:$M$368,G355,FALSE)*L355</f>
      </c>
      <c r="K355" s="81">
        <f>HLOOKUP($H$4,'Met Data'!$O$2:$T$368,G355,FALSE)</f>
      </c>
      <c r="L355" s="7">
        <f>IF(H355&lt;$B$31,$J$3,$J$4)</f>
      </c>
      <c r="M355" s="3"/>
      <c r="N355" s="82">
        <f>IF(P355&lt;$P$3,TRUE,FALSE)</f>
      </c>
      <c r="O355" s="82">
        <f>AND(IF(P355&gt;($P$2-1),TRUE,FALSE),IF(P355&lt;($P$3+1),TRUE,FALSE))</f>
      </c>
      <c r="P355" s="83" t="s">
        <v>374</v>
      </c>
      <c r="Q355" s="13" t="s">
        <v>374</v>
      </c>
      <c r="R355" s="13" t="s">
        <v>374</v>
      </c>
      <c r="S355" s="13" t="s">
        <v>374</v>
      </c>
      <c r="T355" s="13" t="s">
        <v>374</v>
      </c>
      <c r="U355" s="12" t="s">
        <v>374</v>
      </c>
      <c r="V355" s="13" t="s">
        <v>374</v>
      </c>
      <c r="W355" s="13" t="s">
        <v>374</v>
      </c>
      <c r="X355" s="12" t="s">
        <v>374</v>
      </c>
      <c r="Y355" s="13" t="s">
        <v>374</v>
      </c>
      <c r="Z355" s="12" t="s">
        <v>374</v>
      </c>
      <c r="AA355" s="12" t="s">
        <v>374</v>
      </c>
      <c r="AB355" s="13" t="s">
        <v>374</v>
      </c>
      <c r="AC355" s="42"/>
      <c r="AD355" s="83">
        <f>IFERROR(P355,$AD$4)</f>
        <v>25569.5</v>
      </c>
      <c r="AE355" s="7">
        <f>IFERROR(U355,0)</f>
      </c>
      <c r="AF355" s="3"/>
      <c r="AG355" s="105">
        <f>Q354+S355+T355+U355</f>
      </c>
      <c r="AH355" s="105">
        <f>Q355+R355+X355</f>
      </c>
      <c r="AI355" s="60">
        <f>AH355-AG355</f>
      </c>
      <c r="AJ355" s="3"/>
      <c r="AK355" s="3"/>
    </row>
    <row x14ac:dyDescent="0.25" r="356" customHeight="1" ht="18.75">
      <c r="A356" s="3"/>
      <c r="B356" s="71"/>
      <c r="C356" s="3"/>
      <c r="D356" s="3"/>
      <c r="E356" s="3"/>
      <c r="F356" s="3"/>
      <c r="G356" s="59">
        <f>H356-DATE(YEAR(H356),1,0)+1</f>
      </c>
      <c r="H356" s="79">
        <f>H355+1</f>
        <v>25569.5</v>
      </c>
      <c r="I356" s="80">
        <f>HLOOKUP($H$4,'Met Data'!$A$2:$F$368,G356,FALSE)</f>
      </c>
      <c r="J356" s="80">
        <f>HLOOKUP($H$4,'Met Data'!$H$2:$M$368,G356,FALSE)*L356</f>
      </c>
      <c r="K356" s="81">
        <f>HLOOKUP($H$4,'Met Data'!$O$2:$T$368,G356,FALSE)</f>
      </c>
      <c r="L356" s="7">
        <f>IF(H356&lt;$B$31,$J$3,$J$4)</f>
      </c>
      <c r="M356" s="3"/>
      <c r="N356" s="82">
        <f>IF(P356&lt;$P$3,TRUE,FALSE)</f>
      </c>
      <c r="O356" s="82">
        <f>AND(IF(P356&gt;($P$2-1),TRUE,FALSE),IF(P356&lt;($P$3+1),TRUE,FALSE))</f>
      </c>
      <c r="P356" s="83" t="s">
        <v>374</v>
      </c>
      <c r="Q356" s="13" t="s">
        <v>374</v>
      </c>
      <c r="R356" s="13" t="s">
        <v>374</v>
      </c>
      <c r="S356" s="13" t="s">
        <v>374</v>
      </c>
      <c r="T356" s="13" t="s">
        <v>374</v>
      </c>
      <c r="U356" s="12" t="s">
        <v>374</v>
      </c>
      <c r="V356" s="13" t="s">
        <v>374</v>
      </c>
      <c r="W356" s="13" t="s">
        <v>374</v>
      </c>
      <c r="X356" s="12" t="s">
        <v>374</v>
      </c>
      <c r="Y356" s="13" t="s">
        <v>374</v>
      </c>
      <c r="Z356" s="12" t="s">
        <v>374</v>
      </c>
      <c r="AA356" s="12" t="s">
        <v>374</v>
      </c>
      <c r="AB356" s="13" t="s">
        <v>374</v>
      </c>
      <c r="AC356" s="42"/>
      <c r="AD356" s="83">
        <f>IFERROR(P356,$AD$4)</f>
        <v>25569.5</v>
      </c>
      <c r="AE356" s="7">
        <f>IFERROR(U356,0)</f>
      </c>
      <c r="AF356" s="3"/>
      <c r="AG356" s="105">
        <f>Q355+S356+T356+U356</f>
      </c>
      <c r="AH356" s="105">
        <f>Q356+R356+X356</f>
      </c>
      <c r="AI356" s="60">
        <f>AH356-AG356</f>
      </c>
      <c r="AJ356" s="3"/>
      <c r="AK356" s="3"/>
    </row>
    <row x14ac:dyDescent="0.25" r="357" customHeight="1" ht="18.75">
      <c r="A357" s="3"/>
      <c r="B357" s="71"/>
      <c r="C357" s="3"/>
      <c r="D357" s="3"/>
      <c r="E357" s="3"/>
      <c r="F357" s="3"/>
      <c r="G357" s="59">
        <f>H357-DATE(YEAR(H357),1,0)+1</f>
      </c>
      <c r="H357" s="79">
        <f>H356+1</f>
        <v>25569.5</v>
      </c>
      <c r="I357" s="80">
        <f>HLOOKUP($H$4,'Met Data'!$A$2:$F$368,G357,FALSE)</f>
      </c>
      <c r="J357" s="80">
        <f>HLOOKUP($H$4,'Met Data'!$H$2:$M$368,G357,FALSE)*L357</f>
      </c>
      <c r="K357" s="81">
        <f>HLOOKUP($H$4,'Met Data'!$O$2:$T$368,G357,FALSE)</f>
      </c>
      <c r="L357" s="7">
        <f>IF(H357&lt;$B$31,$J$3,$J$4)</f>
      </c>
      <c r="M357" s="3"/>
      <c r="N357" s="82">
        <f>IF(P357&lt;$P$3,TRUE,FALSE)</f>
      </c>
      <c r="O357" s="82">
        <f>AND(IF(P357&gt;($P$2-1),TRUE,FALSE),IF(P357&lt;($P$3+1),TRUE,FALSE))</f>
      </c>
      <c r="P357" s="83" t="s">
        <v>374</v>
      </c>
      <c r="Q357" s="13" t="s">
        <v>374</v>
      </c>
      <c r="R357" s="13" t="s">
        <v>374</v>
      </c>
      <c r="S357" s="13" t="s">
        <v>374</v>
      </c>
      <c r="T357" s="13" t="s">
        <v>374</v>
      </c>
      <c r="U357" s="12" t="s">
        <v>374</v>
      </c>
      <c r="V357" s="13" t="s">
        <v>374</v>
      </c>
      <c r="W357" s="13" t="s">
        <v>374</v>
      </c>
      <c r="X357" s="12" t="s">
        <v>374</v>
      </c>
      <c r="Y357" s="13" t="s">
        <v>374</v>
      </c>
      <c r="Z357" s="12" t="s">
        <v>374</v>
      </c>
      <c r="AA357" s="12" t="s">
        <v>374</v>
      </c>
      <c r="AB357" s="13" t="s">
        <v>374</v>
      </c>
      <c r="AC357" s="42"/>
      <c r="AD357" s="83">
        <f>IFERROR(P357,$AD$4)</f>
        <v>25569.5</v>
      </c>
      <c r="AE357" s="7">
        <f>IFERROR(U357,0)</f>
      </c>
      <c r="AF357" s="3"/>
      <c r="AG357" s="105">
        <f>Q356+S357+T357+U357</f>
      </c>
      <c r="AH357" s="105">
        <f>Q357+R357+X357</f>
      </c>
      <c r="AI357" s="60">
        <f>AH357-AG357</f>
      </c>
      <c r="AJ357" s="3"/>
      <c r="AK357" s="3"/>
    </row>
    <row x14ac:dyDescent="0.25" r="358" customHeight="1" ht="18.75">
      <c r="A358" s="3"/>
      <c r="B358" s="71"/>
      <c r="C358" s="3"/>
      <c r="D358" s="3"/>
      <c r="E358" s="3"/>
      <c r="F358" s="3"/>
      <c r="G358" s="59">
        <f>H358-DATE(YEAR(H358),1,0)+1</f>
      </c>
      <c r="H358" s="79">
        <f>H357+1</f>
        <v>25569.5</v>
      </c>
      <c r="I358" s="80">
        <f>HLOOKUP($H$4,'Met Data'!$A$2:$F$368,G358,FALSE)</f>
      </c>
      <c r="J358" s="80">
        <f>HLOOKUP($H$4,'Met Data'!$H$2:$M$368,G358,FALSE)*L358</f>
      </c>
      <c r="K358" s="81">
        <f>HLOOKUP($H$4,'Met Data'!$O$2:$T$368,G358,FALSE)</f>
      </c>
      <c r="L358" s="7">
        <f>IF(H358&lt;$B$31,$J$3,$J$4)</f>
      </c>
      <c r="M358" s="3"/>
      <c r="N358" s="82">
        <f>IF(P358&lt;$P$3,TRUE,FALSE)</f>
      </c>
      <c r="O358" s="82">
        <f>AND(IF(P358&gt;($P$2-1),TRUE,FALSE),IF(P358&lt;($P$3+1),TRUE,FALSE))</f>
      </c>
      <c r="P358" s="83" t="s">
        <v>374</v>
      </c>
      <c r="Q358" s="13" t="s">
        <v>374</v>
      </c>
      <c r="R358" s="13" t="s">
        <v>374</v>
      </c>
      <c r="S358" s="13" t="s">
        <v>374</v>
      </c>
      <c r="T358" s="13" t="s">
        <v>374</v>
      </c>
      <c r="U358" s="12" t="s">
        <v>374</v>
      </c>
      <c r="V358" s="13" t="s">
        <v>374</v>
      </c>
      <c r="W358" s="13" t="s">
        <v>374</v>
      </c>
      <c r="X358" s="12" t="s">
        <v>374</v>
      </c>
      <c r="Y358" s="13" t="s">
        <v>374</v>
      </c>
      <c r="Z358" s="12" t="s">
        <v>374</v>
      </c>
      <c r="AA358" s="12" t="s">
        <v>374</v>
      </c>
      <c r="AB358" s="13" t="s">
        <v>374</v>
      </c>
      <c r="AC358" s="42"/>
      <c r="AD358" s="83">
        <f>IFERROR(P358,$AD$4)</f>
        <v>25569.5</v>
      </c>
      <c r="AE358" s="7">
        <f>IFERROR(U358,0)</f>
      </c>
      <c r="AF358" s="3"/>
      <c r="AG358" s="105">
        <f>Q357+S358+T358+U358</f>
      </c>
      <c r="AH358" s="105">
        <f>Q358+R358+X358</f>
      </c>
      <c r="AI358" s="60">
        <f>AH358-AG358</f>
      </c>
      <c r="AJ358" s="3"/>
      <c r="AK358" s="3"/>
    </row>
    <row x14ac:dyDescent="0.25" r="359" customHeight="1" ht="18.75">
      <c r="A359" s="3"/>
      <c r="B359" s="71"/>
      <c r="C359" s="3"/>
      <c r="D359" s="3"/>
      <c r="E359" s="3"/>
      <c r="F359" s="3"/>
      <c r="G359" s="59">
        <f>H359-DATE(YEAR(H359),1,0)+1</f>
      </c>
      <c r="H359" s="79">
        <f>H358+1</f>
        <v>25569.5</v>
      </c>
      <c r="I359" s="80">
        <f>HLOOKUP($H$4,'Met Data'!$A$2:$F$368,G359,FALSE)</f>
      </c>
      <c r="J359" s="80">
        <f>HLOOKUP($H$4,'Met Data'!$H$2:$M$368,G359,FALSE)*L359</f>
      </c>
      <c r="K359" s="81">
        <f>HLOOKUP($H$4,'Met Data'!$O$2:$T$368,G359,FALSE)</f>
      </c>
      <c r="L359" s="7">
        <f>IF(H359&lt;$B$31,$J$3,$J$4)</f>
      </c>
      <c r="M359" s="3"/>
      <c r="N359" s="82">
        <f>IF(P359&lt;$P$3,TRUE,FALSE)</f>
      </c>
      <c r="O359" s="82">
        <f>AND(IF(P359&gt;($P$2-1),TRUE,FALSE),IF(P359&lt;($P$3+1),TRUE,FALSE))</f>
      </c>
      <c r="P359" s="83" t="s">
        <v>374</v>
      </c>
      <c r="Q359" s="13" t="s">
        <v>374</v>
      </c>
      <c r="R359" s="13" t="s">
        <v>374</v>
      </c>
      <c r="S359" s="13" t="s">
        <v>374</v>
      </c>
      <c r="T359" s="13" t="s">
        <v>374</v>
      </c>
      <c r="U359" s="12" t="s">
        <v>374</v>
      </c>
      <c r="V359" s="13" t="s">
        <v>374</v>
      </c>
      <c r="W359" s="13" t="s">
        <v>374</v>
      </c>
      <c r="X359" s="12" t="s">
        <v>374</v>
      </c>
      <c r="Y359" s="13" t="s">
        <v>374</v>
      </c>
      <c r="Z359" s="12" t="s">
        <v>374</v>
      </c>
      <c r="AA359" s="12" t="s">
        <v>374</v>
      </c>
      <c r="AB359" s="13" t="s">
        <v>374</v>
      </c>
      <c r="AC359" s="42"/>
      <c r="AD359" s="83">
        <f>IFERROR(P359,$AD$4)</f>
        <v>25569.5</v>
      </c>
      <c r="AE359" s="7">
        <f>IFERROR(U359,0)</f>
      </c>
      <c r="AF359" s="3"/>
      <c r="AG359" s="105">
        <f>Q358+S359+T359+U359</f>
      </c>
      <c r="AH359" s="105">
        <f>Q359+R359+X359</f>
      </c>
      <c r="AI359" s="60">
        <f>AH359-AG359</f>
      </c>
      <c r="AJ359" s="3"/>
      <c r="AK359" s="3"/>
    </row>
    <row x14ac:dyDescent="0.25" r="360" customHeight="1" ht="18.75">
      <c r="A360" s="3"/>
      <c r="B360" s="71"/>
      <c r="C360" s="3"/>
      <c r="D360" s="3"/>
      <c r="E360" s="3"/>
      <c r="F360" s="3"/>
      <c r="G360" s="59">
        <f>H360-DATE(YEAR(H360),1,0)+1</f>
      </c>
      <c r="H360" s="79">
        <f>H359+1</f>
        <v>25569.5</v>
      </c>
      <c r="I360" s="80">
        <f>HLOOKUP($H$4,'Met Data'!$A$2:$F$368,G360,FALSE)</f>
      </c>
      <c r="J360" s="80">
        <f>HLOOKUP($H$4,'Met Data'!$H$2:$M$368,G360,FALSE)*L360</f>
      </c>
      <c r="K360" s="81">
        <f>HLOOKUP($H$4,'Met Data'!$O$2:$T$368,G360,FALSE)</f>
      </c>
      <c r="L360" s="7">
        <f>IF(H360&lt;$B$31,$J$3,$J$4)</f>
      </c>
      <c r="M360" s="3"/>
      <c r="N360" s="82">
        <f>IF(P360&lt;$P$3,TRUE,FALSE)</f>
      </c>
      <c r="O360" s="82">
        <f>AND(IF(P360&gt;($P$2-1),TRUE,FALSE),IF(P360&lt;($P$3+1),TRUE,FALSE))</f>
      </c>
      <c r="P360" s="83" t="s">
        <v>374</v>
      </c>
      <c r="Q360" s="13" t="s">
        <v>374</v>
      </c>
      <c r="R360" s="13" t="s">
        <v>374</v>
      </c>
      <c r="S360" s="13" t="s">
        <v>374</v>
      </c>
      <c r="T360" s="13" t="s">
        <v>374</v>
      </c>
      <c r="U360" s="12" t="s">
        <v>374</v>
      </c>
      <c r="V360" s="13" t="s">
        <v>374</v>
      </c>
      <c r="W360" s="13" t="s">
        <v>374</v>
      </c>
      <c r="X360" s="12" t="s">
        <v>374</v>
      </c>
      <c r="Y360" s="13" t="s">
        <v>374</v>
      </c>
      <c r="Z360" s="12" t="s">
        <v>374</v>
      </c>
      <c r="AA360" s="12" t="s">
        <v>374</v>
      </c>
      <c r="AB360" s="13" t="s">
        <v>374</v>
      </c>
      <c r="AC360" s="42"/>
      <c r="AD360" s="83">
        <f>IFERROR(P360,$AD$4)</f>
        <v>25569.5</v>
      </c>
      <c r="AE360" s="7">
        <f>IFERROR(U360,0)</f>
      </c>
      <c r="AF360" s="3"/>
      <c r="AG360" s="105">
        <f>Q359+S360+T360+U360</f>
      </c>
      <c r="AH360" s="105">
        <f>Q360+R360+X360</f>
      </c>
      <c r="AI360" s="60">
        <f>AH360-AG360</f>
      </c>
      <c r="AJ360" s="3"/>
      <c r="AK360" s="3"/>
    </row>
    <row x14ac:dyDescent="0.25" r="361" customHeight="1" ht="18.75">
      <c r="A361" s="3"/>
      <c r="B361" s="71"/>
      <c r="C361" s="3"/>
      <c r="D361" s="3"/>
      <c r="E361" s="3"/>
      <c r="F361" s="3"/>
      <c r="G361" s="59">
        <f>H361-DATE(YEAR(H361),1,0)+1</f>
      </c>
      <c r="H361" s="79">
        <f>H360+1</f>
        <v>25569.5</v>
      </c>
      <c r="I361" s="80">
        <f>HLOOKUP($H$4,'Met Data'!$A$2:$F$368,G361,FALSE)</f>
      </c>
      <c r="J361" s="80">
        <f>HLOOKUP($H$4,'Met Data'!$H$2:$M$368,G361,FALSE)*L361</f>
      </c>
      <c r="K361" s="81">
        <f>HLOOKUP($H$4,'Met Data'!$O$2:$T$368,G361,FALSE)</f>
      </c>
      <c r="L361" s="7">
        <f>IF(H361&lt;$B$31,$J$3,$J$4)</f>
      </c>
      <c r="M361" s="3"/>
      <c r="N361" s="82">
        <f>IF(P361&lt;$P$3,TRUE,FALSE)</f>
      </c>
      <c r="O361" s="82">
        <f>AND(IF(P361&gt;($P$2-1),TRUE,FALSE),IF(P361&lt;($P$3+1),TRUE,FALSE))</f>
      </c>
      <c r="P361" s="83" t="s">
        <v>374</v>
      </c>
      <c r="Q361" s="13" t="s">
        <v>374</v>
      </c>
      <c r="R361" s="13" t="s">
        <v>374</v>
      </c>
      <c r="S361" s="13" t="s">
        <v>374</v>
      </c>
      <c r="T361" s="13" t="s">
        <v>374</v>
      </c>
      <c r="U361" s="12" t="s">
        <v>374</v>
      </c>
      <c r="V361" s="13" t="s">
        <v>374</v>
      </c>
      <c r="W361" s="13" t="s">
        <v>374</v>
      </c>
      <c r="X361" s="12" t="s">
        <v>374</v>
      </c>
      <c r="Y361" s="13" t="s">
        <v>374</v>
      </c>
      <c r="Z361" s="12" t="s">
        <v>374</v>
      </c>
      <c r="AA361" s="12" t="s">
        <v>374</v>
      </c>
      <c r="AB361" s="13" t="s">
        <v>374</v>
      </c>
      <c r="AC361" s="42"/>
      <c r="AD361" s="83">
        <f>IFERROR(P361,$AD$4)</f>
        <v>25569.5</v>
      </c>
      <c r="AE361" s="7">
        <f>IFERROR(U361,0)</f>
      </c>
      <c r="AF361" s="3"/>
      <c r="AG361" s="105">
        <f>Q360+S361+T361+U361</f>
      </c>
      <c r="AH361" s="105">
        <f>Q361+R361+X361</f>
      </c>
      <c r="AI361" s="60">
        <f>AH361-AG361</f>
      </c>
      <c r="AJ361" s="3"/>
      <c r="AK361" s="3"/>
    </row>
    <row x14ac:dyDescent="0.25" r="362" customHeight="1" ht="18.75">
      <c r="A362" s="3"/>
      <c r="B362" s="71"/>
      <c r="C362" s="3"/>
      <c r="D362" s="3"/>
      <c r="E362" s="3"/>
      <c r="F362" s="3"/>
      <c r="G362" s="59">
        <f>H362-DATE(YEAR(H362),1,0)+1</f>
      </c>
      <c r="H362" s="79">
        <f>H361+1</f>
        <v>25569.5</v>
      </c>
      <c r="I362" s="80">
        <f>HLOOKUP($H$4,'Met Data'!$A$2:$F$368,G362,FALSE)</f>
      </c>
      <c r="J362" s="80">
        <f>HLOOKUP($H$4,'Met Data'!$H$2:$M$368,G362,FALSE)*L362</f>
      </c>
      <c r="K362" s="81">
        <f>HLOOKUP($H$4,'Met Data'!$O$2:$T$368,G362,FALSE)</f>
      </c>
      <c r="L362" s="7">
        <f>IF(H362&lt;$B$31,$J$3,$J$4)</f>
      </c>
      <c r="M362" s="3"/>
      <c r="N362" s="82">
        <f>IF(P362&lt;$P$3,TRUE,FALSE)</f>
      </c>
      <c r="O362" s="82">
        <f>AND(IF(P362&gt;($P$2-1),TRUE,FALSE),IF(P362&lt;($P$3+1),TRUE,FALSE))</f>
      </c>
      <c r="P362" s="83" t="s">
        <v>374</v>
      </c>
      <c r="Q362" s="13" t="s">
        <v>374</v>
      </c>
      <c r="R362" s="13" t="s">
        <v>374</v>
      </c>
      <c r="S362" s="13" t="s">
        <v>374</v>
      </c>
      <c r="T362" s="13" t="s">
        <v>374</v>
      </c>
      <c r="U362" s="12" t="s">
        <v>374</v>
      </c>
      <c r="V362" s="13" t="s">
        <v>374</v>
      </c>
      <c r="W362" s="13" t="s">
        <v>374</v>
      </c>
      <c r="X362" s="12" t="s">
        <v>374</v>
      </c>
      <c r="Y362" s="13" t="s">
        <v>374</v>
      </c>
      <c r="Z362" s="12" t="s">
        <v>374</v>
      </c>
      <c r="AA362" s="12" t="s">
        <v>374</v>
      </c>
      <c r="AB362" s="13" t="s">
        <v>374</v>
      </c>
      <c r="AC362" s="42"/>
      <c r="AD362" s="83">
        <f>IFERROR(P362,$AD$4)</f>
        <v>25569.5</v>
      </c>
      <c r="AE362" s="7">
        <f>IFERROR(U362,0)</f>
      </c>
      <c r="AF362" s="3"/>
      <c r="AG362" s="105">
        <f>Q361+S362+T362+U362</f>
      </c>
      <c r="AH362" s="105">
        <f>Q362+R362+X362</f>
      </c>
      <c r="AI362" s="60">
        <f>AH362-AG362</f>
      </c>
      <c r="AJ362" s="3"/>
      <c r="AK362" s="3"/>
    </row>
    <row x14ac:dyDescent="0.25" r="363" customHeight="1" ht="18.75">
      <c r="A363" s="3"/>
      <c r="B363" s="71"/>
      <c r="C363" s="3"/>
      <c r="D363" s="3"/>
      <c r="E363" s="3"/>
      <c r="F363" s="3"/>
      <c r="G363" s="59">
        <f>H363-DATE(YEAR(H363),1,0)+1</f>
      </c>
      <c r="H363" s="79">
        <f>H362+1</f>
        <v>25569.5</v>
      </c>
      <c r="I363" s="80">
        <f>HLOOKUP($H$4,'Met Data'!$A$2:$F$368,G363,FALSE)</f>
      </c>
      <c r="J363" s="80">
        <f>HLOOKUP($H$4,'Met Data'!$H$2:$M$368,G363,FALSE)*L363</f>
      </c>
      <c r="K363" s="81">
        <f>HLOOKUP($H$4,'Met Data'!$O$2:$T$368,G363,FALSE)</f>
      </c>
      <c r="L363" s="7">
        <f>IF(H363&lt;$B$31,$J$3,$J$4)</f>
      </c>
      <c r="M363" s="3"/>
      <c r="N363" s="82">
        <f>IF(P363&lt;$P$3,TRUE,FALSE)</f>
      </c>
      <c r="O363" s="82">
        <f>AND(IF(P363&gt;($P$2-1),TRUE,FALSE),IF(P363&lt;($P$3+1),TRUE,FALSE))</f>
      </c>
      <c r="P363" s="83" t="s">
        <v>374</v>
      </c>
      <c r="Q363" s="13" t="s">
        <v>374</v>
      </c>
      <c r="R363" s="13" t="s">
        <v>374</v>
      </c>
      <c r="S363" s="13" t="s">
        <v>374</v>
      </c>
      <c r="T363" s="13" t="s">
        <v>374</v>
      </c>
      <c r="U363" s="12" t="s">
        <v>374</v>
      </c>
      <c r="V363" s="13" t="s">
        <v>374</v>
      </c>
      <c r="W363" s="13" t="s">
        <v>374</v>
      </c>
      <c r="X363" s="12" t="s">
        <v>374</v>
      </c>
      <c r="Y363" s="13" t="s">
        <v>374</v>
      </c>
      <c r="Z363" s="12" t="s">
        <v>374</v>
      </c>
      <c r="AA363" s="12" t="s">
        <v>374</v>
      </c>
      <c r="AB363" s="13" t="s">
        <v>374</v>
      </c>
      <c r="AC363" s="42"/>
      <c r="AD363" s="83">
        <f>IFERROR(P363,$AD$4)</f>
        <v>25569.5</v>
      </c>
      <c r="AE363" s="7">
        <f>IFERROR(U363,0)</f>
      </c>
      <c r="AF363" s="3"/>
      <c r="AG363" s="105">
        <f>Q362+S363+T363+U363</f>
      </c>
      <c r="AH363" s="105">
        <f>Q363+R363+X363</f>
      </c>
      <c r="AI363" s="60">
        <f>AH363-AG363</f>
      </c>
      <c r="AJ363" s="3"/>
      <c r="AK363" s="3"/>
    </row>
    <row x14ac:dyDescent="0.25" r="364" customHeight="1" ht="18.75">
      <c r="A364" s="3"/>
      <c r="B364" s="71"/>
      <c r="C364" s="3"/>
      <c r="D364" s="3"/>
      <c r="E364" s="3"/>
      <c r="F364" s="3"/>
      <c r="G364" s="59">
        <f>H364-DATE(YEAR(H364),1,0)+1</f>
      </c>
      <c r="H364" s="79">
        <f>H363+1</f>
        <v>25569.5</v>
      </c>
      <c r="I364" s="80">
        <f>HLOOKUP($H$4,'Met Data'!$A$2:$F$368,G364,FALSE)</f>
      </c>
      <c r="J364" s="80">
        <f>HLOOKUP($H$4,'Met Data'!$H$2:$M$368,G364,FALSE)*L364</f>
      </c>
      <c r="K364" s="81">
        <f>HLOOKUP($H$4,'Met Data'!$O$2:$T$368,G364,FALSE)</f>
      </c>
      <c r="L364" s="7">
        <f>IF(H364&lt;$B$31,$J$3,$J$4)</f>
      </c>
      <c r="M364" s="3"/>
      <c r="N364" s="82">
        <f>IF(P364&lt;$P$3,TRUE,FALSE)</f>
      </c>
      <c r="O364" s="82">
        <f>AND(IF(P364&gt;($P$2-1),TRUE,FALSE),IF(P364&lt;($P$3+1),TRUE,FALSE))</f>
      </c>
      <c r="P364" s="83" t="s">
        <v>374</v>
      </c>
      <c r="Q364" s="13" t="s">
        <v>374</v>
      </c>
      <c r="R364" s="13" t="s">
        <v>374</v>
      </c>
      <c r="S364" s="13" t="s">
        <v>374</v>
      </c>
      <c r="T364" s="13" t="s">
        <v>374</v>
      </c>
      <c r="U364" s="12" t="s">
        <v>374</v>
      </c>
      <c r="V364" s="13" t="s">
        <v>374</v>
      </c>
      <c r="W364" s="13" t="s">
        <v>374</v>
      </c>
      <c r="X364" s="12" t="s">
        <v>374</v>
      </c>
      <c r="Y364" s="13" t="s">
        <v>374</v>
      </c>
      <c r="Z364" s="12" t="s">
        <v>374</v>
      </c>
      <c r="AA364" s="12" t="s">
        <v>374</v>
      </c>
      <c r="AB364" s="13" t="s">
        <v>374</v>
      </c>
      <c r="AC364" s="42"/>
      <c r="AD364" s="83">
        <f>IFERROR(P364,$AD$4)</f>
        <v>25569.5</v>
      </c>
      <c r="AE364" s="7">
        <f>IFERROR(U364,0)</f>
      </c>
      <c r="AF364" s="3"/>
      <c r="AG364" s="105">
        <f>Q363+S364+T364+U364</f>
      </c>
      <c r="AH364" s="105">
        <f>Q364+R364+X364</f>
      </c>
      <c r="AI364" s="60">
        <f>AH364-AG364</f>
      </c>
      <c r="AJ364" s="3"/>
      <c r="AK364" s="3"/>
    </row>
    <row x14ac:dyDescent="0.25" r="365" customHeight="1" ht="18.75">
      <c r="A365" s="3"/>
      <c r="B365" s="71"/>
      <c r="C365" s="3"/>
      <c r="D365" s="3"/>
      <c r="E365" s="3"/>
      <c r="F365" s="3"/>
      <c r="G365" s="59">
        <f>H365-DATE(YEAR(H365),1,0)+1</f>
      </c>
      <c r="H365" s="79">
        <f>H364+1</f>
        <v>25569.5</v>
      </c>
      <c r="I365" s="80">
        <f>HLOOKUP($H$4,'Met Data'!$A$2:$F$368,G365,FALSE)</f>
      </c>
      <c r="J365" s="80">
        <f>HLOOKUP($H$4,'Met Data'!$H$2:$M$368,G365,FALSE)*L365</f>
      </c>
      <c r="K365" s="81">
        <f>HLOOKUP($H$4,'Met Data'!$O$2:$T$368,G365,FALSE)</f>
      </c>
      <c r="L365" s="7">
        <f>IF(H365&lt;$B$31,$J$3,$J$4)</f>
      </c>
      <c r="M365" s="3"/>
      <c r="N365" s="82">
        <f>IF(P365&lt;$P$3,TRUE,FALSE)</f>
      </c>
      <c r="O365" s="82">
        <f>AND(IF(P365&gt;($P$2-1),TRUE,FALSE),IF(P365&lt;($P$3+1),TRUE,FALSE))</f>
      </c>
      <c r="P365" s="83" t="s">
        <v>374</v>
      </c>
      <c r="Q365" s="13" t="s">
        <v>374</v>
      </c>
      <c r="R365" s="13" t="s">
        <v>374</v>
      </c>
      <c r="S365" s="13" t="s">
        <v>374</v>
      </c>
      <c r="T365" s="13" t="s">
        <v>374</v>
      </c>
      <c r="U365" s="12" t="s">
        <v>374</v>
      </c>
      <c r="V365" s="13" t="s">
        <v>374</v>
      </c>
      <c r="W365" s="13" t="s">
        <v>374</v>
      </c>
      <c r="X365" s="12" t="s">
        <v>374</v>
      </c>
      <c r="Y365" s="13" t="s">
        <v>374</v>
      </c>
      <c r="Z365" s="12" t="s">
        <v>374</v>
      </c>
      <c r="AA365" s="12" t="s">
        <v>374</v>
      </c>
      <c r="AB365" s="13" t="s">
        <v>374</v>
      </c>
      <c r="AC365" s="42"/>
      <c r="AD365" s="83">
        <f>IFERROR(P365,$AD$4)</f>
        <v>25569.5</v>
      </c>
      <c r="AE365" s="7">
        <f>IFERROR(U365,0)</f>
      </c>
      <c r="AF365" s="3"/>
      <c r="AG365" s="105">
        <f>Q364+S365+T365+U365</f>
      </c>
      <c r="AH365" s="105">
        <f>Q365+R365+X365</f>
      </c>
      <c r="AI365" s="60">
        <f>AH365-AG365</f>
      </c>
      <c r="AJ365" s="3"/>
      <c r="AK365" s="3"/>
    </row>
    <row x14ac:dyDescent="0.25" r="366" customHeight="1" ht="18.75">
      <c r="A366" s="3"/>
      <c r="B366" s="71"/>
      <c r="C366" s="3"/>
      <c r="D366" s="3"/>
      <c r="E366" s="3"/>
      <c r="F366" s="3"/>
      <c r="G366" s="59">
        <f>H366-DATE(YEAR(H366),1,0)+1</f>
      </c>
      <c r="H366" s="79">
        <f>H365+1</f>
        <v>25569.5</v>
      </c>
      <c r="I366" s="80">
        <f>HLOOKUP($H$4,'Met Data'!$A$2:$F$368,G366,FALSE)</f>
      </c>
      <c r="J366" s="80">
        <f>HLOOKUP($H$4,'Met Data'!$H$2:$M$368,G366,FALSE)*L366</f>
      </c>
      <c r="K366" s="81">
        <f>HLOOKUP($H$4,'Met Data'!$O$2:$T$368,G366,FALSE)</f>
      </c>
      <c r="L366" s="7">
        <f>IF(H366&lt;$B$31,$J$3,$J$4)</f>
      </c>
      <c r="M366" s="3"/>
      <c r="N366" s="82">
        <f>IF(P366&lt;$P$3,TRUE,FALSE)</f>
      </c>
      <c r="O366" s="82">
        <f>AND(IF(P366&gt;($P$2-1),TRUE,FALSE),IF(P366&lt;($P$3+1),TRUE,FALSE))</f>
      </c>
      <c r="P366" s="83" t="s">
        <v>374</v>
      </c>
      <c r="Q366" s="13" t="s">
        <v>374</v>
      </c>
      <c r="R366" s="13" t="s">
        <v>374</v>
      </c>
      <c r="S366" s="13" t="s">
        <v>374</v>
      </c>
      <c r="T366" s="13" t="s">
        <v>374</v>
      </c>
      <c r="U366" s="12" t="s">
        <v>374</v>
      </c>
      <c r="V366" s="13" t="s">
        <v>374</v>
      </c>
      <c r="W366" s="13" t="s">
        <v>374</v>
      </c>
      <c r="X366" s="12" t="s">
        <v>374</v>
      </c>
      <c r="Y366" s="13" t="s">
        <v>374</v>
      </c>
      <c r="Z366" s="12" t="s">
        <v>374</v>
      </c>
      <c r="AA366" s="12" t="s">
        <v>374</v>
      </c>
      <c r="AB366" s="13" t="s">
        <v>374</v>
      </c>
      <c r="AC366" s="42"/>
      <c r="AD366" s="83">
        <f>IFERROR(P366,$AD$4)</f>
        <v>25569.5</v>
      </c>
      <c r="AE366" s="7">
        <f>IFERROR(U366,0)</f>
      </c>
      <c r="AF366" s="3"/>
      <c r="AG366" s="105">
        <f>Q365+S366+T366+U366</f>
      </c>
      <c r="AH366" s="105">
        <f>Q366+R366+X366</f>
      </c>
      <c r="AI366" s="60">
        <f>AH366-AG366</f>
      </c>
      <c r="AJ366" s="3"/>
      <c r="AK366" s="3"/>
    </row>
    <row x14ac:dyDescent="0.25" r="367" customHeight="1" ht="18.75">
      <c r="A367" s="3"/>
      <c r="B367" s="71"/>
      <c r="C367" s="3"/>
      <c r="D367" s="3"/>
      <c r="E367" s="3"/>
      <c r="F367" s="3"/>
      <c r="G367" s="59">
        <f>H367-DATE(YEAR(H367),1,0)+1</f>
      </c>
      <c r="H367" s="79">
        <f>H366+1</f>
        <v>25569.5</v>
      </c>
      <c r="I367" s="80">
        <f>HLOOKUP($H$4,'Met Data'!$A$2:$F$368,G367,FALSE)</f>
      </c>
      <c r="J367" s="80">
        <f>HLOOKUP($H$4,'Met Data'!$H$2:$M$368,G367,FALSE)*L367</f>
      </c>
      <c r="K367" s="81">
        <f>HLOOKUP($H$4,'Met Data'!$O$2:$T$368,G367,FALSE)</f>
      </c>
      <c r="L367" s="7">
        <f>IF(H367&lt;$B$31,$J$3,$J$4)</f>
      </c>
      <c r="M367" s="3"/>
      <c r="N367" s="82">
        <f>IF(P367&lt;$P$3,TRUE,FALSE)</f>
      </c>
      <c r="O367" s="82">
        <f>AND(IF(P367&gt;($P$2-1),TRUE,FALSE),IF(P367&lt;($P$3+1),TRUE,FALSE))</f>
      </c>
      <c r="P367" s="83" t="s">
        <v>374</v>
      </c>
      <c r="Q367" s="13" t="s">
        <v>374</v>
      </c>
      <c r="R367" s="13" t="s">
        <v>374</v>
      </c>
      <c r="S367" s="13" t="s">
        <v>374</v>
      </c>
      <c r="T367" s="13" t="s">
        <v>374</v>
      </c>
      <c r="U367" s="12" t="s">
        <v>374</v>
      </c>
      <c r="V367" s="13" t="s">
        <v>374</v>
      </c>
      <c r="W367" s="13" t="s">
        <v>374</v>
      </c>
      <c r="X367" s="12" t="s">
        <v>374</v>
      </c>
      <c r="Y367" s="13" t="s">
        <v>374</v>
      </c>
      <c r="Z367" s="12" t="s">
        <v>374</v>
      </c>
      <c r="AA367" s="12" t="s">
        <v>374</v>
      </c>
      <c r="AB367" s="13" t="s">
        <v>374</v>
      </c>
      <c r="AC367" s="42"/>
      <c r="AD367" s="83">
        <f>IFERROR(P367,$AD$4)</f>
        <v>25569.5</v>
      </c>
      <c r="AE367" s="7">
        <f>IFERROR(U367,0)</f>
      </c>
      <c r="AF367" s="3"/>
      <c r="AG367" s="105">
        <f>Q366+S367+T367+U367</f>
      </c>
      <c r="AH367" s="105">
        <f>Q367+R367+X367</f>
      </c>
      <c r="AI367" s="60">
        <f>AH367-AG367</f>
      </c>
      <c r="AJ367" s="3"/>
      <c r="AK367" s="3"/>
    </row>
    <row x14ac:dyDescent="0.25" r="368" customHeight="1" ht="18.75">
      <c r="A368" s="3"/>
      <c r="B368" s="71"/>
      <c r="C368" s="3"/>
      <c r="D368" s="3"/>
      <c r="E368" s="3"/>
      <c r="F368" s="3"/>
      <c r="G368" s="59">
        <f>H368-DATE(YEAR(H368),1,0)+1</f>
      </c>
      <c r="H368" s="79">
        <f>H367+1</f>
        <v>25569.5</v>
      </c>
      <c r="I368" s="80">
        <f>HLOOKUP($H$4,'Met Data'!$A$2:$F$368,G368,FALSE)</f>
      </c>
      <c r="J368" s="80">
        <f>HLOOKUP($H$4,'Met Data'!$H$2:$M$368,G368,FALSE)*L368</f>
      </c>
      <c r="K368" s="81">
        <f>HLOOKUP($H$4,'Met Data'!$O$2:$T$368,G368,FALSE)</f>
      </c>
      <c r="L368" s="7">
        <f>IF(H368&lt;$B$31,$J$3,$J$4)</f>
      </c>
      <c r="M368" s="3"/>
      <c r="N368" s="82">
        <f>IF(P368&lt;$P$3,TRUE,FALSE)</f>
      </c>
      <c r="O368" s="82">
        <f>AND(IF(P368&gt;($P$2-1),TRUE,FALSE),IF(P368&lt;($P$3+1),TRUE,FALSE))</f>
      </c>
      <c r="P368" s="83" t="s">
        <v>374</v>
      </c>
      <c r="Q368" s="13" t="s">
        <v>374</v>
      </c>
      <c r="R368" s="13" t="s">
        <v>374</v>
      </c>
      <c r="S368" s="13" t="s">
        <v>374</v>
      </c>
      <c r="T368" s="13" t="s">
        <v>374</v>
      </c>
      <c r="U368" s="12" t="s">
        <v>374</v>
      </c>
      <c r="V368" s="13" t="s">
        <v>374</v>
      </c>
      <c r="W368" s="13" t="s">
        <v>374</v>
      </c>
      <c r="X368" s="12" t="s">
        <v>374</v>
      </c>
      <c r="Y368" s="13" t="s">
        <v>374</v>
      </c>
      <c r="Z368" s="12" t="s">
        <v>374</v>
      </c>
      <c r="AA368" s="12" t="s">
        <v>374</v>
      </c>
      <c r="AB368" s="13" t="s">
        <v>374</v>
      </c>
      <c r="AC368" s="42"/>
      <c r="AD368" s="83">
        <f>IFERROR(P368,$AD$4)</f>
        <v>25569.5</v>
      </c>
      <c r="AE368" s="7">
        <f>IFERROR(U368,0)</f>
      </c>
      <c r="AF368" s="3"/>
      <c r="AG368" s="105">
        <f>Q367+S368+T368+U368</f>
      </c>
      <c r="AH368" s="105">
        <f>Q368+R368+X368</f>
      </c>
      <c r="AI368" s="60">
        <f>AH368-AG368</f>
      </c>
      <c r="AJ368" s="3"/>
      <c r="AK368" s="3"/>
    </row>
    <row x14ac:dyDescent="0.25" r="369" customHeight="1" ht="18.75">
      <c r="A369" s="3"/>
      <c r="B369" s="71"/>
      <c r="C369" s="3"/>
      <c r="D369" s="3"/>
      <c r="E369" s="3"/>
      <c r="F369" s="3"/>
      <c r="G369" s="59">
        <f>H369-DATE(YEAR(H369),1,0)+1</f>
      </c>
      <c r="H369" s="79">
        <f>H368+1</f>
        <v>25569.5</v>
      </c>
      <c r="I369" s="80">
        <f>HLOOKUP($H$4,'Met Data'!$A$2:$F$368,G369,FALSE)</f>
      </c>
      <c r="J369" s="80">
        <f>HLOOKUP($H$4,'Met Data'!$H$2:$M$368,G369,FALSE)*L369</f>
      </c>
      <c r="K369" s="81">
        <f>HLOOKUP($H$4,'Met Data'!$O$2:$T$368,G369,FALSE)</f>
      </c>
      <c r="L369" s="7">
        <f>IF(H369&lt;$B$31,$J$3,$J$4)</f>
      </c>
      <c r="M369" s="3"/>
      <c r="N369" s="82">
        <f>IF(P369&lt;$P$3,TRUE,FALSE)</f>
      </c>
      <c r="O369" s="82">
        <f>AND(IF(P369&gt;($P$2-1),TRUE,FALSE),IF(P369&lt;($P$3+1),TRUE,FALSE))</f>
      </c>
      <c r="P369" s="83" t="s">
        <v>374</v>
      </c>
      <c r="Q369" s="13" t="s">
        <v>374</v>
      </c>
      <c r="R369" s="13" t="s">
        <v>374</v>
      </c>
      <c r="S369" s="13" t="s">
        <v>374</v>
      </c>
      <c r="T369" s="13" t="s">
        <v>374</v>
      </c>
      <c r="U369" s="12" t="s">
        <v>374</v>
      </c>
      <c r="V369" s="13" t="s">
        <v>374</v>
      </c>
      <c r="W369" s="13" t="s">
        <v>374</v>
      </c>
      <c r="X369" s="12" t="s">
        <v>374</v>
      </c>
      <c r="Y369" s="13" t="s">
        <v>374</v>
      </c>
      <c r="Z369" s="12" t="s">
        <v>374</v>
      </c>
      <c r="AA369" s="12" t="s">
        <v>374</v>
      </c>
      <c r="AB369" s="13" t="s">
        <v>374</v>
      </c>
      <c r="AC369" s="42"/>
      <c r="AD369" s="83">
        <f>IFERROR(P369,$AD$4)</f>
        <v>25569.5</v>
      </c>
      <c r="AE369" s="7">
        <f>IFERROR(U369,0)</f>
      </c>
      <c r="AF369" s="3"/>
      <c r="AG369" s="105">
        <f>Q368+S369+T369+U369</f>
      </c>
      <c r="AH369" s="105">
        <f>Q369+R369+X369</f>
      </c>
      <c r="AI369" s="60">
        <f>AH369-AG369</f>
      </c>
      <c r="AJ369" s="3"/>
      <c r="AK369" s="3"/>
    </row>
    <row x14ac:dyDescent="0.25" r="370" customHeight="1" ht="18.75">
      <c r="A370" s="3"/>
      <c r="B370" s="71"/>
      <c r="C370" s="3"/>
      <c r="D370" s="3"/>
      <c r="E370" s="3"/>
      <c r="F370" s="3"/>
      <c r="G370" s="59">
        <f>H370-DATE(YEAR(H370),1,0)+1</f>
      </c>
      <c r="H370" s="79">
        <f>H369+1</f>
        <v>25569.5</v>
      </c>
      <c r="I370" s="80">
        <f>HLOOKUP($H$4,'Met Data'!$A$2:$F$368,G370,FALSE)</f>
      </c>
      <c r="J370" s="80">
        <f>HLOOKUP($H$4,'Met Data'!$H$2:$M$368,G370,FALSE)*L370</f>
      </c>
      <c r="K370" s="81">
        <f>HLOOKUP($H$4,'Met Data'!$O$2:$T$368,G370,FALSE)</f>
      </c>
      <c r="L370" s="7">
        <f>IF(H370&lt;$B$31,$J$3,$J$4)</f>
      </c>
      <c r="M370" s="3"/>
      <c r="N370" s="82">
        <f>IF(P370&lt;$P$3,TRUE,FALSE)</f>
      </c>
      <c r="O370" s="82">
        <f>AND(IF(P370&gt;($P$2-1),TRUE,FALSE),IF(P370&lt;($P$3+1),TRUE,FALSE))</f>
      </c>
      <c r="P370" s="83" t="s">
        <v>374</v>
      </c>
      <c r="Q370" s="13" t="s">
        <v>374</v>
      </c>
      <c r="R370" s="13" t="s">
        <v>374</v>
      </c>
      <c r="S370" s="13" t="s">
        <v>374</v>
      </c>
      <c r="T370" s="13" t="s">
        <v>374</v>
      </c>
      <c r="U370" s="12" t="s">
        <v>374</v>
      </c>
      <c r="V370" s="13" t="s">
        <v>374</v>
      </c>
      <c r="W370" s="13" t="s">
        <v>374</v>
      </c>
      <c r="X370" s="12" t="s">
        <v>374</v>
      </c>
      <c r="Y370" s="13" t="s">
        <v>374</v>
      </c>
      <c r="Z370" s="12" t="s">
        <v>374</v>
      </c>
      <c r="AA370" s="12" t="s">
        <v>374</v>
      </c>
      <c r="AB370" s="13" t="s">
        <v>374</v>
      </c>
      <c r="AC370" s="42"/>
      <c r="AD370" s="83">
        <f>IFERROR(P370,$AD$4)</f>
        <v>25569.5</v>
      </c>
      <c r="AE370" s="7">
        <f>IFERROR(U370,0)</f>
      </c>
      <c r="AF370" s="3"/>
      <c r="AG370" s="105">
        <f>Q369+S370+T370+U370</f>
      </c>
      <c r="AH370" s="105">
        <f>Q370+R370+X370</f>
      </c>
      <c r="AI370" s="60">
        <f>AH370-AG370</f>
      </c>
      <c r="AJ370" s="3"/>
      <c r="AK370" s="3"/>
    </row>
    <row x14ac:dyDescent="0.25" r="371" customHeight="1" ht="18.75">
      <c r="A371" s="3"/>
      <c r="B371" s="71"/>
      <c r="C371" s="3"/>
      <c r="D371" s="3"/>
      <c r="E371" s="3"/>
      <c r="F371" s="3"/>
      <c r="G371" s="59">
        <f>H371-DATE(YEAR(H371),1,0)+1</f>
      </c>
      <c r="H371" s="79">
        <f>H370+1</f>
        <v>25569.5</v>
      </c>
      <c r="I371" s="80">
        <f>HLOOKUP($H$4,'Met Data'!$A$2:$F$368,G371,FALSE)</f>
      </c>
      <c r="J371" s="80">
        <f>HLOOKUP($H$4,'Met Data'!$H$2:$M$368,G371,FALSE)*L371</f>
      </c>
      <c r="K371" s="81">
        <f>HLOOKUP($H$4,'Met Data'!$O$2:$T$368,G371,FALSE)</f>
      </c>
      <c r="L371" s="7">
        <f>IF(H371&lt;$B$31,$J$3,$J$4)</f>
      </c>
      <c r="M371" s="3"/>
      <c r="N371" s="82">
        <f>IF(P371&lt;$P$3,TRUE,FALSE)</f>
      </c>
      <c r="O371" s="82">
        <f>AND(IF(P371&gt;($P$2-1),TRUE,FALSE),IF(P371&lt;($P$3+1),TRUE,FALSE))</f>
      </c>
      <c r="P371" s="83" t="s">
        <v>374</v>
      </c>
      <c r="Q371" s="13" t="s">
        <v>374</v>
      </c>
      <c r="R371" s="13" t="s">
        <v>374</v>
      </c>
      <c r="S371" s="13" t="s">
        <v>374</v>
      </c>
      <c r="T371" s="13" t="s">
        <v>374</v>
      </c>
      <c r="U371" s="12" t="s">
        <v>374</v>
      </c>
      <c r="V371" s="13" t="s">
        <v>374</v>
      </c>
      <c r="W371" s="13" t="s">
        <v>374</v>
      </c>
      <c r="X371" s="12" t="s">
        <v>374</v>
      </c>
      <c r="Y371" s="13" t="s">
        <v>374</v>
      </c>
      <c r="Z371" s="12" t="s">
        <v>374</v>
      </c>
      <c r="AA371" s="12" t="s">
        <v>374</v>
      </c>
      <c r="AB371" s="13" t="s">
        <v>374</v>
      </c>
      <c r="AC371" s="42"/>
      <c r="AD371" s="83">
        <f>IFERROR(P371,$AD$4)</f>
        <v>25569.5</v>
      </c>
      <c r="AE371" s="7">
        <f>IFERROR(U371,0)</f>
      </c>
      <c r="AF371" s="3"/>
      <c r="AG371" s="105">
        <f>Q370+S371+T371+U371</f>
      </c>
      <c r="AH371" s="105">
        <f>Q371+R371+X371</f>
      </c>
      <c r="AI371" s="60">
        <f>AH371-AG371</f>
      </c>
      <c r="AJ371" s="3"/>
      <c r="AK371" s="3"/>
    </row>
    <row x14ac:dyDescent="0.25" r="372" customHeight="1" ht="18.75">
      <c r="A372" s="3"/>
      <c r="B372" s="71"/>
      <c r="C372" s="3"/>
      <c r="D372" s="3"/>
      <c r="E372" s="3"/>
      <c r="F372" s="3"/>
      <c r="G372" s="59">
        <f>H372-DATE(YEAR(H372),1,0)+1</f>
      </c>
      <c r="H372" s="79">
        <f>H371+1</f>
        <v>25569.5</v>
      </c>
      <c r="I372" s="80">
        <f>HLOOKUP($H$4,'Met Data'!$A$2:$F$368,G372,FALSE)</f>
      </c>
      <c r="J372" s="80">
        <f>HLOOKUP($H$4,'Met Data'!$H$2:$M$368,G372,FALSE)*L372</f>
      </c>
      <c r="K372" s="81">
        <f>HLOOKUP($H$4,'Met Data'!$O$2:$T$368,G372,FALSE)</f>
      </c>
      <c r="L372" s="7">
        <f>IF(H372&lt;$B$31,$J$3,$J$4)</f>
      </c>
      <c r="M372" s="3"/>
      <c r="N372" s="82">
        <f>IF(P372&lt;$P$3,TRUE,FALSE)</f>
      </c>
      <c r="O372" s="82">
        <f>AND(IF(P372&gt;($P$2-1),TRUE,FALSE),IF(P372&lt;($P$3+1),TRUE,FALSE))</f>
      </c>
      <c r="P372" s="83" t="s">
        <v>374</v>
      </c>
      <c r="Q372" s="13" t="s">
        <v>374</v>
      </c>
      <c r="R372" s="13" t="s">
        <v>374</v>
      </c>
      <c r="S372" s="13" t="s">
        <v>374</v>
      </c>
      <c r="T372" s="13" t="s">
        <v>374</v>
      </c>
      <c r="U372" s="12" t="s">
        <v>374</v>
      </c>
      <c r="V372" s="13" t="s">
        <v>374</v>
      </c>
      <c r="W372" s="13" t="s">
        <v>374</v>
      </c>
      <c r="X372" s="12" t="s">
        <v>374</v>
      </c>
      <c r="Y372" s="13" t="s">
        <v>374</v>
      </c>
      <c r="Z372" s="12" t="s">
        <v>374</v>
      </c>
      <c r="AA372" s="12" t="s">
        <v>374</v>
      </c>
      <c r="AB372" s="13" t="s">
        <v>374</v>
      </c>
      <c r="AC372" s="42"/>
      <c r="AD372" s="83">
        <f>IFERROR(P372,$AD$4)</f>
        <v>25569.5</v>
      </c>
      <c r="AE372" s="7">
        <f>IFERROR(U372,0)</f>
      </c>
      <c r="AF372" s="3"/>
      <c r="AG372" s="105">
        <f>Q371+S372+T372+U372</f>
      </c>
      <c r="AH372" s="105">
        <f>Q372+R372+X372</f>
      </c>
      <c r="AI372" s="60">
        <f>AH372-AG372</f>
      </c>
      <c r="AJ372" s="3"/>
      <c r="AK372" s="3"/>
    </row>
    <row x14ac:dyDescent="0.25" r="373" customHeight="1" ht="18.75">
      <c r="A373" s="3"/>
      <c r="B373" s="71"/>
      <c r="C373" s="3"/>
      <c r="D373" s="3"/>
      <c r="E373" s="3"/>
      <c r="F373" s="3"/>
      <c r="G373" s="59">
        <f>H373-DATE(YEAR(H373),1,0)+1</f>
      </c>
      <c r="H373" s="79">
        <f>H372+1</f>
        <v>25569.5</v>
      </c>
      <c r="I373" s="80">
        <f>HLOOKUP($H$4,'Met Data'!$A$2:$F$368,G373,FALSE)</f>
      </c>
      <c r="J373" s="80">
        <f>HLOOKUP($H$4,'Met Data'!$H$2:$M$368,G373,FALSE)*L373</f>
      </c>
      <c r="K373" s="81">
        <f>HLOOKUP($H$4,'Met Data'!$O$2:$T$368,G373,FALSE)</f>
      </c>
      <c r="L373" s="7">
        <f>IF(H373&lt;$B$31,$J$3,$J$4)</f>
      </c>
      <c r="M373" s="3"/>
      <c r="N373" s="82">
        <f>IF(P373&lt;$P$3,TRUE,FALSE)</f>
      </c>
      <c r="O373" s="82">
        <f>AND(IF(P373&gt;($P$2-1),TRUE,FALSE),IF(P373&lt;($P$3+1),TRUE,FALSE))</f>
      </c>
      <c r="P373" s="83" t="s">
        <v>374</v>
      </c>
      <c r="Q373" s="13" t="s">
        <v>374</v>
      </c>
      <c r="R373" s="13" t="s">
        <v>374</v>
      </c>
      <c r="S373" s="13" t="s">
        <v>374</v>
      </c>
      <c r="T373" s="13" t="s">
        <v>374</v>
      </c>
      <c r="U373" s="12" t="s">
        <v>374</v>
      </c>
      <c r="V373" s="13" t="s">
        <v>374</v>
      </c>
      <c r="W373" s="13" t="s">
        <v>374</v>
      </c>
      <c r="X373" s="12" t="s">
        <v>374</v>
      </c>
      <c r="Y373" s="13" t="s">
        <v>374</v>
      </c>
      <c r="Z373" s="12" t="s">
        <v>374</v>
      </c>
      <c r="AA373" s="12" t="s">
        <v>374</v>
      </c>
      <c r="AB373" s="13" t="s">
        <v>374</v>
      </c>
      <c r="AC373" s="42"/>
      <c r="AD373" s="83">
        <f>IFERROR(P373,$AD$4)</f>
        <v>25569.5</v>
      </c>
      <c r="AE373" s="7">
        <f>IFERROR(U373,0)</f>
      </c>
      <c r="AF373" s="3"/>
      <c r="AG373" s="105">
        <f>Q372+S373+T373+U373</f>
      </c>
      <c r="AH373" s="105">
        <f>Q373+R373+X373</f>
      </c>
      <c r="AI373" s="60">
        <f>AH373-AG373</f>
      </c>
      <c r="AJ373" s="3"/>
      <c r="AK373" s="3"/>
    </row>
    <row x14ac:dyDescent="0.25" r="374" customHeight="1" ht="18.75">
      <c r="A374" s="3"/>
      <c r="B374" s="71"/>
      <c r="C374" s="3"/>
      <c r="D374" s="3"/>
      <c r="E374" s="3"/>
      <c r="F374" s="3"/>
      <c r="G374" s="59">
        <f>H374-DATE(YEAR(H374),1,0)+1</f>
      </c>
      <c r="H374" s="79">
        <f>H373+1</f>
        <v>25569.5</v>
      </c>
      <c r="I374" s="80">
        <f>HLOOKUP($H$4,'Met Data'!$A$2:$F$368,G374,FALSE)</f>
      </c>
      <c r="J374" s="80">
        <f>HLOOKUP($H$4,'Met Data'!$H$2:$M$368,G374,FALSE)*L374</f>
      </c>
      <c r="K374" s="81">
        <f>HLOOKUP($H$4,'Met Data'!$O$2:$T$368,G374,FALSE)</f>
      </c>
      <c r="L374" s="7">
        <f>IF(H374&lt;$B$31,$J$3,$J$4)</f>
      </c>
      <c r="M374" s="3"/>
      <c r="N374" s="82">
        <f>IF(P374&lt;$P$3,TRUE,FALSE)</f>
      </c>
      <c r="O374" s="82">
        <f>AND(IF(P374&gt;($P$2-1),TRUE,FALSE),IF(P374&lt;($P$3+1),TRUE,FALSE))</f>
      </c>
      <c r="P374" s="83" t="s">
        <v>374</v>
      </c>
      <c r="Q374" s="13" t="s">
        <v>374</v>
      </c>
      <c r="R374" s="13" t="s">
        <v>374</v>
      </c>
      <c r="S374" s="13" t="s">
        <v>374</v>
      </c>
      <c r="T374" s="13" t="s">
        <v>374</v>
      </c>
      <c r="U374" s="12" t="s">
        <v>374</v>
      </c>
      <c r="V374" s="13" t="s">
        <v>374</v>
      </c>
      <c r="W374" s="13" t="s">
        <v>374</v>
      </c>
      <c r="X374" s="12" t="s">
        <v>374</v>
      </c>
      <c r="Y374" s="13" t="s">
        <v>374</v>
      </c>
      <c r="Z374" s="12" t="s">
        <v>374</v>
      </c>
      <c r="AA374" s="12" t="s">
        <v>374</v>
      </c>
      <c r="AB374" s="13" t="s">
        <v>374</v>
      </c>
      <c r="AC374" s="42"/>
      <c r="AD374" s="83">
        <f>IFERROR(P374,$AD$4)</f>
        <v>25569.5</v>
      </c>
      <c r="AE374" s="7">
        <f>IFERROR(U374,0)</f>
      </c>
      <c r="AF374" s="3"/>
      <c r="AG374" s="105">
        <f>Q373+S374+T374+U374</f>
      </c>
      <c r="AH374" s="105">
        <f>Q374+R374+X374</f>
      </c>
      <c r="AI374" s="60">
        <f>AH374-AG374</f>
      </c>
      <c r="AJ374" s="3"/>
      <c r="AK374" s="3"/>
    </row>
    <row x14ac:dyDescent="0.25" r="375" customHeight="1" ht="18.75">
      <c r="A375" s="3"/>
      <c r="B375" s="71"/>
      <c r="C375" s="3"/>
      <c r="D375" s="3"/>
      <c r="E375" s="3"/>
      <c r="F375" s="3"/>
      <c r="G375" s="59">
        <f>H375-DATE(YEAR(H375),1,0)+1</f>
      </c>
      <c r="H375" s="79">
        <f>H374+1</f>
        <v>25569.5</v>
      </c>
      <c r="I375" s="80">
        <f>HLOOKUP($H$4,'Met Data'!$A$2:$F$368,G375,FALSE)</f>
      </c>
      <c r="J375" s="80">
        <f>HLOOKUP($H$4,'Met Data'!$H$2:$M$368,G375,FALSE)*L375</f>
      </c>
      <c r="K375" s="81">
        <f>HLOOKUP($H$4,'Met Data'!$O$2:$T$368,G375,FALSE)</f>
      </c>
      <c r="L375" s="7">
        <f>IF(H375&lt;$B$31,$J$3,$J$4)</f>
      </c>
      <c r="M375" s="3"/>
      <c r="N375" s="82">
        <f>IF(P375&lt;$P$3,TRUE,FALSE)</f>
      </c>
      <c r="O375" s="82">
        <f>AND(IF(P375&gt;($P$2-1),TRUE,FALSE),IF(P375&lt;($P$3+1),TRUE,FALSE))</f>
      </c>
      <c r="P375" s="83" t="s">
        <v>374</v>
      </c>
      <c r="Q375" s="13" t="s">
        <v>374</v>
      </c>
      <c r="R375" s="13" t="s">
        <v>374</v>
      </c>
      <c r="S375" s="13" t="s">
        <v>374</v>
      </c>
      <c r="T375" s="13" t="s">
        <v>374</v>
      </c>
      <c r="U375" s="12" t="s">
        <v>374</v>
      </c>
      <c r="V375" s="13" t="s">
        <v>374</v>
      </c>
      <c r="W375" s="13" t="s">
        <v>374</v>
      </c>
      <c r="X375" s="12" t="s">
        <v>374</v>
      </c>
      <c r="Y375" s="13" t="s">
        <v>374</v>
      </c>
      <c r="Z375" s="12" t="s">
        <v>374</v>
      </c>
      <c r="AA375" s="12" t="s">
        <v>374</v>
      </c>
      <c r="AB375" s="13" t="s">
        <v>374</v>
      </c>
      <c r="AC375" s="42"/>
      <c r="AD375" s="83">
        <f>IFERROR(P375,$AD$4)</f>
        <v>25569.5</v>
      </c>
      <c r="AE375" s="7">
        <f>IFERROR(U375,0)</f>
      </c>
      <c r="AF375" s="3"/>
      <c r="AG375" s="105">
        <f>Q374+S375+T375+U375</f>
      </c>
      <c r="AH375" s="105">
        <f>Q375+R375+X375</f>
      </c>
      <c r="AI375" s="60">
        <f>AH375-AG375</f>
      </c>
      <c r="AJ375" s="3"/>
      <c r="AK375" s="3"/>
    </row>
    <row x14ac:dyDescent="0.25" r="376" customHeight="1" ht="18.75">
      <c r="A376" s="3"/>
      <c r="B376" s="71"/>
      <c r="C376" s="3"/>
      <c r="D376" s="3"/>
      <c r="E376" s="3"/>
      <c r="F376" s="3"/>
      <c r="G376" s="59">
        <f>H376-DATE(YEAR(H376),1,0)+1</f>
      </c>
      <c r="H376" s="79">
        <f>H375+1</f>
        <v>25569.5</v>
      </c>
      <c r="I376" s="80">
        <f>HLOOKUP($H$4,'Met Data'!$A$2:$F$368,G376,FALSE)</f>
      </c>
      <c r="J376" s="80">
        <f>HLOOKUP($H$4,'Met Data'!$H$2:$M$368,G376,FALSE)*L376</f>
      </c>
      <c r="K376" s="81">
        <f>HLOOKUP($H$4,'Met Data'!$O$2:$T$368,G376,FALSE)</f>
      </c>
      <c r="L376" s="7">
        <f>IF(H376&lt;$B$31,$J$3,$J$4)</f>
      </c>
      <c r="M376" s="3"/>
      <c r="N376" s="82">
        <f>IF(P376&lt;$P$3,TRUE,FALSE)</f>
      </c>
      <c r="O376" s="82">
        <f>AND(IF(P376&gt;($P$2-1),TRUE,FALSE),IF(P376&lt;($P$3+1),TRUE,FALSE))</f>
      </c>
      <c r="P376" s="83" t="s">
        <v>374</v>
      </c>
      <c r="Q376" s="13" t="s">
        <v>374</v>
      </c>
      <c r="R376" s="13" t="s">
        <v>374</v>
      </c>
      <c r="S376" s="13" t="s">
        <v>374</v>
      </c>
      <c r="T376" s="13" t="s">
        <v>374</v>
      </c>
      <c r="U376" s="12" t="s">
        <v>374</v>
      </c>
      <c r="V376" s="13" t="s">
        <v>374</v>
      </c>
      <c r="W376" s="13" t="s">
        <v>374</v>
      </c>
      <c r="X376" s="12" t="s">
        <v>374</v>
      </c>
      <c r="Y376" s="13" t="s">
        <v>374</v>
      </c>
      <c r="Z376" s="12" t="s">
        <v>374</v>
      </c>
      <c r="AA376" s="12" t="s">
        <v>374</v>
      </c>
      <c r="AB376" s="13" t="s">
        <v>374</v>
      </c>
      <c r="AC376" s="42"/>
      <c r="AD376" s="83">
        <f>IFERROR(P376,$AD$4)</f>
        <v>25569.5</v>
      </c>
      <c r="AE376" s="7">
        <f>IFERROR(U376,0)</f>
      </c>
      <c r="AF376" s="3"/>
      <c r="AG376" s="105">
        <f>Q375+S376+T376+U376</f>
      </c>
      <c r="AH376" s="105">
        <f>Q376+R376+X376</f>
      </c>
      <c r="AI376" s="60">
        <f>AH376-AG376</f>
      </c>
      <c r="AJ376" s="3"/>
      <c r="AK376" s="3"/>
    </row>
    <row x14ac:dyDescent="0.25" r="377" customHeight="1" ht="18.75">
      <c r="A377" s="3"/>
      <c r="B377" s="71"/>
      <c r="C377" s="3"/>
      <c r="D377" s="3"/>
      <c r="E377" s="3"/>
      <c r="F377" s="3"/>
      <c r="G377" s="59">
        <f>H377-DATE(YEAR(H377),1,0)+1</f>
      </c>
      <c r="H377" s="79">
        <f>H376+1</f>
        <v>25569.5</v>
      </c>
      <c r="I377" s="80">
        <f>HLOOKUP($H$4,'Met Data'!$A$2:$F$368,G377,FALSE)</f>
      </c>
      <c r="J377" s="80">
        <f>HLOOKUP($H$4,'Met Data'!$H$2:$M$368,G377,FALSE)*L377</f>
      </c>
      <c r="K377" s="81">
        <f>HLOOKUP($H$4,'Met Data'!$O$2:$T$368,G377,FALSE)</f>
      </c>
      <c r="L377" s="7">
        <f>IF(H377&lt;$B$31,$J$3,$J$4)</f>
      </c>
      <c r="M377" s="3"/>
      <c r="N377" s="82">
        <f>IF(P377&lt;$P$3,TRUE,FALSE)</f>
      </c>
      <c r="O377" s="82">
        <f>AND(IF(P377&gt;($P$2-1),TRUE,FALSE),IF(P377&lt;($P$3+1),TRUE,FALSE))</f>
      </c>
      <c r="P377" s="83" t="s">
        <v>374</v>
      </c>
      <c r="Q377" s="13" t="s">
        <v>374</v>
      </c>
      <c r="R377" s="13" t="s">
        <v>374</v>
      </c>
      <c r="S377" s="13" t="s">
        <v>374</v>
      </c>
      <c r="T377" s="13" t="s">
        <v>374</v>
      </c>
      <c r="U377" s="12" t="s">
        <v>374</v>
      </c>
      <c r="V377" s="13" t="s">
        <v>374</v>
      </c>
      <c r="W377" s="13" t="s">
        <v>374</v>
      </c>
      <c r="X377" s="12" t="s">
        <v>374</v>
      </c>
      <c r="Y377" s="13" t="s">
        <v>374</v>
      </c>
      <c r="Z377" s="12" t="s">
        <v>374</v>
      </c>
      <c r="AA377" s="12" t="s">
        <v>374</v>
      </c>
      <c r="AB377" s="13" t="s">
        <v>374</v>
      </c>
      <c r="AC377" s="42"/>
      <c r="AD377" s="83">
        <f>IFERROR(P377,$AD$4)</f>
        <v>25569.5</v>
      </c>
      <c r="AE377" s="7">
        <f>IFERROR(U377,0)</f>
      </c>
      <c r="AF377" s="3"/>
      <c r="AG377" s="105">
        <f>Q376+S377+T377+U377</f>
      </c>
      <c r="AH377" s="105">
        <f>Q377+R377+X377</f>
      </c>
      <c r="AI377" s="60">
        <f>AH377-AG377</f>
      </c>
      <c r="AJ377" s="3"/>
      <c r="AK377" s="3"/>
    </row>
    <row x14ac:dyDescent="0.25" r="378" customHeight="1" ht="18.75">
      <c r="A378" s="3"/>
      <c r="B378" s="71"/>
      <c r="C378" s="3"/>
      <c r="D378" s="3"/>
      <c r="E378" s="3"/>
      <c r="F378" s="3"/>
      <c r="G378" s="59">
        <f>H378-DATE(YEAR(H378),1,0)+1</f>
      </c>
      <c r="H378" s="79">
        <f>H377+1</f>
        <v>25569.5</v>
      </c>
      <c r="I378" s="80">
        <f>HLOOKUP($H$4,'Met Data'!$A$2:$F$368,G378,FALSE)</f>
      </c>
      <c r="J378" s="80">
        <f>HLOOKUP($H$4,'Met Data'!$H$2:$M$368,G378,FALSE)*L378</f>
      </c>
      <c r="K378" s="81">
        <f>HLOOKUP($H$4,'Met Data'!$O$2:$T$368,G378,FALSE)</f>
      </c>
      <c r="L378" s="7">
        <f>IF(H378&lt;$B$31,$J$3,$J$4)</f>
      </c>
      <c r="M378" s="3"/>
      <c r="N378" s="82">
        <f>IF(P378&lt;$P$3,TRUE,FALSE)</f>
      </c>
      <c r="O378" s="82">
        <f>AND(IF(P378&gt;($P$2-1),TRUE,FALSE),IF(P378&lt;($P$3+1),TRUE,FALSE))</f>
      </c>
      <c r="P378" s="83" t="s">
        <v>374</v>
      </c>
      <c r="Q378" s="13" t="s">
        <v>374</v>
      </c>
      <c r="R378" s="13" t="s">
        <v>374</v>
      </c>
      <c r="S378" s="13" t="s">
        <v>374</v>
      </c>
      <c r="T378" s="13" t="s">
        <v>374</v>
      </c>
      <c r="U378" s="12" t="s">
        <v>374</v>
      </c>
      <c r="V378" s="13" t="s">
        <v>374</v>
      </c>
      <c r="W378" s="13" t="s">
        <v>374</v>
      </c>
      <c r="X378" s="12" t="s">
        <v>374</v>
      </c>
      <c r="Y378" s="13" t="s">
        <v>374</v>
      </c>
      <c r="Z378" s="12" t="s">
        <v>374</v>
      </c>
      <c r="AA378" s="12" t="s">
        <v>374</v>
      </c>
      <c r="AB378" s="13" t="s">
        <v>374</v>
      </c>
      <c r="AC378" s="42"/>
      <c r="AD378" s="83">
        <f>IFERROR(P378,$AD$4)</f>
        <v>25569.5</v>
      </c>
      <c r="AE378" s="7">
        <f>IFERROR(U378,0)</f>
      </c>
      <c r="AF378" s="3"/>
      <c r="AG378" s="105">
        <f>Q377+S378+T378+U378</f>
      </c>
      <c r="AH378" s="105">
        <f>Q378+R378+X378</f>
      </c>
      <c r="AI378" s="60">
        <f>AH378-AG378</f>
      </c>
      <c r="AJ378" s="3"/>
      <c r="AK378" s="3"/>
    </row>
    <row x14ac:dyDescent="0.25" r="379" customHeight="1" ht="18.75">
      <c r="A379" s="3"/>
      <c r="B379" s="71"/>
      <c r="C379" s="3"/>
      <c r="D379" s="3"/>
      <c r="E379" s="3"/>
      <c r="F379" s="3"/>
      <c r="G379" s="59">
        <f>H379-DATE(YEAR(H379),1,0)+1</f>
      </c>
      <c r="H379" s="79">
        <f>H378+1</f>
        <v>25569.5</v>
      </c>
      <c r="I379" s="80">
        <f>HLOOKUP($H$4,'Met Data'!$A$2:$F$368,G379,FALSE)</f>
      </c>
      <c r="J379" s="80">
        <f>HLOOKUP($H$4,'Met Data'!$H$2:$M$368,G379,FALSE)*L379</f>
      </c>
      <c r="K379" s="81">
        <f>HLOOKUP($H$4,'Met Data'!$O$2:$T$368,G379,FALSE)</f>
      </c>
      <c r="L379" s="7">
        <f>IF(H379&lt;$B$31,$J$3,$J$4)</f>
      </c>
      <c r="M379" s="3"/>
      <c r="N379" s="82">
        <f>IF(P379&lt;$P$3,TRUE,FALSE)</f>
      </c>
      <c r="O379" s="82">
        <f>AND(IF(P379&gt;($P$2-1),TRUE,FALSE),IF(P379&lt;($P$3+1),TRUE,FALSE))</f>
      </c>
      <c r="P379" s="83" t="s">
        <v>374</v>
      </c>
      <c r="Q379" s="13" t="s">
        <v>374</v>
      </c>
      <c r="R379" s="13" t="s">
        <v>374</v>
      </c>
      <c r="S379" s="13" t="s">
        <v>374</v>
      </c>
      <c r="T379" s="13" t="s">
        <v>374</v>
      </c>
      <c r="U379" s="12" t="s">
        <v>374</v>
      </c>
      <c r="V379" s="13" t="s">
        <v>374</v>
      </c>
      <c r="W379" s="13" t="s">
        <v>374</v>
      </c>
      <c r="X379" s="12" t="s">
        <v>374</v>
      </c>
      <c r="Y379" s="13" t="s">
        <v>374</v>
      </c>
      <c r="Z379" s="12" t="s">
        <v>374</v>
      </c>
      <c r="AA379" s="12" t="s">
        <v>374</v>
      </c>
      <c r="AB379" s="13" t="s">
        <v>374</v>
      </c>
      <c r="AC379" s="42"/>
      <c r="AD379" s="83">
        <f>IFERROR(P379,$AD$4)</f>
        <v>25569.5</v>
      </c>
      <c r="AE379" s="7">
        <f>IFERROR(U379,0)</f>
      </c>
      <c r="AF379" s="3"/>
      <c r="AG379" s="105">
        <f>Q378+S379+T379+U379</f>
      </c>
      <c r="AH379" s="105">
        <f>Q379+R379+X379</f>
      </c>
      <c r="AI379" s="60">
        <f>AH379-AG379</f>
      </c>
      <c r="AJ379" s="3"/>
      <c r="AK379" s="3"/>
    </row>
    <row x14ac:dyDescent="0.25" r="380" customHeight="1" ht="18.75">
      <c r="A380" s="3"/>
      <c r="B380" s="71"/>
      <c r="C380" s="3"/>
      <c r="D380" s="3"/>
      <c r="E380" s="3"/>
      <c r="F380" s="3"/>
      <c r="G380" s="59">
        <f>H380-DATE(YEAR(H380),1,0)+1</f>
      </c>
      <c r="H380" s="79">
        <f>H379+1</f>
        <v>25569.5</v>
      </c>
      <c r="I380" s="80">
        <f>HLOOKUP($H$4,'Met Data'!$A$2:$F$368,G380,FALSE)</f>
      </c>
      <c r="J380" s="80">
        <f>HLOOKUP($H$4,'Met Data'!$H$2:$M$368,G380,FALSE)*L380</f>
      </c>
      <c r="K380" s="81">
        <f>HLOOKUP($H$4,'Met Data'!$O$2:$T$368,G380,FALSE)</f>
      </c>
      <c r="L380" s="7">
        <f>IF(H380&lt;$B$31,$J$3,$J$4)</f>
      </c>
      <c r="M380" s="3"/>
      <c r="N380" s="82">
        <f>IF(P380&lt;$P$3,TRUE,FALSE)</f>
      </c>
      <c r="O380" s="82">
        <f>AND(IF(P380&gt;($P$2-1),TRUE,FALSE),IF(P380&lt;($P$3+1),TRUE,FALSE))</f>
      </c>
      <c r="P380" s="83" t="s">
        <v>374</v>
      </c>
      <c r="Q380" s="13" t="s">
        <v>374</v>
      </c>
      <c r="R380" s="13" t="s">
        <v>374</v>
      </c>
      <c r="S380" s="13" t="s">
        <v>374</v>
      </c>
      <c r="T380" s="13" t="s">
        <v>374</v>
      </c>
      <c r="U380" s="12" t="s">
        <v>374</v>
      </c>
      <c r="V380" s="13" t="s">
        <v>374</v>
      </c>
      <c r="W380" s="13" t="s">
        <v>374</v>
      </c>
      <c r="X380" s="12" t="s">
        <v>374</v>
      </c>
      <c r="Y380" s="13" t="s">
        <v>374</v>
      </c>
      <c r="Z380" s="12" t="s">
        <v>374</v>
      </c>
      <c r="AA380" s="12" t="s">
        <v>374</v>
      </c>
      <c r="AB380" s="13" t="s">
        <v>374</v>
      </c>
      <c r="AC380" s="42"/>
      <c r="AD380" s="83">
        <f>IFERROR(P380,$AD$4)</f>
        <v>25569.5</v>
      </c>
      <c r="AE380" s="7">
        <f>IFERROR(U380,0)</f>
      </c>
      <c r="AF380" s="3"/>
      <c r="AG380" s="105">
        <f>Q379+S380+T380+U380</f>
      </c>
      <c r="AH380" s="105">
        <f>Q380+R380+X380</f>
      </c>
      <c r="AI380" s="60">
        <f>AH380-AG380</f>
      </c>
      <c r="AJ380" s="3"/>
      <c r="AK380" s="3"/>
    </row>
    <row x14ac:dyDescent="0.25" r="381" customHeight="1" ht="18.75">
      <c r="A381" s="3"/>
      <c r="B381" s="71"/>
      <c r="C381" s="3"/>
      <c r="D381" s="3"/>
      <c r="E381" s="3"/>
      <c r="F381" s="3"/>
      <c r="G381" s="59">
        <f>H381-DATE(YEAR(H381),1,0)+1</f>
      </c>
      <c r="H381" s="79">
        <f>H380+1</f>
        <v>25569.5</v>
      </c>
      <c r="I381" s="80">
        <f>HLOOKUP($H$4,'Met Data'!$A$2:$F$368,G381,FALSE)</f>
      </c>
      <c r="J381" s="80">
        <f>HLOOKUP($H$4,'Met Data'!$H$2:$M$368,G381,FALSE)*L381</f>
      </c>
      <c r="K381" s="81">
        <f>HLOOKUP($H$4,'Met Data'!$O$2:$T$368,G381,FALSE)</f>
      </c>
      <c r="L381" s="7">
        <f>IF(H381&lt;$B$31,$J$3,$J$4)</f>
      </c>
      <c r="M381" s="3"/>
      <c r="N381" s="82">
        <f>IF(P381&lt;$P$3,TRUE,FALSE)</f>
      </c>
      <c r="O381" s="82">
        <f>AND(IF(P381&gt;($P$2-1),TRUE,FALSE),IF(P381&lt;($P$3+1),TRUE,FALSE))</f>
      </c>
      <c r="P381" s="83" t="s">
        <v>374</v>
      </c>
      <c r="Q381" s="13" t="s">
        <v>374</v>
      </c>
      <c r="R381" s="13" t="s">
        <v>374</v>
      </c>
      <c r="S381" s="13" t="s">
        <v>374</v>
      </c>
      <c r="T381" s="13" t="s">
        <v>374</v>
      </c>
      <c r="U381" s="12" t="s">
        <v>374</v>
      </c>
      <c r="V381" s="13" t="s">
        <v>374</v>
      </c>
      <c r="W381" s="13" t="s">
        <v>374</v>
      </c>
      <c r="X381" s="12" t="s">
        <v>374</v>
      </c>
      <c r="Y381" s="13" t="s">
        <v>374</v>
      </c>
      <c r="Z381" s="12" t="s">
        <v>374</v>
      </c>
      <c r="AA381" s="12" t="s">
        <v>374</v>
      </c>
      <c r="AB381" s="13" t="s">
        <v>374</v>
      </c>
      <c r="AC381" s="42"/>
      <c r="AD381" s="83">
        <f>IFERROR(P381,$AD$4)</f>
        <v>25569.5</v>
      </c>
      <c r="AE381" s="7">
        <f>IFERROR(U381,0)</f>
      </c>
      <c r="AF381" s="3"/>
      <c r="AG381" s="105">
        <f>Q380+S381+T381+U381</f>
      </c>
      <c r="AH381" s="105">
        <f>Q381+R381+X381</f>
      </c>
      <c r="AI381" s="60">
        <f>AH381-AG381</f>
      </c>
      <c r="AJ381" s="3"/>
      <c r="AK381" s="3"/>
    </row>
    <row x14ac:dyDescent="0.25" r="382" customHeight="1" ht="18.75">
      <c r="A382" s="3"/>
      <c r="B382" s="71"/>
      <c r="C382" s="3"/>
      <c r="D382" s="3"/>
      <c r="E382" s="3"/>
      <c r="F382" s="3"/>
      <c r="G382" s="59">
        <f>H382-DATE(YEAR(H382),1,0)+1</f>
      </c>
      <c r="H382" s="79">
        <f>H381+1</f>
        <v>25569.5</v>
      </c>
      <c r="I382" s="80">
        <f>HLOOKUP($H$4,'Met Data'!$A$2:$F$368,G382,FALSE)</f>
      </c>
      <c r="J382" s="80">
        <f>HLOOKUP($H$4,'Met Data'!$H$2:$M$368,G382,FALSE)*L382</f>
      </c>
      <c r="K382" s="81">
        <f>HLOOKUP($H$4,'Met Data'!$O$2:$T$368,G382,FALSE)</f>
      </c>
      <c r="L382" s="7">
        <f>IF(H382&lt;$B$31,$J$3,$J$4)</f>
      </c>
      <c r="M382" s="3"/>
      <c r="N382" s="82">
        <f>IF(P382&lt;$P$3,TRUE,FALSE)</f>
      </c>
      <c r="O382" s="82">
        <f>AND(IF(P382&gt;($P$2-1),TRUE,FALSE),IF(P382&lt;($P$3+1),TRUE,FALSE))</f>
      </c>
      <c r="P382" s="83" t="s">
        <v>374</v>
      </c>
      <c r="Q382" s="13" t="s">
        <v>374</v>
      </c>
      <c r="R382" s="13" t="s">
        <v>374</v>
      </c>
      <c r="S382" s="13" t="s">
        <v>374</v>
      </c>
      <c r="T382" s="13" t="s">
        <v>374</v>
      </c>
      <c r="U382" s="12" t="s">
        <v>374</v>
      </c>
      <c r="V382" s="13" t="s">
        <v>374</v>
      </c>
      <c r="W382" s="13" t="s">
        <v>374</v>
      </c>
      <c r="X382" s="12" t="s">
        <v>374</v>
      </c>
      <c r="Y382" s="13" t="s">
        <v>374</v>
      </c>
      <c r="Z382" s="12" t="s">
        <v>374</v>
      </c>
      <c r="AA382" s="12" t="s">
        <v>374</v>
      </c>
      <c r="AB382" s="13" t="s">
        <v>374</v>
      </c>
      <c r="AC382" s="42"/>
      <c r="AD382" s="83">
        <f>IFERROR(P382,$AD$4)</f>
        <v>25569.5</v>
      </c>
      <c r="AE382" s="7">
        <f>IFERROR(U382,0)</f>
      </c>
      <c r="AF382" s="3"/>
      <c r="AG382" s="105">
        <f>Q381+S382+T382+U382</f>
      </c>
      <c r="AH382" s="105">
        <f>Q382+R382+X382</f>
      </c>
      <c r="AI382" s="60">
        <f>AH382-AG382</f>
      </c>
      <c r="AJ382" s="3"/>
      <c r="AK382" s="3"/>
    </row>
    <row x14ac:dyDescent="0.25" r="383" customHeight="1" ht="18.75">
      <c r="A383" s="3"/>
      <c r="B383" s="71"/>
      <c r="C383" s="3"/>
      <c r="D383" s="3"/>
      <c r="E383" s="3"/>
      <c r="F383" s="3"/>
      <c r="G383" s="59">
        <f>H383-DATE(YEAR(H383),1,0)+1</f>
      </c>
      <c r="H383" s="79">
        <f>H382+1</f>
        <v>25569.5</v>
      </c>
      <c r="I383" s="80">
        <f>HLOOKUP($H$4,'Met Data'!$A$2:$F$368,G383,FALSE)</f>
      </c>
      <c r="J383" s="80">
        <f>HLOOKUP($H$4,'Met Data'!$H$2:$M$368,G383,FALSE)*L383</f>
      </c>
      <c r="K383" s="81">
        <f>HLOOKUP($H$4,'Met Data'!$O$2:$T$368,G383,FALSE)</f>
      </c>
      <c r="L383" s="7">
        <f>IF(H383&lt;$B$31,$J$3,$J$4)</f>
      </c>
      <c r="M383" s="3"/>
      <c r="N383" s="82">
        <f>IF(P383&lt;$P$3,TRUE,FALSE)</f>
      </c>
      <c r="O383" s="82">
        <f>AND(IF(P383&gt;($P$2-1),TRUE,FALSE),IF(P383&lt;($P$3+1),TRUE,FALSE))</f>
      </c>
      <c r="P383" s="83" t="s">
        <v>374</v>
      </c>
      <c r="Q383" s="13" t="s">
        <v>374</v>
      </c>
      <c r="R383" s="13" t="s">
        <v>374</v>
      </c>
      <c r="S383" s="13" t="s">
        <v>374</v>
      </c>
      <c r="T383" s="13" t="s">
        <v>374</v>
      </c>
      <c r="U383" s="12" t="s">
        <v>374</v>
      </c>
      <c r="V383" s="13" t="s">
        <v>374</v>
      </c>
      <c r="W383" s="13" t="s">
        <v>374</v>
      </c>
      <c r="X383" s="12" t="s">
        <v>374</v>
      </c>
      <c r="Y383" s="13" t="s">
        <v>374</v>
      </c>
      <c r="Z383" s="12" t="s">
        <v>374</v>
      </c>
      <c r="AA383" s="12" t="s">
        <v>374</v>
      </c>
      <c r="AB383" s="13" t="s">
        <v>374</v>
      </c>
      <c r="AC383" s="42"/>
      <c r="AD383" s="83">
        <f>IFERROR(P383,$AD$4)</f>
        <v>25569.5</v>
      </c>
      <c r="AE383" s="7">
        <f>IFERROR(U383,0)</f>
      </c>
      <c r="AF383" s="3"/>
      <c r="AG383" s="105">
        <f>Q382+S383+T383+U383</f>
      </c>
      <c r="AH383" s="105">
        <f>Q383+R383+X383</f>
      </c>
      <c r="AI383" s="60">
        <f>AH383-AG383</f>
      </c>
      <c r="AJ383" s="3"/>
      <c r="AK383" s="3"/>
    </row>
    <row x14ac:dyDescent="0.25" r="384" customHeight="1" ht="18.75">
      <c r="A384" s="3"/>
      <c r="B384" s="71"/>
      <c r="C384" s="3"/>
      <c r="D384" s="3"/>
      <c r="E384" s="3"/>
      <c r="F384" s="3"/>
      <c r="G384" s="59">
        <f>H384-DATE(YEAR(H384),1,0)+1</f>
      </c>
      <c r="H384" s="79">
        <f>H383+1</f>
        <v>25569.5</v>
      </c>
      <c r="I384" s="80">
        <f>HLOOKUP($H$4,'Met Data'!$A$2:$F$368,G384,FALSE)</f>
      </c>
      <c r="J384" s="80">
        <f>HLOOKUP($H$4,'Met Data'!$H$2:$M$368,G384,FALSE)*L384</f>
      </c>
      <c r="K384" s="81">
        <f>HLOOKUP($H$4,'Met Data'!$O$2:$T$368,G384,FALSE)</f>
      </c>
      <c r="L384" s="7">
        <f>IF(H384&lt;$B$31,$J$3,$J$4)</f>
      </c>
      <c r="M384" s="3"/>
      <c r="N384" s="82">
        <f>IF(P384&lt;$P$3,TRUE,FALSE)</f>
      </c>
      <c r="O384" s="82">
        <f>AND(IF(P384&gt;($P$2-1),TRUE,FALSE),IF(P384&lt;($P$3+1),TRUE,FALSE))</f>
      </c>
      <c r="P384" s="83" t="s">
        <v>374</v>
      </c>
      <c r="Q384" s="13" t="s">
        <v>374</v>
      </c>
      <c r="R384" s="13" t="s">
        <v>374</v>
      </c>
      <c r="S384" s="13" t="s">
        <v>374</v>
      </c>
      <c r="T384" s="13" t="s">
        <v>374</v>
      </c>
      <c r="U384" s="12" t="s">
        <v>374</v>
      </c>
      <c r="V384" s="13" t="s">
        <v>374</v>
      </c>
      <c r="W384" s="13" t="s">
        <v>374</v>
      </c>
      <c r="X384" s="12" t="s">
        <v>374</v>
      </c>
      <c r="Y384" s="13" t="s">
        <v>374</v>
      </c>
      <c r="Z384" s="12" t="s">
        <v>374</v>
      </c>
      <c r="AA384" s="12" t="s">
        <v>374</v>
      </c>
      <c r="AB384" s="13" t="s">
        <v>374</v>
      </c>
      <c r="AC384" s="42"/>
      <c r="AD384" s="83">
        <f>IFERROR(P384,$AD$4)</f>
        <v>25569.5</v>
      </c>
      <c r="AE384" s="7">
        <f>IFERROR(U384,0)</f>
      </c>
      <c r="AF384" s="3"/>
      <c r="AG384" s="105">
        <f>Q383+S384+T384+U384</f>
      </c>
      <c r="AH384" s="105">
        <f>Q384+R384+X384</f>
      </c>
      <c r="AI384" s="60">
        <f>AH384-AG384</f>
      </c>
      <c r="AJ384" s="3"/>
      <c r="AK384" s="3"/>
    </row>
    <row x14ac:dyDescent="0.25" r="385" customHeight="1" ht="18.75">
      <c r="A385" s="3"/>
      <c r="B385" s="71"/>
      <c r="C385" s="3"/>
      <c r="D385" s="3"/>
      <c r="E385" s="3"/>
      <c r="F385" s="3"/>
      <c r="G385" s="59">
        <f>H385-DATE(YEAR(H385),1,0)+1</f>
      </c>
      <c r="H385" s="79">
        <f>H384+1</f>
        <v>25569.5</v>
      </c>
      <c r="I385" s="80">
        <f>HLOOKUP($H$4,'Met Data'!$A$2:$F$368,G385,FALSE)</f>
      </c>
      <c r="J385" s="80">
        <f>HLOOKUP($H$4,'Met Data'!$H$2:$M$368,G385,FALSE)*L385</f>
      </c>
      <c r="K385" s="81">
        <f>HLOOKUP($H$4,'Met Data'!$O$2:$T$368,G385,FALSE)</f>
      </c>
      <c r="L385" s="7">
        <f>IF(H385&lt;$B$31,$J$3,$J$4)</f>
      </c>
      <c r="M385" s="3"/>
      <c r="N385" s="82">
        <f>IF(P385&lt;$P$3,TRUE,FALSE)</f>
      </c>
      <c r="O385" s="82">
        <f>AND(IF(P385&gt;($P$2-1),TRUE,FALSE),IF(P385&lt;($P$3+1),TRUE,FALSE))</f>
      </c>
      <c r="P385" s="83" t="s">
        <v>374</v>
      </c>
      <c r="Q385" s="13" t="s">
        <v>374</v>
      </c>
      <c r="R385" s="13" t="s">
        <v>374</v>
      </c>
      <c r="S385" s="13" t="s">
        <v>374</v>
      </c>
      <c r="T385" s="13" t="s">
        <v>374</v>
      </c>
      <c r="U385" s="12" t="s">
        <v>374</v>
      </c>
      <c r="V385" s="13" t="s">
        <v>374</v>
      </c>
      <c r="W385" s="13" t="s">
        <v>374</v>
      </c>
      <c r="X385" s="12" t="s">
        <v>374</v>
      </c>
      <c r="Y385" s="13" t="s">
        <v>374</v>
      </c>
      <c r="Z385" s="12" t="s">
        <v>374</v>
      </c>
      <c r="AA385" s="12" t="s">
        <v>374</v>
      </c>
      <c r="AB385" s="13" t="s">
        <v>374</v>
      </c>
      <c r="AC385" s="42"/>
      <c r="AD385" s="83">
        <f>IFERROR(P385,$AD$4)</f>
        <v>25569.5</v>
      </c>
      <c r="AE385" s="7">
        <f>IFERROR(U385,0)</f>
      </c>
      <c r="AF385" s="3"/>
      <c r="AG385" s="105">
        <f>Q384+S385+T385+U385</f>
      </c>
      <c r="AH385" s="105">
        <f>Q385+R385+X385</f>
      </c>
      <c r="AI385" s="60">
        <f>AH385-AG385</f>
      </c>
      <c r="AJ385" s="3"/>
      <c r="AK385" s="3"/>
    </row>
    <row x14ac:dyDescent="0.25" r="386" customHeight="1" ht="18.75">
      <c r="A386" s="3"/>
      <c r="B386" s="71"/>
      <c r="C386" s="3"/>
      <c r="D386" s="3"/>
      <c r="E386" s="3"/>
      <c r="F386" s="3"/>
      <c r="G386" s="59">
        <f>H386-DATE(YEAR(H386),1,0)+1</f>
      </c>
      <c r="H386" s="79">
        <f>H385+1</f>
        <v>25569.5</v>
      </c>
      <c r="I386" s="80">
        <f>HLOOKUP($H$4,'Met Data'!$A$2:$F$368,G386,FALSE)</f>
      </c>
      <c r="J386" s="80">
        <f>HLOOKUP($H$4,'Met Data'!$H$2:$M$368,G386,FALSE)*L386</f>
      </c>
      <c r="K386" s="81">
        <f>HLOOKUP($H$4,'Met Data'!$O$2:$T$368,G386,FALSE)</f>
      </c>
      <c r="L386" s="7">
        <f>IF(H386&lt;$B$31,$J$3,$J$4)</f>
      </c>
      <c r="M386" s="3"/>
      <c r="N386" s="82">
        <f>IF(P386&lt;$P$3,TRUE,FALSE)</f>
      </c>
      <c r="O386" s="82">
        <f>AND(IF(P386&gt;($P$2-1),TRUE,FALSE),IF(P386&lt;($P$3+1),TRUE,FALSE))</f>
      </c>
      <c r="P386" s="83" t="s">
        <v>374</v>
      </c>
      <c r="Q386" s="13" t="s">
        <v>374</v>
      </c>
      <c r="R386" s="13" t="s">
        <v>374</v>
      </c>
      <c r="S386" s="13" t="s">
        <v>374</v>
      </c>
      <c r="T386" s="13" t="s">
        <v>374</v>
      </c>
      <c r="U386" s="12" t="s">
        <v>374</v>
      </c>
      <c r="V386" s="13" t="s">
        <v>374</v>
      </c>
      <c r="W386" s="13" t="s">
        <v>374</v>
      </c>
      <c r="X386" s="12" t="s">
        <v>374</v>
      </c>
      <c r="Y386" s="13" t="s">
        <v>374</v>
      </c>
      <c r="Z386" s="12" t="s">
        <v>374</v>
      </c>
      <c r="AA386" s="12" t="s">
        <v>374</v>
      </c>
      <c r="AB386" s="13" t="s">
        <v>374</v>
      </c>
      <c r="AC386" s="42"/>
      <c r="AD386" s="83">
        <f>IFERROR(P386,$AD$4)</f>
        <v>25569.5</v>
      </c>
      <c r="AE386" s="7">
        <f>IFERROR(U386,0)</f>
      </c>
      <c r="AF386" s="3"/>
      <c r="AG386" s="105">
        <f>Q385+S386+T386+U386</f>
      </c>
      <c r="AH386" s="105">
        <f>Q386+R386+X386</f>
      </c>
      <c r="AI386" s="60">
        <f>AH386-AG386</f>
      </c>
      <c r="AJ386" s="3"/>
      <c r="AK386" s="3"/>
    </row>
    <row x14ac:dyDescent="0.25" r="387" customHeight="1" ht="18.75">
      <c r="A387" s="3"/>
      <c r="B387" s="71"/>
      <c r="C387" s="3"/>
      <c r="D387" s="3"/>
      <c r="E387" s="3"/>
      <c r="F387" s="3"/>
      <c r="G387" s="59">
        <f>H387-DATE(YEAR(H387),1,0)+1</f>
      </c>
      <c r="H387" s="79">
        <f>H386+1</f>
        <v>25569.5</v>
      </c>
      <c r="I387" s="80">
        <f>HLOOKUP($H$4,'Met Data'!$A$2:$F$368,G387,FALSE)</f>
      </c>
      <c r="J387" s="80">
        <f>HLOOKUP($H$4,'Met Data'!$H$2:$M$368,G387,FALSE)*L387</f>
      </c>
      <c r="K387" s="81">
        <f>HLOOKUP($H$4,'Met Data'!$O$2:$T$368,G387,FALSE)</f>
      </c>
      <c r="L387" s="7">
        <f>IF(H387&lt;$B$31,$J$3,$J$4)</f>
      </c>
      <c r="M387" s="3"/>
      <c r="N387" s="82">
        <f>IF(P387&lt;$P$3,TRUE,FALSE)</f>
      </c>
      <c r="O387" s="82">
        <f>AND(IF(P387&gt;($P$2-1),TRUE,FALSE),IF(P387&lt;($P$3+1),TRUE,FALSE))</f>
      </c>
      <c r="P387" s="83" t="s">
        <v>374</v>
      </c>
      <c r="Q387" s="13" t="s">
        <v>374</v>
      </c>
      <c r="R387" s="13" t="s">
        <v>374</v>
      </c>
      <c r="S387" s="13" t="s">
        <v>374</v>
      </c>
      <c r="T387" s="13" t="s">
        <v>374</v>
      </c>
      <c r="U387" s="12" t="s">
        <v>374</v>
      </c>
      <c r="V387" s="13" t="s">
        <v>374</v>
      </c>
      <c r="W387" s="13" t="s">
        <v>374</v>
      </c>
      <c r="X387" s="12" t="s">
        <v>374</v>
      </c>
      <c r="Y387" s="13" t="s">
        <v>374</v>
      </c>
      <c r="Z387" s="12" t="s">
        <v>374</v>
      </c>
      <c r="AA387" s="12" t="s">
        <v>374</v>
      </c>
      <c r="AB387" s="13" t="s">
        <v>374</v>
      </c>
      <c r="AC387" s="42"/>
      <c r="AD387" s="83">
        <f>IFERROR(P387,$AD$4)</f>
        <v>25569.5</v>
      </c>
      <c r="AE387" s="7">
        <f>IFERROR(U387,0)</f>
      </c>
      <c r="AF387" s="3"/>
      <c r="AG387" s="105">
        <f>Q386+S387+T387+U387</f>
      </c>
      <c r="AH387" s="105">
        <f>Q387+R387+X387</f>
      </c>
      <c r="AI387" s="60">
        <f>AH387-AG387</f>
      </c>
      <c r="AJ387" s="3"/>
      <c r="AK387" s="3"/>
    </row>
    <row x14ac:dyDescent="0.25" r="388" customHeight="1" ht="18.75">
      <c r="A388" s="3"/>
      <c r="B388" s="71"/>
      <c r="C388" s="3"/>
      <c r="D388" s="3"/>
      <c r="E388" s="3"/>
      <c r="F388" s="3"/>
      <c r="G388" s="59">
        <f>H388-DATE(YEAR(H388),1,0)+1</f>
      </c>
      <c r="H388" s="79">
        <f>H387+1</f>
        <v>25569.5</v>
      </c>
      <c r="I388" s="80">
        <f>HLOOKUP($H$4,'Met Data'!$A$2:$F$368,G388,FALSE)</f>
      </c>
      <c r="J388" s="80">
        <f>HLOOKUP($H$4,'Met Data'!$H$2:$M$368,G388,FALSE)*L388</f>
      </c>
      <c r="K388" s="81">
        <f>HLOOKUP($H$4,'Met Data'!$O$2:$T$368,G388,FALSE)</f>
      </c>
      <c r="L388" s="7">
        <f>IF(H388&lt;$B$31,$J$3,$J$4)</f>
      </c>
      <c r="M388" s="3"/>
      <c r="N388" s="82">
        <f>IF(P388&lt;$P$3,TRUE,FALSE)</f>
      </c>
      <c r="O388" s="82">
        <f>AND(IF(P388&gt;($P$2-1),TRUE,FALSE),IF(P388&lt;($P$3+1),TRUE,FALSE))</f>
      </c>
      <c r="P388" s="83" t="s">
        <v>374</v>
      </c>
      <c r="Q388" s="13" t="s">
        <v>374</v>
      </c>
      <c r="R388" s="13" t="s">
        <v>374</v>
      </c>
      <c r="S388" s="13" t="s">
        <v>374</v>
      </c>
      <c r="T388" s="13" t="s">
        <v>374</v>
      </c>
      <c r="U388" s="12" t="s">
        <v>374</v>
      </c>
      <c r="V388" s="13" t="s">
        <v>374</v>
      </c>
      <c r="W388" s="13" t="s">
        <v>374</v>
      </c>
      <c r="X388" s="12" t="s">
        <v>374</v>
      </c>
      <c r="Y388" s="13" t="s">
        <v>374</v>
      </c>
      <c r="Z388" s="12" t="s">
        <v>374</v>
      </c>
      <c r="AA388" s="12" t="s">
        <v>374</v>
      </c>
      <c r="AB388" s="13" t="s">
        <v>374</v>
      </c>
      <c r="AC388" s="42"/>
      <c r="AD388" s="83">
        <f>IFERROR(P388,$AD$4)</f>
        <v>25569.5</v>
      </c>
      <c r="AE388" s="7">
        <f>IFERROR(U388,0)</f>
      </c>
      <c r="AF388" s="3"/>
      <c r="AG388" s="105">
        <f>Q387+S388+T388+U388</f>
      </c>
      <c r="AH388" s="105">
        <f>Q388+R388+X388</f>
      </c>
      <c r="AI388" s="60">
        <f>AH388-AG388</f>
      </c>
      <c r="AJ388" s="3"/>
      <c r="AK388" s="3"/>
    </row>
    <row x14ac:dyDescent="0.25" r="389" customHeight="1" ht="18.75">
      <c r="A389" s="3"/>
      <c r="B389" s="71"/>
      <c r="C389" s="3"/>
      <c r="D389" s="3"/>
      <c r="E389" s="3"/>
      <c r="F389" s="3"/>
      <c r="G389" s="59">
        <f>H389-DATE(YEAR(H389),1,0)+1</f>
      </c>
      <c r="H389" s="79">
        <f>H388+1</f>
        <v>25569.5</v>
      </c>
      <c r="I389" s="80">
        <f>HLOOKUP($H$4,'Met Data'!$A$2:$F$368,G389,FALSE)</f>
      </c>
      <c r="J389" s="80">
        <f>HLOOKUP($H$4,'Met Data'!$H$2:$M$368,G389,FALSE)*L389</f>
      </c>
      <c r="K389" s="81">
        <f>HLOOKUP($H$4,'Met Data'!$O$2:$T$368,G389,FALSE)</f>
      </c>
      <c r="L389" s="7">
        <f>IF(H389&lt;$B$31,$J$3,$J$4)</f>
      </c>
      <c r="M389" s="3"/>
      <c r="N389" s="82">
        <f>IF(P389&lt;$P$3,TRUE,FALSE)</f>
      </c>
      <c r="O389" s="82">
        <f>AND(IF(P389&gt;($P$2-1),TRUE,FALSE),IF(P389&lt;($P$3+1),TRUE,FALSE))</f>
      </c>
      <c r="P389" s="83" t="s">
        <v>374</v>
      </c>
      <c r="Q389" s="13" t="s">
        <v>374</v>
      </c>
      <c r="R389" s="13" t="s">
        <v>374</v>
      </c>
      <c r="S389" s="13" t="s">
        <v>374</v>
      </c>
      <c r="T389" s="13" t="s">
        <v>374</v>
      </c>
      <c r="U389" s="12" t="s">
        <v>374</v>
      </c>
      <c r="V389" s="13" t="s">
        <v>374</v>
      </c>
      <c r="W389" s="13" t="s">
        <v>374</v>
      </c>
      <c r="X389" s="12" t="s">
        <v>374</v>
      </c>
      <c r="Y389" s="13" t="s">
        <v>374</v>
      </c>
      <c r="Z389" s="12" t="s">
        <v>374</v>
      </c>
      <c r="AA389" s="12" t="s">
        <v>374</v>
      </c>
      <c r="AB389" s="13" t="s">
        <v>374</v>
      </c>
      <c r="AC389" s="42"/>
      <c r="AD389" s="83">
        <f>IFERROR(P389,$AD$4)</f>
        <v>25569.5</v>
      </c>
      <c r="AE389" s="7">
        <f>IFERROR(U389,0)</f>
      </c>
      <c r="AF389" s="3"/>
      <c r="AG389" s="105">
        <f>Q388+S389+T389+U389</f>
      </c>
      <c r="AH389" s="105">
        <f>Q389+R389+X389</f>
      </c>
      <c r="AI389" s="60">
        <f>AH389-AG389</f>
      </c>
      <c r="AJ389" s="3"/>
      <c r="AK389" s="3"/>
    </row>
    <row x14ac:dyDescent="0.25" r="390" customHeight="1" ht="18.75">
      <c r="A390" s="3"/>
      <c r="B390" s="71"/>
      <c r="C390" s="3"/>
      <c r="D390" s="3"/>
      <c r="E390" s="3"/>
      <c r="F390" s="3"/>
      <c r="G390" s="59">
        <f>H390-DATE(YEAR(H390),1,0)+1</f>
      </c>
      <c r="H390" s="79">
        <f>H389+1</f>
        <v>25569.5</v>
      </c>
      <c r="I390" s="80">
        <f>HLOOKUP($H$4,'Met Data'!$A$2:$F$368,G390,FALSE)</f>
      </c>
      <c r="J390" s="80">
        <f>HLOOKUP($H$4,'Met Data'!$H$2:$M$368,G390,FALSE)*L390</f>
      </c>
      <c r="K390" s="81">
        <f>HLOOKUP($H$4,'Met Data'!$O$2:$T$368,G390,FALSE)</f>
      </c>
      <c r="L390" s="7">
        <f>IF(H390&lt;$B$31,$J$3,$J$4)</f>
      </c>
      <c r="M390" s="3"/>
      <c r="N390" s="82">
        <f>IF(P390&lt;$P$3,TRUE,FALSE)</f>
      </c>
      <c r="O390" s="82">
        <f>AND(IF(P390&gt;($P$2-1),TRUE,FALSE),IF(P390&lt;($P$3+1),TRUE,FALSE))</f>
      </c>
      <c r="P390" s="83" t="s">
        <v>374</v>
      </c>
      <c r="Q390" s="13" t="s">
        <v>374</v>
      </c>
      <c r="R390" s="13" t="s">
        <v>374</v>
      </c>
      <c r="S390" s="13" t="s">
        <v>374</v>
      </c>
      <c r="T390" s="13" t="s">
        <v>374</v>
      </c>
      <c r="U390" s="12" t="s">
        <v>374</v>
      </c>
      <c r="V390" s="13" t="s">
        <v>374</v>
      </c>
      <c r="W390" s="13" t="s">
        <v>374</v>
      </c>
      <c r="X390" s="12" t="s">
        <v>374</v>
      </c>
      <c r="Y390" s="13" t="s">
        <v>374</v>
      </c>
      <c r="Z390" s="12" t="s">
        <v>374</v>
      </c>
      <c r="AA390" s="12" t="s">
        <v>374</v>
      </c>
      <c r="AB390" s="13" t="s">
        <v>374</v>
      </c>
      <c r="AC390" s="42"/>
      <c r="AD390" s="83">
        <f>IFERROR(P390,$AD$4)</f>
        <v>25569.5</v>
      </c>
      <c r="AE390" s="7">
        <f>IFERROR(U390,0)</f>
      </c>
      <c r="AF390" s="3"/>
      <c r="AG390" s="105">
        <f>Q389+S390+T390+U390</f>
      </c>
      <c r="AH390" s="105">
        <f>Q390+R390+X390</f>
      </c>
      <c r="AI390" s="60">
        <f>AH390-AG390</f>
      </c>
      <c r="AJ390" s="3"/>
      <c r="AK390" s="3"/>
    </row>
    <row x14ac:dyDescent="0.25" r="391" customHeight="1" ht="18.75">
      <c r="A391" s="3"/>
      <c r="B391" s="71"/>
      <c r="C391" s="3"/>
      <c r="D391" s="3"/>
      <c r="E391" s="3"/>
      <c r="F391" s="3"/>
      <c r="G391" s="59">
        <f>H391-DATE(YEAR(H391),1,0)+1</f>
      </c>
      <c r="H391" s="79">
        <f>H390+1</f>
        <v>25569.5</v>
      </c>
      <c r="I391" s="80">
        <f>HLOOKUP($H$4,'Met Data'!$A$2:$F$368,G391,FALSE)</f>
      </c>
      <c r="J391" s="80">
        <f>HLOOKUP($H$4,'Met Data'!$H$2:$M$368,G391,FALSE)*L391</f>
      </c>
      <c r="K391" s="81">
        <f>HLOOKUP($H$4,'Met Data'!$O$2:$T$368,G391,FALSE)</f>
      </c>
      <c r="L391" s="7">
        <f>IF(H391&lt;$B$31,$J$3,$J$4)</f>
      </c>
      <c r="M391" s="3"/>
      <c r="N391" s="82">
        <f>IF(P391&lt;$P$3,TRUE,FALSE)</f>
      </c>
      <c r="O391" s="82">
        <f>AND(IF(P391&gt;($P$2-1),TRUE,FALSE),IF(P391&lt;($P$3+1),TRUE,FALSE))</f>
      </c>
      <c r="P391" s="83" t="s">
        <v>374</v>
      </c>
      <c r="Q391" s="13" t="s">
        <v>374</v>
      </c>
      <c r="R391" s="13" t="s">
        <v>374</v>
      </c>
      <c r="S391" s="13" t="s">
        <v>374</v>
      </c>
      <c r="T391" s="13" t="s">
        <v>374</v>
      </c>
      <c r="U391" s="12" t="s">
        <v>374</v>
      </c>
      <c r="V391" s="13" t="s">
        <v>374</v>
      </c>
      <c r="W391" s="13" t="s">
        <v>374</v>
      </c>
      <c r="X391" s="12" t="s">
        <v>374</v>
      </c>
      <c r="Y391" s="13" t="s">
        <v>374</v>
      </c>
      <c r="Z391" s="12" t="s">
        <v>374</v>
      </c>
      <c r="AA391" s="12" t="s">
        <v>374</v>
      </c>
      <c r="AB391" s="13" t="s">
        <v>374</v>
      </c>
      <c r="AC391" s="42"/>
      <c r="AD391" s="83">
        <f>IFERROR(P391,$AD$4)</f>
        <v>25569.5</v>
      </c>
      <c r="AE391" s="7">
        <f>IFERROR(U391,0)</f>
      </c>
      <c r="AF391" s="3"/>
      <c r="AG391" s="105">
        <f>Q390+S391+T391+U391</f>
      </c>
      <c r="AH391" s="105">
        <f>Q391+R391+X391</f>
      </c>
      <c r="AI391" s="60">
        <f>AH391-AG391</f>
      </c>
      <c r="AJ391" s="3"/>
      <c r="AK391" s="3"/>
    </row>
    <row x14ac:dyDescent="0.25" r="392" customHeight="1" ht="18.75">
      <c r="A392" s="3"/>
      <c r="B392" s="71"/>
      <c r="C392" s="3"/>
      <c r="D392" s="3"/>
      <c r="E392" s="3"/>
      <c r="F392" s="3"/>
      <c r="G392" s="59">
        <f>H392-DATE(YEAR(H392),1,0)+1</f>
      </c>
      <c r="H392" s="79">
        <f>H391+1</f>
        <v>25569.5</v>
      </c>
      <c r="I392" s="80">
        <f>HLOOKUP($H$4,'Met Data'!$A$2:$F$368,G392,FALSE)</f>
      </c>
      <c r="J392" s="80">
        <f>HLOOKUP($H$4,'Met Data'!$H$2:$M$368,G392,FALSE)*L392</f>
      </c>
      <c r="K392" s="81">
        <f>HLOOKUP($H$4,'Met Data'!$O$2:$T$368,G392,FALSE)</f>
      </c>
      <c r="L392" s="7">
        <f>IF(H392&lt;$B$31,$J$3,$J$4)</f>
      </c>
      <c r="M392" s="3"/>
      <c r="N392" s="82">
        <f>IF(P392&lt;$P$3,TRUE,FALSE)</f>
      </c>
      <c r="O392" s="82">
        <f>AND(IF(P392&gt;($P$2-1),TRUE,FALSE),IF(P392&lt;($P$3+1),TRUE,FALSE))</f>
      </c>
      <c r="P392" s="83" t="s">
        <v>374</v>
      </c>
      <c r="Q392" s="13" t="s">
        <v>374</v>
      </c>
      <c r="R392" s="13" t="s">
        <v>374</v>
      </c>
      <c r="S392" s="13" t="s">
        <v>374</v>
      </c>
      <c r="T392" s="13" t="s">
        <v>374</v>
      </c>
      <c r="U392" s="12" t="s">
        <v>374</v>
      </c>
      <c r="V392" s="13" t="s">
        <v>374</v>
      </c>
      <c r="W392" s="13" t="s">
        <v>374</v>
      </c>
      <c r="X392" s="12" t="s">
        <v>374</v>
      </c>
      <c r="Y392" s="13" t="s">
        <v>374</v>
      </c>
      <c r="Z392" s="12" t="s">
        <v>374</v>
      </c>
      <c r="AA392" s="12" t="s">
        <v>374</v>
      </c>
      <c r="AB392" s="13" t="s">
        <v>374</v>
      </c>
      <c r="AC392" s="42"/>
      <c r="AD392" s="83">
        <f>IFERROR(P392,$AD$4)</f>
        <v>25569.5</v>
      </c>
      <c r="AE392" s="7">
        <f>IFERROR(U392,0)</f>
      </c>
      <c r="AF392" s="3"/>
      <c r="AG392" s="105">
        <f>Q391+S392+T392+U392</f>
      </c>
      <c r="AH392" s="105">
        <f>Q392+R392+X392</f>
      </c>
      <c r="AI392" s="60">
        <f>AH392-AG392</f>
      </c>
      <c r="AJ392" s="3"/>
      <c r="AK392" s="3"/>
    </row>
    <row x14ac:dyDescent="0.25" r="393" customHeight="1" ht="18.75">
      <c r="A393" s="3"/>
      <c r="B393" s="71"/>
      <c r="C393" s="3"/>
      <c r="D393" s="3"/>
      <c r="E393" s="3"/>
      <c r="F393" s="3"/>
      <c r="G393" s="59">
        <f>H393-DATE(YEAR(H393),1,0)+1</f>
      </c>
      <c r="H393" s="79">
        <f>H392+1</f>
        <v>25569.5</v>
      </c>
      <c r="I393" s="80">
        <f>HLOOKUP($H$4,'Met Data'!$A$2:$F$368,G393,FALSE)</f>
      </c>
      <c r="J393" s="80">
        <f>HLOOKUP($H$4,'Met Data'!$H$2:$M$368,G393,FALSE)*L393</f>
      </c>
      <c r="K393" s="81">
        <f>HLOOKUP($H$4,'Met Data'!$O$2:$T$368,G393,FALSE)</f>
      </c>
      <c r="L393" s="7">
        <f>IF(H393&lt;$B$31,$J$3,$J$4)</f>
      </c>
      <c r="M393" s="3"/>
      <c r="N393" s="82">
        <f>IF(P393&lt;$P$3,TRUE,FALSE)</f>
      </c>
      <c r="O393" s="82">
        <f>AND(IF(P393&gt;($P$2-1),TRUE,FALSE),IF(P393&lt;($P$3+1),TRUE,FALSE))</f>
      </c>
      <c r="P393" s="83" t="s">
        <v>374</v>
      </c>
      <c r="Q393" s="13" t="s">
        <v>374</v>
      </c>
      <c r="R393" s="13" t="s">
        <v>374</v>
      </c>
      <c r="S393" s="13" t="s">
        <v>374</v>
      </c>
      <c r="T393" s="13" t="s">
        <v>374</v>
      </c>
      <c r="U393" s="12" t="s">
        <v>374</v>
      </c>
      <c r="V393" s="13" t="s">
        <v>374</v>
      </c>
      <c r="W393" s="13" t="s">
        <v>374</v>
      </c>
      <c r="X393" s="12" t="s">
        <v>374</v>
      </c>
      <c r="Y393" s="13" t="s">
        <v>374</v>
      </c>
      <c r="Z393" s="12" t="s">
        <v>374</v>
      </c>
      <c r="AA393" s="12" t="s">
        <v>374</v>
      </c>
      <c r="AB393" s="13" t="s">
        <v>374</v>
      </c>
      <c r="AC393" s="42"/>
      <c r="AD393" s="83">
        <f>IFERROR(P393,$AD$4)</f>
        <v>25569.5</v>
      </c>
      <c r="AE393" s="7">
        <f>IFERROR(U393,0)</f>
      </c>
      <c r="AF393" s="3"/>
      <c r="AG393" s="105">
        <f>Q392+S393+T393+U393</f>
      </c>
      <c r="AH393" s="105">
        <f>Q393+R393+X393</f>
      </c>
      <c r="AI393" s="60">
        <f>AH393-AG393</f>
      </c>
      <c r="AJ393" s="3"/>
      <c r="AK393" s="3"/>
    </row>
    <row x14ac:dyDescent="0.25" r="394" customHeight="1" ht="18.75">
      <c r="A394" s="3"/>
      <c r="B394" s="71"/>
      <c r="C394" s="3"/>
      <c r="D394" s="3"/>
      <c r="E394" s="3"/>
      <c r="F394" s="3"/>
      <c r="G394" s="59">
        <f>H394-DATE(YEAR(H394),1,0)+1</f>
      </c>
      <c r="H394" s="79">
        <f>H393+1</f>
        <v>25569.5</v>
      </c>
      <c r="I394" s="80">
        <f>HLOOKUP($H$4,'Met Data'!$A$2:$F$368,G394,FALSE)</f>
      </c>
      <c r="J394" s="80">
        <f>HLOOKUP($H$4,'Met Data'!$H$2:$M$368,G394,FALSE)*L394</f>
      </c>
      <c r="K394" s="81">
        <f>HLOOKUP($H$4,'Met Data'!$O$2:$T$368,G394,FALSE)</f>
      </c>
      <c r="L394" s="7">
        <f>IF(H394&lt;$B$31,$J$3,$J$4)</f>
      </c>
      <c r="M394" s="3"/>
      <c r="N394" s="82">
        <f>IF(P394&lt;$P$3,TRUE,FALSE)</f>
      </c>
      <c r="O394" s="82">
        <f>AND(IF(P394&gt;($P$2-1),TRUE,FALSE),IF(P394&lt;($P$3+1),TRUE,FALSE))</f>
      </c>
      <c r="P394" s="83" t="s">
        <v>374</v>
      </c>
      <c r="Q394" s="13" t="s">
        <v>374</v>
      </c>
      <c r="R394" s="13" t="s">
        <v>374</v>
      </c>
      <c r="S394" s="13" t="s">
        <v>374</v>
      </c>
      <c r="T394" s="13" t="s">
        <v>374</v>
      </c>
      <c r="U394" s="12" t="s">
        <v>374</v>
      </c>
      <c r="V394" s="13" t="s">
        <v>374</v>
      </c>
      <c r="W394" s="13" t="s">
        <v>374</v>
      </c>
      <c r="X394" s="12" t="s">
        <v>374</v>
      </c>
      <c r="Y394" s="13" t="s">
        <v>374</v>
      </c>
      <c r="Z394" s="12" t="s">
        <v>374</v>
      </c>
      <c r="AA394" s="12" t="s">
        <v>374</v>
      </c>
      <c r="AB394" s="13" t="s">
        <v>374</v>
      </c>
      <c r="AC394" s="42"/>
      <c r="AD394" s="83">
        <f>IFERROR(P394,$AD$4)</f>
        <v>25569.5</v>
      </c>
      <c r="AE394" s="7">
        <f>IFERROR(U394,0)</f>
      </c>
      <c r="AF394" s="3"/>
      <c r="AG394" s="105">
        <f>Q393+S394+T394+U394</f>
      </c>
      <c r="AH394" s="105">
        <f>Q394+R394+X394</f>
      </c>
      <c r="AI394" s="60">
        <f>AH394-AG394</f>
      </c>
      <c r="AJ394" s="3"/>
      <c r="AK394" s="3"/>
    </row>
    <row x14ac:dyDescent="0.25" r="395" customHeight="1" ht="18.75">
      <c r="A395" s="3"/>
      <c r="B395" s="71"/>
      <c r="C395" s="3"/>
      <c r="D395" s="3"/>
      <c r="E395" s="3"/>
      <c r="F395" s="3"/>
      <c r="G395" s="59">
        <f>H395-DATE(YEAR(H395),1,0)+1</f>
      </c>
      <c r="H395" s="79">
        <f>H394+1</f>
        <v>25569.5</v>
      </c>
      <c r="I395" s="80">
        <f>HLOOKUP($H$4,'Met Data'!$A$2:$F$368,G395,FALSE)</f>
      </c>
      <c r="J395" s="80">
        <f>HLOOKUP($H$4,'Met Data'!$H$2:$M$368,G395,FALSE)*L395</f>
      </c>
      <c r="K395" s="81">
        <f>HLOOKUP($H$4,'Met Data'!$O$2:$T$368,G395,FALSE)</f>
      </c>
      <c r="L395" s="7">
        <f>IF(H395&lt;$B$31,$J$3,$J$4)</f>
      </c>
      <c r="M395" s="3"/>
      <c r="N395" s="82">
        <f>IF(P395&lt;$P$3,TRUE,FALSE)</f>
      </c>
      <c r="O395" s="82">
        <f>AND(IF(P395&gt;($P$2-1),TRUE,FALSE),IF(P395&lt;($P$3+1),TRUE,FALSE))</f>
      </c>
      <c r="P395" s="83" t="s">
        <v>374</v>
      </c>
      <c r="Q395" s="13" t="s">
        <v>374</v>
      </c>
      <c r="R395" s="13" t="s">
        <v>374</v>
      </c>
      <c r="S395" s="13" t="s">
        <v>374</v>
      </c>
      <c r="T395" s="13" t="s">
        <v>374</v>
      </c>
      <c r="U395" s="12" t="s">
        <v>374</v>
      </c>
      <c r="V395" s="13" t="s">
        <v>374</v>
      </c>
      <c r="W395" s="13" t="s">
        <v>374</v>
      </c>
      <c r="X395" s="12" t="s">
        <v>374</v>
      </c>
      <c r="Y395" s="13" t="s">
        <v>374</v>
      </c>
      <c r="Z395" s="12" t="s">
        <v>374</v>
      </c>
      <c r="AA395" s="12" t="s">
        <v>374</v>
      </c>
      <c r="AB395" s="13" t="s">
        <v>374</v>
      </c>
      <c r="AC395" s="42"/>
      <c r="AD395" s="83">
        <f>IFERROR(P395,$AD$4)</f>
        <v>25569.5</v>
      </c>
      <c r="AE395" s="7">
        <f>IFERROR(U395,0)</f>
      </c>
      <c r="AF395" s="3"/>
      <c r="AG395" s="105">
        <f>Q394+S395+T395+U395</f>
      </c>
      <c r="AH395" s="105">
        <f>Q395+R395+X395</f>
      </c>
      <c r="AI395" s="60">
        <f>AH395-AG395</f>
      </c>
      <c r="AJ395" s="3"/>
      <c r="AK395" s="3"/>
    </row>
    <row x14ac:dyDescent="0.25" r="396" customHeight="1" ht="18.75">
      <c r="A396" s="3"/>
      <c r="B396" s="71"/>
      <c r="C396" s="3"/>
      <c r="D396" s="3"/>
      <c r="E396" s="3"/>
      <c r="F396" s="3"/>
      <c r="G396" s="59">
        <f>H396-DATE(YEAR(H396),1,0)+1</f>
      </c>
      <c r="H396" s="79">
        <f>H395+1</f>
        <v>25569.5</v>
      </c>
      <c r="I396" s="80">
        <f>HLOOKUP($H$4,'Met Data'!$A$2:$F$368,G396,FALSE)</f>
      </c>
      <c r="J396" s="80">
        <f>HLOOKUP($H$4,'Met Data'!$H$2:$M$368,G396,FALSE)*L396</f>
      </c>
      <c r="K396" s="81">
        <f>HLOOKUP($H$4,'Met Data'!$O$2:$T$368,G396,FALSE)</f>
      </c>
      <c r="L396" s="7">
        <f>IF(H396&lt;$B$31,$J$3,$J$4)</f>
      </c>
      <c r="M396" s="3"/>
      <c r="N396" s="82">
        <f>IF(P396&lt;$P$3,TRUE,FALSE)</f>
      </c>
      <c r="O396" s="82">
        <f>AND(IF(P396&gt;($P$2-1),TRUE,FALSE),IF(P396&lt;($P$3+1),TRUE,FALSE))</f>
      </c>
      <c r="P396" s="83" t="s">
        <v>374</v>
      </c>
      <c r="Q396" s="13" t="s">
        <v>374</v>
      </c>
      <c r="R396" s="13" t="s">
        <v>374</v>
      </c>
      <c r="S396" s="13" t="s">
        <v>374</v>
      </c>
      <c r="T396" s="13" t="s">
        <v>374</v>
      </c>
      <c r="U396" s="12" t="s">
        <v>374</v>
      </c>
      <c r="V396" s="13" t="s">
        <v>374</v>
      </c>
      <c r="W396" s="13" t="s">
        <v>374</v>
      </c>
      <c r="X396" s="12" t="s">
        <v>374</v>
      </c>
      <c r="Y396" s="13" t="s">
        <v>374</v>
      </c>
      <c r="Z396" s="12" t="s">
        <v>374</v>
      </c>
      <c r="AA396" s="12" t="s">
        <v>374</v>
      </c>
      <c r="AB396" s="13" t="s">
        <v>374</v>
      </c>
      <c r="AC396" s="42"/>
      <c r="AD396" s="83">
        <f>IFERROR(P396,$AD$4)</f>
        <v>25569.5</v>
      </c>
      <c r="AE396" s="7">
        <f>IFERROR(U396,0)</f>
      </c>
      <c r="AF396" s="3"/>
      <c r="AG396" s="105">
        <f>Q395+S396+T396+U396</f>
      </c>
      <c r="AH396" s="105">
        <f>Q396+R396+X396</f>
      </c>
      <c r="AI396" s="60">
        <f>AH396-AG396</f>
      </c>
      <c r="AJ396" s="3"/>
      <c r="AK396" s="3"/>
    </row>
    <row x14ac:dyDescent="0.25" r="397" customHeight="1" ht="18.75">
      <c r="A397" s="3"/>
      <c r="B397" s="71"/>
      <c r="C397" s="3"/>
      <c r="D397" s="3"/>
      <c r="E397" s="3"/>
      <c r="F397" s="3"/>
      <c r="G397" s="59">
        <f>H397-DATE(YEAR(H397),1,0)+1</f>
      </c>
      <c r="H397" s="79">
        <f>H396+1</f>
        <v>25569.5</v>
      </c>
      <c r="I397" s="80">
        <f>HLOOKUP($H$4,'Met Data'!$A$2:$F$368,G397,FALSE)</f>
      </c>
      <c r="J397" s="80">
        <f>HLOOKUP($H$4,'Met Data'!$H$2:$M$368,G397,FALSE)*L397</f>
      </c>
      <c r="K397" s="81">
        <f>HLOOKUP($H$4,'Met Data'!$O$2:$T$368,G397,FALSE)</f>
      </c>
      <c r="L397" s="7">
        <f>IF(H397&lt;$B$31,$J$3,$J$4)</f>
      </c>
      <c r="M397" s="3"/>
      <c r="N397" s="82">
        <f>IF(P397&lt;$P$3,TRUE,FALSE)</f>
      </c>
      <c r="O397" s="82">
        <f>AND(IF(P397&gt;($P$2-1),TRUE,FALSE),IF(P397&lt;($P$3+1),TRUE,FALSE))</f>
      </c>
      <c r="P397" s="83" t="s">
        <v>374</v>
      </c>
      <c r="Q397" s="13" t="s">
        <v>374</v>
      </c>
      <c r="R397" s="13" t="s">
        <v>374</v>
      </c>
      <c r="S397" s="13" t="s">
        <v>374</v>
      </c>
      <c r="T397" s="13" t="s">
        <v>374</v>
      </c>
      <c r="U397" s="12" t="s">
        <v>374</v>
      </c>
      <c r="V397" s="13" t="s">
        <v>374</v>
      </c>
      <c r="W397" s="13" t="s">
        <v>374</v>
      </c>
      <c r="X397" s="12" t="s">
        <v>374</v>
      </c>
      <c r="Y397" s="13" t="s">
        <v>374</v>
      </c>
      <c r="Z397" s="12" t="s">
        <v>374</v>
      </c>
      <c r="AA397" s="12" t="s">
        <v>374</v>
      </c>
      <c r="AB397" s="13" t="s">
        <v>374</v>
      </c>
      <c r="AC397" s="42"/>
      <c r="AD397" s="83">
        <f>IFERROR(P397,$AD$4)</f>
        <v>25569.5</v>
      </c>
      <c r="AE397" s="7">
        <f>IFERROR(U397,0)</f>
      </c>
      <c r="AF397" s="3"/>
      <c r="AG397" s="105">
        <f>Q396+S397+T397+U397</f>
      </c>
      <c r="AH397" s="105">
        <f>Q397+R397+X397</f>
      </c>
      <c r="AI397" s="60">
        <f>AH397-AG397</f>
      </c>
      <c r="AJ397" s="3"/>
      <c r="AK397" s="3"/>
    </row>
    <row x14ac:dyDescent="0.25" r="398" customHeight="1" ht="18.75">
      <c r="A398" s="3"/>
      <c r="B398" s="71"/>
      <c r="C398" s="3"/>
      <c r="D398" s="3"/>
      <c r="E398" s="3"/>
      <c r="F398" s="3"/>
      <c r="G398" s="59">
        <f>H398-DATE(YEAR(H398),1,0)+1</f>
      </c>
      <c r="H398" s="79">
        <f>H397+1</f>
        <v>25569.5</v>
      </c>
      <c r="I398" s="80">
        <f>HLOOKUP($H$4,'Met Data'!$A$2:$F$368,G398,FALSE)</f>
      </c>
      <c r="J398" s="80">
        <f>HLOOKUP($H$4,'Met Data'!$H$2:$M$368,G398,FALSE)*L398</f>
      </c>
      <c r="K398" s="81">
        <f>HLOOKUP($H$4,'Met Data'!$O$2:$T$368,G398,FALSE)</f>
      </c>
      <c r="L398" s="7">
        <f>IF(H398&lt;$B$31,$J$3,$J$4)</f>
      </c>
      <c r="M398" s="3"/>
      <c r="N398" s="82">
        <f>IF(P398&lt;$P$3,TRUE,FALSE)</f>
      </c>
      <c r="O398" s="82">
        <f>AND(IF(P398&gt;($P$2-1),TRUE,FALSE),IF(P398&lt;($P$3+1),TRUE,FALSE))</f>
      </c>
      <c r="P398" s="83" t="s">
        <v>374</v>
      </c>
      <c r="Q398" s="13" t="s">
        <v>374</v>
      </c>
      <c r="R398" s="13" t="s">
        <v>374</v>
      </c>
      <c r="S398" s="13" t="s">
        <v>374</v>
      </c>
      <c r="T398" s="13" t="s">
        <v>374</v>
      </c>
      <c r="U398" s="12" t="s">
        <v>374</v>
      </c>
      <c r="V398" s="13" t="s">
        <v>374</v>
      </c>
      <c r="W398" s="13" t="s">
        <v>374</v>
      </c>
      <c r="X398" s="12" t="s">
        <v>374</v>
      </c>
      <c r="Y398" s="13" t="s">
        <v>374</v>
      </c>
      <c r="Z398" s="12" t="s">
        <v>374</v>
      </c>
      <c r="AA398" s="12" t="s">
        <v>374</v>
      </c>
      <c r="AB398" s="13" t="s">
        <v>374</v>
      </c>
      <c r="AC398" s="42"/>
      <c r="AD398" s="83">
        <f>IFERROR(P398,$AD$4)</f>
        <v>25569.5</v>
      </c>
      <c r="AE398" s="7">
        <f>IFERROR(U398,0)</f>
      </c>
      <c r="AF398" s="3"/>
      <c r="AG398" s="105">
        <f>Q397+S398+T398+U398</f>
      </c>
      <c r="AH398" s="105">
        <f>Q398+R398+X398</f>
      </c>
      <c r="AI398" s="60">
        <f>AH398-AG398</f>
      </c>
      <c r="AJ398" s="3"/>
      <c r="AK398" s="3"/>
    </row>
    <row x14ac:dyDescent="0.25" r="399" customHeight="1" ht="18.75">
      <c r="A399" s="3"/>
      <c r="B399" s="71"/>
      <c r="C399" s="3"/>
      <c r="D399" s="3"/>
      <c r="E399" s="3"/>
      <c r="F399" s="3"/>
      <c r="G399" s="59">
        <f>H399-DATE(YEAR(H399),1,0)+1</f>
      </c>
      <c r="H399" s="79">
        <f>H398+1</f>
        <v>25569.5</v>
      </c>
      <c r="I399" s="80">
        <f>HLOOKUP($H$4,'Met Data'!$A$2:$F$368,G399,FALSE)</f>
      </c>
      <c r="J399" s="80">
        <f>HLOOKUP($H$4,'Met Data'!$H$2:$M$368,G399,FALSE)*L399</f>
      </c>
      <c r="K399" s="81">
        <f>HLOOKUP($H$4,'Met Data'!$O$2:$T$368,G399,FALSE)</f>
      </c>
      <c r="L399" s="7">
        <f>IF(H399&lt;$B$31,$J$3,$J$4)</f>
      </c>
      <c r="M399" s="3"/>
      <c r="N399" s="82">
        <f>IF(P399&lt;$P$3,TRUE,FALSE)</f>
      </c>
      <c r="O399" s="82">
        <f>AND(IF(P399&gt;($P$2-1),TRUE,FALSE),IF(P399&lt;($P$3+1),TRUE,FALSE))</f>
      </c>
      <c r="P399" s="83" t="s">
        <v>374</v>
      </c>
      <c r="Q399" s="13" t="s">
        <v>374</v>
      </c>
      <c r="R399" s="13" t="s">
        <v>374</v>
      </c>
      <c r="S399" s="13" t="s">
        <v>374</v>
      </c>
      <c r="T399" s="13" t="s">
        <v>374</v>
      </c>
      <c r="U399" s="12" t="s">
        <v>374</v>
      </c>
      <c r="V399" s="13" t="s">
        <v>374</v>
      </c>
      <c r="W399" s="13" t="s">
        <v>374</v>
      </c>
      <c r="X399" s="12" t="s">
        <v>374</v>
      </c>
      <c r="Y399" s="13" t="s">
        <v>374</v>
      </c>
      <c r="Z399" s="12" t="s">
        <v>374</v>
      </c>
      <c r="AA399" s="12" t="s">
        <v>374</v>
      </c>
      <c r="AB399" s="13" t="s">
        <v>374</v>
      </c>
      <c r="AC399" s="42"/>
      <c r="AD399" s="83">
        <f>IFERROR(P399,$AD$4)</f>
        <v>25569.5</v>
      </c>
      <c r="AE399" s="7">
        <f>IFERROR(U399,0)</f>
      </c>
      <c r="AF399" s="3"/>
      <c r="AG399" s="105">
        <f>Q398+S399+T399+U399</f>
      </c>
      <c r="AH399" s="105">
        <f>Q399+R399+X399</f>
      </c>
      <c r="AI399" s="60">
        <f>AH399-AG399</f>
      </c>
      <c r="AJ399" s="3"/>
      <c r="AK399" s="3"/>
    </row>
    <row x14ac:dyDescent="0.25" r="400" customHeight="1" ht="18.75">
      <c r="A400" s="3"/>
      <c r="B400" s="71"/>
      <c r="C400" s="3"/>
      <c r="D400" s="3"/>
      <c r="E400" s="3"/>
      <c r="F400" s="3"/>
      <c r="G400" s="59">
        <f>H400-DATE(YEAR(H400),1,0)+1</f>
      </c>
      <c r="H400" s="79">
        <f>H399+1</f>
        <v>25569.5</v>
      </c>
      <c r="I400" s="80">
        <f>HLOOKUP($H$4,'Met Data'!$A$2:$F$368,G400,FALSE)</f>
      </c>
      <c r="J400" s="80">
        <f>HLOOKUP($H$4,'Met Data'!$H$2:$M$368,G400,FALSE)*L400</f>
      </c>
      <c r="K400" s="81">
        <f>HLOOKUP($H$4,'Met Data'!$O$2:$T$368,G400,FALSE)</f>
      </c>
      <c r="L400" s="7">
        <f>IF(H400&lt;$B$31,$J$3,$J$4)</f>
      </c>
      <c r="M400" s="3"/>
      <c r="N400" s="82">
        <f>IF(P400&lt;$P$3,TRUE,FALSE)</f>
      </c>
      <c r="O400" s="82">
        <f>AND(IF(P400&gt;($P$2-1),TRUE,FALSE),IF(P400&lt;($P$3+1),TRUE,FALSE))</f>
      </c>
      <c r="P400" s="83" t="s">
        <v>374</v>
      </c>
      <c r="Q400" s="13" t="s">
        <v>374</v>
      </c>
      <c r="R400" s="13" t="s">
        <v>374</v>
      </c>
      <c r="S400" s="13" t="s">
        <v>374</v>
      </c>
      <c r="T400" s="13" t="s">
        <v>374</v>
      </c>
      <c r="U400" s="12" t="s">
        <v>374</v>
      </c>
      <c r="V400" s="13" t="s">
        <v>374</v>
      </c>
      <c r="W400" s="13" t="s">
        <v>374</v>
      </c>
      <c r="X400" s="12" t="s">
        <v>374</v>
      </c>
      <c r="Y400" s="13" t="s">
        <v>374</v>
      </c>
      <c r="Z400" s="12" t="s">
        <v>374</v>
      </c>
      <c r="AA400" s="12" t="s">
        <v>374</v>
      </c>
      <c r="AB400" s="13" t="s">
        <v>374</v>
      </c>
      <c r="AC400" s="42"/>
      <c r="AD400" s="83">
        <f>IFERROR(P400,$AD$4)</f>
        <v>25569.5</v>
      </c>
      <c r="AE400" s="7">
        <f>IFERROR(U400,0)</f>
      </c>
      <c r="AF400" s="3"/>
      <c r="AG400" s="105">
        <f>Q399+S400+T400+U400</f>
      </c>
      <c r="AH400" s="105">
        <f>Q400+R400+X400</f>
      </c>
      <c r="AI400" s="60">
        <f>AH400-AG400</f>
      </c>
      <c r="AJ400" s="3"/>
      <c r="AK400" s="3"/>
    </row>
    <row x14ac:dyDescent="0.25" r="401" customHeight="1" ht="18.75">
      <c r="A401" s="3"/>
      <c r="B401" s="71"/>
      <c r="C401" s="3"/>
      <c r="D401" s="3"/>
      <c r="E401" s="3"/>
      <c r="F401" s="3"/>
      <c r="G401" s="59">
        <f>H401-DATE(YEAR(H401),1,0)+1</f>
      </c>
      <c r="H401" s="79">
        <f>H400+1</f>
        <v>25569.5</v>
      </c>
      <c r="I401" s="80">
        <f>HLOOKUP($H$4,'Met Data'!$A$2:$F$368,G401,FALSE)</f>
      </c>
      <c r="J401" s="80">
        <f>HLOOKUP($H$4,'Met Data'!$H$2:$M$368,G401,FALSE)*L401</f>
      </c>
      <c r="K401" s="81">
        <f>HLOOKUP($H$4,'Met Data'!$O$2:$T$368,G401,FALSE)</f>
      </c>
      <c r="L401" s="7">
        <f>IF(H401&lt;$B$31,$J$3,$J$4)</f>
      </c>
      <c r="M401" s="3"/>
      <c r="N401" s="82">
        <f>IF(P401&lt;$P$3,TRUE,FALSE)</f>
      </c>
      <c r="O401" s="82">
        <f>AND(IF(P401&gt;($P$2-1),TRUE,FALSE),IF(P401&lt;($P$3+1),TRUE,FALSE))</f>
      </c>
      <c r="P401" s="83" t="s">
        <v>374</v>
      </c>
      <c r="Q401" s="13" t="s">
        <v>374</v>
      </c>
      <c r="R401" s="13" t="s">
        <v>374</v>
      </c>
      <c r="S401" s="13" t="s">
        <v>374</v>
      </c>
      <c r="T401" s="13" t="s">
        <v>374</v>
      </c>
      <c r="U401" s="12" t="s">
        <v>374</v>
      </c>
      <c r="V401" s="13" t="s">
        <v>374</v>
      </c>
      <c r="W401" s="13" t="s">
        <v>374</v>
      </c>
      <c r="X401" s="12" t="s">
        <v>374</v>
      </c>
      <c r="Y401" s="13" t="s">
        <v>374</v>
      </c>
      <c r="Z401" s="12" t="s">
        <v>374</v>
      </c>
      <c r="AA401" s="12" t="s">
        <v>374</v>
      </c>
      <c r="AB401" s="13" t="s">
        <v>374</v>
      </c>
      <c r="AC401" s="42"/>
      <c r="AD401" s="83">
        <f>IFERROR(P401,$AD$4)</f>
        <v>25569.5</v>
      </c>
      <c r="AE401" s="7">
        <f>IFERROR(U401,0)</f>
      </c>
      <c r="AF401" s="3"/>
      <c r="AG401" s="105">
        <f>Q400+S401+T401+U401</f>
      </c>
      <c r="AH401" s="105">
        <f>Q401+R401+X401</f>
      </c>
      <c r="AI401" s="60">
        <f>AH401-AG401</f>
      </c>
      <c r="AJ401" s="3"/>
      <c r="AK401" s="3"/>
    </row>
    <row x14ac:dyDescent="0.25" r="402" customHeight="1" ht="18.75">
      <c r="A402" s="3"/>
      <c r="B402" s="71"/>
      <c r="C402" s="3"/>
      <c r="D402" s="3"/>
      <c r="E402" s="3"/>
      <c r="F402" s="3"/>
      <c r="G402" s="59">
        <f>H402-DATE(YEAR(H402),1,0)+1</f>
      </c>
      <c r="H402" s="79">
        <f>H401+1</f>
        <v>25569.5</v>
      </c>
      <c r="I402" s="80">
        <f>HLOOKUP($H$4,'Met Data'!$A$2:$F$368,G402,FALSE)</f>
      </c>
      <c r="J402" s="80">
        <f>HLOOKUP($H$4,'Met Data'!$H$2:$M$368,G402,FALSE)*L402</f>
      </c>
      <c r="K402" s="81">
        <f>HLOOKUP($H$4,'Met Data'!$O$2:$T$368,G402,FALSE)</f>
      </c>
      <c r="L402" s="7">
        <f>IF(H402&lt;$B$31,$J$3,$J$4)</f>
      </c>
      <c r="M402" s="3"/>
      <c r="N402" s="82">
        <f>IF(P402&lt;$P$3,TRUE,FALSE)</f>
      </c>
      <c r="O402" s="82">
        <f>AND(IF(P402&gt;($P$2-1),TRUE,FALSE),IF(P402&lt;($P$3+1),TRUE,FALSE))</f>
      </c>
      <c r="P402" s="83" t="s">
        <v>374</v>
      </c>
      <c r="Q402" s="13" t="s">
        <v>374</v>
      </c>
      <c r="R402" s="13" t="s">
        <v>374</v>
      </c>
      <c r="S402" s="13" t="s">
        <v>374</v>
      </c>
      <c r="T402" s="13" t="s">
        <v>374</v>
      </c>
      <c r="U402" s="12" t="s">
        <v>374</v>
      </c>
      <c r="V402" s="13" t="s">
        <v>374</v>
      </c>
      <c r="W402" s="13" t="s">
        <v>374</v>
      </c>
      <c r="X402" s="12" t="s">
        <v>374</v>
      </c>
      <c r="Y402" s="13" t="s">
        <v>374</v>
      </c>
      <c r="Z402" s="12" t="s">
        <v>374</v>
      </c>
      <c r="AA402" s="12" t="s">
        <v>374</v>
      </c>
      <c r="AB402" s="13" t="s">
        <v>374</v>
      </c>
      <c r="AC402" s="42"/>
      <c r="AD402" s="83">
        <f>IFERROR(P402,$AD$4)</f>
        <v>25569.5</v>
      </c>
      <c r="AE402" s="7">
        <f>IFERROR(U402,0)</f>
      </c>
      <c r="AF402" s="3"/>
      <c r="AG402" s="105">
        <f>Q401+S402+T402+U402</f>
      </c>
      <c r="AH402" s="105">
        <f>Q402+R402+X402</f>
      </c>
      <c r="AI402" s="60">
        <f>AH402-AG402</f>
      </c>
      <c r="AJ402" s="3"/>
      <c r="AK402" s="3"/>
    </row>
    <row x14ac:dyDescent="0.25" r="403" customHeight="1" ht="18.75">
      <c r="A403" s="3"/>
      <c r="B403" s="71"/>
      <c r="C403" s="3"/>
      <c r="D403" s="3"/>
      <c r="E403" s="3"/>
      <c r="F403" s="3"/>
      <c r="G403" s="59">
        <f>H403-DATE(YEAR(H403),1,0)+1</f>
      </c>
      <c r="H403" s="79">
        <f>H402+1</f>
        <v>25569.5</v>
      </c>
      <c r="I403" s="80">
        <f>HLOOKUP($H$4,'Met Data'!$A$2:$F$368,G403,FALSE)</f>
      </c>
      <c r="J403" s="80">
        <f>HLOOKUP($H$4,'Met Data'!$H$2:$M$368,G403,FALSE)*L403</f>
      </c>
      <c r="K403" s="81">
        <f>HLOOKUP($H$4,'Met Data'!$O$2:$T$368,G403,FALSE)</f>
      </c>
      <c r="L403" s="7">
        <f>IF(H403&lt;$B$31,$J$3,$J$4)</f>
      </c>
      <c r="M403" s="3"/>
      <c r="N403" s="82">
        <f>IF(P403&lt;$P$3,TRUE,FALSE)</f>
      </c>
      <c r="O403" s="82">
        <f>AND(IF(P403&gt;($P$2-1),TRUE,FALSE),IF(P403&lt;($P$3+1),TRUE,FALSE))</f>
      </c>
      <c r="P403" s="83" t="s">
        <v>374</v>
      </c>
      <c r="Q403" s="13" t="s">
        <v>374</v>
      </c>
      <c r="R403" s="13" t="s">
        <v>374</v>
      </c>
      <c r="S403" s="13" t="s">
        <v>374</v>
      </c>
      <c r="T403" s="13" t="s">
        <v>374</v>
      </c>
      <c r="U403" s="12" t="s">
        <v>374</v>
      </c>
      <c r="V403" s="13" t="s">
        <v>374</v>
      </c>
      <c r="W403" s="13" t="s">
        <v>374</v>
      </c>
      <c r="X403" s="12" t="s">
        <v>374</v>
      </c>
      <c r="Y403" s="13" t="s">
        <v>374</v>
      </c>
      <c r="Z403" s="12" t="s">
        <v>374</v>
      </c>
      <c r="AA403" s="12" t="s">
        <v>374</v>
      </c>
      <c r="AB403" s="13" t="s">
        <v>374</v>
      </c>
      <c r="AC403" s="42"/>
      <c r="AD403" s="83">
        <f>IFERROR(P403,$AD$4)</f>
        <v>25569.5</v>
      </c>
      <c r="AE403" s="7">
        <f>IFERROR(U403,0)</f>
      </c>
      <c r="AF403" s="3"/>
      <c r="AG403" s="105">
        <f>Q402+S403+T403+U403</f>
      </c>
      <c r="AH403" s="105">
        <f>Q403+R403+X403</f>
      </c>
      <c r="AI403" s="60">
        <f>AH403-AG403</f>
      </c>
      <c r="AJ403" s="3"/>
      <c r="AK403" s="3"/>
    </row>
    <row x14ac:dyDescent="0.25" r="404" customHeight="1" ht="18.75">
      <c r="A404" s="3"/>
      <c r="B404" s="71"/>
      <c r="C404" s="3"/>
      <c r="D404" s="3"/>
      <c r="E404" s="3"/>
      <c r="F404" s="3"/>
      <c r="G404" s="59">
        <f>H404-DATE(YEAR(H404),1,0)+1</f>
      </c>
      <c r="H404" s="79">
        <f>H403+1</f>
        <v>25569.5</v>
      </c>
      <c r="I404" s="80">
        <f>HLOOKUP($H$4,'Met Data'!$A$2:$F$368,G404,FALSE)</f>
      </c>
      <c r="J404" s="80">
        <f>HLOOKUP($H$4,'Met Data'!$H$2:$M$368,G404,FALSE)*L404</f>
      </c>
      <c r="K404" s="81">
        <f>HLOOKUP($H$4,'Met Data'!$O$2:$T$368,G404,FALSE)</f>
      </c>
      <c r="L404" s="7">
        <f>IF(H404&lt;$B$31,$J$3,$J$4)</f>
      </c>
      <c r="M404" s="3"/>
      <c r="N404" s="82">
        <f>IF(P404&lt;$P$3,TRUE,FALSE)</f>
      </c>
      <c r="O404" s="82">
        <f>AND(IF(P404&gt;($P$2-1),TRUE,FALSE),IF(P404&lt;($P$3+1),TRUE,FALSE))</f>
      </c>
      <c r="P404" s="83" t="s">
        <v>374</v>
      </c>
      <c r="Q404" s="13" t="s">
        <v>374</v>
      </c>
      <c r="R404" s="13" t="s">
        <v>374</v>
      </c>
      <c r="S404" s="13" t="s">
        <v>374</v>
      </c>
      <c r="T404" s="13" t="s">
        <v>374</v>
      </c>
      <c r="U404" s="12" t="s">
        <v>374</v>
      </c>
      <c r="V404" s="13" t="s">
        <v>374</v>
      </c>
      <c r="W404" s="13" t="s">
        <v>374</v>
      </c>
      <c r="X404" s="12" t="s">
        <v>374</v>
      </c>
      <c r="Y404" s="13" t="s">
        <v>374</v>
      </c>
      <c r="Z404" s="12" t="s">
        <v>374</v>
      </c>
      <c r="AA404" s="12" t="s">
        <v>374</v>
      </c>
      <c r="AB404" s="13" t="s">
        <v>374</v>
      </c>
      <c r="AC404" s="42"/>
      <c r="AD404" s="83">
        <f>IFERROR(P404,$AD$4)</f>
        <v>25569.5</v>
      </c>
      <c r="AE404" s="7">
        <f>IFERROR(U404,0)</f>
      </c>
      <c r="AF404" s="3"/>
      <c r="AG404" s="105">
        <f>Q403+S404+T404+U404</f>
      </c>
      <c r="AH404" s="105">
        <f>Q404+R404+X404</f>
      </c>
      <c r="AI404" s="60">
        <f>AH404-AG404</f>
      </c>
      <c r="AJ404" s="3"/>
      <c r="AK404" s="3"/>
    </row>
    <row x14ac:dyDescent="0.25" r="405" customHeight="1" ht="18.75">
      <c r="A405" s="3"/>
      <c r="B405" s="71"/>
      <c r="C405" s="3"/>
      <c r="D405" s="3"/>
      <c r="E405" s="3"/>
      <c r="F405" s="3"/>
      <c r="G405" s="59">
        <f>H405-DATE(YEAR(H405),1,0)+1</f>
      </c>
      <c r="H405" s="79">
        <f>H404+1</f>
        <v>25569.5</v>
      </c>
      <c r="I405" s="80">
        <f>HLOOKUP($H$4,'Met Data'!$A$2:$F$368,G405,FALSE)</f>
      </c>
      <c r="J405" s="80">
        <f>HLOOKUP($H$4,'Met Data'!$H$2:$M$368,G405,FALSE)*L405</f>
      </c>
      <c r="K405" s="81">
        <f>HLOOKUP($H$4,'Met Data'!$O$2:$T$368,G405,FALSE)</f>
      </c>
      <c r="L405" s="7">
        <f>IF(H405&lt;$B$31,$J$3,$J$4)</f>
      </c>
      <c r="M405" s="3"/>
      <c r="N405" s="82">
        <f>IF(P405&lt;$P$3,TRUE,FALSE)</f>
      </c>
      <c r="O405" s="82">
        <f>AND(IF(P405&gt;($P$2-1),TRUE,FALSE),IF(P405&lt;($P$3+1),TRUE,FALSE))</f>
      </c>
      <c r="P405" s="83" t="s">
        <v>374</v>
      </c>
      <c r="Q405" s="13" t="s">
        <v>374</v>
      </c>
      <c r="R405" s="13" t="s">
        <v>374</v>
      </c>
      <c r="S405" s="13" t="s">
        <v>374</v>
      </c>
      <c r="T405" s="13" t="s">
        <v>374</v>
      </c>
      <c r="U405" s="12" t="s">
        <v>374</v>
      </c>
      <c r="V405" s="13" t="s">
        <v>374</v>
      </c>
      <c r="W405" s="13" t="s">
        <v>374</v>
      </c>
      <c r="X405" s="12" t="s">
        <v>374</v>
      </c>
      <c r="Y405" s="13" t="s">
        <v>374</v>
      </c>
      <c r="Z405" s="12" t="s">
        <v>374</v>
      </c>
      <c r="AA405" s="12" t="s">
        <v>374</v>
      </c>
      <c r="AB405" s="13" t="s">
        <v>374</v>
      </c>
      <c r="AC405" s="42"/>
      <c r="AD405" s="83">
        <f>IFERROR(P405,$AD$4)</f>
        <v>25569.5</v>
      </c>
      <c r="AE405" s="7">
        <f>IFERROR(U405,0)</f>
      </c>
      <c r="AF405" s="3"/>
      <c r="AG405" s="105">
        <f>Q404+S405+T405+U405</f>
      </c>
      <c r="AH405" s="105">
        <f>Q405+R405+X405</f>
      </c>
      <c r="AI405" s="60">
        <f>AH405-AG405</f>
      </c>
      <c r="AJ405" s="3"/>
      <c r="AK405" s="3"/>
    </row>
    <row x14ac:dyDescent="0.25" r="406" customHeight="1" ht="18.75">
      <c r="A406" s="3"/>
      <c r="B406" s="71"/>
      <c r="C406" s="3"/>
      <c r="D406" s="3"/>
      <c r="E406" s="3"/>
      <c r="F406" s="3"/>
      <c r="G406" s="59">
        <f>H406-DATE(YEAR(H406),1,0)+1</f>
      </c>
      <c r="H406" s="79">
        <f>H405+1</f>
        <v>25569.5</v>
      </c>
      <c r="I406" s="80">
        <f>HLOOKUP($H$4,'Met Data'!$A$2:$F$368,G406,FALSE)</f>
      </c>
      <c r="J406" s="80">
        <f>HLOOKUP($H$4,'Met Data'!$H$2:$M$368,G406,FALSE)*L406</f>
      </c>
      <c r="K406" s="81">
        <f>HLOOKUP($H$4,'Met Data'!$O$2:$T$368,G406,FALSE)</f>
      </c>
      <c r="L406" s="7">
        <f>IF(H406&lt;$B$31,$J$3,$J$4)</f>
      </c>
      <c r="M406" s="3"/>
      <c r="N406" s="82">
        <f>IF(P406&lt;$P$3,TRUE,FALSE)</f>
      </c>
      <c r="O406" s="82">
        <f>AND(IF(P406&gt;($P$2-1),TRUE,FALSE),IF(P406&lt;($P$3+1),TRUE,FALSE))</f>
      </c>
      <c r="P406" s="83" t="s">
        <v>374</v>
      </c>
      <c r="Q406" s="13" t="s">
        <v>374</v>
      </c>
      <c r="R406" s="13" t="s">
        <v>374</v>
      </c>
      <c r="S406" s="13" t="s">
        <v>374</v>
      </c>
      <c r="T406" s="13" t="s">
        <v>374</v>
      </c>
      <c r="U406" s="12" t="s">
        <v>374</v>
      </c>
      <c r="V406" s="13" t="s">
        <v>374</v>
      </c>
      <c r="W406" s="13" t="s">
        <v>374</v>
      </c>
      <c r="X406" s="12" t="s">
        <v>374</v>
      </c>
      <c r="Y406" s="13" t="s">
        <v>374</v>
      </c>
      <c r="Z406" s="12" t="s">
        <v>374</v>
      </c>
      <c r="AA406" s="12" t="s">
        <v>374</v>
      </c>
      <c r="AB406" s="13" t="s">
        <v>374</v>
      </c>
      <c r="AC406" s="42"/>
      <c r="AD406" s="83">
        <f>IFERROR(P406,$AD$4)</f>
        <v>25569.5</v>
      </c>
      <c r="AE406" s="7">
        <f>IFERROR(U406,0)</f>
      </c>
      <c r="AF406" s="3"/>
      <c r="AG406" s="105">
        <f>Q405+S406+T406+U406</f>
      </c>
      <c r="AH406" s="105">
        <f>Q406+R406+X406</f>
      </c>
      <c r="AI406" s="60">
        <f>AH406-AG406</f>
      </c>
      <c r="AJ406" s="3"/>
      <c r="AK406" s="3"/>
    </row>
    <row x14ac:dyDescent="0.25" r="407" customHeight="1" ht="18.75">
      <c r="A407" s="3"/>
      <c r="B407" s="71"/>
      <c r="C407" s="3"/>
      <c r="D407" s="3"/>
      <c r="E407" s="3"/>
      <c r="F407" s="3"/>
      <c r="G407" s="59">
        <f>H407-DATE(YEAR(H407),1,0)+1</f>
      </c>
      <c r="H407" s="79">
        <f>H406+1</f>
        <v>25569.5</v>
      </c>
      <c r="I407" s="80">
        <f>HLOOKUP($H$4,'Met Data'!$A$2:$F$368,G407,FALSE)</f>
      </c>
      <c r="J407" s="80">
        <f>HLOOKUP($H$4,'Met Data'!$H$2:$M$368,G407,FALSE)*L407</f>
      </c>
      <c r="K407" s="81">
        <f>HLOOKUP($H$4,'Met Data'!$O$2:$T$368,G407,FALSE)</f>
      </c>
      <c r="L407" s="7">
        <f>IF(H407&lt;$B$31,$J$3,$J$4)</f>
      </c>
      <c r="M407" s="3"/>
      <c r="N407" s="82">
        <f>IF(P407&lt;$P$3,TRUE,FALSE)</f>
      </c>
      <c r="O407" s="82">
        <f>AND(IF(P407&gt;($P$2-1),TRUE,FALSE),IF(P407&lt;($P$3+1),TRUE,FALSE))</f>
      </c>
      <c r="P407" s="83" t="s">
        <v>374</v>
      </c>
      <c r="Q407" s="13" t="s">
        <v>374</v>
      </c>
      <c r="R407" s="13" t="s">
        <v>374</v>
      </c>
      <c r="S407" s="13" t="s">
        <v>374</v>
      </c>
      <c r="T407" s="13" t="s">
        <v>374</v>
      </c>
      <c r="U407" s="12" t="s">
        <v>374</v>
      </c>
      <c r="V407" s="13" t="s">
        <v>374</v>
      </c>
      <c r="W407" s="13" t="s">
        <v>374</v>
      </c>
      <c r="X407" s="12" t="s">
        <v>374</v>
      </c>
      <c r="Y407" s="13" t="s">
        <v>374</v>
      </c>
      <c r="Z407" s="12" t="s">
        <v>374</v>
      </c>
      <c r="AA407" s="12" t="s">
        <v>374</v>
      </c>
      <c r="AB407" s="13" t="s">
        <v>374</v>
      </c>
      <c r="AC407" s="42"/>
      <c r="AD407" s="83">
        <f>IFERROR(P407,$AD$4)</f>
        <v>25569.5</v>
      </c>
      <c r="AE407" s="7">
        <f>IFERROR(U407,0)</f>
      </c>
      <c r="AF407" s="3"/>
      <c r="AG407" s="105">
        <f>Q406+S407+T407+U407</f>
      </c>
      <c r="AH407" s="105">
        <f>Q407+R407+X407</f>
      </c>
      <c r="AI407" s="60">
        <f>AH407-AG407</f>
      </c>
      <c r="AJ407" s="3"/>
      <c r="AK407" s="3"/>
    </row>
    <row x14ac:dyDescent="0.25" r="408" customHeight="1" ht="18.75">
      <c r="A408" s="3"/>
      <c r="B408" s="71"/>
      <c r="C408" s="3"/>
      <c r="D408" s="3"/>
      <c r="E408" s="3"/>
      <c r="F408" s="3"/>
      <c r="G408" s="59">
        <f>H408-DATE(YEAR(H408),1,0)+1</f>
      </c>
      <c r="H408" s="79">
        <f>H407+1</f>
        <v>25569.5</v>
      </c>
      <c r="I408" s="80">
        <f>HLOOKUP($H$4,'Met Data'!$A$2:$F$368,G408,FALSE)</f>
      </c>
      <c r="J408" s="80">
        <f>HLOOKUP($H$4,'Met Data'!$H$2:$M$368,G408,FALSE)*L408</f>
      </c>
      <c r="K408" s="81">
        <f>HLOOKUP($H$4,'Met Data'!$O$2:$T$368,G408,FALSE)</f>
      </c>
      <c r="L408" s="7">
        <f>IF(H408&lt;$B$31,$J$3,$J$4)</f>
      </c>
      <c r="M408" s="3"/>
      <c r="N408" s="82">
        <f>IF(P408&lt;$P$3,TRUE,FALSE)</f>
      </c>
      <c r="O408" s="82">
        <f>AND(IF(P408&gt;($P$2-1),TRUE,FALSE),IF(P408&lt;($P$3+1),TRUE,FALSE))</f>
      </c>
      <c r="P408" s="83" t="s">
        <v>374</v>
      </c>
      <c r="Q408" s="13" t="s">
        <v>374</v>
      </c>
      <c r="R408" s="13" t="s">
        <v>374</v>
      </c>
      <c r="S408" s="13" t="s">
        <v>374</v>
      </c>
      <c r="T408" s="13" t="s">
        <v>374</v>
      </c>
      <c r="U408" s="12" t="s">
        <v>374</v>
      </c>
      <c r="V408" s="13" t="s">
        <v>374</v>
      </c>
      <c r="W408" s="13" t="s">
        <v>374</v>
      </c>
      <c r="X408" s="12" t="s">
        <v>374</v>
      </c>
      <c r="Y408" s="13" t="s">
        <v>374</v>
      </c>
      <c r="Z408" s="12" t="s">
        <v>374</v>
      </c>
      <c r="AA408" s="12" t="s">
        <v>374</v>
      </c>
      <c r="AB408" s="13" t="s">
        <v>374</v>
      </c>
      <c r="AC408" s="42"/>
      <c r="AD408" s="83">
        <f>IFERROR(P408,$AD$4)</f>
        <v>25569.5</v>
      </c>
      <c r="AE408" s="7">
        <f>IFERROR(U408,0)</f>
      </c>
      <c r="AF408" s="3"/>
      <c r="AG408" s="105">
        <f>Q407+S408+T408+U408</f>
      </c>
      <c r="AH408" s="105">
        <f>Q408+R408+X408</f>
      </c>
      <c r="AI408" s="60">
        <f>AH408-AG408</f>
      </c>
      <c r="AJ408" s="3"/>
      <c r="AK408" s="3"/>
    </row>
    <row x14ac:dyDescent="0.25" r="409" customHeight="1" ht="18.75">
      <c r="A409" s="3"/>
      <c r="B409" s="71"/>
      <c r="C409" s="3"/>
      <c r="D409" s="3"/>
      <c r="E409" s="3"/>
      <c r="F409" s="3"/>
      <c r="G409" s="59">
        <f>H409-DATE(YEAR(H409),1,0)+1</f>
      </c>
      <c r="H409" s="79">
        <f>H408+1</f>
        <v>25569.5</v>
      </c>
      <c r="I409" s="80">
        <f>HLOOKUP($H$4,'Met Data'!$A$2:$F$368,G409,FALSE)</f>
      </c>
      <c r="J409" s="80">
        <f>HLOOKUP($H$4,'Met Data'!$H$2:$M$368,G409,FALSE)*L409</f>
      </c>
      <c r="K409" s="81">
        <f>HLOOKUP($H$4,'Met Data'!$O$2:$T$368,G409,FALSE)</f>
      </c>
      <c r="L409" s="7">
        <f>IF(H409&lt;$B$31,$J$3,$J$4)</f>
      </c>
      <c r="M409" s="3"/>
      <c r="N409" s="82">
        <f>IF(P409&lt;$P$3,TRUE,FALSE)</f>
      </c>
      <c r="O409" s="82">
        <f>AND(IF(P409&gt;($P$2-1),TRUE,FALSE),IF(P409&lt;($P$3+1),TRUE,FALSE))</f>
      </c>
      <c r="P409" s="83" t="s">
        <v>374</v>
      </c>
      <c r="Q409" s="13" t="s">
        <v>374</v>
      </c>
      <c r="R409" s="13" t="s">
        <v>374</v>
      </c>
      <c r="S409" s="13" t="s">
        <v>374</v>
      </c>
      <c r="T409" s="13" t="s">
        <v>374</v>
      </c>
      <c r="U409" s="12" t="s">
        <v>374</v>
      </c>
      <c r="V409" s="13" t="s">
        <v>374</v>
      </c>
      <c r="W409" s="13" t="s">
        <v>374</v>
      </c>
      <c r="X409" s="12" t="s">
        <v>374</v>
      </c>
      <c r="Y409" s="13" t="s">
        <v>374</v>
      </c>
      <c r="Z409" s="12" t="s">
        <v>374</v>
      </c>
      <c r="AA409" s="12" t="s">
        <v>374</v>
      </c>
      <c r="AB409" s="13" t="s">
        <v>374</v>
      </c>
      <c r="AC409" s="42"/>
      <c r="AD409" s="83">
        <f>IFERROR(P409,$AD$4)</f>
        <v>25569.5</v>
      </c>
      <c r="AE409" s="7">
        <f>IFERROR(U409,0)</f>
      </c>
      <c r="AF409" s="3"/>
      <c r="AG409" s="105">
        <f>Q408+S409+T409+U409</f>
      </c>
      <c r="AH409" s="105">
        <f>Q409+R409+X409</f>
      </c>
      <c r="AI409" s="60">
        <f>AH409-AG409</f>
      </c>
      <c r="AJ409" s="3"/>
      <c r="AK409" s="3"/>
    </row>
    <row x14ac:dyDescent="0.25" r="410" customHeight="1" ht="18.75">
      <c r="A410" s="3"/>
      <c r="B410" s="71"/>
      <c r="C410" s="3"/>
      <c r="D410" s="3"/>
      <c r="E410" s="3"/>
      <c r="F410" s="3"/>
      <c r="G410" s="59">
        <f>H410-DATE(YEAR(H410),1,0)+1</f>
      </c>
      <c r="H410" s="79">
        <f>H409+1</f>
        <v>25569.5</v>
      </c>
      <c r="I410" s="80">
        <f>HLOOKUP($H$4,'Met Data'!$A$2:$F$368,G410,FALSE)</f>
      </c>
      <c r="J410" s="80">
        <f>HLOOKUP($H$4,'Met Data'!$H$2:$M$368,G410,FALSE)*L410</f>
      </c>
      <c r="K410" s="81">
        <f>HLOOKUP($H$4,'Met Data'!$O$2:$T$368,G410,FALSE)</f>
      </c>
      <c r="L410" s="7">
        <f>IF(H410&lt;$B$31,$J$3,$J$4)</f>
      </c>
      <c r="M410" s="3"/>
      <c r="N410" s="82">
        <f>IF(P410&lt;$P$3,TRUE,FALSE)</f>
      </c>
      <c r="O410" s="82">
        <f>AND(IF(P410&gt;($P$2-1),TRUE,FALSE),IF(P410&lt;($P$3+1),TRUE,FALSE))</f>
      </c>
      <c r="P410" s="83" t="s">
        <v>374</v>
      </c>
      <c r="Q410" s="13" t="s">
        <v>374</v>
      </c>
      <c r="R410" s="13" t="s">
        <v>374</v>
      </c>
      <c r="S410" s="13" t="s">
        <v>374</v>
      </c>
      <c r="T410" s="13" t="s">
        <v>374</v>
      </c>
      <c r="U410" s="12" t="s">
        <v>374</v>
      </c>
      <c r="V410" s="13" t="s">
        <v>374</v>
      </c>
      <c r="W410" s="13" t="s">
        <v>374</v>
      </c>
      <c r="X410" s="12" t="s">
        <v>374</v>
      </c>
      <c r="Y410" s="13" t="s">
        <v>374</v>
      </c>
      <c r="Z410" s="12" t="s">
        <v>374</v>
      </c>
      <c r="AA410" s="12" t="s">
        <v>374</v>
      </c>
      <c r="AB410" s="13" t="s">
        <v>374</v>
      </c>
      <c r="AC410" s="42"/>
      <c r="AD410" s="83">
        <f>IFERROR(P410,$AD$4)</f>
        <v>25569.5</v>
      </c>
      <c r="AE410" s="7">
        <f>IFERROR(U410,0)</f>
      </c>
      <c r="AF410" s="3"/>
      <c r="AG410" s="105">
        <f>Q409+S410+T410+U410</f>
      </c>
      <c r="AH410" s="105">
        <f>Q410+R410+X410</f>
      </c>
      <c r="AI410" s="60">
        <f>AH410-AG410</f>
      </c>
      <c r="AJ410" s="3"/>
      <c r="AK410" s="3"/>
    </row>
    <row x14ac:dyDescent="0.25" r="411" customHeight="1" ht="18.75">
      <c r="A411" s="3"/>
      <c r="B411" s="71"/>
      <c r="C411" s="3"/>
      <c r="D411" s="3"/>
      <c r="E411" s="3"/>
      <c r="F411" s="3"/>
      <c r="G411" s="59">
        <f>H411-DATE(YEAR(H411),1,0)+1</f>
      </c>
      <c r="H411" s="79">
        <f>H410+1</f>
        <v>25569.5</v>
      </c>
      <c r="I411" s="80">
        <f>HLOOKUP($H$4,'Met Data'!$A$2:$F$368,G411,FALSE)</f>
      </c>
      <c r="J411" s="80">
        <f>HLOOKUP($H$4,'Met Data'!$H$2:$M$368,G411,FALSE)*L411</f>
      </c>
      <c r="K411" s="81">
        <f>HLOOKUP($H$4,'Met Data'!$O$2:$T$368,G411,FALSE)</f>
      </c>
      <c r="L411" s="7">
        <f>IF(H411&lt;$B$31,$J$3,$J$4)</f>
      </c>
      <c r="M411" s="3"/>
      <c r="N411" s="82">
        <f>IF(P411&lt;$P$3,TRUE,FALSE)</f>
      </c>
      <c r="O411" s="82">
        <f>AND(IF(P411&gt;($P$2-1),TRUE,FALSE),IF(P411&lt;($P$3+1),TRUE,FALSE))</f>
      </c>
      <c r="P411" s="83" t="s">
        <v>374</v>
      </c>
      <c r="Q411" s="13" t="s">
        <v>374</v>
      </c>
      <c r="R411" s="13" t="s">
        <v>374</v>
      </c>
      <c r="S411" s="13" t="s">
        <v>374</v>
      </c>
      <c r="T411" s="13" t="s">
        <v>374</v>
      </c>
      <c r="U411" s="12" t="s">
        <v>374</v>
      </c>
      <c r="V411" s="13" t="s">
        <v>374</v>
      </c>
      <c r="W411" s="13" t="s">
        <v>374</v>
      </c>
      <c r="X411" s="12" t="s">
        <v>374</v>
      </c>
      <c r="Y411" s="13" t="s">
        <v>374</v>
      </c>
      <c r="Z411" s="12" t="s">
        <v>374</v>
      </c>
      <c r="AA411" s="12" t="s">
        <v>374</v>
      </c>
      <c r="AB411" s="13" t="s">
        <v>374</v>
      </c>
      <c r="AC411" s="42"/>
      <c r="AD411" s="83">
        <f>IFERROR(P411,$AD$4)</f>
        <v>25569.5</v>
      </c>
      <c r="AE411" s="7">
        <f>IFERROR(U411,0)</f>
      </c>
      <c r="AF411" s="3"/>
      <c r="AG411" s="105">
        <f>Q410+S411+T411+U411</f>
      </c>
      <c r="AH411" s="105">
        <f>Q411+R411+X411</f>
      </c>
      <c r="AI411" s="60">
        <f>AH411-AG411</f>
      </c>
      <c r="AJ411" s="3"/>
      <c r="AK411" s="3"/>
    </row>
    <row x14ac:dyDescent="0.25" r="412" customHeight="1" ht="18.75">
      <c r="A412" s="3"/>
      <c r="B412" s="71"/>
      <c r="C412" s="3"/>
      <c r="D412" s="3"/>
      <c r="E412" s="3"/>
      <c r="F412" s="3"/>
      <c r="G412" s="59">
        <f>H412-DATE(YEAR(H412),1,0)+1</f>
      </c>
      <c r="H412" s="79">
        <f>H411+1</f>
        <v>25569.5</v>
      </c>
      <c r="I412" s="80">
        <f>HLOOKUP($H$4,'Met Data'!$A$2:$F$368,G412,FALSE)</f>
      </c>
      <c r="J412" s="80">
        <f>HLOOKUP($H$4,'Met Data'!$H$2:$M$368,G412,FALSE)*L412</f>
      </c>
      <c r="K412" s="81">
        <f>HLOOKUP($H$4,'Met Data'!$O$2:$T$368,G412,FALSE)</f>
      </c>
      <c r="L412" s="7">
        <f>IF(H412&lt;$B$31,$J$3,$J$4)</f>
      </c>
      <c r="M412" s="3"/>
      <c r="N412" s="82">
        <f>IF(P412&lt;$P$3,TRUE,FALSE)</f>
      </c>
      <c r="O412" s="82">
        <f>AND(IF(P412&gt;($P$2-1),TRUE,FALSE),IF(P412&lt;($P$3+1),TRUE,FALSE))</f>
      </c>
      <c r="P412" s="83" t="s">
        <v>374</v>
      </c>
      <c r="Q412" s="13" t="s">
        <v>374</v>
      </c>
      <c r="R412" s="13" t="s">
        <v>374</v>
      </c>
      <c r="S412" s="13" t="s">
        <v>374</v>
      </c>
      <c r="T412" s="13" t="s">
        <v>374</v>
      </c>
      <c r="U412" s="12" t="s">
        <v>374</v>
      </c>
      <c r="V412" s="13" t="s">
        <v>374</v>
      </c>
      <c r="W412" s="13" t="s">
        <v>374</v>
      </c>
      <c r="X412" s="12" t="s">
        <v>374</v>
      </c>
      <c r="Y412" s="13" t="s">
        <v>374</v>
      </c>
      <c r="Z412" s="12" t="s">
        <v>374</v>
      </c>
      <c r="AA412" s="12" t="s">
        <v>374</v>
      </c>
      <c r="AB412" s="13" t="s">
        <v>374</v>
      </c>
      <c r="AC412" s="42"/>
      <c r="AD412" s="83">
        <f>IFERROR(P412,$AD$4)</f>
        <v>25569.5</v>
      </c>
      <c r="AE412" s="7">
        <f>IFERROR(U412,0)</f>
      </c>
      <c r="AF412" s="3"/>
      <c r="AG412" s="105">
        <f>Q411+S412+T412+U412</f>
      </c>
      <c r="AH412" s="105">
        <f>Q412+R412+X412</f>
      </c>
      <c r="AI412" s="60">
        <f>AH412-AG412</f>
      </c>
      <c r="AJ412" s="3"/>
      <c r="AK412" s="3"/>
    </row>
    <row x14ac:dyDescent="0.25" r="413" customHeight="1" ht="18.75">
      <c r="A413" s="3"/>
      <c r="B413" s="71"/>
      <c r="C413" s="3"/>
      <c r="D413" s="3"/>
      <c r="E413" s="3"/>
      <c r="F413" s="3"/>
      <c r="G413" s="59">
        <f>H413-DATE(YEAR(H413),1,0)+1</f>
      </c>
      <c r="H413" s="79">
        <f>H412+1</f>
        <v>25569.5</v>
      </c>
      <c r="I413" s="80">
        <f>HLOOKUP($H$4,'Met Data'!$A$2:$F$368,G413,FALSE)</f>
      </c>
      <c r="J413" s="80">
        <f>HLOOKUP($H$4,'Met Data'!$H$2:$M$368,G413,FALSE)*L413</f>
      </c>
      <c r="K413" s="81">
        <f>HLOOKUP($H$4,'Met Data'!$O$2:$T$368,G413,FALSE)</f>
      </c>
      <c r="L413" s="7">
        <f>IF(H413&lt;$B$31,$J$3,$J$4)</f>
      </c>
      <c r="M413" s="3"/>
      <c r="N413" s="82">
        <f>IF(P413&lt;$P$3,TRUE,FALSE)</f>
      </c>
      <c r="O413" s="82">
        <f>AND(IF(P413&gt;($P$2-1),TRUE,FALSE),IF(P413&lt;($P$3+1),TRUE,FALSE))</f>
      </c>
      <c r="P413" s="83" t="s">
        <v>374</v>
      </c>
      <c r="Q413" s="13" t="s">
        <v>374</v>
      </c>
      <c r="R413" s="13" t="s">
        <v>374</v>
      </c>
      <c r="S413" s="13" t="s">
        <v>374</v>
      </c>
      <c r="T413" s="13" t="s">
        <v>374</v>
      </c>
      <c r="U413" s="12" t="s">
        <v>374</v>
      </c>
      <c r="V413" s="13" t="s">
        <v>374</v>
      </c>
      <c r="W413" s="13" t="s">
        <v>374</v>
      </c>
      <c r="X413" s="12" t="s">
        <v>374</v>
      </c>
      <c r="Y413" s="13" t="s">
        <v>374</v>
      </c>
      <c r="Z413" s="12" t="s">
        <v>374</v>
      </c>
      <c r="AA413" s="12" t="s">
        <v>374</v>
      </c>
      <c r="AB413" s="13" t="s">
        <v>374</v>
      </c>
      <c r="AC413" s="42"/>
      <c r="AD413" s="83">
        <f>IFERROR(P413,$AD$4)</f>
        <v>25569.5</v>
      </c>
      <c r="AE413" s="7">
        <f>IFERROR(U413,0)</f>
      </c>
      <c r="AF413" s="3"/>
      <c r="AG413" s="105">
        <f>Q412+S413+T413+U413</f>
      </c>
      <c r="AH413" s="105">
        <f>Q413+R413+X413</f>
      </c>
      <c r="AI413" s="60">
        <f>AH413-AG413</f>
      </c>
      <c r="AJ413" s="3"/>
      <c r="AK413" s="3"/>
    </row>
    <row x14ac:dyDescent="0.25" r="414" customHeight="1" ht="18.75">
      <c r="A414" s="3"/>
      <c r="B414" s="71"/>
      <c r="C414" s="3"/>
      <c r="D414" s="3"/>
      <c r="E414" s="3"/>
      <c r="F414" s="3"/>
      <c r="G414" s="59">
        <f>H414-DATE(YEAR(H414),1,0)+1</f>
      </c>
      <c r="H414" s="79">
        <f>H413+1</f>
        <v>25569.5</v>
      </c>
      <c r="I414" s="80">
        <f>HLOOKUP($H$4,'Met Data'!$A$2:$F$368,G414,FALSE)</f>
      </c>
      <c r="J414" s="80">
        <f>HLOOKUP($H$4,'Met Data'!$H$2:$M$368,G414,FALSE)*L414</f>
      </c>
      <c r="K414" s="81">
        <f>HLOOKUP($H$4,'Met Data'!$O$2:$T$368,G414,FALSE)</f>
      </c>
      <c r="L414" s="7">
        <f>IF(H414&lt;$B$31,$J$3,$J$4)</f>
      </c>
      <c r="M414" s="3"/>
      <c r="N414" s="82">
        <f>IF(P414&lt;$P$3,TRUE,FALSE)</f>
      </c>
      <c r="O414" s="82">
        <f>AND(IF(P414&gt;($P$2-1),TRUE,FALSE),IF(P414&lt;($P$3+1),TRUE,FALSE))</f>
      </c>
      <c r="P414" s="83" t="s">
        <v>374</v>
      </c>
      <c r="Q414" s="13" t="s">
        <v>374</v>
      </c>
      <c r="R414" s="13" t="s">
        <v>374</v>
      </c>
      <c r="S414" s="13" t="s">
        <v>374</v>
      </c>
      <c r="T414" s="13" t="s">
        <v>374</v>
      </c>
      <c r="U414" s="12" t="s">
        <v>374</v>
      </c>
      <c r="V414" s="13" t="s">
        <v>374</v>
      </c>
      <c r="W414" s="13" t="s">
        <v>374</v>
      </c>
      <c r="X414" s="12" t="s">
        <v>374</v>
      </c>
      <c r="Y414" s="13" t="s">
        <v>374</v>
      </c>
      <c r="Z414" s="12" t="s">
        <v>374</v>
      </c>
      <c r="AA414" s="12" t="s">
        <v>374</v>
      </c>
      <c r="AB414" s="13" t="s">
        <v>374</v>
      </c>
      <c r="AC414" s="42"/>
      <c r="AD414" s="83">
        <f>IFERROR(P414,$AD$4)</f>
        <v>25569.5</v>
      </c>
      <c r="AE414" s="7">
        <f>IFERROR(U414,0)</f>
      </c>
      <c r="AF414" s="3"/>
      <c r="AG414" s="105">
        <f>Q413+S414+T414+U414</f>
      </c>
      <c r="AH414" s="105">
        <f>Q414+R414+X414</f>
      </c>
      <c r="AI414" s="60">
        <f>AH414-AG414</f>
      </c>
      <c r="AJ414" s="3"/>
      <c r="AK414" s="3"/>
    </row>
    <row x14ac:dyDescent="0.25" r="415" customHeight="1" ht="18.75">
      <c r="A415" s="3"/>
      <c r="B415" s="71"/>
      <c r="C415" s="3"/>
      <c r="D415" s="3"/>
      <c r="E415" s="3"/>
      <c r="F415" s="3"/>
      <c r="G415" s="59">
        <f>H415-DATE(YEAR(H415),1,0)+1</f>
      </c>
      <c r="H415" s="79">
        <f>H414+1</f>
        <v>25569.5</v>
      </c>
      <c r="I415" s="80">
        <f>HLOOKUP($H$4,'Met Data'!$A$2:$F$368,G415,FALSE)</f>
      </c>
      <c r="J415" s="80">
        <f>HLOOKUP($H$4,'Met Data'!$H$2:$M$368,G415,FALSE)*L415</f>
      </c>
      <c r="K415" s="81">
        <f>HLOOKUP($H$4,'Met Data'!$O$2:$T$368,G415,FALSE)</f>
      </c>
      <c r="L415" s="7">
        <f>IF(H415&lt;$B$31,$J$3,$J$4)</f>
      </c>
      <c r="M415" s="3"/>
      <c r="N415" s="82">
        <f>IF(P415&lt;$P$3,TRUE,FALSE)</f>
      </c>
      <c r="O415" s="82">
        <f>AND(IF(P415&gt;($P$2-1),TRUE,FALSE),IF(P415&lt;($P$3+1),TRUE,FALSE))</f>
      </c>
      <c r="P415" s="83" t="s">
        <v>374</v>
      </c>
      <c r="Q415" s="13" t="s">
        <v>374</v>
      </c>
      <c r="R415" s="13" t="s">
        <v>374</v>
      </c>
      <c r="S415" s="13" t="s">
        <v>374</v>
      </c>
      <c r="T415" s="13" t="s">
        <v>374</v>
      </c>
      <c r="U415" s="12" t="s">
        <v>374</v>
      </c>
      <c r="V415" s="13" t="s">
        <v>374</v>
      </c>
      <c r="W415" s="13" t="s">
        <v>374</v>
      </c>
      <c r="X415" s="12" t="s">
        <v>374</v>
      </c>
      <c r="Y415" s="13" t="s">
        <v>374</v>
      </c>
      <c r="Z415" s="12" t="s">
        <v>374</v>
      </c>
      <c r="AA415" s="12" t="s">
        <v>374</v>
      </c>
      <c r="AB415" s="13" t="s">
        <v>374</v>
      </c>
      <c r="AC415" s="42"/>
      <c r="AD415" s="83">
        <f>IFERROR(P415,$AD$4)</f>
        <v>25569.5</v>
      </c>
      <c r="AE415" s="7">
        <f>IFERROR(U415,0)</f>
      </c>
      <c r="AF415" s="3"/>
      <c r="AG415" s="105">
        <f>Q414+S415+T415+U415</f>
      </c>
      <c r="AH415" s="105">
        <f>Q415+R415+X415</f>
      </c>
      <c r="AI415" s="60">
        <f>AH415-AG415</f>
      </c>
      <c r="AJ415" s="3"/>
      <c r="AK415" s="3"/>
    </row>
    <row x14ac:dyDescent="0.25" r="416" customHeight="1" ht="18.75">
      <c r="A416" s="3"/>
      <c r="B416" s="71"/>
      <c r="C416" s="3"/>
      <c r="D416" s="3"/>
      <c r="E416" s="3"/>
      <c r="F416" s="3"/>
      <c r="G416" s="59">
        <f>H416-DATE(YEAR(H416),1,0)+1</f>
      </c>
      <c r="H416" s="79">
        <f>H415+1</f>
        <v>25569.5</v>
      </c>
      <c r="I416" s="80">
        <f>HLOOKUP($H$4,'Met Data'!$A$2:$F$368,G416,FALSE)</f>
      </c>
      <c r="J416" s="80">
        <f>HLOOKUP($H$4,'Met Data'!$H$2:$M$368,G416,FALSE)*L416</f>
      </c>
      <c r="K416" s="81">
        <f>HLOOKUP($H$4,'Met Data'!$O$2:$T$368,G416,FALSE)</f>
      </c>
      <c r="L416" s="7">
        <f>IF(H416&lt;$B$31,$J$3,$J$4)</f>
      </c>
      <c r="M416" s="3"/>
      <c r="N416" s="82">
        <f>IF(P416&lt;$P$3,TRUE,FALSE)</f>
      </c>
      <c r="O416" s="82">
        <f>AND(IF(P416&gt;($P$2-1),TRUE,FALSE),IF(P416&lt;($P$3+1),TRUE,FALSE))</f>
      </c>
      <c r="P416" s="83" t="s">
        <v>374</v>
      </c>
      <c r="Q416" s="13" t="s">
        <v>374</v>
      </c>
      <c r="R416" s="13" t="s">
        <v>374</v>
      </c>
      <c r="S416" s="13" t="s">
        <v>374</v>
      </c>
      <c r="T416" s="13" t="s">
        <v>374</v>
      </c>
      <c r="U416" s="12" t="s">
        <v>374</v>
      </c>
      <c r="V416" s="13" t="s">
        <v>374</v>
      </c>
      <c r="W416" s="13" t="s">
        <v>374</v>
      </c>
      <c r="X416" s="12" t="s">
        <v>374</v>
      </c>
      <c r="Y416" s="13" t="s">
        <v>374</v>
      </c>
      <c r="Z416" s="12" t="s">
        <v>374</v>
      </c>
      <c r="AA416" s="12" t="s">
        <v>374</v>
      </c>
      <c r="AB416" s="13" t="s">
        <v>374</v>
      </c>
      <c r="AC416" s="42"/>
      <c r="AD416" s="83">
        <f>IFERROR(P416,$AD$4)</f>
        <v>25569.5</v>
      </c>
      <c r="AE416" s="7">
        <f>IFERROR(U416,0)</f>
      </c>
      <c r="AF416" s="3"/>
      <c r="AG416" s="105">
        <f>Q415+S416+T416+U416</f>
      </c>
      <c r="AH416" s="105">
        <f>Q416+R416+X416</f>
      </c>
      <c r="AI416" s="60">
        <f>AH416-AG416</f>
      </c>
      <c r="AJ416" s="3"/>
      <c r="AK416" s="3"/>
    </row>
    <row x14ac:dyDescent="0.25" r="417" customHeight="1" ht="18.75">
      <c r="A417" s="3"/>
      <c r="B417" s="71"/>
      <c r="C417" s="3"/>
      <c r="D417" s="3"/>
      <c r="E417" s="3"/>
      <c r="F417" s="3"/>
      <c r="G417" s="59">
        <f>H417-DATE(YEAR(H417),1,0)+1</f>
      </c>
      <c r="H417" s="79">
        <f>H416+1</f>
        <v>25569.5</v>
      </c>
      <c r="I417" s="80">
        <f>HLOOKUP($H$4,'Met Data'!$A$2:$F$368,G417,FALSE)</f>
      </c>
      <c r="J417" s="80">
        <f>HLOOKUP($H$4,'Met Data'!$H$2:$M$368,G417,FALSE)*L417</f>
      </c>
      <c r="K417" s="81">
        <f>HLOOKUP($H$4,'Met Data'!$O$2:$T$368,G417,FALSE)</f>
      </c>
      <c r="L417" s="7">
        <f>IF(H417&lt;$B$31,$J$3,$J$4)</f>
      </c>
      <c r="M417" s="3"/>
      <c r="N417" s="82">
        <f>IF(P417&lt;$P$3,TRUE,FALSE)</f>
      </c>
      <c r="O417" s="82">
        <f>AND(IF(P417&gt;($P$2-1),TRUE,FALSE),IF(P417&lt;($P$3+1),TRUE,FALSE))</f>
      </c>
      <c r="P417" s="83" t="s">
        <v>374</v>
      </c>
      <c r="Q417" s="13" t="s">
        <v>374</v>
      </c>
      <c r="R417" s="13" t="s">
        <v>374</v>
      </c>
      <c r="S417" s="13" t="s">
        <v>374</v>
      </c>
      <c r="T417" s="13" t="s">
        <v>374</v>
      </c>
      <c r="U417" s="12" t="s">
        <v>374</v>
      </c>
      <c r="V417" s="13" t="s">
        <v>374</v>
      </c>
      <c r="W417" s="13" t="s">
        <v>374</v>
      </c>
      <c r="X417" s="12" t="s">
        <v>374</v>
      </c>
      <c r="Y417" s="13" t="s">
        <v>374</v>
      </c>
      <c r="Z417" s="12" t="s">
        <v>374</v>
      </c>
      <c r="AA417" s="12" t="s">
        <v>374</v>
      </c>
      <c r="AB417" s="13" t="s">
        <v>374</v>
      </c>
      <c r="AC417" s="42"/>
      <c r="AD417" s="83">
        <f>IFERROR(P417,$AD$4)</f>
        <v>25569.5</v>
      </c>
      <c r="AE417" s="7">
        <f>IFERROR(U417,0)</f>
      </c>
      <c r="AF417" s="3"/>
      <c r="AG417" s="105">
        <f>Q416+S417+T417+U417</f>
      </c>
      <c r="AH417" s="105">
        <f>Q417+R417+X417</f>
      </c>
      <c r="AI417" s="60">
        <f>AH417-AG417</f>
      </c>
      <c r="AJ417" s="3"/>
      <c r="AK417" s="3"/>
    </row>
    <row x14ac:dyDescent="0.25" r="418" customHeight="1" ht="18.75">
      <c r="A418" s="3"/>
      <c r="B418" s="71"/>
      <c r="C418" s="3"/>
      <c r="D418" s="3"/>
      <c r="E418" s="3"/>
      <c r="F418" s="3"/>
      <c r="G418" s="59">
        <f>H418-DATE(YEAR(H418),1,0)+1</f>
      </c>
      <c r="H418" s="79">
        <f>H417+1</f>
        <v>25569.5</v>
      </c>
      <c r="I418" s="80">
        <f>HLOOKUP($H$4,'Met Data'!$A$2:$F$368,G418,FALSE)</f>
      </c>
      <c r="J418" s="80">
        <f>HLOOKUP($H$4,'Met Data'!$H$2:$M$368,G418,FALSE)*L418</f>
      </c>
      <c r="K418" s="81">
        <f>HLOOKUP($H$4,'Met Data'!$O$2:$T$368,G418,FALSE)</f>
      </c>
      <c r="L418" s="7">
        <f>IF(H418&lt;$B$31,$J$3,$J$4)</f>
      </c>
      <c r="M418" s="3"/>
      <c r="N418" s="82">
        <f>IF(P418&lt;$P$3,TRUE,FALSE)</f>
      </c>
      <c r="O418" s="82">
        <f>AND(IF(P418&gt;($P$2-1),TRUE,FALSE),IF(P418&lt;($P$3+1),TRUE,FALSE))</f>
      </c>
      <c r="P418" s="83" t="s">
        <v>374</v>
      </c>
      <c r="Q418" s="13" t="s">
        <v>374</v>
      </c>
      <c r="R418" s="13" t="s">
        <v>374</v>
      </c>
      <c r="S418" s="13" t="s">
        <v>374</v>
      </c>
      <c r="T418" s="13" t="s">
        <v>374</v>
      </c>
      <c r="U418" s="12" t="s">
        <v>374</v>
      </c>
      <c r="V418" s="13" t="s">
        <v>374</v>
      </c>
      <c r="W418" s="13" t="s">
        <v>374</v>
      </c>
      <c r="X418" s="12" t="s">
        <v>374</v>
      </c>
      <c r="Y418" s="13" t="s">
        <v>374</v>
      </c>
      <c r="Z418" s="12" t="s">
        <v>374</v>
      </c>
      <c r="AA418" s="12" t="s">
        <v>374</v>
      </c>
      <c r="AB418" s="13" t="s">
        <v>374</v>
      </c>
      <c r="AC418" s="42"/>
      <c r="AD418" s="83">
        <f>IFERROR(P418,$AD$4)</f>
        <v>25569.5</v>
      </c>
      <c r="AE418" s="7">
        <f>IFERROR(U418,0)</f>
      </c>
      <c r="AF418" s="3"/>
      <c r="AG418" s="105">
        <f>Q417+S418+T418+U418</f>
      </c>
      <c r="AH418" s="105">
        <f>Q418+R418+X418</f>
      </c>
      <c r="AI418" s="60">
        <f>AH418-AG418</f>
      </c>
      <c r="AJ418" s="3"/>
      <c r="AK418" s="3"/>
    </row>
    <row x14ac:dyDescent="0.25" r="419" customHeight="1" ht="18.75">
      <c r="A419" s="3"/>
      <c r="B419" s="71"/>
      <c r="C419" s="3"/>
      <c r="D419" s="3"/>
      <c r="E419" s="3"/>
      <c r="F419" s="3"/>
      <c r="G419" s="59">
        <f>H419-DATE(YEAR(H419),1,0)+1</f>
      </c>
      <c r="H419" s="79">
        <f>H418+1</f>
        <v>25569.5</v>
      </c>
      <c r="I419" s="80">
        <f>HLOOKUP($H$4,'Met Data'!$A$2:$F$368,G419,FALSE)</f>
      </c>
      <c r="J419" s="103">
        <f>HLOOKUP($H$4,'Met Data'!$H$2:$M$368,G419,FALSE)*L419</f>
      </c>
      <c r="K419" s="81">
        <f>HLOOKUP($H$4,'Met Data'!$O$2:$T$368,G419,FALSE)</f>
      </c>
      <c r="L419" s="7">
        <f>IF(H419&lt;$B$31,$J$3,$J$4)</f>
      </c>
      <c r="M419" s="3"/>
      <c r="N419" s="82">
        <f>IF(P419&lt;$P$3,TRUE,FALSE)</f>
      </c>
      <c r="O419" s="82">
        <f>AND(IF(P419&gt;($P$2-1),TRUE,FALSE),IF(P419&lt;($P$3+1),TRUE,FALSE))</f>
      </c>
      <c r="P419" s="83" t="s">
        <v>374</v>
      </c>
      <c r="Q419" s="13" t="s">
        <v>374</v>
      </c>
      <c r="R419" s="13" t="s">
        <v>374</v>
      </c>
      <c r="S419" s="13" t="s">
        <v>374</v>
      </c>
      <c r="T419" s="13" t="s">
        <v>374</v>
      </c>
      <c r="U419" s="12" t="s">
        <v>374</v>
      </c>
      <c r="V419" s="13" t="s">
        <v>374</v>
      </c>
      <c r="W419" s="13" t="s">
        <v>374</v>
      </c>
      <c r="X419" s="12" t="s">
        <v>374</v>
      </c>
      <c r="Y419" s="13" t="s">
        <v>374</v>
      </c>
      <c r="Z419" s="12" t="s">
        <v>374</v>
      </c>
      <c r="AA419" s="12" t="s">
        <v>374</v>
      </c>
      <c r="AB419" s="13" t="s">
        <v>374</v>
      </c>
      <c r="AC419" s="42"/>
      <c r="AD419" s="83">
        <f>IFERROR(P419,$AD$4)</f>
        <v>25569.5</v>
      </c>
      <c r="AE419" s="7">
        <f>IFERROR(U419,0)</f>
      </c>
      <c r="AF419" s="3"/>
      <c r="AG419" s="105">
        <f>Q418+S419+T419+U419</f>
      </c>
      <c r="AH419" s="105">
        <f>Q419+R419+X419</f>
      </c>
      <c r="AI419" s="60">
        <f>AH419-AG419</f>
      </c>
      <c r="AJ419" s="3"/>
      <c r="AK419" s="3"/>
    </row>
    <row x14ac:dyDescent="0.25" r="420" customHeight="1" ht="18.75">
      <c r="A420" s="3"/>
      <c r="B420" s="71"/>
      <c r="C420" s="3"/>
      <c r="D420" s="3"/>
      <c r="E420" s="3"/>
      <c r="F420" s="3"/>
      <c r="G420" s="59">
        <f>H420-DATE(YEAR(H420),1,0)+1</f>
      </c>
      <c r="H420" s="79">
        <f>H419+1</f>
        <v>25569.5</v>
      </c>
      <c r="I420" s="80">
        <f>HLOOKUP($H$4,'Met Data'!$A$2:$F$368,G420,FALSE)</f>
      </c>
      <c r="J420" s="80">
        <f>HLOOKUP($H$4,'Met Data'!$H$2:$M$368,G420,FALSE)*L420</f>
      </c>
      <c r="K420" s="81">
        <f>HLOOKUP($H$4,'Met Data'!$O$2:$T$368,G420,FALSE)</f>
      </c>
      <c r="L420" s="7">
        <f>IF(H420&lt;$B$31,$J$3,$J$4)</f>
      </c>
      <c r="M420" s="3"/>
      <c r="N420" s="82">
        <f>IF(P420&lt;$P$3,TRUE,FALSE)</f>
      </c>
      <c r="O420" s="82">
        <f>AND(IF(P420&gt;($P$2-1),TRUE,FALSE),IF(P420&lt;($P$3+1),TRUE,FALSE))</f>
      </c>
      <c r="P420" s="83" t="s">
        <v>374</v>
      </c>
      <c r="Q420" s="13" t="s">
        <v>374</v>
      </c>
      <c r="R420" s="13" t="s">
        <v>374</v>
      </c>
      <c r="S420" s="13" t="s">
        <v>374</v>
      </c>
      <c r="T420" s="13" t="s">
        <v>374</v>
      </c>
      <c r="U420" s="12" t="s">
        <v>374</v>
      </c>
      <c r="V420" s="13" t="s">
        <v>374</v>
      </c>
      <c r="W420" s="13" t="s">
        <v>374</v>
      </c>
      <c r="X420" s="12" t="s">
        <v>374</v>
      </c>
      <c r="Y420" s="13" t="s">
        <v>374</v>
      </c>
      <c r="Z420" s="12" t="s">
        <v>374</v>
      </c>
      <c r="AA420" s="12" t="s">
        <v>374</v>
      </c>
      <c r="AB420" s="13" t="s">
        <v>374</v>
      </c>
      <c r="AC420" s="42"/>
      <c r="AD420" s="83">
        <f>IFERROR(P420,$AD$4)</f>
        <v>25569.5</v>
      </c>
      <c r="AE420" s="7">
        <f>IFERROR(U420,0)</f>
      </c>
      <c r="AF420" s="3"/>
      <c r="AG420" s="105">
        <f>Q419+S420+T420+U420</f>
      </c>
      <c r="AH420" s="105">
        <f>Q420+R420+X420</f>
      </c>
      <c r="AI420" s="60">
        <f>AH420-AG420</f>
      </c>
      <c r="AJ420" s="3"/>
      <c r="AK420" s="3"/>
    </row>
    <row x14ac:dyDescent="0.25" r="421" customHeight="1" ht="18.75">
      <c r="A421" s="3"/>
      <c r="B421" s="71"/>
      <c r="C421" s="3"/>
      <c r="D421" s="3"/>
      <c r="E421" s="3"/>
      <c r="F421" s="3"/>
      <c r="G421" s="59">
        <f>H421-DATE(YEAR(H421),1,0)+1</f>
      </c>
      <c r="H421" s="79">
        <f>H420+1</f>
        <v>25569.5</v>
      </c>
      <c r="I421" s="80">
        <f>HLOOKUP($H$4,'Met Data'!$A$2:$F$368,G421,FALSE)</f>
      </c>
      <c r="J421" s="80">
        <f>HLOOKUP($H$4,'Met Data'!$H$2:$M$368,G421,FALSE)*L421</f>
      </c>
      <c r="K421" s="81">
        <f>HLOOKUP($H$4,'Met Data'!$O$2:$T$368,G421,FALSE)</f>
      </c>
      <c r="L421" s="7">
        <f>IF(H421&lt;$B$31,$J$3,$J$4)</f>
      </c>
      <c r="M421" s="3"/>
      <c r="N421" s="82">
        <f>IF(P421&lt;$P$3,TRUE,FALSE)</f>
      </c>
      <c r="O421" s="82">
        <f>AND(IF(P421&gt;($P$2-1),TRUE,FALSE),IF(P421&lt;($P$3+1),TRUE,FALSE))</f>
      </c>
      <c r="P421" s="83" t="s">
        <v>374</v>
      </c>
      <c r="Q421" s="13" t="s">
        <v>374</v>
      </c>
      <c r="R421" s="13" t="s">
        <v>374</v>
      </c>
      <c r="S421" s="13" t="s">
        <v>374</v>
      </c>
      <c r="T421" s="13" t="s">
        <v>374</v>
      </c>
      <c r="U421" s="12" t="s">
        <v>374</v>
      </c>
      <c r="V421" s="13" t="s">
        <v>374</v>
      </c>
      <c r="W421" s="13" t="s">
        <v>374</v>
      </c>
      <c r="X421" s="12" t="s">
        <v>374</v>
      </c>
      <c r="Y421" s="13" t="s">
        <v>374</v>
      </c>
      <c r="Z421" s="12" t="s">
        <v>374</v>
      </c>
      <c r="AA421" s="12" t="s">
        <v>374</v>
      </c>
      <c r="AB421" s="13" t="s">
        <v>374</v>
      </c>
      <c r="AC421" s="42"/>
      <c r="AD421" s="83">
        <f>IFERROR(P421,$AD$4)</f>
        <v>25569.5</v>
      </c>
      <c r="AE421" s="7">
        <f>IFERROR(U421,0)</f>
      </c>
      <c r="AF421" s="3"/>
      <c r="AG421" s="105">
        <f>Q420+S421+T421+U421</f>
      </c>
      <c r="AH421" s="105">
        <f>Q421+R421+X421</f>
      </c>
      <c r="AI421" s="60">
        <f>AH421-AG421</f>
      </c>
      <c r="AJ421" s="3"/>
      <c r="AK421" s="3"/>
    </row>
    <row x14ac:dyDescent="0.25" r="422" customHeight="1" ht="18.75">
      <c r="A422" s="3"/>
      <c r="B422" s="71"/>
      <c r="C422" s="3"/>
      <c r="D422" s="3"/>
      <c r="E422" s="3"/>
      <c r="F422" s="3"/>
      <c r="G422" s="59">
        <f>H422-DATE(YEAR(H422),1,0)+1</f>
      </c>
      <c r="H422" s="79">
        <f>H421+1</f>
        <v>25569.5</v>
      </c>
      <c r="I422" s="80">
        <f>HLOOKUP($H$4,'Met Data'!$A$2:$F$368,G422,FALSE)</f>
      </c>
      <c r="J422" s="80">
        <f>HLOOKUP($H$4,'Met Data'!$H$2:$M$368,G422,FALSE)*L422</f>
      </c>
      <c r="K422" s="81">
        <f>HLOOKUP($H$4,'Met Data'!$O$2:$T$368,G422,FALSE)</f>
      </c>
      <c r="L422" s="7">
        <f>IF(H422&lt;$B$31,$J$3,$J$4)</f>
      </c>
      <c r="M422" s="3"/>
      <c r="N422" s="82">
        <f>IF(P422&lt;$P$3,TRUE,FALSE)</f>
      </c>
      <c r="O422" s="82">
        <f>AND(IF(P422&gt;($P$2-1),TRUE,FALSE),IF(P422&lt;($P$3+1),TRUE,FALSE))</f>
      </c>
      <c r="P422" s="83" t="s">
        <v>374</v>
      </c>
      <c r="Q422" s="13" t="s">
        <v>374</v>
      </c>
      <c r="R422" s="13" t="s">
        <v>374</v>
      </c>
      <c r="S422" s="13" t="s">
        <v>374</v>
      </c>
      <c r="T422" s="13" t="s">
        <v>374</v>
      </c>
      <c r="U422" s="12" t="s">
        <v>374</v>
      </c>
      <c r="V422" s="13" t="s">
        <v>374</v>
      </c>
      <c r="W422" s="13" t="s">
        <v>374</v>
      </c>
      <c r="X422" s="12" t="s">
        <v>374</v>
      </c>
      <c r="Y422" s="13" t="s">
        <v>374</v>
      </c>
      <c r="Z422" s="12" t="s">
        <v>374</v>
      </c>
      <c r="AA422" s="12" t="s">
        <v>374</v>
      </c>
      <c r="AB422" s="13" t="s">
        <v>374</v>
      </c>
      <c r="AC422" s="42"/>
      <c r="AD422" s="83">
        <f>IFERROR(P422,$AD$4)</f>
        <v>25569.5</v>
      </c>
      <c r="AE422" s="7">
        <f>IFERROR(U422,0)</f>
      </c>
      <c r="AF422" s="3"/>
      <c r="AG422" s="105">
        <f>Q421+S422+T422+U422</f>
      </c>
      <c r="AH422" s="105">
        <f>Q422+R422+X422</f>
      </c>
      <c r="AI422" s="60">
        <f>AH422-AG422</f>
      </c>
      <c r="AJ422" s="3"/>
      <c r="AK422" s="3"/>
    </row>
    <row x14ac:dyDescent="0.25" r="423" customHeight="1" ht="18.75">
      <c r="A423" s="3"/>
      <c r="B423" s="71"/>
      <c r="C423" s="3"/>
      <c r="D423" s="3"/>
      <c r="E423" s="3"/>
      <c r="F423" s="3"/>
      <c r="G423" s="59">
        <f>H423-DATE(YEAR(H423),1,0)+1</f>
      </c>
      <c r="H423" s="79">
        <f>H422+1</f>
        <v>25569.5</v>
      </c>
      <c r="I423" s="80">
        <f>HLOOKUP($H$4,'Met Data'!$A$2:$F$368,G423,FALSE)</f>
      </c>
      <c r="J423" s="80">
        <f>HLOOKUP($H$4,'Met Data'!$H$2:$M$368,G423,FALSE)*L423</f>
      </c>
      <c r="K423" s="81">
        <f>HLOOKUP($H$4,'Met Data'!$O$2:$T$368,G423,FALSE)</f>
      </c>
      <c r="L423" s="7">
        <f>IF(H423&lt;$B$31,$J$3,$J$4)</f>
      </c>
      <c r="M423" s="3"/>
      <c r="N423" s="82">
        <f>IF(P423&lt;$P$3,TRUE,FALSE)</f>
      </c>
      <c r="O423" s="82">
        <f>AND(IF(P423&gt;($P$2-1),TRUE,FALSE),IF(P423&lt;($P$3+1),TRUE,FALSE))</f>
      </c>
      <c r="P423" s="83" t="s">
        <v>374</v>
      </c>
      <c r="Q423" s="13" t="s">
        <v>374</v>
      </c>
      <c r="R423" s="13" t="s">
        <v>374</v>
      </c>
      <c r="S423" s="13" t="s">
        <v>374</v>
      </c>
      <c r="T423" s="13" t="s">
        <v>374</v>
      </c>
      <c r="U423" s="12" t="s">
        <v>374</v>
      </c>
      <c r="V423" s="13" t="s">
        <v>374</v>
      </c>
      <c r="W423" s="13" t="s">
        <v>374</v>
      </c>
      <c r="X423" s="12" t="s">
        <v>374</v>
      </c>
      <c r="Y423" s="13" t="s">
        <v>374</v>
      </c>
      <c r="Z423" s="12" t="s">
        <v>374</v>
      </c>
      <c r="AA423" s="12" t="s">
        <v>374</v>
      </c>
      <c r="AB423" s="13" t="s">
        <v>374</v>
      </c>
      <c r="AC423" s="42"/>
      <c r="AD423" s="83">
        <f>IFERROR(P423,$AD$4)</f>
        <v>25569.5</v>
      </c>
      <c r="AE423" s="7">
        <f>IFERROR(U423,0)</f>
      </c>
      <c r="AF423" s="3"/>
      <c r="AG423" s="105">
        <f>Q422+S423+T423+U423</f>
      </c>
      <c r="AH423" s="105">
        <f>Q423+R423+X423</f>
      </c>
      <c r="AI423" s="60">
        <f>AH423-AG423</f>
      </c>
      <c r="AJ423" s="3"/>
      <c r="AK423" s="3"/>
    </row>
    <row x14ac:dyDescent="0.25" r="424" customHeight="1" ht="18.75">
      <c r="A424" s="3"/>
      <c r="B424" s="71"/>
      <c r="C424" s="3"/>
      <c r="D424" s="3"/>
      <c r="E424" s="3"/>
      <c r="F424" s="3"/>
      <c r="G424" s="59">
        <f>H424-DATE(YEAR(H424),1,0)+1</f>
      </c>
      <c r="H424" s="79">
        <f>H423+1</f>
        <v>25569.5</v>
      </c>
      <c r="I424" s="80">
        <f>HLOOKUP($H$4,'Met Data'!$A$2:$F$368,G424,FALSE)</f>
      </c>
      <c r="J424" s="80">
        <f>HLOOKUP($H$4,'Met Data'!$H$2:$M$368,G424,FALSE)*L424</f>
      </c>
      <c r="K424" s="81">
        <f>HLOOKUP($H$4,'Met Data'!$O$2:$T$368,G424,FALSE)</f>
      </c>
      <c r="L424" s="7">
        <f>IF(H424&lt;$B$31,$J$3,$J$4)</f>
      </c>
      <c r="M424" s="3"/>
      <c r="N424" s="82">
        <f>IF(P424&lt;$P$3,TRUE,FALSE)</f>
      </c>
      <c r="O424" s="82">
        <f>AND(IF(P424&gt;($P$2-1),TRUE,FALSE),IF(P424&lt;($P$3+1),TRUE,FALSE))</f>
      </c>
      <c r="P424" s="83" t="s">
        <v>374</v>
      </c>
      <c r="Q424" s="13" t="s">
        <v>374</v>
      </c>
      <c r="R424" s="13" t="s">
        <v>374</v>
      </c>
      <c r="S424" s="13" t="s">
        <v>374</v>
      </c>
      <c r="T424" s="13" t="s">
        <v>374</v>
      </c>
      <c r="U424" s="12" t="s">
        <v>374</v>
      </c>
      <c r="V424" s="13" t="s">
        <v>374</v>
      </c>
      <c r="W424" s="13" t="s">
        <v>374</v>
      </c>
      <c r="X424" s="12" t="s">
        <v>374</v>
      </c>
      <c r="Y424" s="13" t="s">
        <v>374</v>
      </c>
      <c r="Z424" s="12" t="s">
        <v>374</v>
      </c>
      <c r="AA424" s="12" t="s">
        <v>374</v>
      </c>
      <c r="AB424" s="13" t="s">
        <v>374</v>
      </c>
      <c r="AC424" s="42"/>
      <c r="AD424" s="83">
        <f>IFERROR(P424,$AD$4)</f>
        <v>25569.5</v>
      </c>
      <c r="AE424" s="7">
        <f>IFERROR(U424,0)</f>
      </c>
      <c r="AF424" s="3"/>
      <c r="AG424" s="105">
        <f>Q423+S424+T424+U424</f>
      </c>
      <c r="AH424" s="105">
        <f>Q424+R424+X424</f>
      </c>
      <c r="AI424" s="60">
        <f>AH424-AG424</f>
      </c>
      <c r="AJ424" s="3"/>
      <c r="AK424" s="3"/>
    </row>
    <row x14ac:dyDescent="0.25" r="425" customHeight="1" ht="18.75">
      <c r="A425" s="3"/>
      <c r="B425" s="71"/>
      <c r="C425" s="3"/>
      <c r="D425" s="3"/>
      <c r="E425" s="3"/>
      <c r="F425" s="3"/>
      <c r="G425" s="59">
        <f>H425-DATE(YEAR(H425),1,0)+1</f>
      </c>
      <c r="H425" s="79">
        <f>H424+1</f>
        <v>25569.5</v>
      </c>
      <c r="I425" s="80">
        <f>HLOOKUP($H$4,'Met Data'!$A$2:$F$368,G425,FALSE)</f>
      </c>
      <c r="J425" s="80">
        <f>HLOOKUP($H$4,'Met Data'!$H$2:$M$368,G425,FALSE)*L425</f>
      </c>
      <c r="K425" s="81">
        <f>HLOOKUP($H$4,'Met Data'!$O$2:$T$368,G425,FALSE)</f>
      </c>
      <c r="L425" s="7">
        <f>IF(H425&lt;$B$31,$J$3,$J$4)</f>
      </c>
      <c r="M425" s="3"/>
      <c r="N425" s="82">
        <f>IF(P425&lt;$P$3,TRUE,FALSE)</f>
      </c>
      <c r="O425" s="82">
        <f>AND(IF(P425&gt;($P$2-1),TRUE,FALSE),IF(P425&lt;($P$3+1),TRUE,FALSE))</f>
      </c>
      <c r="P425" s="83" t="s">
        <v>374</v>
      </c>
      <c r="Q425" s="13" t="s">
        <v>374</v>
      </c>
      <c r="R425" s="13" t="s">
        <v>374</v>
      </c>
      <c r="S425" s="13" t="s">
        <v>374</v>
      </c>
      <c r="T425" s="13" t="s">
        <v>374</v>
      </c>
      <c r="U425" s="12" t="s">
        <v>374</v>
      </c>
      <c r="V425" s="13" t="s">
        <v>374</v>
      </c>
      <c r="W425" s="13" t="s">
        <v>374</v>
      </c>
      <c r="X425" s="12" t="s">
        <v>374</v>
      </c>
      <c r="Y425" s="13" t="s">
        <v>374</v>
      </c>
      <c r="Z425" s="12" t="s">
        <v>374</v>
      </c>
      <c r="AA425" s="12" t="s">
        <v>374</v>
      </c>
      <c r="AB425" s="13" t="s">
        <v>374</v>
      </c>
      <c r="AC425" s="42"/>
      <c r="AD425" s="83">
        <f>IFERROR(P425,$AD$4)</f>
        <v>25569.5</v>
      </c>
      <c r="AE425" s="7">
        <f>IFERROR(U425,0)</f>
      </c>
      <c r="AF425" s="3"/>
      <c r="AG425" s="105">
        <f>Q424+S425+T425+U425</f>
      </c>
      <c r="AH425" s="105">
        <f>Q425+R425+X425</f>
      </c>
      <c r="AI425" s="60">
        <f>AH425-AG425</f>
      </c>
      <c r="AJ425" s="3"/>
      <c r="AK425" s="3"/>
    </row>
    <row x14ac:dyDescent="0.25" r="426" customHeight="1" ht="18.75">
      <c r="A426" s="3"/>
      <c r="B426" s="71"/>
      <c r="C426" s="3"/>
      <c r="D426" s="3"/>
      <c r="E426" s="3"/>
      <c r="F426" s="3"/>
      <c r="G426" s="59">
        <f>H426-DATE(YEAR(H426),1,0)+1</f>
      </c>
      <c r="H426" s="79">
        <f>H425+1</f>
        <v>25569.5</v>
      </c>
      <c r="I426" s="80">
        <f>HLOOKUP($H$4,'Met Data'!$A$2:$F$368,G426,FALSE)</f>
      </c>
      <c r="J426" s="80">
        <f>HLOOKUP($H$4,'Met Data'!$H$2:$M$368,G426,FALSE)*L426</f>
      </c>
      <c r="K426" s="81">
        <f>HLOOKUP($H$4,'Met Data'!$O$2:$T$368,G426,FALSE)</f>
      </c>
      <c r="L426" s="7">
        <f>IF(H426&lt;$B$31,$J$3,$J$4)</f>
      </c>
      <c r="M426" s="3"/>
      <c r="N426" s="82">
        <f>IF(P426&lt;$P$3,TRUE,FALSE)</f>
      </c>
      <c r="O426" s="82">
        <f>AND(IF(P426&gt;($P$2-1),TRUE,FALSE),IF(P426&lt;($P$3+1),TRUE,FALSE))</f>
      </c>
      <c r="P426" s="83" t="s">
        <v>374</v>
      </c>
      <c r="Q426" s="13" t="s">
        <v>374</v>
      </c>
      <c r="R426" s="13" t="s">
        <v>374</v>
      </c>
      <c r="S426" s="13" t="s">
        <v>374</v>
      </c>
      <c r="T426" s="13" t="s">
        <v>374</v>
      </c>
      <c r="U426" s="12" t="s">
        <v>374</v>
      </c>
      <c r="V426" s="13" t="s">
        <v>374</v>
      </c>
      <c r="W426" s="13" t="s">
        <v>374</v>
      </c>
      <c r="X426" s="12" t="s">
        <v>374</v>
      </c>
      <c r="Y426" s="13" t="s">
        <v>374</v>
      </c>
      <c r="Z426" s="12" t="s">
        <v>374</v>
      </c>
      <c r="AA426" s="12" t="s">
        <v>374</v>
      </c>
      <c r="AB426" s="13" t="s">
        <v>374</v>
      </c>
      <c r="AC426" s="42"/>
      <c r="AD426" s="83">
        <f>IFERROR(P426,$AD$4)</f>
        <v>25569.5</v>
      </c>
      <c r="AE426" s="7">
        <f>IFERROR(U426,0)</f>
      </c>
      <c r="AF426" s="3"/>
      <c r="AG426" s="105">
        <f>Q425+S426+T426+U426</f>
      </c>
      <c r="AH426" s="105">
        <f>Q426+R426+X426</f>
      </c>
      <c r="AI426" s="60">
        <f>AH426-AG426</f>
      </c>
      <c r="AJ426" s="3"/>
      <c r="AK426" s="3"/>
    </row>
    <row x14ac:dyDescent="0.25" r="427" customHeight="1" ht="18.75">
      <c r="A427" s="3"/>
      <c r="B427" s="71"/>
      <c r="C427" s="3"/>
      <c r="D427" s="3"/>
      <c r="E427" s="3"/>
      <c r="F427" s="3"/>
      <c r="G427" s="59">
        <f>H427-DATE(YEAR(H427),1,0)+1</f>
      </c>
      <c r="H427" s="79">
        <f>H426+1</f>
        <v>25569.5</v>
      </c>
      <c r="I427" s="80">
        <f>HLOOKUP($H$4,'Met Data'!$A$2:$F$368,G427,FALSE)</f>
      </c>
      <c r="J427" s="80">
        <f>HLOOKUP($H$4,'Met Data'!$H$2:$M$368,G427,FALSE)*L427</f>
      </c>
      <c r="K427" s="81">
        <f>HLOOKUP($H$4,'Met Data'!$O$2:$T$368,G427,FALSE)</f>
      </c>
      <c r="L427" s="7">
        <f>IF(H427&lt;$B$31,$J$3,$J$4)</f>
      </c>
      <c r="M427" s="3"/>
      <c r="N427" s="82">
        <f>IF(P427&lt;$P$3,TRUE,FALSE)</f>
      </c>
      <c r="O427" s="82">
        <f>AND(IF(P427&gt;($P$2-1),TRUE,FALSE),IF(P427&lt;($P$3+1),TRUE,FALSE))</f>
      </c>
      <c r="P427" s="83" t="s">
        <v>374</v>
      </c>
      <c r="Q427" s="13" t="s">
        <v>374</v>
      </c>
      <c r="R427" s="13" t="s">
        <v>374</v>
      </c>
      <c r="S427" s="13" t="s">
        <v>374</v>
      </c>
      <c r="T427" s="13" t="s">
        <v>374</v>
      </c>
      <c r="U427" s="12" t="s">
        <v>374</v>
      </c>
      <c r="V427" s="13" t="s">
        <v>374</v>
      </c>
      <c r="W427" s="13" t="s">
        <v>374</v>
      </c>
      <c r="X427" s="12" t="s">
        <v>374</v>
      </c>
      <c r="Y427" s="13" t="s">
        <v>374</v>
      </c>
      <c r="Z427" s="12" t="s">
        <v>374</v>
      </c>
      <c r="AA427" s="12" t="s">
        <v>374</v>
      </c>
      <c r="AB427" s="13" t="s">
        <v>374</v>
      </c>
      <c r="AC427" s="42"/>
      <c r="AD427" s="83">
        <f>IFERROR(P427,$AD$4)</f>
        <v>25569.5</v>
      </c>
      <c r="AE427" s="7">
        <f>IFERROR(U427,0)</f>
      </c>
      <c r="AF427" s="3"/>
      <c r="AG427" s="105">
        <f>Q426+S427+T427+U427</f>
      </c>
      <c r="AH427" s="105">
        <f>Q427+R427+X427</f>
      </c>
      <c r="AI427" s="60">
        <f>AH427-AG427</f>
      </c>
      <c r="AJ427" s="3"/>
      <c r="AK427" s="3"/>
    </row>
    <row x14ac:dyDescent="0.25" r="428" customHeight="1" ht="18.75">
      <c r="A428" s="3"/>
      <c r="B428" s="71"/>
      <c r="C428" s="3"/>
      <c r="D428" s="3"/>
      <c r="E428" s="3"/>
      <c r="F428" s="3"/>
      <c r="G428" s="59">
        <f>H428-DATE(YEAR(H428),1,0)+1</f>
      </c>
      <c r="H428" s="79">
        <f>H427+1</f>
        <v>25569.5</v>
      </c>
      <c r="I428" s="80">
        <f>HLOOKUP($H$4,'Met Data'!$A$2:$F$368,G428,FALSE)</f>
      </c>
      <c r="J428" s="80">
        <f>HLOOKUP($H$4,'Met Data'!$H$2:$M$368,G428,FALSE)*L428</f>
      </c>
      <c r="K428" s="81">
        <f>HLOOKUP($H$4,'Met Data'!$O$2:$T$368,G428,FALSE)</f>
      </c>
      <c r="L428" s="7">
        <f>IF(H428&lt;$B$31,$J$3,$J$4)</f>
      </c>
      <c r="M428" s="3"/>
      <c r="N428" s="82">
        <f>IF(P428&lt;$P$3,TRUE,FALSE)</f>
      </c>
      <c r="O428" s="82">
        <f>AND(IF(P428&gt;($P$2-1),TRUE,FALSE),IF(P428&lt;($P$3+1),TRUE,FALSE))</f>
      </c>
      <c r="P428" s="83" t="s">
        <v>374</v>
      </c>
      <c r="Q428" s="13" t="s">
        <v>374</v>
      </c>
      <c r="R428" s="13" t="s">
        <v>374</v>
      </c>
      <c r="S428" s="13" t="s">
        <v>374</v>
      </c>
      <c r="T428" s="13" t="s">
        <v>374</v>
      </c>
      <c r="U428" s="12" t="s">
        <v>374</v>
      </c>
      <c r="V428" s="13" t="s">
        <v>374</v>
      </c>
      <c r="W428" s="13" t="s">
        <v>374</v>
      </c>
      <c r="X428" s="12" t="s">
        <v>374</v>
      </c>
      <c r="Y428" s="13" t="s">
        <v>374</v>
      </c>
      <c r="Z428" s="12" t="s">
        <v>374</v>
      </c>
      <c r="AA428" s="12" t="s">
        <v>374</v>
      </c>
      <c r="AB428" s="13" t="s">
        <v>374</v>
      </c>
      <c r="AC428" s="42"/>
      <c r="AD428" s="83">
        <f>IFERROR(P428,$AD$4)</f>
        <v>25569.5</v>
      </c>
      <c r="AE428" s="7">
        <f>IFERROR(U428,0)</f>
      </c>
      <c r="AF428" s="3"/>
      <c r="AG428" s="105">
        <f>Q427+S428+T428+U428</f>
      </c>
      <c r="AH428" s="105">
        <f>Q428+R428+X428</f>
      </c>
      <c r="AI428" s="60">
        <f>AH428-AG428</f>
      </c>
      <c r="AJ428" s="3"/>
      <c r="AK428" s="3"/>
    </row>
    <row x14ac:dyDescent="0.25" r="429" customHeight="1" ht="18.75">
      <c r="A429" s="3"/>
      <c r="B429" s="71"/>
      <c r="C429" s="3"/>
      <c r="D429" s="3"/>
      <c r="E429" s="3"/>
      <c r="F429" s="3"/>
      <c r="G429" s="59">
        <f>H429-DATE(YEAR(H429),1,0)+1</f>
      </c>
      <c r="H429" s="79">
        <f>H428+1</f>
        <v>25569.5</v>
      </c>
      <c r="I429" s="80">
        <f>HLOOKUP($H$4,'Met Data'!$A$2:$F$368,G429,FALSE)</f>
      </c>
      <c r="J429" s="80">
        <f>HLOOKUP($H$4,'Met Data'!$H$2:$M$368,G429,FALSE)*L429</f>
      </c>
      <c r="K429" s="81">
        <f>HLOOKUP($H$4,'Met Data'!$O$2:$T$368,G429,FALSE)</f>
      </c>
      <c r="L429" s="7">
        <f>IF(H429&lt;$B$31,$J$3,$J$4)</f>
      </c>
      <c r="M429" s="3"/>
      <c r="N429" s="82">
        <f>IF(P429&lt;$P$3,TRUE,FALSE)</f>
      </c>
      <c r="O429" s="82">
        <f>AND(IF(P429&gt;($P$2-1),TRUE,FALSE),IF(P429&lt;($P$3+1),TRUE,FALSE))</f>
      </c>
      <c r="P429" s="83" t="s">
        <v>374</v>
      </c>
      <c r="Q429" s="13" t="s">
        <v>374</v>
      </c>
      <c r="R429" s="13" t="s">
        <v>374</v>
      </c>
      <c r="S429" s="13" t="s">
        <v>374</v>
      </c>
      <c r="T429" s="13" t="s">
        <v>374</v>
      </c>
      <c r="U429" s="12" t="s">
        <v>374</v>
      </c>
      <c r="V429" s="13" t="s">
        <v>374</v>
      </c>
      <c r="W429" s="13" t="s">
        <v>374</v>
      </c>
      <c r="X429" s="12" t="s">
        <v>374</v>
      </c>
      <c r="Y429" s="13" t="s">
        <v>374</v>
      </c>
      <c r="Z429" s="12" t="s">
        <v>374</v>
      </c>
      <c r="AA429" s="12" t="s">
        <v>374</v>
      </c>
      <c r="AB429" s="13" t="s">
        <v>374</v>
      </c>
      <c r="AC429" s="42"/>
      <c r="AD429" s="83">
        <f>IFERROR(P429,$AD$4)</f>
        <v>25569.5</v>
      </c>
      <c r="AE429" s="7">
        <f>IFERROR(U429,0)</f>
      </c>
      <c r="AF429" s="3"/>
      <c r="AG429" s="105">
        <f>Q428+S429+T429+U429</f>
      </c>
      <c r="AH429" s="105">
        <f>Q429+R429+X429</f>
      </c>
      <c r="AI429" s="60">
        <f>AH429-AG429</f>
      </c>
      <c r="AJ429" s="3"/>
      <c r="AK429" s="3"/>
    </row>
    <row x14ac:dyDescent="0.25" r="430" customHeight="1" ht="18.75">
      <c r="A430" s="3"/>
      <c r="B430" s="71"/>
      <c r="C430" s="3"/>
      <c r="D430" s="3"/>
      <c r="E430" s="3"/>
      <c r="F430" s="3"/>
      <c r="G430" s="59">
        <f>H430-DATE(YEAR(H430),1,0)+1</f>
      </c>
      <c r="H430" s="79">
        <f>H429+1</f>
        <v>25569.5</v>
      </c>
      <c r="I430" s="80">
        <f>HLOOKUP($H$4,'Met Data'!$A$2:$F$368,G430,FALSE)</f>
      </c>
      <c r="J430" s="80">
        <f>HLOOKUP($H$4,'Met Data'!$H$2:$M$368,G430,FALSE)*L430</f>
      </c>
      <c r="K430" s="81">
        <f>HLOOKUP($H$4,'Met Data'!$O$2:$T$368,G430,FALSE)</f>
      </c>
      <c r="L430" s="7">
        <f>IF(H430&lt;$B$31,$J$3,$J$4)</f>
      </c>
      <c r="M430" s="3"/>
      <c r="N430" s="82">
        <f>IF(P430&lt;$P$3,TRUE,FALSE)</f>
      </c>
      <c r="O430" s="82">
        <f>AND(IF(P430&gt;($P$2-1),TRUE,FALSE),IF(P430&lt;($P$3+1),TRUE,FALSE))</f>
      </c>
      <c r="P430" s="83" t="s">
        <v>374</v>
      </c>
      <c r="Q430" s="13" t="s">
        <v>374</v>
      </c>
      <c r="R430" s="13" t="s">
        <v>374</v>
      </c>
      <c r="S430" s="13" t="s">
        <v>374</v>
      </c>
      <c r="T430" s="13" t="s">
        <v>374</v>
      </c>
      <c r="U430" s="12" t="s">
        <v>374</v>
      </c>
      <c r="V430" s="13" t="s">
        <v>374</v>
      </c>
      <c r="W430" s="13" t="s">
        <v>374</v>
      </c>
      <c r="X430" s="12" t="s">
        <v>374</v>
      </c>
      <c r="Y430" s="13" t="s">
        <v>374</v>
      </c>
      <c r="Z430" s="12" t="s">
        <v>374</v>
      </c>
      <c r="AA430" s="12" t="s">
        <v>374</v>
      </c>
      <c r="AB430" s="13" t="s">
        <v>374</v>
      </c>
      <c r="AC430" s="42"/>
      <c r="AD430" s="83">
        <f>IFERROR(P430,$AD$4)</f>
        <v>25569.5</v>
      </c>
      <c r="AE430" s="7">
        <f>IFERROR(U430,0)</f>
      </c>
      <c r="AF430" s="3"/>
      <c r="AG430" s="105">
        <f>Q429+S430+T430+U430</f>
      </c>
      <c r="AH430" s="105">
        <f>Q430+R430+X430</f>
      </c>
      <c r="AI430" s="60">
        <f>AH430-AG430</f>
      </c>
      <c r="AJ430" s="3"/>
      <c r="AK430" s="3"/>
    </row>
    <row x14ac:dyDescent="0.25" r="431" customHeight="1" ht="18.75">
      <c r="A431" s="3"/>
      <c r="B431" s="71"/>
      <c r="C431" s="3"/>
      <c r="D431" s="3"/>
      <c r="E431" s="3"/>
      <c r="F431" s="3"/>
      <c r="G431" s="59">
        <f>H431-DATE(YEAR(H431),1,0)+1</f>
      </c>
      <c r="H431" s="79">
        <f>H430+1</f>
        <v>25569.5</v>
      </c>
      <c r="I431" s="80">
        <f>HLOOKUP($H$4,'Met Data'!$A$2:$F$368,G431,FALSE)</f>
      </c>
      <c r="J431" s="80">
        <f>HLOOKUP($H$4,'Met Data'!$H$2:$M$368,G431,FALSE)*L431</f>
      </c>
      <c r="K431" s="81">
        <f>HLOOKUP($H$4,'Met Data'!$O$2:$T$368,G431,FALSE)</f>
      </c>
      <c r="L431" s="7">
        <f>IF(H431&lt;$B$31,$J$3,$J$4)</f>
      </c>
      <c r="M431" s="3"/>
      <c r="N431" s="82">
        <f>IF(P431&lt;$P$3,TRUE,FALSE)</f>
      </c>
      <c r="O431" s="82">
        <f>AND(IF(P431&gt;($P$2-1),TRUE,FALSE),IF(P431&lt;($P$3+1),TRUE,FALSE))</f>
      </c>
      <c r="P431" s="83" t="s">
        <v>374</v>
      </c>
      <c r="Q431" s="13" t="s">
        <v>374</v>
      </c>
      <c r="R431" s="13" t="s">
        <v>374</v>
      </c>
      <c r="S431" s="13" t="s">
        <v>374</v>
      </c>
      <c r="T431" s="13" t="s">
        <v>374</v>
      </c>
      <c r="U431" s="12" t="s">
        <v>374</v>
      </c>
      <c r="V431" s="13" t="s">
        <v>374</v>
      </c>
      <c r="W431" s="13" t="s">
        <v>374</v>
      </c>
      <c r="X431" s="12" t="s">
        <v>374</v>
      </c>
      <c r="Y431" s="13" t="s">
        <v>374</v>
      </c>
      <c r="Z431" s="12" t="s">
        <v>374</v>
      </c>
      <c r="AA431" s="12" t="s">
        <v>374</v>
      </c>
      <c r="AB431" s="13" t="s">
        <v>374</v>
      </c>
      <c r="AC431" s="42"/>
      <c r="AD431" s="83">
        <f>IFERROR(P431,$AD$4)</f>
        <v>25569.5</v>
      </c>
      <c r="AE431" s="7">
        <f>IFERROR(U431,0)</f>
      </c>
      <c r="AF431" s="3"/>
      <c r="AG431" s="105">
        <f>Q430+S431+T431+U431</f>
      </c>
      <c r="AH431" s="105">
        <f>Q431+R431+X431</f>
      </c>
      <c r="AI431" s="60">
        <f>AH431-AG431</f>
      </c>
      <c r="AJ431" s="3"/>
      <c r="AK431" s="3"/>
    </row>
    <row x14ac:dyDescent="0.25" r="432" customHeight="1" ht="18.75">
      <c r="A432" s="3"/>
      <c r="B432" s="71"/>
      <c r="C432" s="3"/>
      <c r="D432" s="3"/>
      <c r="E432" s="3"/>
      <c r="F432" s="3"/>
      <c r="G432" s="59">
        <f>H432-DATE(YEAR(H432),1,0)+1</f>
      </c>
      <c r="H432" s="79">
        <f>H431+1</f>
        <v>25569.5</v>
      </c>
      <c r="I432" s="80">
        <f>HLOOKUP($H$4,'Met Data'!$A$2:$F$368,G432,FALSE)</f>
      </c>
      <c r="J432" s="80">
        <f>HLOOKUP($H$4,'Met Data'!$H$2:$M$368,G432,FALSE)*L432</f>
      </c>
      <c r="K432" s="81">
        <f>HLOOKUP($H$4,'Met Data'!$O$2:$T$368,G432,FALSE)</f>
      </c>
      <c r="L432" s="7">
        <f>IF(H432&lt;$B$31,$J$3,$J$4)</f>
      </c>
      <c r="M432" s="3"/>
      <c r="N432" s="82">
        <f>IF(P432&lt;$P$3,TRUE,FALSE)</f>
      </c>
      <c r="O432" s="82">
        <f>AND(IF(P432&gt;($P$2-1),TRUE,FALSE),IF(P432&lt;($P$3+1),TRUE,FALSE))</f>
      </c>
      <c r="P432" s="83" t="s">
        <v>374</v>
      </c>
      <c r="Q432" s="13" t="s">
        <v>374</v>
      </c>
      <c r="R432" s="13" t="s">
        <v>374</v>
      </c>
      <c r="S432" s="13" t="s">
        <v>374</v>
      </c>
      <c r="T432" s="13" t="s">
        <v>374</v>
      </c>
      <c r="U432" s="12" t="s">
        <v>374</v>
      </c>
      <c r="V432" s="13" t="s">
        <v>374</v>
      </c>
      <c r="W432" s="13" t="s">
        <v>374</v>
      </c>
      <c r="X432" s="12" t="s">
        <v>374</v>
      </c>
      <c r="Y432" s="13" t="s">
        <v>374</v>
      </c>
      <c r="Z432" s="12" t="s">
        <v>374</v>
      </c>
      <c r="AA432" s="12" t="s">
        <v>374</v>
      </c>
      <c r="AB432" s="13" t="s">
        <v>374</v>
      </c>
      <c r="AC432" s="42"/>
      <c r="AD432" s="83">
        <f>IFERROR(P432,$AD$4)</f>
        <v>25569.5</v>
      </c>
      <c r="AE432" s="7">
        <f>IFERROR(U432,0)</f>
      </c>
      <c r="AF432" s="3"/>
      <c r="AG432" s="105">
        <f>Q431+S432+T432+U432</f>
      </c>
      <c r="AH432" s="105">
        <f>Q432+R432+X432</f>
      </c>
      <c r="AI432" s="60">
        <f>AH432-AG432</f>
      </c>
      <c r="AJ432" s="3"/>
      <c r="AK432" s="3"/>
    </row>
    <row x14ac:dyDescent="0.25" r="433" customHeight="1" ht="18.75">
      <c r="A433" s="3"/>
      <c r="B433" s="71"/>
      <c r="C433" s="3"/>
      <c r="D433" s="3"/>
      <c r="E433" s="3"/>
      <c r="F433" s="3"/>
      <c r="G433" s="59">
        <f>H433-DATE(YEAR(H433),1,0)+1</f>
      </c>
      <c r="H433" s="79">
        <f>H432+1</f>
        <v>25569.5</v>
      </c>
      <c r="I433" s="80">
        <f>HLOOKUP($H$4,'Met Data'!$A$2:$F$368,G433,FALSE)</f>
      </c>
      <c r="J433" s="80">
        <f>HLOOKUP($H$4,'Met Data'!$H$2:$M$368,G433,FALSE)*L433</f>
      </c>
      <c r="K433" s="81">
        <f>HLOOKUP($H$4,'Met Data'!$O$2:$T$368,G433,FALSE)</f>
      </c>
      <c r="L433" s="7">
        <f>IF(H433&lt;$B$31,$J$3,$J$4)</f>
      </c>
      <c r="M433" s="3"/>
      <c r="N433" s="82">
        <f>IF(P433&lt;$P$3,TRUE,FALSE)</f>
      </c>
      <c r="O433" s="82">
        <f>AND(IF(P433&gt;($P$2-1),TRUE,FALSE),IF(P433&lt;($P$3+1),TRUE,FALSE))</f>
      </c>
      <c r="P433" s="83" t="s">
        <v>374</v>
      </c>
      <c r="Q433" s="13" t="s">
        <v>374</v>
      </c>
      <c r="R433" s="13" t="s">
        <v>374</v>
      </c>
      <c r="S433" s="13" t="s">
        <v>374</v>
      </c>
      <c r="T433" s="13" t="s">
        <v>374</v>
      </c>
      <c r="U433" s="12" t="s">
        <v>374</v>
      </c>
      <c r="V433" s="13" t="s">
        <v>374</v>
      </c>
      <c r="W433" s="13" t="s">
        <v>374</v>
      </c>
      <c r="X433" s="12" t="s">
        <v>374</v>
      </c>
      <c r="Y433" s="13" t="s">
        <v>374</v>
      </c>
      <c r="Z433" s="12" t="s">
        <v>374</v>
      </c>
      <c r="AA433" s="12" t="s">
        <v>374</v>
      </c>
      <c r="AB433" s="13" t="s">
        <v>374</v>
      </c>
      <c r="AC433" s="42"/>
      <c r="AD433" s="83">
        <f>IFERROR(P433,$AD$4)</f>
        <v>25569.5</v>
      </c>
      <c r="AE433" s="7">
        <f>IFERROR(U433,0)</f>
      </c>
      <c r="AF433" s="3"/>
      <c r="AG433" s="105">
        <f>Q432+S433+T433+U433</f>
      </c>
      <c r="AH433" s="105">
        <f>Q433+R433+X433</f>
      </c>
      <c r="AI433" s="60">
        <f>AH433-AG433</f>
      </c>
      <c r="AJ433" s="3"/>
      <c r="AK433" s="3"/>
    </row>
    <row x14ac:dyDescent="0.25" r="434" customHeight="1" ht="18.75">
      <c r="A434" s="3"/>
      <c r="B434" s="71"/>
      <c r="C434" s="3"/>
      <c r="D434" s="3"/>
      <c r="E434" s="3"/>
      <c r="F434" s="3"/>
      <c r="G434" s="59">
        <f>H434-DATE(YEAR(H434),1,0)+1</f>
      </c>
      <c r="H434" s="79">
        <f>H433+1</f>
        <v>25569.5</v>
      </c>
      <c r="I434" s="80">
        <f>HLOOKUP($H$4,'Met Data'!$A$2:$F$368,G434,FALSE)</f>
      </c>
      <c r="J434" s="80">
        <f>HLOOKUP($H$4,'Met Data'!$H$2:$M$368,G434,FALSE)*L434</f>
      </c>
      <c r="K434" s="81">
        <f>HLOOKUP($H$4,'Met Data'!$O$2:$T$368,G434,FALSE)</f>
      </c>
      <c r="L434" s="7">
        <f>IF(H434&lt;$B$31,$J$3,$J$4)</f>
      </c>
      <c r="M434" s="3"/>
      <c r="N434" s="82">
        <f>IF(P434&lt;$P$3,TRUE,FALSE)</f>
      </c>
      <c r="O434" s="82">
        <f>AND(IF(P434&gt;($P$2-1),TRUE,FALSE),IF(P434&lt;($P$3+1),TRUE,FALSE))</f>
      </c>
      <c r="P434" s="83" t="s">
        <v>374</v>
      </c>
      <c r="Q434" s="13" t="s">
        <v>374</v>
      </c>
      <c r="R434" s="13" t="s">
        <v>374</v>
      </c>
      <c r="S434" s="13" t="s">
        <v>374</v>
      </c>
      <c r="T434" s="13" t="s">
        <v>374</v>
      </c>
      <c r="U434" s="12" t="s">
        <v>374</v>
      </c>
      <c r="V434" s="13" t="s">
        <v>374</v>
      </c>
      <c r="W434" s="13" t="s">
        <v>374</v>
      </c>
      <c r="X434" s="12" t="s">
        <v>374</v>
      </c>
      <c r="Y434" s="13" t="s">
        <v>374</v>
      </c>
      <c r="Z434" s="12" t="s">
        <v>374</v>
      </c>
      <c r="AA434" s="12" t="s">
        <v>374</v>
      </c>
      <c r="AB434" s="13" t="s">
        <v>374</v>
      </c>
      <c r="AC434" s="42"/>
      <c r="AD434" s="83">
        <f>IFERROR(P434,$AD$4)</f>
        <v>25569.5</v>
      </c>
      <c r="AE434" s="7">
        <f>IFERROR(U434,0)</f>
      </c>
      <c r="AF434" s="3"/>
      <c r="AG434" s="105">
        <f>Q433+S434+T434+U434</f>
      </c>
      <c r="AH434" s="105">
        <f>Q434+R434+X434</f>
      </c>
      <c r="AI434" s="60">
        <f>AH434-AG434</f>
      </c>
      <c r="AJ434" s="3"/>
      <c r="AK434" s="3"/>
    </row>
    <row x14ac:dyDescent="0.25" r="435" customHeight="1" ht="18.75">
      <c r="A435" s="3"/>
      <c r="B435" s="71"/>
      <c r="C435" s="3"/>
      <c r="D435" s="3"/>
      <c r="E435" s="3"/>
      <c r="F435" s="3"/>
      <c r="G435" s="59">
        <f>H435-DATE(YEAR(H435),1,0)+1</f>
      </c>
      <c r="H435" s="79">
        <f>H434+1</f>
        <v>25569.5</v>
      </c>
      <c r="I435" s="80">
        <f>HLOOKUP($H$4,'Met Data'!$A$2:$F$368,G435,FALSE)</f>
      </c>
      <c r="J435" s="80">
        <f>HLOOKUP($H$4,'Met Data'!$H$2:$M$368,G435,FALSE)*L435</f>
      </c>
      <c r="K435" s="81">
        <f>HLOOKUP($H$4,'Met Data'!$O$2:$T$368,G435,FALSE)</f>
      </c>
      <c r="L435" s="7">
        <f>IF(H435&lt;$B$31,$J$3,$J$4)</f>
      </c>
      <c r="M435" s="3"/>
      <c r="N435" s="82">
        <f>IF(P435&lt;$P$3,TRUE,FALSE)</f>
      </c>
      <c r="O435" s="82">
        <f>AND(IF(P435&gt;($P$2-1),TRUE,FALSE),IF(P435&lt;($P$3+1),TRUE,FALSE))</f>
      </c>
      <c r="P435" s="83" t="s">
        <v>374</v>
      </c>
      <c r="Q435" s="13" t="s">
        <v>374</v>
      </c>
      <c r="R435" s="13" t="s">
        <v>374</v>
      </c>
      <c r="S435" s="13" t="s">
        <v>374</v>
      </c>
      <c r="T435" s="13" t="s">
        <v>374</v>
      </c>
      <c r="U435" s="12" t="s">
        <v>374</v>
      </c>
      <c r="V435" s="13" t="s">
        <v>374</v>
      </c>
      <c r="W435" s="13" t="s">
        <v>374</v>
      </c>
      <c r="X435" s="12" t="s">
        <v>374</v>
      </c>
      <c r="Y435" s="13" t="s">
        <v>374</v>
      </c>
      <c r="Z435" s="12" t="s">
        <v>374</v>
      </c>
      <c r="AA435" s="12" t="s">
        <v>374</v>
      </c>
      <c r="AB435" s="13" t="s">
        <v>374</v>
      </c>
      <c r="AC435" s="42"/>
      <c r="AD435" s="83">
        <f>IFERROR(P435,$AD$4)</f>
        <v>25569.5</v>
      </c>
      <c r="AE435" s="7">
        <f>IFERROR(U435,0)</f>
      </c>
      <c r="AF435" s="3"/>
      <c r="AG435" s="105">
        <f>Q434+S435+T435+U435</f>
      </c>
      <c r="AH435" s="105">
        <f>Q435+R435+X435</f>
      </c>
      <c r="AI435" s="60">
        <f>AH435-AG435</f>
      </c>
      <c r="AJ435" s="3"/>
      <c r="AK435" s="3"/>
    </row>
    <row x14ac:dyDescent="0.25" r="436" customHeight="1" ht="18.75">
      <c r="A436" s="3"/>
      <c r="B436" s="71"/>
      <c r="C436" s="3"/>
      <c r="D436" s="3"/>
      <c r="E436" s="3"/>
      <c r="F436" s="3"/>
      <c r="G436" s="59">
        <f>H436-DATE(YEAR(H436),1,0)+1</f>
      </c>
      <c r="H436" s="79">
        <f>H435+1</f>
        <v>25569.5</v>
      </c>
      <c r="I436" s="80">
        <f>HLOOKUP($H$4,'Met Data'!$A$2:$F$368,G436,FALSE)</f>
      </c>
      <c r="J436" s="80">
        <f>HLOOKUP($H$4,'Met Data'!$H$2:$M$368,G436,FALSE)*L436</f>
      </c>
      <c r="K436" s="81">
        <f>HLOOKUP($H$4,'Met Data'!$O$2:$T$368,G436,FALSE)</f>
      </c>
      <c r="L436" s="7">
        <f>IF(H436&lt;$B$31,$J$3,$J$4)</f>
      </c>
      <c r="M436" s="3"/>
      <c r="N436" s="82">
        <f>IF(P436&lt;$P$3,TRUE,FALSE)</f>
      </c>
      <c r="O436" s="82">
        <f>AND(IF(P436&gt;($P$2-1),TRUE,FALSE),IF(P436&lt;($P$3+1),TRUE,FALSE))</f>
      </c>
      <c r="P436" s="83" t="s">
        <v>374</v>
      </c>
      <c r="Q436" s="13" t="s">
        <v>374</v>
      </c>
      <c r="R436" s="13" t="s">
        <v>374</v>
      </c>
      <c r="S436" s="13" t="s">
        <v>374</v>
      </c>
      <c r="T436" s="13" t="s">
        <v>374</v>
      </c>
      <c r="U436" s="12" t="s">
        <v>374</v>
      </c>
      <c r="V436" s="13" t="s">
        <v>374</v>
      </c>
      <c r="W436" s="13" t="s">
        <v>374</v>
      </c>
      <c r="X436" s="12" t="s">
        <v>374</v>
      </c>
      <c r="Y436" s="13" t="s">
        <v>374</v>
      </c>
      <c r="Z436" s="12" t="s">
        <v>374</v>
      </c>
      <c r="AA436" s="12" t="s">
        <v>374</v>
      </c>
      <c r="AB436" s="13" t="s">
        <v>374</v>
      </c>
      <c r="AC436" s="42"/>
      <c r="AD436" s="83">
        <f>IFERROR(P436,$AD$4)</f>
        <v>25569.5</v>
      </c>
      <c r="AE436" s="7">
        <f>IFERROR(U436,0)</f>
      </c>
      <c r="AF436" s="3"/>
      <c r="AG436" s="105">
        <f>Q435+S436+T436+U436</f>
      </c>
      <c r="AH436" s="105">
        <f>Q436+R436+X436</f>
      </c>
      <c r="AI436" s="60">
        <f>AH436-AG436</f>
      </c>
      <c r="AJ436" s="3"/>
      <c r="AK436" s="3"/>
    </row>
    <row x14ac:dyDescent="0.25" r="437" customHeight="1" ht="18.75">
      <c r="A437" s="3"/>
      <c r="B437" s="71"/>
      <c r="C437" s="3"/>
      <c r="D437" s="3"/>
      <c r="E437" s="3"/>
      <c r="F437" s="3"/>
      <c r="G437" s="59">
        <f>H437-DATE(YEAR(H437),1,0)+1</f>
      </c>
      <c r="H437" s="79">
        <f>H436+1</f>
        <v>25569.5</v>
      </c>
      <c r="I437" s="80">
        <f>HLOOKUP($H$4,'Met Data'!$A$2:$F$368,G437,FALSE)</f>
      </c>
      <c r="J437" s="80">
        <f>HLOOKUP($H$4,'Met Data'!$H$2:$M$368,G437,FALSE)*L437</f>
      </c>
      <c r="K437" s="81">
        <f>HLOOKUP($H$4,'Met Data'!$O$2:$T$368,G437,FALSE)</f>
      </c>
      <c r="L437" s="7">
        <f>IF(H437&lt;$B$31,$J$3,$J$4)</f>
      </c>
      <c r="M437" s="3"/>
      <c r="N437" s="82">
        <f>IF(P437&lt;$P$3,TRUE,FALSE)</f>
      </c>
      <c r="O437" s="82">
        <f>AND(IF(P437&gt;($P$2-1),TRUE,FALSE),IF(P437&lt;($P$3+1),TRUE,FALSE))</f>
      </c>
      <c r="P437" s="83" t="s">
        <v>374</v>
      </c>
      <c r="Q437" s="13" t="s">
        <v>374</v>
      </c>
      <c r="R437" s="13" t="s">
        <v>374</v>
      </c>
      <c r="S437" s="13" t="s">
        <v>374</v>
      </c>
      <c r="T437" s="13" t="s">
        <v>374</v>
      </c>
      <c r="U437" s="12" t="s">
        <v>374</v>
      </c>
      <c r="V437" s="13" t="s">
        <v>374</v>
      </c>
      <c r="W437" s="13" t="s">
        <v>374</v>
      </c>
      <c r="X437" s="12" t="s">
        <v>374</v>
      </c>
      <c r="Y437" s="13" t="s">
        <v>374</v>
      </c>
      <c r="Z437" s="12" t="s">
        <v>374</v>
      </c>
      <c r="AA437" s="12" t="s">
        <v>374</v>
      </c>
      <c r="AB437" s="13" t="s">
        <v>374</v>
      </c>
      <c r="AC437" s="42"/>
      <c r="AD437" s="83">
        <f>IFERROR(P437,$AD$4)</f>
        <v>25569.5</v>
      </c>
      <c r="AE437" s="7">
        <f>IFERROR(U437,0)</f>
      </c>
      <c r="AF437" s="3"/>
      <c r="AG437" s="105">
        <f>Q436+S437+T437+U437</f>
      </c>
      <c r="AH437" s="105">
        <f>Q437+R437+X437</f>
      </c>
      <c r="AI437" s="60">
        <f>AH437-AG437</f>
      </c>
      <c r="AJ437" s="3"/>
      <c r="AK437" s="3"/>
    </row>
    <row x14ac:dyDescent="0.25" r="438" customHeight="1" ht="18.75">
      <c r="A438" s="3"/>
      <c r="B438" s="71"/>
      <c r="C438" s="3"/>
      <c r="D438" s="3"/>
      <c r="E438" s="3"/>
      <c r="F438" s="3"/>
      <c r="G438" s="59">
        <f>H438-DATE(YEAR(H438),1,0)+1</f>
      </c>
      <c r="H438" s="79">
        <f>H437+1</f>
        <v>25569.5</v>
      </c>
      <c r="I438" s="80">
        <f>HLOOKUP($H$4,'Met Data'!$A$2:$F$368,G438,FALSE)</f>
      </c>
      <c r="J438" s="80">
        <f>HLOOKUP($H$4,'Met Data'!$H$2:$M$368,G438,FALSE)*L438</f>
      </c>
      <c r="K438" s="81">
        <f>HLOOKUP($H$4,'Met Data'!$O$2:$T$368,G438,FALSE)</f>
      </c>
      <c r="L438" s="7">
        <f>IF(H438&lt;$B$31,$J$3,$J$4)</f>
      </c>
      <c r="M438" s="3"/>
      <c r="N438" s="82">
        <f>IF(P438&lt;$P$3,TRUE,FALSE)</f>
      </c>
      <c r="O438" s="82">
        <f>AND(IF(P438&gt;($P$2-1),TRUE,FALSE),IF(P438&lt;($P$3+1),TRUE,FALSE))</f>
      </c>
      <c r="P438" s="83" t="s">
        <v>374</v>
      </c>
      <c r="Q438" s="13" t="s">
        <v>374</v>
      </c>
      <c r="R438" s="13" t="s">
        <v>374</v>
      </c>
      <c r="S438" s="13" t="s">
        <v>374</v>
      </c>
      <c r="T438" s="13" t="s">
        <v>374</v>
      </c>
      <c r="U438" s="12" t="s">
        <v>374</v>
      </c>
      <c r="V438" s="13" t="s">
        <v>374</v>
      </c>
      <c r="W438" s="13" t="s">
        <v>374</v>
      </c>
      <c r="X438" s="12" t="s">
        <v>374</v>
      </c>
      <c r="Y438" s="13" t="s">
        <v>374</v>
      </c>
      <c r="Z438" s="12" t="s">
        <v>374</v>
      </c>
      <c r="AA438" s="12" t="s">
        <v>374</v>
      </c>
      <c r="AB438" s="13" t="s">
        <v>374</v>
      </c>
      <c r="AC438" s="42"/>
      <c r="AD438" s="83">
        <f>IFERROR(P438,$AD$4)</f>
        <v>25569.5</v>
      </c>
      <c r="AE438" s="7">
        <f>IFERROR(U438,0)</f>
      </c>
      <c r="AF438" s="3"/>
      <c r="AG438" s="105">
        <f>Q437+S438+T438+U438</f>
      </c>
      <c r="AH438" s="105">
        <f>Q438+R438+X438</f>
      </c>
      <c r="AI438" s="60">
        <f>AH438-AG438</f>
      </c>
      <c r="AJ438" s="3"/>
      <c r="AK438" s="3"/>
    </row>
    <row x14ac:dyDescent="0.25" r="439" customHeight="1" ht="18.75">
      <c r="A439" s="3"/>
      <c r="B439" s="71"/>
      <c r="C439" s="3"/>
      <c r="D439" s="3"/>
      <c r="E439" s="3"/>
      <c r="F439" s="3"/>
      <c r="G439" s="59">
        <f>H439-DATE(YEAR(H439),1,0)+1</f>
      </c>
      <c r="H439" s="79">
        <f>H438+1</f>
        <v>25569.5</v>
      </c>
      <c r="I439" s="80">
        <f>HLOOKUP($H$4,'Met Data'!$A$2:$F$368,G439,FALSE)</f>
      </c>
      <c r="J439" s="80">
        <f>HLOOKUP($H$4,'Met Data'!$H$2:$M$368,G439,FALSE)*L439</f>
      </c>
      <c r="K439" s="81">
        <f>HLOOKUP($H$4,'Met Data'!$O$2:$T$368,G439,FALSE)</f>
      </c>
      <c r="L439" s="7">
        <f>IF(H439&lt;$B$31,$J$3,$J$4)</f>
      </c>
      <c r="M439" s="3"/>
      <c r="N439" s="82">
        <f>IF(P439&lt;$P$3,TRUE,FALSE)</f>
      </c>
      <c r="O439" s="82">
        <f>AND(IF(P439&gt;($P$2-1),TRUE,FALSE),IF(P439&lt;($P$3+1),TRUE,FALSE))</f>
      </c>
      <c r="P439" s="83" t="s">
        <v>374</v>
      </c>
      <c r="Q439" s="13" t="s">
        <v>374</v>
      </c>
      <c r="R439" s="13" t="s">
        <v>374</v>
      </c>
      <c r="S439" s="13" t="s">
        <v>374</v>
      </c>
      <c r="T439" s="13" t="s">
        <v>374</v>
      </c>
      <c r="U439" s="12" t="s">
        <v>374</v>
      </c>
      <c r="V439" s="13" t="s">
        <v>374</v>
      </c>
      <c r="W439" s="13" t="s">
        <v>374</v>
      </c>
      <c r="X439" s="12" t="s">
        <v>374</v>
      </c>
      <c r="Y439" s="13" t="s">
        <v>374</v>
      </c>
      <c r="Z439" s="12" t="s">
        <v>374</v>
      </c>
      <c r="AA439" s="12" t="s">
        <v>374</v>
      </c>
      <c r="AB439" s="13" t="s">
        <v>374</v>
      </c>
      <c r="AC439" s="42"/>
      <c r="AD439" s="83">
        <f>IFERROR(P439,$AD$4)</f>
        <v>25569.5</v>
      </c>
      <c r="AE439" s="7">
        <f>IFERROR(U439,0)</f>
      </c>
      <c r="AF439" s="3"/>
      <c r="AG439" s="105">
        <f>Q438+S439+T439+U439</f>
      </c>
      <c r="AH439" s="105">
        <f>Q439+R439+X439</f>
      </c>
      <c r="AI439" s="60">
        <f>AH439-AG439</f>
      </c>
      <c r="AJ439" s="3"/>
      <c r="AK439" s="3"/>
    </row>
    <row x14ac:dyDescent="0.25" r="440" customHeight="1" ht="18.75">
      <c r="A440" s="3"/>
      <c r="B440" s="71"/>
      <c r="C440" s="3"/>
      <c r="D440" s="3"/>
      <c r="E440" s="3"/>
      <c r="F440" s="3"/>
      <c r="G440" s="59">
        <f>H440-DATE(YEAR(H440),1,0)+1</f>
      </c>
      <c r="H440" s="79">
        <f>H439+1</f>
        <v>25569.5</v>
      </c>
      <c r="I440" s="80">
        <f>HLOOKUP($H$4,'Met Data'!$A$2:$F$368,G440,FALSE)</f>
      </c>
      <c r="J440" s="80">
        <f>HLOOKUP($H$4,'Met Data'!$H$2:$M$368,G440,FALSE)*L440</f>
      </c>
      <c r="K440" s="81">
        <f>HLOOKUP($H$4,'Met Data'!$O$2:$T$368,G440,FALSE)</f>
      </c>
      <c r="L440" s="7">
        <f>IF(H440&lt;$B$31,$J$3,$J$4)</f>
      </c>
      <c r="M440" s="3"/>
      <c r="N440" s="82">
        <f>IF(P440&lt;$P$3,TRUE,FALSE)</f>
      </c>
      <c r="O440" s="82">
        <f>AND(IF(P440&gt;($P$2-1),TRUE,FALSE),IF(P440&lt;($P$3+1),TRUE,FALSE))</f>
      </c>
      <c r="P440" s="83" t="s">
        <v>374</v>
      </c>
      <c r="Q440" s="13" t="s">
        <v>374</v>
      </c>
      <c r="R440" s="13" t="s">
        <v>374</v>
      </c>
      <c r="S440" s="13" t="s">
        <v>374</v>
      </c>
      <c r="T440" s="13" t="s">
        <v>374</v>
      </c>
      <c r="U440" s="12" t="s">
        <v>374</v>
      </c>
      <c r="V440" s="13" t="s">
        <v>374</v>
      </c>
      <c r="W440" s="13" t="s">
        <v>374</v>
      </c>
      <c r="X440" s="12" t="s">
        <v>374</v>
      </c>
      <c r="Y440" s="13" t="s">
        <v>374</v>
      </c>
      <c r="Z440" s="12" t="s">
        <v>374</v>
      </c>
      <c r="AA440" s="12" t="s">
        <v>374</v>
      </c>
      <c r="AB440" s="13" t="s">
        <v>374</v>
      </c>
      <c r="AC440" s="42"/>
      <c r="AD440" s="83">
        <f>IFERROR(P440,$AD$4)</f>
        <v>25569.5</v>
      </c>
      <c r="AE440" s="7">
        <f>IFERROR(U440,0)</f>
      </c>
      <c r="AF440" s="3"/>
      <c r="AG440" s="105">
        <f>Q439+S440+T440+U440</f>
      </c>
      <c r="AH440" s="105">
        <f>Q440+R440+X440</f>
      </c>
      <c r="AI440" s="60">
        <f>AH440-AG440</f>
      </c>
      <c r="AJ440" s="3"/>
      <c r="AK440" s="3"/>
    </row>
    <row x14ac:dyDescent="0.25" r="441" customHeight="1" ht="18.75">
      <c r="A441" s="3"/>
      <c r="B441" s="71"/>
      <c r="C441" s="3"/>
      <c r="D441" s="3"/>
      <c r="E441" s="3"/>
      <c r="F441" s="3"/>
      <c r="G441" s="59">
        <f>H441-DATE(YEAR(H441),1,0)+1</f>
      </c>
      <c r="H441" s="79">
        <f>H440+1</f>
        <v>25569.5</v>
      </c>
      <c r="I441" s="80">
        <f>HLOOKUP($H$4,'Met Data'!$A$2:$F$368,G441,FALSE)</f>
      </c>
      <c r="J441" s="80">
        <f>HLOOKUP($H$4,'Met Data'!$H$2:$M$368,G441,FALSE)*L441</f>
      </c>
      <c r="K441" s="81">
        <f>HLOOKUP($H$4,'Met Data'!$O$2:$T$368,G441,FALSE)</f>
      </c>
      <c r="L441" s="7">
        <f>IF(H441&lt;$B$31,$J$3,$J$4)</f>
      </c>
      <c r="M441" s="3"/>
      <c r="N441" s="82">
        <f>IF(P441&lt;$P$3,TRUE,FALSE)</f>
      </c>
      <c r="O441" s="82">
        <f>AND(IF(P441&gt;($P$2-1),TRUE,FALSE),IF(P441&lt;($P$3+1),TRUE,FALSE))</f>
      </c>
      <c r="P441" s="83" t="s">
        <v>374</v>
      </c>
      <c r="Q441" s="13" t="s">
        <v>374</v>
      </c>
      <c r="R441" s="13" t="s">
        <v>374</v>
      </c>
      <c r="S441" s="13" t="s">
        <v>374</v>
      </c>
      <c r="T441" s="13" t="s">
        <v>374</v>
      </c>
      <c r="U441" s="12" t="s">
        <v>374</v>
      </c>
      <c r="V441" s="13" t="s">
        <v>374</v>
      </c>
      <c r="W441" s="13" t="s">
        <v>374</v>
      </c>
      <c r="X441" s="12" t="s">
        <v>374</v>
      </c>
      <c r="Y441" s="13" t="s">
        <v>374</v>
      </c>
      <c r="Z441" s="12" t="s">
        <v>374</v>
      </c>
      <c r="AA441" s="12" t="s">
        <v>374</v>
      </c>
      <c r="AB441" s="13" t="s">
        <v>374</v>
      </c>
      <c r="AC441" s="42"/>
      <c r="AD441" s="83">
        <f>IFERROR(P441,$AD$4)</f>
        <v>25569.5</v>
      </c>
      <c r="AE441" s="7">
        <f>IFERROR(U441,0)</f>
      </c>
      <c r="AF441" s="3"/>
      <c r="AG441" s="105">
        <f>Q440+S441+T441+U441</f>
      </c>
      <c r="AH441" s="105">
        <f>Q441+R441+X441</f>
      </c>
      <c r="AI441" s="60">
        <f>AH441-AG441</f>
      </c>
      <c r="AJ441" s="3"/>
      <c r="AK441" s="3"/>
    </row>
    <row x14ac:dyDescent="0.25" r="442" customHeight="1" ht="18.75">
      <c r="A442" s="3"/>
      <c r="B442" s="71"/>
      <c r="C442" s="3"/>
      <c r="D442" s="3"/>
      <c r="E442" s="3"/>
      <c r="F442" s="3"/>
      <c r="G442" s="59">
        <f>H442-DATE(YEAR(H442),1,0)+1</f>
      </c>
      <c r="H442" s="79">
        <f>H441+1</f>
        <v>25569.5</v>
      </c>
      <c r="I442" s="80">
        <f>HLOOKUP($H$4,'Met Data'!$A$2:$F$368,G442,FALSE)</f>
      </c>
      <c r="J442" s="80">
        <f>HLOOKUP($H$4,'Met Data'!$H$2:$M$368,G442,FALSE)*L442</f>
      </c>
      <c r="K442" s="81">
        <f>HLOOKUP($H$4,'Met Data'!$O$2:$T$368,G442,FALSE)</f>
      </c>
      <c r="L442" s="7">
        <f>IF(H442&lt;$B$31,$J$3,$J$4)</f>
      </c>
      <c r="M442" s="3"/>
      <c r="N442" s="82">
        <f>IF(P442&lt;$P$3,TRUE,FALSE)</f>
      </c>
      <c r="O442" s="82">
        <f>AND(IF(P442&gt;($P$2-1),TRUE,FALSE),IF(P442&lt;($P$3+1),TRUE,FALSE))</f>
      </c>
      <c r="P442" s="83" t="s">
        <v>374</v>
      </c>
      <c r="Q442" s="13" t="s">
        <v>374</v>
      </c>
      <c r="R442" s="13" t="s">
        <v>374</v>
      </c>
      <c r="S442" s="13" t="s">
        <v>374</v>
      </c>
      <c r="T442" s="13" t="s">
        <v>374</v>
      </c>
      <c r="U442" s="12" t="s">
        <v>374</v>
      </c>
      <c r="V442" s="13" t="s">
        <v>374</v>
      </c>
      <c r="W442" s="13" t="s">
        <v>374</v>
      </c>
      <c r="X442" s="12" t="s">
        <v>374</v>
      </c>
      <c r="Y442" s="13" t="s">
        <v>374</v>
      </c>
      <c r="Z442" s="12" t="s">
        <v>374</v>
      </c>
      <c r="AA442" s="12" t="s">
        <v>374</v>
      </c>
      <c r="AB442" s="13" t="s">
        <v>374</v>
      </c>
      <c r="AC442" s="42"/>
      <c r="AD442" s="83">
        <f>IFERROR(P442,$AD$4)</f>
        <v>25569.5</v>
      </c>
      <c r="AE442" s="7">
        <f>IFERROR(U442,0)</f>
      </c>
      <c r="AF442" s="3"/>
      <c r="AG442" s="105">
        <f>Q441+S442+T442+U442</f>
      </c>
      <c r="AH442" s="105">
        <f>Q442+R442+X442</f>
      </c>
      <c r="AI442" s="60">
        <f>AH442-AG442</f>
      </c>
      <c r="AJ442" s="3"/>
      <c r="AK442" s="3"/>
    </row>
    <row x14ac:dyDescent="0.25" r="443" customHeight="1" ht="18.75">
      <c r="A443" s="3"/>
      <c r="B443" s="71"/>
      <c r="C443" s="3"/>
      <c r="D443" s="3"/>
      <c r="E443" s="3"/>
      <c r="F443" s="3"/>
      <c r="G443" s="59">
        <f>H443-DATE(YEAR(H443),1,0)+1</f>
      </c>
      <c r="H443" s="79">
        <f>H442+1</f>
        <v>25569.5</v>
      </c>
      <c r="I443" s="80">
        <f>HLOOKUP($H$4,'Met Data'!$A$2:$F$368,G443,FALSE)</f>
      </c>
      <c r="J443" s="80">
        <f>HLOOKUP($H$4,'Met Data'!$H$2:$M$368,G443,FALSE)*L443</f>
      </c>
      <c r="K443" s="81">
        <f>HLOOKUP($H$4,'Met Data'!$O$2:$T$368,G443,FALSE)</f>
      </c>
      <c r="L443" s="7">
        <f>IF(H443&lt;$B$31,$J$3,$J$4)</f>
      </c>
      <c r="M443" s="3"/>
      <c r="N443" s="82">
        <f>IF(P443&lt;$P$3,TRUE,FALSE)</f>
      </c>
      <c r="O443" s="82">
        <f>AND(IF(P443&gt;($P$2-1),TRUE,FALSE),IF(P443&lt;($P$3+1),TRUE,FALSE))</f>
      </c>
      <c r="P443" s="83" t="s">
        <v>374</v>
      </c>
      <c r="Q443" s="13" t="s">
        <v>374</v>
      </c>
      <c r="R443" s="13" t="s">
        <v>374</v>
      </c>
      <c r="S443" s="13" t="s">
        <v>374</v>
      </c>
      <c r="T443" s="13" t="s">
        <v>374</v>
      </c>
      <c r="U443" s="12" t="s">
        <v>374</v>
      </c>
      <c r="V443" s="13" t="s">
        <v>374</v>
      </c>
      <c r="W443" s="13" t="s">
        <v>374</v>
      </c>
      <c r="X443" s="12" t="s">
        <v>374</v>
      </c>
      <c r="Y443" s="13" t="s">
        <v>374</v>
      </c>
      <c r="Z443" s="12" t="s">
        <v>374</v>
      </c>
      <c r="AA443" s="12" t="s">
        <v>374</v>
      </c>
      <c r="AB443" s="13" t="s">
        <v>374</v>
      </c>
      <c r="AC443" s="42"/>
      <c r="AD443" s="83">
        <f>IFERROR(P443,$AD$4)</f>
        <v>25569.5</v>
      </c>
      <c r="AE443" s="7">
        <f>IFERROR(U443,0)</f>
      </c>
      <c r="AF443" s="3"/>
      <c r="AG443" s="105">
        <f>Q442+S443+T443+U443</f>
      </c>
      <c r="AH443" s="105">
        <f>Q443+R443+X443</f>
      </c>
      <c r="AI443" s="60">
        <f>AH443-AG443</f>
      </c>
      <c r="AJ443" s="3"/>
      <c r="AK443" s="3"/>
    </row>
    <row x14ac:dyDescent="0.25" r="444" customHeight="1" ht="18.75">
      <c r="A444" s="3"/>
      <c r="B444" s="71"/>
      <c r="C444" s="3"/>
      <c r="D444" s="3"/>
      <c r="E444" s="3"/>
      <c r="F444" s="3"/>
      <c r="G444" s="59">
        <f>H444-DATE(YEAR(H444),1,0)+1</f>
      </c>
      <c r="H444" s="79">
        <f>H443+1</f>
        <v>25569.5</v>
      </c>
      <c r="I444" s="80">
        <f>HLOOKUP($H$4,'Met Data'!$A$2:$F$368,G444,FALSE)</f>
      </c>
      <c r="J444" s="80">
        <f>HLOOKUP($H$4,'Met Data'!$H$2:$M$368,G444,FALSE)*L444</f>
      </c>
      <c r="K444" s="81">
        <f>HLOOKUP($H$4,'Met Data'!$O$2:$T$368,G444,FALSE)</f>
      </c>
      <c r="L444" s="7">
        <f>IF(H444&lt;$B$31,$J$3,$J$4)</f>
      </c>
      <c r="M444" s="3"/>
      <c r="N444" s="82">
        <f>IF(P444&lt;$P$3,TRUE,FALSE)</f>
      </c>
      <c r="O444" s="82">
        <f>AND(IF(P444&gt;($P$2-1),TRUE,FALSE),IF(P444&lt;($P$3+1),TRUE,FALSE))</f>
      </c>
      <c r="P444" s="83" t="s">
        <v>374</v>
      </c>
      <c r="Q444" s="13" t="s">
        <v>374</v>
      </c>
      <c r="R444" s="13" t="s">
        <v>374</v>
      </c>
      <c r="S444" s="13" t="s">
        <v>374</v>
      </c>
      <c r="T444" s="13" t="s">
        <v>374</v>
      </c>
      <c r="U444" s="12" t="s">
        <v>374</v>
      </c>
      <c r="V444" s="13" t="s">
        <v>374</v>
      </c>
      <c r="W444" s="13" t="s">
        <v>374</v>
      </c>
      <c r="X444" s="12" t="s">
        <v>374</v>
      </c>
      <c r="Y444" s="13" t="s">
        <v>374</v>
      </c>
      <c r="Z444" s="12" t="s">
        <v>374</v>
      </c>
      <c r="AA444" s="12" t="s">
        <v>374</v>
      </c>
      <c r="AB444" s="13" t="s">
        <v>374</v>
      </c>
      <c r="AC444" s="42"/>
      <c r="AD444" s="83">
        <f>IFERROR(P444,$AD$4)</f>
        <v>25569.5</v>
      </c>
      <c r="AE444" s="7">
        <f>IFERROR(U444,0)</f>
      </c>
      <c r="AF444" s="3"/>
      <c r="AG444" s="105">
        <f>Q443+S444+T444+U444</f>
      </c>
      <c r="AH444" s="105">
        <f>Q444+R444+X444</f>
      </c>
      <c r="AI444" s="60">
        <f>AH444-AG444</f>
      </c>
      <c r="AJ444" s="3"/>
      <c r="AK444" s="3"/>
    </row>
    <row x14ac:dyDescent="0.25" r="445" customHeight="1" ht="18.75">
      <c r="A445" s="3"/>
      <c r="B445" s="71"/>
      <c r="C445" s="3"/>
      <c r="D445" s="3"/>
      <c r="E445" s="3"/>
      <c r="F445" s="3"/>
      <c r="G445" s="59">
        <f>H445-DATE(YEAR(H445),1,0)+1</f>
      </c>
      <c r="H445" s="79">
        <f>H444+1</f>
        <v>25569.5</v>
      </c>
      <c r="I445" s="80">
        <f>HLOOKUP($H$4,'Met Data'!$A$2:$F$368,G445,FALSE)</f>
      </c>
      <c r="J445" s="80">
        <f>HLOOKUP($H$4,'Met Data'!$H$2:$M$368,G445,FALSE)*L445</f>
      </c>
      <c r="K445" s="81">
        <f>HLOOKUP($H$4,'Met Data'!$O$2:$T$368,G445,FALSE)</f>
      </c>
      <c r="L445" s="7">
        <f>IF(H445&lt;$B$31,$J$3,$J$4)</f>
      </c>
      <c r="M445" s="3"/>
      <c r="N445" s="82">
        <f>IF(P445&lt;$P$3,TRUE,FALSE)</f>
      </c>
      <c r="O445" s="82">
        <f>AND(IF(P445&gt;($P$2-1),TRUE,FALSE),IF(P445&lt;($P$3+1),TRUE,FALSE))</f>
      </c>
      <c r="P445" s="83" t="s">
        <v>374</v>
      </c>
      <c r="Q445" s="13" t="s">
        <v>374</v>
      </c>
      <c r="R445" s="13" t="s">
        <v>374</v>
      </c>
      <c r="S445" s="13" t="s">
        <v>374</v>
      </c>
      <c r="T445" s="13" t="s">
        <v>374</v>
      </c>
      <c r="U445" s="12" t="s">
        <v>374</v>
      </c>
      <c r="V445" s="13" t="s">
        <v>374</v>
      </c>
      <c r="W445" s="13" t="s">
        <v>374</v>
      </c>
      <c r="X445" s="12" t="s">
        <v>374</v>
      </c>
      <c r="Y445" s="13" t="s">
        <v>374</v>
      </c>
      <c r="Z445" s="12" t="s">
        <v>374</v>
      </c>
      <c r="AA445" s="12" t="s">
        <v>374</v>
      </c>
      <c r="AB445" s="13" t="s">
        <v>374</v>
      </c>
      <c r="AC445" s="42"/>
      <c r="AD445" s="83">
        <f>IFERROR(P445,$AD$4)</f>
        <v>25569.5</v>
      </c>
      <c r="AE445" s="7">
        <f>IFERROR(U445,0)</f>
      </c>
      <c r="AF445" s="3"/>
      <c r="AG445" s="105">
        <f>Q444+S445+T445+U445</f>
      </c>
      <c r="AH445" s="105">
        <f>Q445+R445+X445</f>
      </c>
      <c r="AI445" s="60">
        <f>AH445-AG445</f>
      </c>
      <c r="AJ445" s="3"/>
      <c r="AK445" s="3"/>
    </row>
    <row x14ac:dyDescent="0.25" r="446" customHeight="1" ht="18.75">
      <c r="A446" s="3"/>
      <c r="B446" s="71"/>
      <c r="C446" s="3"/>
      <c r="D446" s="3"/>
      <c r="E446" s="3"/>
      <c r="F446" s="3"/>
      <c r="G446" s="59">
        <f>H446-DATE(YEAR(H446),1,0)+1</f>
      </c>
      <c r="H446" s="79">
        <f>H445+1</f>
        <v>25569.5</v>
      </c>
      <c r="I446" s="80">
        <f>HLOOKUP($H$4,'Met Data'!$A$2:$F$368,G446,FALSE)</f>
      </c>
      <c r="J446" s="80">
        <f>HLOOKUP($H$4,'Met Data'!$H$2:$M$368,G446,FALSE)*L446</f>
      </c>
      <c r="K446" s="81">
        <f>HLOOKUP($H$4,'Met Data'!$O$2:$T$368,G446,FALSE)</f>
      </c>
      <c r="L446" s="7">
        <f>IF(H446&lt;$B$31,$J$3,$J$4)</f>
      </c>
      <c r="M446" s="3"/>
      <c r="N446" s="82">
        <f>IF(P446&lt;$P$3,TRUE,FALSE)</f>
      </c>
      <c r="O446" s="82">
        <f>AND(IF(P446&gt;($P$2-1),TRUE,FALSE),IF(P446&lt;($P$3+1),TRUE,FALSE))</f>
      </c>
      <c r="P446" s="83" t="s">
        <v>374</v>
      </c>
      <c r="Q446" s="13" t="s">
        <v>374</v>
      </c>
      <c r="R446" s="13" t="s">
        <v>374</v>
      </c>
      <c r="S446" s="13" t="s">
        <v>374</v>
      </c>
      <c r="T446" s="13" t="s">
        <v>374</v>
      </c>
      <c r="U446" s="12" t="s">
        <v>374</v>
      </c>
      <c r="V446" s="13" t="s">
        <v>374</v>
      </c>
      <c r="W446" s="13" t="s">
        <v>374</v>
      </c>
      <c r="X446" s="12" t="s">
        <v>374</v>
      </c>
      <c r="Y446" s="13" t="s">
        <v>374</v>
      </c>
      <c r="Z446" s="12" t="s">
        <v>374</v>
      </c>
      <c r="AA446" s="12" t="s">
        <v>374</v>
      </c>
      <c r="AB446" s="13" t="s">
        <v>374</v>
      </c>
      <c r="AC446" s="42"/>
      <c r="AD446" s="83">
        <f>IFERROR(P446,$AD$4)</f>
        <v>25569.5</v>
      </c>
      <c r="AE446" s="7">
        <f>IFERROR(U446,0)</f>
      </c>
      <c r="AF446" s="3"/>
      <c r="AG446" s="105">
        <f>Q445+S446+T446+U446</f>
      </c>
      <c r="AH446" s="105">
        <f>Q446+R446+X446</f>
      </c>
      <c r="AI446" s="60">
        <f>AH446-AG446</f>
      </c>
      <c r="AJ446" s="3"/>
      <c r="AK446" s="3"/>
    </row>
    <row x14ac:dyDescent="0.25" r="447" customHeight="1" ht="18.75">
      <c r="A447" s="3"/>
      <c r="B447" s="71"/>
      <c r="C447" s="3"/>
      <c r="D447" s="3"/>
      <c r="E447" s="3"/>
      <c r="F447" s="3"/>
      <c r="G447" s="59">
        <f>H447-DATE(YEAR(H447),1,0)+1</f>
      </c>
      <c r="H447" s="79">
        <f>H446+1</f>
        <v>25569.5</v>
      </c>
      <c r="I447" s="80">
        <f>HLOOKUP($H$4,'Met Data'!$A$2:$F$368,G447,FALSE)</f>
      </c>
      <c r="J447" s="80">
        <f>HLOOKUP($H$4,'Met Data'!$H$2:$M$368,G447,FALSE)*L447</f>
      </c>
      <c r="K447" s="81">
        <f>HLOOKUP($H$4,'Met Data'!$O$2:$T$368,G447,FALSE)</f>
      </c>
      <c r="L447" s="7">
        <f>IF(H447&lt;$B$31,$J$3,$J$4)</f>
      </c>
      <c r="M447" s="3"/>
      <c r="N447" s="82">
        <f>IF(P447&lt;$P$3,TRUE,FALSE)</f>
      </c>
      <c r="O447" s="82">
        <f>AND(IF(P447&gt;($P$2-1),TRUE,FALSE),IF(P447&lt;($P$3+1),TRUE,FALSE))</f>
      </c>
      <c r="P447" s="83" t="s">
        <v>374</v>
      </c>
      <c r="Q447" s="13" t="s">
        <v>374</v>
      </c>
      <c r="R447" s="13" t="s">
        <v>374</v>
      </c>
      <c r="S447" s="13" t="s">
        <v>374</v>
      </c>
      <c r="T447" s="13" t="s">
        <v>374</v>
      </c>
      <c r="U447" s="12" t="s">
        <v>374</v>
      </c>
      <c r="V447" s="13" t="s">
        <v>374</v>
      </c>
      <c r="W447" s="13" t="s">
        <v>374</v>
      </c>
      <c r="X447" s="12" t="s">
        <v>374</v>
      </c>
      <c r="Y447" s="13" t="s">
        <v>374</v>
      </c>
      <c r="Z447" s="12" t="s">
        <v>374</v>
      </c>
      <c r="AA447" s="12" t="s">
        <v>374</v>
      </c>
      <c r="AB447" s="13" t="s">
        <v>374</v>
      </c>
      <c r="AC447" s="42"/>
      <c r="AD447" s="83">
        <f>IFERROR(P447,$AD$4)</f>
        <v>25569.5</v>
      </c>
      <c r="AE447" s="7">
        <f>IFERROR(U447,0)</f>
      </c>
      <c r="AF447" s="3"/>
      <c r="AG447" s="105">
        <f>Q446+S447+T447+U447</f>
      </c>
      <c r="AH447" s="105">
        <f>Q447+R447+X447</f>
      </c>
      <c r="AI447" s="60">
        <f>AH447-AG447</f>
      </c>
      <c r="AJ447" s="3"/>
      <c r="AK447" s="3"/>
    </row>
    <row x14ac:dyDescent="0.25" r="448" customHeight="1" ht="18.75">
      <c r="A448" s="3"/>
      <c r="B448" s="71"/>
      <c r="C448" s="3"/>
      <c r="D448" s="3"/>
      <c r="E448" s="3"/>
      <c r="F448" s="3"/>
      <c r="G448" s="59">
        <f>H448-DATE(YEAR(H448),1,0)+1</f>
      </c>
      <c r="H448" s="79">
        <f>H447+1</f>
        <v>25569.5</v>
      </c>
      <c r="I448" s="80">
        <f>HLOOKUP($H$4,'Met Data'!$A$2:$F$368,G448,FALSE)</f>
      </c>
      <c r="J448" s="80">
        <f>HLOOKUP($H$4,'Met Data'!$H$2:$M$368,G448,FALSE)*L448</f>
      </c>
      <c r="K448" s="81">
        <f>HLOOKUP($H$4,'Met Data'!$O$2:$T$368,G448,FALSE)</f>
      </c>
      <c r="L448" s="7">
        <f>IF(H448&lt;$B$31,$J$3,$J$4)</f>
      </c>
      <c r="M448" s="3"/>
      <c r="N448" s="82">
        <f>IF(P448&lt;$P$3,TRUE,FALSE)</f>
      </c>
      <c r="O448" s="82">
        <f>AND(IF(P448&gt;($P$2-1),TRUE,FALSE),IF(P448&lt;($P$3+1),TRUE,FALSE))</f>
      </c>
      <c r="P448" s="83" t="s">
        <v>374</v>
      </c>
      <c r="Q448" s="13" t="s">
        <v>374</v>
      </c>
      <c r="R448" s="13" t="s">
        <v>374</v>
      </c>
      <c r="S448" s="13" t="s">
        <v>374</v>
      </c>
      <c r="T448" s="13" t="s">
        <v>374</v>
      </c>
      <c r="U448" s="12" t="s">
        <v>374</v>
      </c>
      <c r="V448" s="13" t="s">
        <v>374</v>
      </c>
      <c r="W448" s="13" t="s">
        <v>374</v>
      </c>
      <c r="X448" s="12" t="s">
        <v>374</v>
      </c>
      <c r="Y448" s="13" t="s">
        <v>374</v>
      </c>
      <c r="Z448" s="12" t="s">
        <v>374</v>
      </c>
      <c r="AA448" s="12" t="s">
        <v>374</v>
      </c>
      <c r="AB448" s="13" t="s">
        <v>374</v>
      </c>
      <c r="AC448" s="42"/>
      <c r="AD448" s="83">
        <f>IFERROR(P448,$AD$4)</f>
        <v>25569.5</v>
      </c>
      <c r="AE448" s="7">
        <f>IFERROR(U448,0)</f>
      </c>
      <c r="AF448" s="3"/>
      <c r="AG448" s="105">
        <f>Q447+S448+T448+U448</f>
      </c>
      <c r="AH448" s="105">
        <f>Q448+R448+X448</f>
      </c>
      <c r="AI448" s="60">
        <f>AH448-AG448</f>
      </c>
      <c r="AJ448" s="3"/>
      <c r="AK448" s="3"/>
    </row>
    <row x14ac:dyDescent="0.25" r="449" customHeight="1" ht="18.75">
      <c r="A449" s="3"/>
      <c r="B449" s="71"/>
      <c r="C449" s="3"/>
      <c r="D449" s="3"/>
      <c r="E449" s="3"/>
      <c r="F449" s="3"/>
      <c r="G449" s="59">
        <f>H449-DATE(YEAR(H449),1,0)+1</f>
      </c>
      <c r="H449" s="79">
        <f>H448+1</f>
        <v>25569.5</v>
      </c>
      <c r="I449" s="80">
        <f>HLOOKUP($H$4,'Met Data'!$A$2:$F$368,G449,FALSE)</f>
      </c>
      <c r="J449" s="80">
        <f>HLOOKUP($H$4,'Met Data'!$H$2:$M$368,G449,FALSE)*L449</f>
      </c>
      <c r="K449" s="81">
        <f>HLOOKUP($H$4,'Met Data'!$O$2:$T$368,G449,FALSE)</f>
      </c>
      <c r="L449" s="7">
        <f>IF(H449&lt;$B$31,$J$3,$J$4)</f>
      </c>
      <c r="M449" s="3"/>
      <c r="N449" s="82">
        <f>IF(P449&lt;$P$3,TRUE,FALSE)</f>
      </c>
      <c r="O449" s="82">
        <f>AND(IF(P449&gt;($P$2-1),TRUE,FALSE),IF(P449&lt;($P$3+1),TRUE,FALSE))</f>
      </c>
      <c r="P449" s="83" t="s">
        <v>374</v>
      </c>
      <c r="Q449" s="13" t="s">
        <v>374</v>
      </c>
      <c r="R449" s="13" t="s">
        <v>374</v>
      </c>
      <c r="S449" s="13" t="s">
        <v>374</v>
      </c>
      <c r="T449" s="13" t="s">
        <v>374</v>
      </c>
      <c r="U449" s="12" t="s">
        <v>374</v>
      </c>
      <c r="V449" s="13" t="s">
        <v>374</v>
      </c>
      <c r="W449" s="13" t="s">
        <v>374</v>
      </c>
      <c r="X449" s="12" t="s">
        <v>374</v>
      </c>
      <c r="Y449" s="13" t="s">
        <v>374</v>
      </c>
      <c r="Z449" s="12" t="s">
        <v>374</v>
      </c>
      <c r="AA449" s="12" t="s">
        <v>374</v>
      </c>
      <c r="AB449" s="13" t="s">
        <v>374</v>
      </c>
      <c r="AC449" s="42"/>
      <c r="AD449" s="83">
        <f>IFERROR(P449,$AD$4)</f>
        <v>25569.5</v>
      </c>
      <c r="AE449" s="7">
        <f>IFERROR(U449,0)</f>
      </c>
      <c r="AF449" s="3"/>
      <c r="AG449" s="105">
        <f>Q448+S449+T449+U449</f>
      </c>
      <c r="AH449" s="105">
        <f>Q449+R449+X449</f>
      </c>
      <c r="AI449" s="60">
        <f>AH449-AG449</f>
      </c>
      <c r="AJ449" s="3"/>
      <c r="AK449" s="3"/>
    </row>
    <row x14ac:dyDescent="0.25" r="450" customHeight="1" ht="18.75">
      <c r="A450" s="3"/>
      <c r="B450" s="71"/>
      <c r="C450" s="3"/>
      <c r="D450" s="3"/>
      <c r="E450" s="3"/>
      <c r="F450" s="3"/>
      <c r="G450" s="59">
        <f>H450-DATE(YEAR(H450),1,0)+1</f>
      </c>
      <c r="H450" s="79">
        <f>H449+1</f>
        <v>25569.5</v>
      </c>
      <c r="I450" s="80">
        <f>HLOOKUP($H$4,'Met Data'!$A$2:$F$368,G450,FALSE)</f>
      </c>
      <c r="J450" s="80">
        <f>HLOOKUP($H$4,'Met Data'!$H$2:$M$368,G450,FALSE)*L450</f>
      </c>
      <c r="K450" s="81">
        <f>HLOOKUP($H$4,'Met Data'!$O$2:$T$368,G450,FALSE)</f>
      </c>
      <c r="L450" s="7">
        <f>IF(H450&lt;$B$31,$J$3,$J$4)</f>
      </c>
      <c r="M450" s="3"/>
      <c r="N450" s="82">
        <f>IF(P450&lt;$P$3,TRUE,FALSE)</f>
      </c>
      <c r="O450" s="82">
        <f>AND(IF(P450&gt;($P$2-1),TRUE,FALSE),IF(P450&lt;($P$3+1),TRUE,FALSE))</f>
      </c>
      <c r="P450" s="83" t="s">
        <v>374</v>
      </c>
      <c r="Q450" s="13" t="s">
        <v>374</v>
      </c>
      <c r="R450" s="13" t="s">
        <v>374</v>
      </c>
      <c r="S450" s="13" t="s">
        <v>374</v>
      </c>
      <c r="T450" s="13" t="s">
        <v>374</v>
      </c>
      <c r="U450" s="12" t="s">
        <v>374</v>
      </c>
      <c r="V450" s="13" t="s">
        <v>374</v>
      </c>
      <c r="W450" s="13" t="s">
        <v>374</v>
      </c>
      <c r="X450" s="12" t="s">
        <v>374</v>
      </c>
      <c r="Y450" s="13" t="s">
        <v>374</v>
      </c>
      <c r="Z450" s="12" t="s">
        <v>374</v>
      </c>
      <c r="AA450" s="12" t="s">
        <v>374</v>
      </c>
      <c r="AB450" s="13" t="s">
        <v>374</v>
      </c>
      <c r="AC450" s="42"/>
      <c r="AD450" s="83">
        <f>IFERROR(P450,$AD$4)</f>
        <v>25569.5</v>
      </c>
      <c r="AE450" s="7">
        <f>IFERROR(U450,0)</f>
      </c>
      <c r="AF450" s="3"/>
      <c r="AG450" s="105">
        <f>Q449+S450+T450+U450</f>
      </c>
      <c r="AH450" s="105">
        <f>Q450+R450+X450</f>
      </c>
      <c r="AI450" s="60">
        <f>AH450-AG450</f>
      </c>
      <c r="AJ450" s="3"/>
      <c r="AK450" s="3"/>
    </row>
    <row x14ac:dyDescent="0.25" r="451" customHeight="1" ht="18.75">
      <c r="A451" s="3"/>
      <c r="B451" s="71"/>
      <c r="C451" s="3"/>
      <c r="D451" s="3"/>
      <c r="E451" s="3"/>
      <c r="F451" s="3"/>
      <c r="G451" s="59">
        <f>H451-DATE(YEAR(H451),1,0)+1</f>
      </c>
      <c r="H451" s="79">
        <f>H450+1</f>
        <v>25569.5</v>
      </c>
      <c r="I451" s="80">
        <f>HLOOKUP($H$4,'Met Data'!$A$2:$F$368,G451,FALSE)</f>
      </c>
      <c r="J451" s="80">
        <f>HLOOKUP($H$4,'Met Data'!$H$2:$M$368,G451,FALSE)*L451</f>
      </c>
      <c r="K451" s="81">
        <f>HLOOKUP($H$4,'Met Data'!$O$2:$T$368,G451,FALSE)</f>
      </c>
      <c r="L451" s="7">
        <f>IF(H451&lt;$B$31,$J$3,$J$4)</f>
      </c>
      <c r="M451" s="3"/>
      <c r="N451" s="82">
        <f>IF(P451&lt;$P$3,TRUE,FALSE)</f>
      </c>
      <c r="O451" s="82">
        <f>AND(IF(P451&gt;($P$2-1),TRUE,FALSE),IF(P451&lt;($P$3+1),TRUE,FALSE))</f>
      </c>
      <c r="P451" s="83" t="s">
        <v>374</v>
      </c>
      <c r="Q451" s="13" t="s">
        <v>374</v>
      </c>
      <c r="R451" s="13" t="s">
        <v>374</v>
      </c>
      <c r="S451" s="13" t="s">
        <v>374</v>
      </c>
      <c r="T451" s="13" t="s">
        <v>374</v>
      </c>
      <c r="U451" s="12" t="s">
        <v>374</v>
      </c>
      <c r="V451" s="13" t="s">
        <v>374</v>
      </c>
      <c r="W451" s="13" t="s">
        <v>374</v>
      </c>
      <c r="X451" s="12" t="s">
        <v>374</v>
      </c>
      <c r="Y451" s="13" t="s">
        <v>374</v>
      </c>
      <c r="Z451" s="12" t="s">
        <v>374</v>
      </c>
      <c r="AA451" s="12" t="s">
        <v>374</v>
      </c>
      <c r="AB451" s="13" t="s">
        <v>374</v>
      </c>
      <c r="AC451" s="42"/>
      <c r="AD451" s="83">
        <f>IFERROR(P451,$AD$4)</f>
        <v>25569.5</v>
      </c>
      <c r="AE451" s="7">
        <f>IFERROR(U451,0)</f>
      </c>
      <c r="AF451" s="3"/>
      <c r="AG451" s="105">
        <f>Q450+S451+T451+U451</f>
      </c>
      <c r="AH451" s="105">
        <f>Q451+R451+X451</f>
      </c>
      <c r="AI451" s="60">
        <f>AH451-AG451</f>
      </c>
      <c r="AJ451" s="3"/>
      <c r="AK451" s="3"/>
    </row>
    <row x14ac:dyDescent="0.25" r="452" customHeight="1" ht="18.75">
      <c r="A452" s="3"/>
      <c r="B452" s="71"/>
      <c r="C452" s="3"/>
      <c r="D452" s="3"/>
      <c r="E452" s="3"/>
      <c r="F452" s="3"/>
      <c r="G452" s="59">
        <f>H452-DATE(YEAR(H452),1,0)+1</f>
      </c>
      <c r="H452" s="79">
        <f>H451+1</f>
        <v>25569.5</v>
      </c>
      <c r="I452" s="80">
        <f>HLOOKUP($H$4,'Met Data'!$A$2:$F$368,G452,FALSE)</f>
      </c>
      <c r="J452" s="80">
        <f>HLOOKUP($H$4,'Met Data'!$H$2:$M$368,G452,FALSE)*L452</f>
      </c>
      <c r="K452" s="81">
        <f>HLOOKUP($H$4,'Met Data'!$O$2:$T$368,G452,FALSE)</f>
      </c>
      <c r="L452" s="7">
        <f>IF(H452&lt;$B$31,$J$3,$J$4)</f>
      </c>
      <c r="M452" s="3"/>
      <c r="N452" s="82">
        <f>IF(P452&lt;$P$3,TRUE,FALSE)</f>
      </c>
      <c r="O452" s="82">
        <f>AND(IF(P452&gt;($P$2-1),TRUE,FALSE),IF(P452&lt;($P$3+1),TRUE,FALSE))</f>
      </c>
      <c r="P452" s="83" t="s">
        <v>374</v>
      </c>
      <c r="Q452" s="13" t="s">
        <v>374</v>
      </c>
      <c r="R452" s="13" t="s">
        <v>374</v>
      </c>
      <c r="S452" s="13" t="s">
        <v>374</v>
      </c>
      <c r="T452" s="13" t="s">
        <v>374</v>
      </c>
      <c r="U452" s="12" t="s">
        <v>374</v>
      </c>
      <c r="V452" s="13" t="s">
        <v>374</v>
      </c>
      <c r="W452" s="13" t="s">
        <v>374</v>
      </c>
      <c r="X452" s="12" t="s">
        <v>374</v>
      </c>
      <c r="Y452" s="13" t="s">
        <v>374</v>
      </c>
      <c r="Z452" s="12" t="s">
        <v>374</v>
      </c>
      <c r="AA452" s="12" t="s">
        <v>374</v>
      </c>
      <c r="AB452" s="13" t="s">
        <v>374</v>
      </c>
      <c r="AC452" s="42"/>
      <c r="AD452" s="83">
        <f>IFERROR(P452,$AD$4)</f>
        <v>25569.5</v>
      </c>
      <c r="AE452" s="7">
        <f>IFERROR(U452,0)</f>
      </c>
      <c r="AF452" s="3"/>
      <c r="AG452" s="105">
        <f>Q451+S452+T452+U452</f>
      </c>
      <c r="AH452" s="105">
        <f>Q452+R452+X452</f>
      </c>
      <c r="AI452" s="60">
        <f>AH452-AG452</f>
      </c>
      <c r="AJ452" s="3"/>
      <c r="AK452" s="3"/>
    </row>
    <row x14ac:dyDescent="0.25" r="453" customHeight="1" ht="18.75">
      <c r="A453" s="3"/>
      <c r="B453" s="71"/>
      <c r="C453" s="3"/>
      <c r="D453" s="3"/>
      <c r="E453" s="3"/>
      <c r="F453" s="3"/>
      <c r="G453" s="59">
        <f>H453-DATE(YEAR(H453),1,0)+1</f>
      </c>
      <c r="H453" s="79">
        <f>H452+1</f>
        <v>25569.5</v>
      </c>
      <c r="I453" s="80">
        <f>HLOOKUP($H$4,'Met Data'!$A$2:$F$368,G453,FALSE)</f>
      </c>
      <c r="J453" s="80">
        <f>HLOOKUP($H$4,'Met Data'!$H$2:$M$368,G453,FALSE)*L453</f>
      </c>
      <c r="K453" s="81">
        <f>HLOOKUP($H$4,'Met Data'!$O$2:$T$368,G453,FALSE)</f>
      </c>
      <c r="L453" s="7">
        <f>IF(H453&lt;$B$31,$J$3,$J$4)</f>
      </c>
      <c r="M453" s="3"/>
      <c r="N453" s="82">
        <f>IF(P453&lt;$P$3,TRUE,FALSE)</f>
      </c>
      <c r="O453" s="82">
        <f>AND(IF(P453&gt;($P$2-1),TRUE,FALSE),IF(P453&lt;($P$3+1),TRUE,FALSE))</f>
      </c>
      <c r="P453" s="83" t="s">
        <v>374</v>
      </c>
      <c r="Q453" s="13" t="s">
        <v>374</v>
      </c>
      <c r="R453" s="13" t="s">
        <v>374</v>
      </c>
      <c r="S453" s="13" t="s">
        <v>374</v>
      </c>
      <c r="T453" s="13" t="s">
        <v>374</v>
      </c>
      <c r="U453" s="12" t="s">
        <v>374</v>
      </c>
      <c r="V453" s="13" t="s">
        <v>374</v>
      </c>
      <c r="W453" s="13" t="s">
        <v>374</v>
      </c>
      <c r="X453" s="12" t="s">
        <v>374</v>
      </c>
      <c r="Y453" s="13" t="s">
        <v>374</v>
      </c>
      <c r="Z453" s="12" t="s">
        <v>374</v>
      </c>
      <c r="AA453" s="12" t="s">
        <v>374</v>
      </c>
      <c r="AB453" s="13" t="s">
        <v>374</v>
      </c>
      <c r="AC453" s="42"/>
      <c r="AD453" s="83">
        <f>IFERROR(P453,$AD$4)</f>
        <v>25569.5</v>
      </c>
      <c r="AE453" s="7">
        <f>IFERROR(U453,0)</f>
      </c>
      <c r="AF453" s="3"/>
      <c r="AG453" s="105">
        <f>Q452+S453+T453+U453</f>
      </c>
      <c r="AH453" s="105">
        <f>Q453+R453+X453</f>
      </c>
      <c r="AI453" s="60">
        <f>AH453-AG453</f>
      </c>
      <c r="AJ453" s="3"/>
      <c r="AK453" s="3"/>
    </row>
    <row x14ac:dyDescent="0.25" r="454" customHeight="1" ht="18.75">
      <c r="A454" s="3"/>
      <c r="B454" s="71"/>
      <c r="C454" s="3"/>
      <c r="D454" s="3"/>
      <c r="E454" s="3"/>
      <c r="F454" s="3"/>
      <c r="G454" s="59">
        <f>H454-DATE(YEAR(H454),1,0)+1</f>
      </c>
      <c r="H454" s="79">
        <f>H453+1</f>
        <v>25569.5</v>
      </c>
      <c r="I454" s="80">
        <f>HLOOKUP($H$4,'Met Data'!$A$2:$F$368,G454,FALSE)</f>
      </c>
      <c r="J454" s="80">
        <f>HLOOKUP($H$4,'Met Data'!$H$2:$M$368,G454,FALSE)*L454</f>
      </c>
      <c r="K454" s="81">
        <f>HLOOKUP($H$4,'Met Data'!$O$2:$T$368,G454,FALSE)</f>
      </c>
      <c r="L454" s="7">
        <f>IF(H454&lt;$B$31,$J$3,$J$4)</f>
      </c>
      <c r="M454" s="3"/>
      <c r="N454" s="82">
        <f>IF(P454&lt;$P$3,TRUE,FALSE)</f>
      </c>
      <c r="O454" s="82">
        <f>AND(IF(P454&gt;($P$2-1),TRUE,FALSE),IF(P454&lt;($P$3+1),TRUE,FALSE))</f>
      </c>
      <c r="P454" s="83" t="s">
        <v>374</v>
      </c>
      <c r="Q454" s="13" t="s">
        <v>374</v>
      </c>
      <c r="R454" s="13" t="s">
        <v>374</v>
      </c>
      <c r="S454" s="13" t="s">
        <v>374</v>
      </c>
      <c r="T454" s="13" t="s">
        <v>374</v>
      </c>
      <c r="U454" s="12" t="s">
        <v>374</v>
      </c>
      <c r="V454" s="13" t="s">
        <v>374</v>
      </c>
      <c r="W454" s="13" t="s">
        <v>374</v>
      </c>
      <c r="X454" s="12" t="s">
        <v>374</v>
      </c>
      <c r="Y454" s="13" t="s">
        <v>374</v>
      </c>
      <c r="Z454" s="12" t="s">
        <v>374</v>
      </c>
      <c r="AA454" s="12" t="s">
        <v>374</v>
      </c>
      <c r="AB454" s="13" t="s">
        <v>374</v>
      </c>
      <c r="AC454" s="42"/>
      <c r="AD454" s="83">
        <f>IFERROR(P454,$AD$4)</f>
        <v>25569.5</v>
      </c>
      <c r="AE454" s="7">
        <f>IFERROR(U454,0)</f>
      </c>
      <c r="AF454" s="3"/>
      <c r="AG454" s="105">
        <f>Q453+S454+T454+U454</f>
      </c>
      <c r="AH454" s="105">
        <f>Q454+R454+X454</f>
      </c>
      <c r="AI454" s="60">
        <f>AH454-AG454</f>
      </c>
      <c r="AJ454" s="3"/>
      <c r="AK454" s="3"/>
    </row>
    <row x14ac:dyDescent="0.25" r="455" customHeight="1" ht="18.75">
      <c r="A455" s="3"/>
      <c r="B455" s="71"/>
      <c r="C455" s="3"/>
      <c r="D455" s="3"/>
      <c r="E455" s="3"/>
      <c r="F455" s="3"/>
      <c r="G455" s="59">
        <f>H455-DATE(YEAR(H455),1,0)+1</f>
      </c>
      <c r="H455" s="79">
        <f>H454+1</f>
        <v>25569.5</v>
      </c>
      <c r="I455" s="80">
        <f>HLOOKUP($H$4,'Met Data'!$A$2:$F$368,G455,FALSE)</f>
      </c>
      <c r="J455" s="80">
        <f>HLOOKUP($H$4,'Met Data'!$H$2:$M$368,G455,FALSE)*L455</f>
      </c>
      <c r="K455" s="81">
        <f>HLOOKUP($H$4,'Met Data'!$O$2:$T$368,G455,FALSE)</f>
      </c>
      <c r="L455" s="7">
        <f>IF(H455&lt;$B$31,$J$3,$J$4)</f>
      </c>
      <c r="M455" s="3"/>
      <c r="N455" s="82">
        <f>IF(P455&lt;$P$3,TRUE,FALSE)</f>
      </c>
      <c r="O455" s="82">
        <f>AND(IF(P455&gt;($P$2-1),TRUE,FALSE),IF(P455&lt;($P$3+1),TRUE,FALSE))</f>
      </c>
      <c r="P455" s="83" t="s">
        <v>374</v>
      </c>
      <c r="Q455" s="13" t="s">
        <v>374</v>
      </c>
      <c r="R455" s="13" t="s">
        <v>374</v>
      </c>
      <c r="S455" s="13" t="s">
        <v>374</v>
      </c>
      <c r="T455" s="13" t="s">
        <v>374</v>
      </c>
      <c r="U455" s="12" t="s">
        <v>374</v>
      </c>
      <c r="V455" s="13" t="s">
        <v>374</v>
      </c>
      <c r="W455" s="13" t="s">
        <v>374</v>
      </c>
      <c r="X455" s="12" t="s">
        <v>374</v>
      </c>
      <c r="Y455" s="13" t="s">
        <v>374</v>
      </c>
      <c r="Z455" s="12" t="s">
        <v>374</v>
      </c>
      <c r="AA455" s="12" t="s">
        <v>374</v>
      </c>
      <c r="AB455" s="13" t="s">
        <v>374</v>
      </c>
      <c r="AC455" s="42"/>
      <c r="AD455" s="83">
        <f>IFERROR(P455,$AD$4)</f>
        <v>25569.5</v>
      </c>
      <c r="AE455" s="7">
        <f>IFERROR(U455,0)</f>
      </c>
      <c r="AF455" s="3"/>
      <c r="AG455" s="105">
        <f>Q454+S455+T455+U455</f>
      </c>
      <c r="AH455" s="105">
        <f>Q455+R455+X455</f>
      </c>
      <c r="AI455" s="60">
        <f>AH455-AG455</f>
      </c>
      <c r="AJ455" s="3"/>
      <c r="AK455" s="3"/>
    </row>
    <row x14ac:dyDescent="0.25" r="456" customHeight="1" ht="18.75">
      <c r="A456" s="3"/>
      <c r="B456" s="71"/>
      <c r="C456" s="3"/>
      <c r="D456" s="3"/>
      <c r="E456" s="3"/>
      <c r="F456" s="3"/>
      <c r="G456" s="59">
        <f>H456-DATE(YEAR(H456),1,0)+1</f>
      </c>
      <c r="H456" s="79">
        <f>H455+1</f>
        <v>25569.5</v>
      </c>
      <c r="I456" s="80">
        <f>HLOOKUP($H$4,'Met Data'!$A$2:$F$368,G456,FALSE)</f>
      </c>
      <c r="J456" s="80">
        <f>HLOOKUP($H$4,'Met Data'!$H$2:$M$368,G456,FALSE)*L456</f>
      </c>
      <c r="K456" s="81">
        <f>HLOOKUP($H$4,'Met Data'!$O$2:$T$368,G456,FALSE)</f>
      </c>
      <c r="L456" s="7">
        <f>IF(H456&lt;$B$31,$J$3,$J$4)</f>
      </c>
      <c r="M456" s="3"/>
      <c r="N456" s="82">
        <f>IF(P456&lt;$P$3,TRUE,FALSE)</f>
      </c>
      <c r="O456" s="82">
        <f>AND(IF(P456&gt;($P$2-1),TRUE,FALSE),IF(P456&lt;($P$3+1),TRUE,FALSE))</f>
      </c>
      <c r="P456" s="83" t="s">
        <v>374</v>
      </c>
      <c r="Q456" s="13" t="s">
        <v>374</v>
      </c>
      <c r="R456" s="13" t="s">
        <v>374</v>
      </c>
      <c r="S456" s="13" t="s">
        <v>374</v>
      </c>
      <c r="T456" s="13" t="s">
        <v>374</v>
      </c>
      <c r="U456" s="12" t="s">
        <v>374</v>
      </c>
      <c r="V456" s="13" t="s">
        <v>374</v>
      </c>
      <c r="W456" s="13" t="s">
        <v>374</v>
      </c>
      <c r="X456" s="12" t="s">
        <v>374</v>
      </c>
      <c r="Y456" s="13" t="s">
        <v>374</v>
      </c>
      <c r="Z456" s="12" t="s">
        <v>374</v>
      </c>
      <c r="AA456" s="12" t="s">
        <v>374</v>
      </c>
      <c r="AB456" s="13" t="s">
        <v>374</v>
      </c>
      <c r="AC456" s="42"/>
      <c r="AD456" s="83">
        <f>IFERROR(P456,$AD$4)</f>
        <v>25569.5</v>
      </c>
      <c r="AE456" s="7">
        <f>IFERROR(U456,0)</f>
      </c>
      <c r="AF456" s="3"/>
      <c r="AG456" s="105">
        <f>Q455+S456+T456+U456</f>
      </c>
      <c r="AH456" s="105">
        <f>Q456+R456+X456</f>
      </c>
      <c r="AI456" s="60">
        <f>AH456-AG456</f>
      </c>
      <c r="AJ456" s="3"/>
      <c r="AK456" s="3"/>
    </row>
    <row x14ac:dyDescent="0.25" r="457" customHeight="1" ht="18.75">
      <c r="A457" s="3"/>
      <c r="B457" s="71"/>
      <c r="C457" s="3"/>
      <c r="D457" s="3"/>
      <c r="E457" s="3"/>
      <c r="F457" s="3"/>
      <c r="G457" s="59">
        <f>H457-DATE(YEAR(H457),1,0)+1</f>
      </c>
      <c r="H457" s="79">
        <f>H456+1</f>
        <v>25569.5</v>
      </c>
      <c r="I457" s="80">
        <f>HLOOKUP($H$4,'Met Data'!$A$2:$F$368,G457,FALSE)</f>
      </c>
      <c r="J457" s="80">
        <f>HLOOKUP($H$4,'Met Data'!$H$2:$M$368,G457,FALSE)*L457</f>
      </c>
      <c r="K457" s="81">
        <f>HLOOKUP($H$4,'Met Data'!$O$2:$T$368,G457,FALSE)</f>
      </c>
      <c r="L457" s="7">
        <f>IF(H457&lt;$B$31,$J$3,$J$4)</f>
      </c>
      <c r="M457" s="3"/>
      <c r="N457" s="82">
        <f>IF(P457&lt;$P$3,TRUE,FALSE)</f>
      </c>
      <c r="O457" s="82">
        <f>AND(IF(P457&gt;($P$2-1),TRUE,FALSE),IF(P457&lt;($P$3+1),TRUE,FALSE))</f>
      </c>
      <c r="P457" s="83" t="s">
        <v>374</v>
      </c>
      <c r="Q457" s="13" t="s">
        <v>374</v>
      </c>
      <c r="R457" s="13" t="s">
        <v>374</v>
      </c>
      <c r="S457" s="13" t="s">
        <v>374</v>
      </c>
      <c r="T457" s="13" t="s">
        <v>374</v>
      </c>
      <c r="U457" s="12" t="s">
        <v>374</v>
      </c>
      <c r="V457" s="13" t="s">
        <v>374</v>
      </c>
      <c r="W457" s="13" t="s">
        <v>374</v>
      </c>
      <c r="X457" s="12" t="s">
        <v>374</v>
      </c>
      <c r="Y457" s="13" t="s">
        <v>374</v>
      </c>
      <c r="Z457" s="12" t="s">
        <v>374</v>
      </c>
      <c r="AA457" s="12" t="s">
        <v>374</v>
      </c>
      <c r="AB457" s="13" t="s">
        <v>374</v>
      </c>
      <c r="AC457" s="42"/>
      <c r="AD457" s="83">
        <f>IFERROR(P457,$AD$4)</f>
        <v>25569.5</v>
      </c>
      <c r="AE457" s="7">
        <f>IFERROR(U457,0)</f>
      </c>
      <c r="AF457" s="3"/>
      <c r="AG457" s="105">
        <f>Q456+S457+T457+U457</f>
      </c>
      <c r="AH457" s="105">
        <f>Q457+R457+X457</f>
      </c>
      <c r="AI457" s="60">
        <f>AH457-AG457</f>
      </c>
      <c r="AJ457" s="3"/>
      <c r="AK457" s="3"/>
    </row>
    <row x14ac:dyDescent="0.25" r="458" customHeight="1" ht="18.75">
      <c r="A458" s="3"/>
      <c r="B458" s="71"/>
      <c r="C458" s="3"/>
      <c r="D458" s="3"/>
      <c r="E458" s="3"/>
      <c r="F458" s="3"/>
      <c r="G458" s="59">
        <f>H458-DATE(YEAR(H458),1,0)+1</f>
      </c>
      <c r="H458" s="79">
        <f>H457+1</f>
        <v>25569.5</v>
      </c>
      <c r="I458" s="80">
        <f>HLOOKUP($H$4,'Met Data'!$A$2:$F$368,G458,FALSE)</f>
      </c>
      <c r="J458" s="80">
        <f>HLOOKUP($H$4,'Met Data'!$H$2:$M$368,G458,FALSE)*L458</f>
      </c>
      <c r="K458" s="81">
        <f>HLOOKUP($H$4,'Met Data'!$O$2:$T$368,G458,FALSE)</f>
      </c>
      <c r="L458" s="7">
        <f>IF(H458&lt;$B$31,$J$3,$J$4)</f>
      </c>
      <c r="M458" s="3"/>
      <c r="N458" s="82">
        <f>IF(P458&lt;$P$3,TRUE,FALSE)</f>
      </c>
      <c r="O458" s="82">
        <f>AND(IF(P458&gt;($P$2-1),TRUE,FALSE),IF(P458&lt;($P$3+1),TRUE,FALSE))</f>
      </c>
      <c r="P458" s="83" t="s">
        <v>374</v>
      </c>
      <c r="Q458" s="13" t="s">
        <v>374</v>
      </c>
      <c r="R458" s="13" t="s">
        <v>374</v>
      </c>
      <c r="S458" s="13" t="s">
        <v>374</v>
      </c>
      <c r="T458" s="13" t="s">
        <v>374</v>
      </c>
      <c r="U458" s="12" t="s">
        <v>374</v>
      </c>
      <c r="V458" s="13" t="s">
        <v>374</v>
      </c>
      <c r="W458" s="13" t="s">
        <v>374</v>
      </c>
      <c r="X458" s="12" t="s">
        <v>374</v>
      </c>
      <c r="Y458" s="13" t="s">
        <v>374</v>
      </c>
      <c r="Z458" s="12" t="s">
        <v>374</v>
      </c>
      <c r="AA458" s="12" t="s">
        <v>374</v>
      </c>
      <c r="AB458" s="13" t="s">
        <v>374</v>
      </c>
      <c r="AC458" s="42"/>
      <c r="AD458" s="83">
        <f>IFERROR(P458,$AD$4)</f>
        <v>25569.5</v>
      </c>
      <c r="AE458" s="7">
        <f>IFERROR(U458,0)</f>
      </c>
      <c r="AF458" s="3"/>
      <c r="AG458" s="105">
        <f>Q457+S458+T458+U458</f>
      </c>
      <c r="AH458" s="105">
        <f>Q458+R458+X458</f>
      </c>
      <c r="AI458" s="60">
        <f>AH458-AG458</f>
      </c>
      <c r="AJ458" s="3"/>
      <c r="AK458" s="3"/>
    </row>
    <row x14ac:dyDescent="0.25" r="459" customHeight="1" ht="18.75">
      <c r="A459" s="3"/>
      <c r="B459" s="71"/>
      <c r="C459" s="3"/>
      <c r="D459" s="3"/>
      <c r="E459" s="3"/>
      <c r="F459" s="3"/>
      <c r="G459" s="59">
        <f>H459-DATE(YEAR(H459),1,0)+1</f>
      </c>
      <c r="H459" s="79">
        <f>H458+1</f>
        <v>25569.5</v>
      </c>
      <c r="I459" s="80">
        <f>HLOOKUP($H$4,'Met Data'!$A$2:$F$368,G459,FALSE)</f>
      </c>
      <c r="J459" s="80">
        <f>HLOOKUP($H$4,'Met Data'!$H$2:$M$368,G459,FALSE)*L459</f>
      </c>
      <c r="K459" s="81">
        <f>HLOOKUP($H$4,'Met Data'!$O$2:$T$368,G459,FALSE)</f>
      </c>
      <c r="L459" s="7">
        <f>IF(H459&lt;$B$31,$J$3,$J$4)</f>
      </c>
      <c r="M459" s="3"/>
      <c r="N459" s="82">
        <f>IF(P459&lt;$P$3,TRUE,FALSE)</f>
      </c>
      <c r="O459" s="82">
        <f>AND(IF(P459&gt;($P$2-1),TRUE,FALSE),IF(P459&lt;($P$3+1),TRUE,FALSE))</f>
      </c>
      <c r="P459" s="83" t="s">
        <v>374</v>
      </c>
      <c r="Q459" s="13" t="s">
        <v>374</v>
      </c>
      <c r="R459" s="13" t="s">
        <v>374</v>
      </c>
      <c r="S459" s="13" t="s">
        <v>374</v>
      </c>
      <c r="T459" s="13" t="s">
        <v>374</v>
      </c>
      <c r="U459" s="12" t="s">
        <v>374</v>
      </c>
      <c r="V459" s="13" t="s">
        <v>374</v>
      </c>
      <c r="W459" s="13" t="s">
        <v>374</v>
      </c>
      <c r="X459" s="12" t="s">
        <v>374</v>
      </c>
      <c r="Y459" s="13" t="s">
        <v>374</v>
      </c>
      <c r="Z459" s="12" t="s">
        <v>374</v>
      </c>
      <c r="AA459" s="12" t="s">
        <v>374</v>
      </c>
      <c r="AB459" s="13" t="s">
        <v>374</v>
      </c>
      <c r="AC459" s="42"/>
      <c r="AD459" s="83">
        <f>IFERROR(P459,$AD$4)</f>
        <v>25569.5</v>
      </c>
      <c r="AE459" s="7">
        <f>IFERROR(U459,0)</f>
      </c>
      <c r="AF459" s="3"/>
      <c r="AG459" s="105">
        <f>Q458+S459+T459+U459</f>
      </c>
      <c r="AH459" s="105">
        <f>Q459+R459+X459</f>
      </c>
      <c r="AI459" s="60">
        <f>AH459-AG459</f>
      </c>
      <c r="AJ459" s="3"/>
      <c r="AK459" s="3"/>
    </row>
    <row x14ac:dyDescent="0.25" r="460" customHeight="1" ht="18.75">
      <c r="A460" s="3"/>
      <c r="B460" s="71"/>
      <c r="C460" s="3"/>
      <c r="D460" s="3"/>
      <c r="E460" s="3"/>
      <c r="F460" s="3"/>
      <c r="G460" s="59">
        <f>H460-DATE(YEAR(H460),1,0)+1</f>
      </c>
      <c r="H460" s="79">
        <f>H459+1</f>
        <v>25569.5</v>
      </c>
      <c r="I460" s="80">
        <f>HLOOKUP($H$4,'Met Data'!$A$2:$F$368,G460,FALSE)</f>
      </c>
      <c r="J460" s="80">
        <f>HLOOKUP($H$4,'Met Data'!$H$2:$M$368,G460,FALSE)*L460</f>
      </c>
      <c r="K460" s="81">
        <f>HLOOKUP($H$4,'Met Data'!$O$2:$T$368,G460,FALSE)</f>
      </c>
      <c r="L460" s="7">
        <f>IF(H460&lt;$B$31,$J$3,$J$4)</f>
      </c>
      <c r="M460" s="3"/>
      <c r="N460" s="82">
        <f>IF(P460&lt;$P$3,TRUE,FALSE)</f>
      </c>
      <c r="O460" s="82">
        <f>AND(IF(P460&gt;($P$2-1),TRUE,FALSE),IF(P460&lt;($P$3+1),TRUE,FALSE))</f>
      </c>
      <c r="P460" s="83" t="s">
        <v>374</v>
      </c>
      <c r="Q460" s="13" t="s">
        <v>374</v>
      </c>
      <c r="R460" s="13" t="s">
        <v>374</v>
      </c>
      <c r="S460" s="13" t="s">
        <v>374</v>
      </c>
      <c r="T460" s="13" t="s">
        <v>374</v>
      </c>
      <c r="U460" s="12" t="s">
        <v>374</v>
      </c>
      <c r="V460" s="13" t="s">
        <v>374</v>
      </c>
      <c r="W460" s="13" t="s">
        <v>374</v>
      </c>
      <c r="X460" s="12" t="s">
        <v>374</v>
      </c>
      <c r="Y460" s="13" t="s">
        <v>374</v>
      </c>
      <c r="Z460" s="12" t="s">
        <v>374</v>
      </c>
      <c r="AA460" s="12" t="s">
        <v>374</v>
      </c>
      <c r="AB460" s="13" t="s">
        <v>374</v>
      </c>
      <c r="AC460" s="42"/>
      <c r="AD460" s="83">
        <f>IFERROR(P460,$AD$4)</f>
        <v>25569.5</v>
      </c>
      <c r="AE460" s="7">
        <f>IFERROR(U460,0)</f>
      </c>
      <c r="AF460" s="3"/>
      <c r="AG460" s="105">
        <f>Q459+S460+T460+U460</f>
      </c>
      <c r="AH460" s="105">
        <f>Q460+R460+X460</f>
      </c>
      <c r="AI460" s="60">
        <f>AH460-AG460</f>
      </c>
      <c r="AJ460" s="3"/>
      <c r="AK460" s="3"/>
    </row>
    <row x14ac:dyDescent="0.25" r="461" customHeight="1" ht="18.75">
      <c r="A461" s="3"/>
      <c r="B461" s="71"/>
      <c r="C461" s="3"/>
      <c r="D461" s="3"/>
      <c r="E461" s="3"/>
      <c r="F461" s="3"/>
      <c r="G461" s="59">
        <f>H461-DATE(YEAR(H461),1,0)+1</f>
      </c>
      <c r="H461" s="79">
        <f>H460+1</f>
        <v>25569.5</v>
      </c>
      <c r="I461" s="80">
        <f>HLOOKUP($H$4,'Met Data'!$A$2:$F$368,G461,FALSE)</f>
      </c>
      <c r="J461" s="80">
        <f>HLOOKUP($H$4,'Met Data'!$H$2:$M$368,G461,FALSE)*L461</f>
      </c>
      <c r="K461" s="81">
        <f>HLOOKUP($H$4,'Met Data'!$O$2:$T$368,G461,FALSE)</f>
      </c>
      <c r="L461" s="7">
        <f>IF(H461&lt;$B$31,$J$3,$J$4)</f>
      </c>
      <c r="M461" s="3"/>
      <c r="N461" s="82">
        <f>IF(P461&lt;$P$3,TRUE,FALSE)</f>
      </c>
      <c r="O461" s="82">
        <f>AND(IF(P461&gt;($P$2-1),TRUE,FALSE),IF(P461&lt;($P$3+1),TRUE,FALSE))</f>
      </c>
      <c r="P461" s="83" t="s">
        <v>374</v>
      </c>
      <c r="Q461" s="13" t="s">
        <v>374</v>
      </c>
      <c r="R461" s="13" t="s">
        <v>374</v>
      </c>
      <c r="S461" s="13" t="s">
        <v>374</v>
      </c>
      <c r="T461" s="13" t="s">
        <v>374</v>
      </c>
      <c r="U461" s="12" t="s">
        <v>374</v>
      </c>
      <c r="V461" s="13" t="s">
        <v>374</v>
      </c>
      <c r="W461" s="13" t="s">
        <v>374</v>
      </c>
      <c r="X461" s="12" t="s">
        <v>374</v>
      </c>
      <c r="Y461" s="13" t="s">
        <v>374</v>
      </c>
      <c r="Z461" s="12" t="s">
        <v>374</v>
      </c>
      <c r="AA461" s="12" t="s">
        <v>374</v>
      </c>
      <c r="AB461" s="13" t="s">
        <v>374</v>
      </c>
      <c r="AC461" s="42"/>
      <c r="AD461" s="83">
        <f>IFERROR(P461,$AD$4)</f>
        <v>25569.5</v>
      </c>
      <c r="AE461" s="7">
        <f>IFERROR(U461,0)</f>
      </c>
      <c r="AF461" s="3"/>
      <c r="AG461" s="105">
        <f>Q460+S461+T461+U461</f>
      </c>
      <c r="AH461" s="105">
        <f>Q461+R461+X461</f>
      </c>
      <c r="AI461" s="60">
        <f>AH461-AG461</f>
      </c>
      <c r="AJ461" s="3"/>
      <c r="AK461" s="3"/>
    </row>
    <row x14ac:dyDescent="0.25" r="462" customHeight="1" ht="18.75">
      <c r="A462" s="3"/>
      <c r="B462" s="71"/>
      <c r="C462" s="3"/>
      <c r="D462" s="3"/>
      <c r="E462" s="3"/>
      <c r="F462" s="3"/>
      <c r="G462" s="59">
        <f>H462-DATE(YEAR(H462),1,0)+1</f>
      </c>
      <c r="H462" s="79">
        <f>H461+1</f>
        <v>25569.5</v>
      </c>
      <c r="I462" s="80">
        <f>HLOOKUP($H$4,'Met Data'!$A$2:$F$368,G462,FALSE)</f>
      </c>
      <c r="J462" s="80">
        <f>HLOOKUP($H$4,'Met Data'!$H$2:$M$368,G462,FALSE)*L462</f>
      </c>
      <c r="K462" s="81">
        <f>HLOOKUP($H$4,'Met Data'!$O$2:$T$368,G462,FALSE)</f>
      </c>
      <c r="L462" s="7">
        <f>IF(H462&lt;$B$31,$J$3,$J$4)</f>
      </c>
      <c r="M462" s="3"/>
      <c r="N462" s="82">
        <f>IF(P462&lt;$P$3,TRUE,FALSE)</f>
      </c>
      <c r="O462" s="82">
        <f>AND(IF(P462&gt;($P$2-1),TRUE,FALSE),IF(P462&lt;($P$3+1),TRUE,FALSE))</f>
      </c>
      <c r="P462" s="83" t="s">
        <v>374</v>
      </c>
      <c r="Q462" s="13" t="s">
        <v>374</v>
      </c>
      <c r="R462" s="13" t="s">
        <v>374</v>
      </c>
      <c r="S462" s="13" t="s">
        <v>374</v>
      </c>
      <c r="T462" s="13" t="s">
        <v>374</v>
      </c>
      <c r="U462" s="12" t="s">
        <v>374</v>
      </c>
      <c r="V462" s="13" t="s">
        <v>374</v>
      </c>
      <c r="W462" s="13" t="s">
        <v>374</v>
      </c>
      <c r="X462" s="12" t="s">
        <v>374</v>
      </c>
      <c r="Y462" s="13" t="s">
        <v>374</v>
      </c>
      <c r="Z462" s="12" t="s">
        <v>374</v>
      </c>
      <c r="AA462" s="12" t="s">
        <v>374</v>
      </c>
      <c r="AB462" s="13" t="s">
        <v>374</v>
      </c>
      <c r="AC462" s="42"/>
      <c r="AD462" s="83">
        <f>IFERROR(P462,$AD$4)</f>
        <v>25569.5</v>
      </c>
      <c r="AE462" s="7">
        <f>IFERROR(U462,0)</f>
      </c>
      <c r="AF462" s="3"/>
      <c r="AG462" s="105">
        <f>Q461+S462+T462+U462</f>
      </c>
      <c r="AH462" s="105">
        <f>Q462+R462+X462</f>
      </c>
      <c r="AI462" s="60">
        <f>AH462-AG462</f>
      </c>
      <c r="AJ462" s="3"/>
      <c r="AK462" s="3"/>
    </row>
    <row x14ac:dyDescent="0.25" r="463" customHeight="1" ht="18.75">
      <c r="A463" s="3"/>
      <c r="B463" s="71"/>
      <c r="C463" s="3"/>
      <c r="D463" s="3"/>
      <c r="E463" s="3"/>
      <c r="F463" s="3"/>
      <c r="G463" s="59">
        <f>H463-DATE(YEAR(H463),1,0)+1</f>
      </c>
      <c r="H463" s="79">
        <f>H462+1</f>
        <v>25569.5</v>
      </c>
      <c r="I463" s="80">
        <f>HLOOKUP($H$4,'Met Data'!$A$2:$F$368,G463,FALSE)</f>
      </c>
      <c r="J463" s="80">
        <f>HLOOKUP($H$4,'Met Data'!$H$2:$M$368,G463,FALSE)*L463</f>
      </c>
      <c r="K463" s="81">
        <f>HLOOKUP($H$4,'Met Data'!$O$2:$T$368,G463,FALSE)</f>
      </c>
      <c r="L463" s="7">
        <f>IF(H463&lt;$B$31,$J$3,$J$4)</f>
      </c>
      <c r="M463" s="3"/>
      <c r="N463" s="82">
        <f>IF(P463&lt;$P$3,TRUE,FALSE)</f>
      </c>
      <c r="O463" s="82">
        <f>AND(IF(P463&gt;($P$2-1),TRUE,FALSE),IF(P463&lt;($P$3+1),TRUE,FALSE))</f>
      </c>
      <c r="P463" s="83" t="s">
        <v>374</v>
      </c>
      <c r="Q463" s="13" t="s">
        <v>374</v>
      </c>
      <c r="R463" s="13" t="s">
        <v>374</v>
      </c>
      <c r="S463" s="13" t="s">
        <v>374</v>
      </c>
      <c r="T463" s="13" t="s">
        <v>374</v>
      </c>
      <c r="U463" s="12" t="s">
        <v>374</v>
      </c>
      <c r="V463" s="13" t="s">
        <v>374</v>
      </c>
      <c r="W463" s="13" t="s">
        <v>374</v>
      </c>
      <c r="X463" s="12" t="s">
        <v>374</v>
      </c>
      <c r="Y463" s="13" t="s">
        <v>374</v>
      </c>
      <c r="Z463" s="12" t="s">
        <v>374</v>
      </c>
      <c r="AA463" s="12" t="s">
        <v>374</v>
      </c>
      <c r="AB463" s="13" t="s">
        <v>374</v>
      </c>
      <c r="AC463" s="42"/>
      <c r="AD463" s="83">
        <f>IFERROR(P463,$AD$4)</f>
        <v>25569.5</v>
      </c>
      <c r="AE463" s="7">
        <f>IFERROR(U463,0)</f>
      </c>
      <c r="AF463" s="3"/>
      <c r="AG463" s="105">
        <f>Q462+S463+T463+U463</f>
      </c>
      <c r="AH463" s="105">
        <f>Q463+R463+X463</f>
      </c>
      <c r="AI463" s="60">
        <f>AH463-AG463</f>
      </c>
      <c r="AJ463" s="3"/>
      <c r="AK463" s="3"/>
    </row>
    <row x14ac:dyDescent="0.25" r="464" customHeight="1" ht="18.75">
      <c r="A464" s="3"/>
      <c r="B464" s="71"/>
      <c r="C464" s="3"/>
      <c r="D464" s="3"/>
      <c r="E464" s="3"/>
      <c r="F464" s="3"/>
      <c r="G464" s="59">
        <f>H464-DATE(YEAR(H464),1,0)+1</f>
      </c>
      <c r="H464" s="79">
        <f>H463+1</f>
        <v>25569.5</v>
      </c>
      <c r="I464" s="80">
        <f>HLOOKUP($H$4,'Met Data'!$A$2:$F$368,G464,FALSE)</f>
      </c>
      <c r="J464" s="80">
        <f>HLOOKUP($H$4,'Met Data'!$H$2:$M$368,G464,FALSE)*L464</f>
      </c>
      <c r="K464" s="81">
        <f>HLOOKUP($H$4,'Met Data'!$O$2:$T$368,G464,FALSE)</f>
      </c>
      <c r="L464" s="7">
        <f>IF(H464&lt;$B$31,$J$3,$J$4)</f>
      </c>
      <c r="M464" s="3"/>
      <c r="N464" s="82">
        <f>IF(P464&lt;$P$3,TRUE,FALSE)</f>
      </c>
      <c r="O464" s="82">
        <f>AND(IF(P464&gt;($P$2-1),TRUE,FALSE),IF(P464&lt;($P$3+1),TRUE,FALSE))</f>
      </c>
      <c r="P464" s="83" t="s">
        <v>374</v>
      </c>
      <c r="Q464" s="13" t="s">
        <v>374</v>
      </c>
      <c r="R464" s="13" t="s">
        <v>374</v>
      </c>
      <c r="S464" s="13" t="s">
        <v>374</v>
      </c>
      <c r="T464" s="13" t="s">
        <v>374</v>
      </c>
      <c r="U464" s="12" t="s">
        <v>374</v>
      </c>
      <c r="V464" s="13" t="s">
        <v>374</v>
      </c>
      <c r="W464" s="13" t="s">
        <v>374</v>
      </c>
      <c r="X464" s="12" t="s">
        <v>374</v>
      </c>
      <c r="Y464" s="13" t="s">
        <v>374</v>
      </c>
      <c r="Z464" s="12" t="s">
        <v>374</v>
      </c>
      <c r="AA464" s="12" t="s">
        <v>374</v>
      </c>
      <c r="AB464" s="13" t="s">
        <v>374</v>
      </c>
      <c r="AC464" s="42"/>
      <c r="AD464" s="83">
        <f>IFERROR(P464,$AD$4)</f>
        <v>25569.5</v>
      </c>
      <c r="AE464" s="7">
        <f>IFERROR(U464,0)</f>
      </c>
      <c r="AF464" s="3"/>
      <c r="AG464" s="105">
        <f>Q463+S464+T464+U464</f>
      </c>
      <c r="AH464" s="105">
        <f>Q464+R464+X464</f>
      </c>
      <c r="AI464" s="60">
        <f>AH464-AG464</f>
      </c>
      <c r="AJ464" s="3"/>
      <c r="AK464" s="3"/>
    </row>
    <row x14ac:dyDescent="0.25" r="465" customHeight="1" ht="18.75">
      <c r="A465" s="3"/>
      <c r="B465" s="71"/>
      <c r="C465" s="3"/>
      <c r="D465" s="3"/>
      <c r="E465" s="3"/>
      <c r="F465" s="3"/>
      <c r="G465" s="59">
        <f>H465-DATE(YEAR(H465),1,0)+1</f>
      </c>
      <c r="H465" s="79">
        <f>H464+1</f>
        <v>25569.5</v>
      </c>
      <c r="I465" s="80">
        <f>HLOOKUP($H$4,'Met Data'!$A$2:$F$368,G465,FALSE)</f>
      </c>
      <c r="J465" s="80">
        <f>HLOOKUP($H$4,'Met Data'!$H$2:$M$368,G465,FALSE)*L465</f>
      </c>
      <c r="K465" s="81">
        <f>HLOOKUP($H$4,'Met Data'!$O$2:$T$368,G465,FALSE)</f>
      </c>
      <c r="L465" s="7">
        <f>IF(H465&lt;$B$31,$J$3,$J$4)</f>
      </c>
      <c r="M465" s="3"/>
      <c r="N465" s="82">
        <f>IF(P465&lt;$P$3,TRUE,FALSE)</f>
      </c>
      <c r="O465" s="82">
        <f>AND(IF(P465&gt;($P$2-1),TRUE,FALSE),IF(P465&lt;($P$3+1),TRUE,FALSE))</f>
      </c>
      <c r="P465" s="83" t="s">
        <v>374</v>
      </c>
      <c r="Q465" s="13" t="s">
        <v>374</v>
      </c>
      <c r="R465" s="13" t="s">
        <v>374</v>
      </c>
      <c r="S465" s="13" t="s">
        <v>374</v>
      </c>
      <c r="T465" s="13" t="s">
        <v>374</v>
      </c>
      <c r="U465" s="12" t="s">
        <v>374</v>
      </c>
      <c r="V465" s="13" t="s">
        <v>374</v>
      </c>
      <c r="W465" s="13" t="s">
        <v>374</v>
      </c>
      <c r="X465" s="12" t="s">
        <v>374</v>
      </c>
      <c r="Y465" s="13" t="s">
        <v>374</v>
      </c>
      <c r="Z465" s="12" t="s">
        <v>374</v>
      </c>
      <c r="AA465" s="12" t="s">
        <v>374</v>
      </c>
      <c r="AB465" s="13" t="s">
        <v>374</v>
      </c>
      <c r="AC465" s="42"/>
      <c r="AD465" s="83">
        <f>IFERROR(P465,$AD$4)</f>
        <v>25569.5</v>
      </c>
      <c r="AE465" s="7">
        <f>IFERROR(U465,0)</f>
      </c>
      <c r="AF465" s="3"/>
      <c r="AG465" s="105">
        <f>Q464+S465+T465+U465</f>
      </c>
      <c r="AH465" s="105">
        <f>Q465+R465+X465</f>
      </c>
      <c r="AI465" s="60">
        <f>AH465-AG465</f>
      </c>
      <c r="AJ465" s="3"/>
      <c r="AK465" s="3"/>
    </row>
    <row x14ac:dyDescent="0.25" r="466" customHeight="1" ht="18.75">
      <c r="A466" s="3"/>
      <c r="B466" s="71"/>
      <c r="C466" s="3"/>
      <c r="D466" s="3"/>
      <c r="E466" s="3"/>
      <c r="F466" s="3"/>
      <c r="G466" s="59">
        <f>H466-DATE(YEAR(H466),1,0)+1</f>
      </c>
      <c r="H466" s="79">
        <f>H465+1</f>
        <v>25569.5</v>
      </c>
      <c r="I466" s="80">
        <f>HLOOKUP($H$4,'Met Data'!$A$2:$F$368,G466,FALSE)</f>
      </c>
      <c r="J466" s="80">
        <f>HLOOKUP($H$4,'Met Data'!$H$2:$M$368,G466,FALSE)*L466</f>
      </c>
      <c r="K466" s="81">
        <f>HLOOKUP($H$4,'Met Data'!$O$2:$T$368,G466,FALSE)</f>
      </c>
      <c r="L466" s="7">
        <f>IF(H466&lt;$B$31,$J$3,$J$4)</f>
      </c>
      <c r="M466" s="3"/>
      <c r="N466" s="82">
        <f>IF(P466&lt;$P$3,TRUE,FALSE)</f>
      </c>
      <c r="O466" s="82">
        <f>AND(IF(P466&gt;($P$2-1),TRUE,FALSE),IF(P466&lt;($P$3+1),TRUE,FALSE))</f>
      </c>
      <c r="P466" s="83" t="s">
        <v>374</v>
      </c>
      <c r="Q466" s="13" t="s">
        <v>374</v>
      </c>
      <c r="R466" s="13" t="s">
        <v>374</v>
      </c>
      <c r="S466" s="13" t="s">
        <v>374</v>
      </c>
      <c r="T466" s="13" t="s">
        <v>374</v>
      </c>
      <c r="U466" s="12" t="s">
        <v>374</v>
      </c>
      <c r="V466" s="13" t="s">
        <v>374</v>
      </c>
      <c r="W466" s="13" t="s">
        <v>374</v>
      </c>
      <c r="X466" s="12" t="s">
        <v>374</v>
      </c>
      <c r="Y466" s="13" t="s">
        <v>374</v>
      </c>
      <c r="Z466" s="12" t="s">
        <v>374</v>
      </c>
      <c r="AA466" s="12" t="s">
        <v>374</v>
      </c>
      <c r="AB466" s="13" t="s">
        <v>374</v>
      </c>
      <c r="AC466" s="42"/>
      <c r="AD466" s="83">
        <f>IFERROR(P466,$AD$4)</f>
        <v>25569.5</v>
      </c>
      <c r="AE466" s="7">
        <f>IFERROR(U466,0)</f>
      </c>
      <c r="AF466" s="3"/>
      <c r="AG466" s="105">
        <f>Q465+S466+T466+U466</f>
      </c>
      <c r="AH466" s="105">
        <f>Q466+R466+X466</f>
      </c>
      <c r="AI466" s="60">
        <f>AH466-AG466</f>
      </c>
      <c r="AJ466" s="3"/>
      <c r="AK466" s="3"/>
    </row>
    <row x14ac:dyDescent="0.25" r="467" customHeight="1" ht="18.75">
      <c r="A467" s="3"/>
      <c r="B467" s="71"/>
      <c r="C467" s="3"/>
      <c r="D467" s="3"/>
      <c r="E467" s="3"/>
      <c r="F467" s="3"/>
      <c r="G467" s="59">
        <f>H467-DATE(YEAR(H467),1,0)+1</f>
      </c>
      <c r="H467" s="79">
        <f>H466+1</f>
        <v>25569.5</v>
      </c>
      <c r="I467" s="80">
        <f>HLOOKUP($H$4,'Met Data'!$A$2:$F$368,G467,FALSE)</f>
      </c>
      <c r="J467" s="80">
        <f>HLOOKUP($H$4,'Met Data'!$H$2:$M$368,G467,FALSE)*L467</f>
      </c>
      <c r="K467" s="81">
        <f>HLOOKUP($H$4,'Met Data'!$O$2:$T$368,G467,FALSE)</f>
      </c>
      <c r="L467" s="7">
        <f>IF(H467&lt;$B$31,$J$3,$J$4)</f>
      </c>
      <c r="M467" s="3"/>
      <c r="N467" s="82">
        <f>IF(P467&lt;$P$3,TRUE,FALSE)</f>
      </c>
      <c r="O467" s="82">
        <f>AND(IF(P467&gt;($P$2-1),TRUE,FALSE),IF(P467&lt;($P$3+1),TRUE,FALSE))</f>
      </c>
      <c r="P467" s="83" t="s">
        <v>374</v>
      </c>
      <c r="Q467" s="13" t="s">
        <v>374</v>
      </c>
      <c r="R467" s="13" t="s">
        <v>374</v>
      </c>
      <c r="S467" s="13" t="s">
        <v>374</v>
      </c>
      <c r="T467" s="13" t="s">
        <v>374</v>
      </c>
      <c r="U467" s="12" t="s">
        <v>374</v>
      </c>
      <c r="V467" s="13" t="s">
        <v>374</v>
      </c>
      <c r="W467" s="13" t="s">
        <v>374</v>
      </c>
      <c r="X467" s="12" t="s">
        <v>374</v>
      </c>
      <c r="Y467" s="13" t="s">
        <v>374</v>
      </c>
      <c r="Z467" s="12" t="s">
        <v>374</v>
      </c>
      <c r="AA467" s="12" t="s">
        <v>374</v>
      </c>
      <c r="AB467" s="13" t="s">
        <v>374</v>
      </c>
      <c r="AC467" s="42"/>
      <c r="AD467" s="83">
        <f>IFERROR(P467,$AD$4)</f>
        <v>25569.5</v>
      </c>
      <c r="AE467" s="7">
        <f>IFERROR(U467,0)</f>
      </c>
      <c r="AF467" s="3"/>
      <c r="AG467" s="105">
        <f>Q466+S467+T467+U467</f>
      </c>
      <c r="AH467" s="105">
        <f>Q467+R467+X467</f>
      </c>
      <c r="AI467" s="60">
        <f>AH467-AG467</f>
      </c>
      <c r="AJ467" s="3"/>
      <c r="AK467" s="3"/>
    </row>
    <row x14ac:dyDescent="0.25" r="468" customHeight="1" ht="18.75">
      <c r="A468" s="3"/>
      <c r="B468" s="71"/>
      <c r="C468" s="3"/>
      <c r="D468" s="3"/>
      <c r="E468" s="3"/>
      <c r="F468" s="3"/>
      <c r="G468" s="59">
        <f>H468-DATE(YEAR(H468),1,0)+1</f>
      </c>
      <c r="H468" s="79">
        <f>H467+1</f>
        <v>25569.5</v>
      </c>
      <c r="I468" s="80">
        <f>HLOOKUP($H$4,'Met Data'!$A$2:$F$368,G468,FALSE)</f>
      </c>
      <c r="J468" s="80">
        <f>HLOOKUP($H$4,'Met Data'!$H$2:$M$368,G468,FALSE)*L468</f>
      </c>
      <c r="K468" s="81">
        <f>HLOOKUP($H$4,'Met Data'!$O$2:$T$368,G468,FALSE)</f>
      </c>
      <c r="L468" s="7">
        <f>IF(H468&lt;$B$31,$J$3,$J$4)</f>
      </c>
      <c r="M468" s="3"/>
      <c r="N468" s="82">
        <f>IF(P468&lt;$P$3,TRUE,FALSE)</f>
      </c>
      <c r="O468" s="82">
        <f>AND(IF(P468&gt;($P$2-1),TRUE,FALSE),IF(P468&lt;($P$3+1),TRUE,FALSE))</f>
      </c>
      <c r="P468" s="83" t="s">
        <v>374</v>
      </c>
      <c r="Q468" s="13" t="s">
        <v>374</v>
      </c>
      <c r="R468" s="13" t="s">
        <v>374</v>
      </c>
      <c r="S468" s="13" t="s">
        <v>374</v>
      </c>
      <c r="T468" s="13" t="s">
        <v>374</v>
      </c>
      <c r="U468" s="12" t="s">
        <v>374</v>
      </c>
      <c r="V468" s="13" t="s">
        <v>374</v>
      </c>
      <c r="W468" s="13" t="s">
        <v>374</v>
      </c>
      <c r="X468" s="12" t="s">
        <v>374</v>
      </c>
      <c r="Y468" s="13" t="s">
        <v>374</v>
      </c>
      <c r="Z468" s="12" t="s">
        <v>374</v>
      </c>
      <c r="AA468" s="12" t="s">
        <v>374</v>
      </c>
      <c r="AB468" s="13" t="s">
        <v>374</v>
      </c>
      <c r="AC468" s="42"/>
      <c r="AD468" s="83">
        <f>IFERROR(P468,$AD$4)</f>
        <v>25569.5</v>
      </c>
      <c r="AE468" s="7">
        <f>IFERROR(U468,0)</f>
      </c>
      <c r="AF468" s="3"/>
      <c r="AG468" s="105">
        <f>Q467+S468+T468+U468</f>
      </c>
      <c r="AH468" s="105">
        <f>Q468+R468+X468</f>
      </c>
      <c r="AI468" s="60">
        <f>AH468-AG468</f>
      </c>
      <c r="AJ468" s="3"/>
      <c r="AK468" s="3"/>
    </row>
    <row x14ac:dyDescent="0.25" r="469" customHeight="1" ht="18.75">
      <c r="A469" s="3"/>
      <c r="B469" s="71"/>
      <c r="C469" s="3"/>
      <c r="D469" s="3"/>
      <c r="E469" s="3"/>
      <c r="F469" s="3"/>
      <c r="G469" s="59">
        <f>H469-DATE(YEAR(H469),1,0)+1</f>
      </c>
      <c r="H469" s="79">
        <f>H468+1</f>
        <v>25569.5</v>
      </c>
      <c r="I469" s="80">
        <f>HLOOKUP($H$4,'Met Data'!$A$2:$F$368,G469,FALSE)</f>
      </c>
      <c r="J469" s="80">
        <f>HLOOKUP($H$4,'Met Data'!$H$2:$M$368,G469,FALSE)*L469</f>
      </c>
      <c r="K469" s="81">
        <f>HLOOKUP($H$4,'Met Data'!$O$2:$T$368,G469,FALSE)</f>
      </c>
      <c r="L469" s="7">
        <f>IF(H469&lt;$B$31,$J$3,$J$4)</f>
      </c>
      <c r="M469" s="3"/>
      <c r="N469" s="82">
        <f>IF(P469&lt;$P$3,TRUE,FALSE)</f>
      </c>
      <c r="O469" s="82">
        <f>AND(IF(P469&gt;($P$2-1),TRUE,FALSE),IF(P469&lt;($P$3+1),TRUE,FALSE))</f>
      </c>
      <c r="P469" s="83" t="s">
        <v>374</v>
      </c>
      <c r="Q469" s="13" t="s">
        <v>374</v>
      </c>
      <c r="R469" s="13" t="s">
        <v>374</v>
      </c>
      <c r="S469" s="13" t="s">
        <v>374</v>
      </c>
      <c r="T469" s="13" t="s">
        <v>374</v>
      </c>
      <c r="U469" s="12" t="s">
        <v>374</v>
      </c>
      <c r="V469" s="13" t="s">
        <v>374</v>
      </c>
      <c r="W469" s="13" t="s">
        <v>374</v>
      </c>
      <c r="X469" s="12" t="s">
        <v>374</v>
      </c>
      <c r="Y469" s="13" t="s">
        <v>374</v>
      </c>
      <c r="Z469" s="12" t="s">
        <v>374</v>
      </c>
      <c r="AA469" s="12" t="s">
        <v>374</v>
      </c>
      <c r="AB469" s="13" t="s">
        <v>374</v>
      </c>
      <c r="AC469" s="42"/>
      <c r="AD469" s="83">
        <f>IFERROR(P469,$AD$4)</f>
        <v>25569.5</v>
      </c>
      <c r="AE469" s="7">
        <f>IFERROR(U469,0)</f>
      </c>
      <c r="AF469" s="3"/>
      <c r="AG469" s="105">
        <f>Q468+S469+T469+U469</f>
      </c>
      <c r="AH469" s="105">
        <f>Q469+R469+X469</f>
      </c>
      <c r="AI469" s="60">
        <f>AH469-AG469</f>
      </c>
      <c r="AJ469" s="3"/>
      <c r="AK469" s="3"/>
    </row>
    <row x14ac:dyDescent="0.25" r="470" customHeight="1" ht="18.75">
      <c r="A470" s="3"/>
      <c r="B470" s="71"/>
      <c r="C470" s="3"/>
      <c r="D470" s="3"/>
      <c r="E470" s="3"/>
      <c r="F470" s="3"/>
      <c r="G470" s="59">
        <f>H470-DATE(YEAR(H470),1,0)+1</f>
      </c>
      <c r="H470" s="79">
        <f>H469+1</f>
        <v>25569.5</v>
      </c>
      <c r="I470" s="80">
        <f>HLOOKUP($H$4,'Met Data'!$A$2:$F$368,G470,FALSE)</f>
      </c>
      <c r="J470" s="80">
        <f>HLOOKUP($H$4,'Met Data'!$H$2:$M$368,G470,FALSE)*L470</f>
      </c>
      <c r="K470" s="81">
        <f>HLOOKUP($H$4,'Met Data'!$O$2:$T$368,G470,FALSE)</f>
      </c>
      <c r="L470" s="7">
        <f>IF(H470&lt;$B$31,$J$3,$J$4)</f>
      </c>
      <c r="M470" s="3"/>
      <c r="N470" s="82">
        <f>IF(P470&lt;$P$3,TRUE,FALSE)</f>
      </c>
      <c r="O470" s="82">
        <f>AND(IF(P470&gt;($P$2-1),TRUE,FALSE),IF(P470&lt;($P$3+1),TRUE,FALSE))</f>
      </c>
      <c r="P470" s="83" t="s">
        <v>374</v>
      </c>
      <c r="Q470" s="13" t="s">
        <v>374</v>
      </c>
      <c r="R470" s="13" t="s">
        <v>374</v>
      </c>
      <c r="S470" s="13" t="s">
        <v>374</v>
      </c>
      <c r="T470" s="13" t="s">
        <v>374</v>
      </c>
      <c r="U470" s="12" t="s">
        <v>374</v>
      </c>
      <c r="V470" s="13" t="s">
        <v>374</v>
      </c>
      <c r="W470" s="13" t="s">
        <v>374</v>
      </c>
      <c r="X470" s="12" t="s">
        <v>374</v>
      </c>
      <c r="Y470" s="13" t="s">
        <v>374</v>
      </c>
      <c r="Z470" s="12" t="s">
        <v>374</v>
      </c>
      <c r="AA470" s="12" t="s">
        <v>374</v>
      </c>
      <c r="AB470" s="13" t="s">
        <v>374</v>
      </c>
      <c r="AC470" s="42"/>
      <c r="AD470" s="83">
        <f>IFERROR(P470,$AD$4)</f>
        <v>25569.5</v>
      </c>
      <c r="AE470" s="7">
        <f>IFERROR(U470,0)</f>
      </c>
      <c r="AF470" s="3"/>
      <c r="AG470" s="105">
        <f>Q469+S470+T470+U470</f>
      </c>
      <c r="AH470" s="105">
        <f>Q470+R470+X470</f>
      </c>
      <c r="AI470" s="60">
        <f>AH470-AG470</f>
      </c>
      <c r="AJ470" s="3"/>
      <c r="AK470" s="3"/>
    </row>
    <row x14ac:dyDescent="0.25" r="471" customHeight="1" ht="18.75">
      <c r="A471" s="3"/>
      <c r="B471" s="71"/>
      <c r="C471" s="3"/>
      <c r="D471" s="3"/>
      <c r="E471" s="3"/>
      <c r="F471" s="3"/>
      <c r="G471" s="59">
        <f>H471-DATE(YEAR(H471),1,0)+1</f>
      </c>
      <c r="H471" s="79">
        <f>H470+1</f>
        <v>25569.5</v>
      </c>
      <c r="I471" s="80">
        <f>HLOOKUP($H$4,'Met Data'!$A$2:$F$368,G471,FALSE)</f>
      </c>
      <c r="J471" s="80">
        <f>HLOOKUP($H$4,'Met Data'!$H$2:$M$368,G471,FALSE)*L471</f>
      </c>
      <c r="K471" s="81">
        <f>HLOOKUP($H$4,'Met Data'!$O$2:$T$368,G471,FALSE)</f>
      </c>
      <c r="L471" s="7">
        <f>IF(H471&lt;$B$31,$J$3,$J$4)</f>
      </c>
      <c r="M471" s="3"/>
      <c r="N471" s="82">
        <f>IF(P471&lt;$P$3,TRUE,FALSE)</f>
      </c>
      <c r="O471" s="82">
        <f>AND(IF(P471&gt;($P$2-1),TRUE,FALSE),IF(P471&lt;($P$3+1),TRUE,FALSE))</f>
      </c>
      <c r="P471" s="83" t="s">
        <v>374</v>
      </c>
      <c r="Q471" s="13" t="s">
        <v>374</v>
      </c>
      <c r="R471" s="13" t="s">
        <v>374</v>
      </c>
      <c r="S471" s="13" t="s">
        <v>374</v>
      </c>
      <c r="T471" s="13" t="s">
        <v>374</v>
      </c>
      <c r="U471" s="12" t="s">
        <v>374</v>
      </c>
      <c r="V471" s="13" t="s">
        <v>374</v>
      </c>
      <c r="W471" s="13" t="s">
        <v>374</v>
      </c>
      <c r="X471" s="12" t="s">
        <v>374</v>
      </c>
      <c r="Y471" s="13" t="s">
        <v>374</v>
      </c>
      <c r="Z471" s="12" t="s">
        <v>374</v>
      </c>
      <c r="AA471" s="12" t="s">
        <v>374</v>
      </c>
      <c r="AB471" s="13" t="s">
        <v>374</v>
      </c>
      <c r="AC471" s="42"/>
      <c r="AD471" s="83">
        <f>IFERROR(P471,$AD$4)</f>
        <v>25569.5</v>
      </c>
      <c r="AE471" s="7">
        <f>IFERROR(U471,0)</f>
      </c>
      <c r="AF471" s="3"/>
      <c r="AG471" s="105">
        <f>Q470+S471+T471+U471</f>
      </c>
      <c r="AH471" s="105">
        <f>Q471+R471+X471</f>
      </c>
      <c r="AI471" s="60">
        <f>AH471-AG471</f>
      </c>
      <c r="AJ471" s="3"/>
      <c r="AK471" s="3"/>
    </row>
    <row x14ac:dyDescent="0.25" r="472" customHeight="1" ht="18.75">
      <c r="A472" s="3"/>
      <c r="B472" s="71"/>
      <c r="C472" s="3"/>
      <c r="D472" s="3"/>
      <c r="E472" s="3"/>
      <c r="F472" s="3"/>
      <c r="G472" s="59">
        <f>H472-DATE(YEAR(H472),1,0)+1</f>
      </c>
      <c r="H472" s="79">
        <f>H471+1</f>
        <v>25569.5</v>
      </c>
      <c r="I472" s="80">
        <f>HLOOKUP($H$4,'Met Data'!$A$2:$F$368,G472,FALSE)</f>
      </c>
      <c r="J472" s="80">
        <f>HLOOKUP($H$4,'Met Data'!$H$2:$M$368,G472,FALSE)*L472</f>
      </c>
      <c r="K472" s="81">
        <f>HLOOKUP($H$4,'Met Data'!$O$2:$T$368,G472,FALSE)</f>
      </c>
      <c r="L472" s="7">
        <f>IF(H472&lt;$B$31,$J$3,$J$4)</f>
      </c>
      <c r="M472" s="3"/>
      <c r="N472" s="82">
        <f>IF(P472&lt;$P$3,TRUE,FALSE)</f>
      </c>
      <c r="O472" s="82">
        <f>AND(IF(P472&gt;($P$2-1),TRUE,FALSE),IF(P472&lt;($P$3+1),TRUE,FALSE))</f>
      </c>
      <c r="P472" s="83" t="s">
        <v>374</v>
      </c>
      <c r="Q472" s="13" t="s">
        <v>374</v>
      </c>
      <c r="R472" s="13" t="s">
        <v>374</v>
      </c>
      <c r="S472" s="13" t="s">
        <v>374</v>
      </c>
      <c r="T472" s="13" t="s">
        <v>374</v>
      </c>
      <c r="U472" s="12" t="s">
        <v>374</v>
      </c>
      <c r="V472" s="13" t="s">
        <v>374</v>
      </c>
      <c r="W472" s="13" t="s">
        <v>374</v>
      </c>
      <c r="X472" s="12" t="s">
        <v>374</v>
      </c>
      <c r="Y472" s="13" t="s">
        <v>374</v>
      </c>
      <c r="Z472" s="12" t="s">
        <v>374</v>
      </c>
      <c r="AA472" s="12" t="s">
        <v>374</v>
      </c>
      <c r="AB472" s="13" t="s">
        <v>374</v>
      </c>
      <c r="AC472" s="42"/>
      <c r="AD472" s="83">
        <f>IFERROR(P472,$AD$4)</f>
        <v>25569.5</v>
      </c>
      <c r="AE472" s="7">
        <f>IFERROR(U472,0)</f>
      </c>
      <c r="AF472" s="3"/>
      <c r="AG472" s="105">
        <f>Q471+S472+T472+U472</f>
      </c>
      <c r="AH472" s="105">
        <f>Q472+R472+X472</f>
      </c>
      <c r="AI472" s="60">
        <f>AH472-AG472</f>
      </c>
      <c r="AJ472" s="3"/>
      <c r="AK472" s="3"/>
    </row>
    <row x14ac:dyDescent="0.25" r="473" customHeight="1" ht="18.75">
      <c r="A473" s="3"/>
      <c r="B473" s="71"/>
      <c r="C473" s="3"/>
      <c r="D473" s="3"/>
      <c r="E473" s="3"/>
      <c r="F473" s="3"/>
      <c r="G473" s="59">
        <f>H473-DATE(YEAR(H473),1,0)+1</f>
      </c>
      <c r="H473" s="79">
        <f>H472+1</f>
        <v>25569.5</v>
      </c>
      <c r="I473" s="80">
        <f>HLOOKUP($H$4,'Met Data'!$A$2:$F$368,G473,FALSE)</f>
      </c>
      <c r="J473" s="80">
        <f>HLOOKUP($H$4,'Met Data'!$H$2:$M$368,G473,FALSE)*L473</f>
      </c>
      <c r="K473" s="81">
        <f>HLOOKUP($H$4,'Met Data'!$O$2:$T$368,G473,FALSE)</f>
      </c>
      <c r="L473" s="7">
        <f>IF(H473&lt;$B$31,$J$3,$J$4)</f>
      </c>
      <c r="M473" s="3"/>
      <c r="N473" s="82">
        <f>IF(P473&lt;$P$3,TRUE,FALSE)</f>
      </c>
      <c r="O473" s="82">
        <f>AND(IF(P473&gt;($P$2-1),TRUE,FALSE),IF(P473&lt;($P$3+1),TRUE,FALSE))</f>
      </c>
      <c r="P473" s="83" t="s">
        <v>374</v>
      </c>
      <c r="Q473" s="13" t="s">
        <v>374</v>
      </c>
      <c r="R473" s="13" t="s">
        <v>374</v>
      </c>
      <c r="S473" s="13" t="s">
        <v>374</v>
      </c>
      <c r="T473" s="13" t="s">
        <v>374</v>
      </c>
      <c r="U473" s="12" t="s">
        <v>374</v>
      </c>
      <c r="V473" s="13" t="s">
        <v>374</v>
      </c>
      <c r="W473" s="13" t="s">
        <v>374</v>
      </c>
      <c r="X473" s="12" t="s">
        <v>374</v>
      </c>
      <c r="Y473" s="13" t="s">
        <v>374</v>
      </c>
      <c r="Z473" s="12" t="s">
        <v>374</v>
      </c>
      <c r="AA473" s="12" t="s">
        <v>374</v>
      </c>
      <c r="AB473" s="13" t="s">
        <v>374</v>
      </c>
      <c r="AC473" s="42"/>
      <c r="AD473" s="83">
        <f>IFERROR(P473,$AD$4)</f>
        <v>25569.5</v>
      </c>
      <c r="AE473" s="7">
        <f>IFERROR(U473,0)</f>
      </c>
      <c r="AF473" s="3"/>
      <c r="AG473" s="105">
        <f>Q472+S473+T473+U473</f>
      </c>
      <c r="AH473" s="105">
        <f>Q473+R473+X473</f>
      </c>
      <c r="AI473" s="60">
        <f>AH473-AG473</f>
      </c>
      <c r="AJ473" s="3"/>
      <c r="AK473" s="3"/>
    </row>
    <row x14ac:dyDescent="0.25" r="474" customHeight="1" ht="18.75">
      <c r="A474" s="3"/>
      <c r="B474" s="71"/>
      <c r="C474" s="3"/>
      <c r="D474" s="3"/>
      <c r="E474" s="3"/>
      <c r="F474" s="3"/>
      <c r="G474" s="59">
        <f>H474-DATE(YEAR(H474),1,0)+1</f>
      </c>
      <c r="H474" s="79">
        <f>H473+1</f>
        <v>25569.5</v>
      </c>
      <c r="I474" s="80">
        <f>HLOOKUP($H$4,'Met Data'!$A$2:$F$368,G474,FALSE)</f>
      </c>
      <c r="J474" s="80">
        <f>HLOOKUP($H$4,'Met Data'!$H$2:$M$368,G474,FALSE)*L474</f>
      </c>
      <c r="K474" s="81">
        <f>HLOOKUP($H$4,'Met Data'!$O$2:$T$368,G474,FALSE)</f>
      </c>
      <c r="L474" s="7">
        <f>IF(H474&lt;$B$31,$J$3,$J$4)</f>
      </c>
      <c r="M474" s="3"/>
      <c r="N474" s="82">
        <f>IF(P474&lt;$P$3,TRUE,FALSE)</f>
      </c>
      <c r="O474" s="82">
        <f>AND(IF(P474&gt;($P$2-1),TRUE,FALSE),IF(P474&lt;($P$3+1),TRUE,FALSE))</f>
      </c>
      <c r="P474" s="83" t="s">
        <v>374</v>
      </c>
      <c r="Q474" s="13" t="s">
        <v>374</v>
      </c>
      <c r="R474" s="13" t="s">
        <v>374</v>
      </c>
      <c r="S474" s="13" t="s">
        <v>374</v>
      </c>
      <c r="T474" s="13" t="s">
        <v>374</v>
      </c>
      <c r="U474" s="12" t="s">
        <v>374</v>
      </c>
      <c r="V474" s="13" t="s">
        <v>374</v>
      </c>
      <c r="W474" s="13" t="s">
        <v>374</v>
      </c>
      <c r="X474" s="12" t="s">
        <v>374</v>
      </c>
      <c r="Y474" s="13" t="s">
        <v>374</v>
      </c>
      <c r="Z474" s="12" t="s">
        <v>374</v>
      </c>
      <c r="AA474" s="12" t="s">
        <v>374</v>
      </c>
      <c r="AB474" s="13" t="s">
        <v>374</v>
      </c>
      <c r="AC474" s="42"/>
      <c r="AD474" s="83">
        <f>IFERROR(P474,$AD$4)</f>
        <v>25569.5</v>
      </c>
      <c r="AE474" s="7">
        <f>IFERROR(U474,0)</f>
      </c>
      <c r="AF474" s="3"/>
      <c r="AG474" s="105">
        <f>Q473+S474+T474+U474</f>
      </c>
      <c r="AH474" s="105">
        <f>Q474+R474+X474</f>
      </c>
      <c r="AI474" s="60">
        <f>AH474-AG474</f>
      </c>
      <c r="AJ474" s="3"/>
      <c r="AK474" s="3"/>
    </row>
    <row x14ac:dyDescent="0.25" r="475" customHeight="1" ht="18.75">
      <c r="A475" s="3"/>
      <c r="B475" s="71"/>
      <c r="C475" s="3"/>
      <c r="D475" s="3"/>
      <c r="E475" s="3"/>
      <c r="F475" s="3"/>
      <c r="G475" s="59">
        <f>H475-DATE(YEAR(H475),1,0)+1</f>
      </c>
      <c r="H475" s="79">
        <f>H474+1</f>
        <v>25569.5</v>
      </c>
      <c r="I475" s="80">
        <f>HLOOKUP($H$4,'Met Data'!$A$2:$F$368,G475,FALSE)</f>
      </c>
      <c r="J475" s="80">
        <f>HLOOKUP($H$4,'Met Data'!$H$2:$M$368,G475,FALSE)*L475</f>
      </c>
      <c r="K475" s="81">
        <f>HLOOKUP($H$4,'Met Data'!$O$2:$T$368,G475,FALSE)</f>
      </c>
      <c r="L475" s="7">
        <f>IF(H475&lt;$B$31,$J$3,$J$4)</f>
      </c>
      <c r="M475" s="3"/>
      <c r="N475" s="82">
        <f>IF(P475&lt;$P$3,TRUE,FALSE)</f>
      </c>
      <c r="O475" s="82">
        <f>AND(IF(P475&gt;($P$2-1),TRUE,FALSE),IF(P475&lt;($P$3+1),TRUE,FALSE))</f>
      </c>
      <c r="P475" s="83" t="s">
        <v>374</v>
      </c>
      <c r="Q475" s="13" t="s">
        <v>374</v>
      </c>
      <c r="R475" s="13" t="s">
        <v>374</v>
      </c>
      <c r="S475" s="13" t="s">
        <v>374</v>
      </c>
      <c r="T475" s="13" t="s">
        <v>374</v>
      </c>
      <c r="U475" s="12" t="s">
        <v>374</v>
      </c>
      <c r="V475" s="13" t="s">
        <v>374</v>
      </c>
      <c r="W475" s="13" t="s">
        <v>374</v>
      </c>
      <c r="X475" s="12" t="s">
        <v>374</v>
      </c>
      <c r="Y475" s="13" t="s">
        <v>374</v>
      </c>
      <c r="Z475" s="12" t="s">
        <v>374</v>
      </c>
      <c r="AA475" s="12" t="s">
        <v>374</v>
      </c>
      <c r="AB475" s="13" t="s">
        <v>374</v>
      </c>
      <c r="AC475" s="42"/>
      <c r="AD475" s="83">
        <f>IFERROR(P475,$AD$4)</f>
        <v>25569.5</v>
      </c>
      <c r="AE475" s="7">
        <f>IFERROR(U475,0)</f>
      </c>
      <c r="AF475" s="3"/>
      <c r="AG475" s="105">
        <f>Q474+S475+T475+U475</f>
      </c>
      <c r="AH475" s="105">
        <f>Q475+R475+X475</f>
      </c>
      <c r="AI475" s="60">
        <f>AH475-AG475</f>
      </c>
      <c r="AJ475" s="3"/>
      <c r="AK475" s="3"/>
    </row>
    <row x14ac:dyDescent="0.25" r="476" customHeight="1" ht="18.75">
      <c r="A476" s="3"/>
      <c r="B476" s="71"/>
      <c r="C476" s="3"/>
      <c r="D476" s="3"/>
      <c r="E476" s="3"/>
      <c r="F476" s="3"/>
      <c r="G476" s="59">
        <f>H476-DATE(YEAR(H476),1,0)+1</f>
      </c>
      <c r="H476" s="79">
        <f>H475+1</f>
        <v>25569.5</v>
      </c>
      <c r="I476" s="80">
        <f>HLOOKUP($H$4,'Met Data'!$A$2:$F$368,G476,FALSE)</f>
      </c>
      <c r="J476" s="80">
        <f>HLOOKUP($H$4,'Met Data'!$H$2:$M$368,G476,FALSE)*L476</f>
      </c>
      <c r="K476" s="81">
        <f>HLOOKUP($H$4,'Met Data'!$O$2:$T$368,G476,FALSE)</f>
      </c>
      <c r="L476" s="7">
        <f>IF(H476&lt;$B$31,$J$3,$J$4)</f>
      </c>
      <c r="M476" s="3"/>
      <c r="N476" s="82">
        <f>IF(P476&lt;$P$3,TRUE,FALSE)</f>
      </c>
      <c r="O476" s="82">
        <f>AND(IF(P476&gt;($P$2-1),TRUE,FALSE),IF(P476&lt;($P$3+1),TRUE,FALSE))</f>
      </c>
      <c r="P476" s="83" t="s">
        <v>374</v>
      </c>
      <c r="Q476" s="13" t="s">
        <v>374</v>
      </c>
      <c r="R476" s="13" t="s">
        <v>374</v>
      </c>
      <c r="S476" s="13" t="s">
        <v>374</v>
      </c>
      <c r="T476" s="13" t="s">
        <v>374</v>
      </c>
      <c r="U476" s="12" t="s">
        <v>374</v>
      </c>
      <c r="V476" s="13" t="s">
        <v>374</v>
      </c>
      <c r="W476" s="13" t="s">
        <v>374</v>
      </c>
      <c r="X476" s="12" t="s">
        <v>374</v>
      </c>
      <c r="Y476" s="13" t="s">
        <v>374</v>
      </c>
      <c r="Z476" s="12" t="s">
        <v>374</v>
      </c>
      <c r="AA476" s="12" t="s">
        <v>374</v>
      </c>
      <c r="AB476" s="13" t="s">
        <v>374</v>
      </c>
      <c r="AC476" s="42"/>
      <c r="AD476" s="83">
        <f>IFERROR(P476,$AD$4)</f>
        <v>25569.5</v>
      </c>
      <c r="AE476" s="7">
        <f>IFERROR(U476,0)</f>
      </c>
      <c r="AF476" s="3"/>
      <c r="AG476" s="105">
        <f>Q475+S476+T476+U476</f>
      </c>
      <c r="AH476" s="105">
        <f>Q476+R476+X476</f>
      </c>
      <c r="AI476" s="60">
        <f>AH476-AG476</f>
      </c>
      <c r="AJ476" s="3"/>
      <c r="AK476" s="3"/>
    </row>
    <row x14ac:dyDescent="0.25" r="477" customHeight="1" ht="18.75">
      <c r="A477" s="3"/>
      <c r="B477" s="71"/>
      <c r="C477" s="3"/>
      <c r="D477" s="3"/>
      <c r="E477" s="3"/>
      <c r="F477" s="3"/>
      <c r="G477" s="59">
        <f>H477-DATE(YEAR(H477),1,0)+1</f>
      </c>
      <c r="H477" s="79">
        <f>H476+1</f>
        <v>25569.5</v>
      </c>
      <c r="I477" s="80">
        <f>HLOOKUP($H$4,'Met Data'!$A$2:$F$368,G477,FALSE)</f>
      </c>
      <c r="J477" s="80">
        <f>HLOOKUP($H$4,'Met Data'!$H$2:$M$368,G477,FALSE)*L477</f>
      </c>
      <c r="K477" s="81">
        <f>HLOOKUP($H$4,'Met Data'!$O$2:$T$368,G477,FALSE)</f>
      </c>
      <c r="L477" s="7">
        <f>IF(H477&lt;$B$31,$J$3,$J$4)</f>
      </c>
      <c r="M477" s="3"/>
      <c r="N477" s="82">
        <f>IF(P477&lt;$P$3,TRUE,FALSE)</f>
      </c>
      <c r="O477" s="82">
        <f>AND(IF(P477&gt;($P$2-1),TRUE,FALSE),IF(P477&lt;($P$3+1),TRUE,FALSE))</f>
      </c>
      <c r="P477" s="83" t="s">
        <v>374</v>
      </c>
      <c r="Q477" s="13" t="s">
        <v>374</v>
      </c>
      <c r="R477" s="13" t="s">
        <v>374</v>
      </c>
      <c r="S477" s="13" t="s">
        <v>374</v>
      </c>
      <c r="T477" s="13" t="s">
        <v>374</v>
      </c>
      <c r="U477" s="12" t="s">
        <v>374</v>
      </c>
      <c r="V477" s="13" t="s">
        <v>374</v>
      </c>
      <c r="W477" s="13" t="s">
        <v>374</v>
      </c>
      <c r="X477" s="12" t="s">
        <v>374</v>
      </c>
      <c r="Y477" s="13" t="s">
        <v>374</v>
      </c>
      <c r="Z477" s="12" t="s">
        <v>374</v>
      </c>
      <c r="AA477" s="12" t="s">
        <v>374</v>
      </c>
      <c r="AB477" s="13" t="s">
        <v>374</v>
      </c>
      <c r="AC477" s="42"/>
      <c r="AD477" s="83">
        <f>IFERROR(P477,$AD$4)</f>
        <v>25569.5</v>
      </c>
      <c r="AE477" s="7">
        <f>IFERROR(U477,0)</f>
      </c>
      <c r="AF477" s="3"/>
      <c r="AG477" s="105">
        <f>Q476+S477+T477+U477</f>
      </c>
      <c r="AH477" s="105">
        <f>Q477+R477+X477</f>
      </c>
      <c r="AI477" s="60">
        <f>AH477-AG477</f>
      </c>
      <c r="AJ477" s="3"/>
      <c r="AK477" s="3"/>
    </row>
    <row x14ac:dyDescent="0.25" r="478" customHeight="1" ht="18.75">
      <c r="A478" s="3"/>
      <c r="B478" s="71"/>
      <c r="C478" s="3"/>
      <c r="D478" s="3"/>
      <c r="E478" s="3"/>
      <c r="F478" s="3"/>
      <c r="G478" s="59">
        <f>H478-DATE(YEAR(H478),1,0)+1</f>
      </c>
      <c r="H478" s="79">
        <f>H477+1</f>
        <v>25569.5</v>
      </c>
      <c r="I478" s="80">
        <f>HLOOKUP($H$4,'Met Data'!$A$2:$F$368,G478,FALSE)</f>
      </c>
      <c r="J478" s="80">
        <f>HLOOKUP($H$4,'Met Data'!$H$2:$M$368,G478,FALSE)*L478</f>
      </c>
      <c r="K478" s="81">
        <f>HLOOKUP($H$4,'Met Data'!$O$2:$T$368,G478,FALSE)</f>
      </c>
      <c r="L478" s="7">
        <f>IF(H478&lt;$B$31,$J$3,$J$4)</f>
      </c>
      <c r="M478" s="3"/>
      <c r="N478" s="82">
        <f>IF(P478&lt;$P$3,TRUE,FALSE)</f>
      </c>
      <c r="O478" s="82">
        <f>AND(IF(P478&gt;($P$2-1),TRUE,FALSE),IF(P478&lt;($P$3+1),TRUE,FALSE))</f>
      </c>
      <c r="P478" s="83" t="s">
        <v>374</v>
      </c>
      <c r="Q478" s="13" t="s">
        <v>374</v>
      </c>
      <c r="R478" s="13" t="s">
        <v>374</v>
      </c>
      <c r="S478" s="13" t="s">
        <v>374</v>
      </c>
      <c r="T478" s="13" t="s">
        <v>374</v>
      </c>
      <c r="U478" s="12" t="s">
        <v>374</v>
      </c>
      <c r="V478" s="13" t="s">
        <v>374</v>
      </c>
      <c r="W478" s="13" t="s">
        <v>374</v>
      </c>
      <c r="X478" s="12" t="s">
        <v>374</v>
      </c>
      <c r="Y478" s="13" t="s">
        <v>374</v>
      </c>
      <c r="Z478" s="12" t="s">
        <v>374</v>
      </c>
      <c r="AA478" s="12" t="s">
        <v>374</v>
      </c>
      <c r="AB478" s="13" t="s">
        <v>374</v>
      </c>
      <c r="AC478" s="42"/>
      <c r="AD478" s="83">
        <f>IFERROR(P478,$AD$4)</f>
        <v>25569.5</v>
      </c>
      <c r="AE478" s="7">
        <f>IFERROR(U478,0)</f>
      </c>
      <c r="AF478" s="3"/>
      <c r="AG478" s="105">
        <f>Q477+S478+T478+U478</f>
      </c>
      <c r="AH478" s="105">
        <f>Q478+R478+X478</f>
      </c>
      <c r="AI478" s="60">
        <f>AH478-AG478</f>
      </c>
      <c r="AJ478" s="3"/>
      <c r="AK478" s="3"/>
    </row>
    <row x14ac:dyDescent="0.25" r="479" customHeight="1" ht="18.75">
      <c r="A479" s="3"/>
      <c r="B479" s="71"/>
      <c r="C479" s="3"/>
      <c r="D479" s="3"/>
      <c r="E479" s="3"/>
      <c r="F479" s="3"/>
      <c r="G479" s="59">
        <f>H479-DATE(YEAR(H479),1,0)+1</f>
      </c>
      <c r="H479" s="79">
        <f>H478+1</f>
        <v>25569.5</v>
      </c>
      <c r="I479" s="80">
        <f>HLOOKUP($H$4,'Met Data'!$A$2:$F$368,G479,FALSE)</f>
      </c>
      <c r="J479" s="80">
        <f>HLOOKUP($H$4,'Met Data'!$H$2:$M$368,G479,FALSE)*L479</f>
      </c>
      <c r="K479" s="81">
        <f>HLOOKUP($H$4,'Met Data'!$O$2:$T$368,G479,FALSE)</f>
      </c>
      <c r="L479" s="7">
        <f>IF(H479&lt;$B$31,$J$3,$J$4)</f>
      </c>
      <c r="M479" s="3"/>
      <c r="N479" s="82">
        <f>IF(P479&lt;$P$3,TRUE,FALSE)</f>
      </c>
      <c r="O479" s="82">
        <f>AND(IF(P479&gt;($P$2-1),TRUE,FALSE),IF(P479&lt;($P$3+1),TRUE,FALSE))</f>
      </c>
      <c r="P479" s="83" t="s">
        <v>374</v>
      </c>
      <c r="Q479" s="13" t="s">
        <v>374</v>
      </c>
      <c r="R479" s="13" t="s">
        <v>374</v>
      </c>
      <c r="S479" s="13" t="s">
        <v>374</v>
      </c>
      <c r="T479" s="13" t="s">
        <v>374</v>
      </c>
      <c r="U479" s="12" t="s">
        <v>374</v>
      </c>
      <c r="V479" s="13" t="s">
        <v>374</v>
      </c>
      <c r="W479" s="13" t="s">
        <v>374</v>
      </c>
      <c r="X479" s="12" t="s">
        <v>374</v>
      </c>
      <c r="Y479" s="13" t="s">
        <v>374</v>
      </c>
      <c r="Z479" s="12" t="s">
        <v>374</v>
      </c>
      <c r="AA479" s="12" t="s">
        <v>374</v>
      </c>
      <c r="AB479" s="13" t="s">
        <v>374</v>
      </c>
      <c r="AC479" s="42"/>
      <c r="AD479" s="83">
        <f>IFERROR(P479,$AD$4)</f>
        <v>25569.5</v>
      </c>
      <c r="AE479" s="7">
        <f>IFERROR(U479,0)</f>
      </c>
      <c r="AF479" s="3"/>
      <c r="AG479" s="105">
        <f>Q478+S479+T479+U479</f>
      </c>
      <c r="AH479" s="105">
        <f>Q479+R479+X479</f>
      </c>
      <c r="AI479" s="60">
        <f>AH479-AG479</f>
      </c>
      <c r="AJ479" s="3"/>
      <c r="AK479" s="3"/>
    </row>
    <row x14ac:dyDescent="0.25" r="480" customHeight="1" ht="18.75">
      <c r="A480" s="3"/>
      <c r="B480" s="71"/>
      <c r="C480" s="3"/>
      <c r="D480" s="3"/>
      <c r="E480" s="3"/>
      <c r="F480" s="3"/>
      <c r="G480" s="59">
        <f>H480-DATE(YEAR(H480),1,0)+1</f>
      </c>
      <c r="H480" s="79">
        <f>H479+1</f>
        <v>25569.5</v>
      </c>
      <c r="I480" s="80">
        <f>HLOOKUP($H$4,'Met Data'!$A$2:$F$368,G480,FALSE)</f>
      </c>
      <c r="J480" s="80">
        <f>HLOOKUP($H$4,'Met Data'!$H$2:$M$368,G480,FALSE)*L480</f>
      </c>
      <c r="K480" s="81">
        <f>HLOOKUP($H$4,'Met Data'!$O$2:$T$368,G480,FALSE)</f>
      </c>
      <c r="L480" s="7">
        <f>IF(H480&lt;$B$31,$J$3,$J$4)</f>
      </c>
      <c r="M480" s="3"/>
      <c r="N480" s="82">
        <f>IF(P480&lt;$P$3,TRUE,FALSE)</f>
      </c>
      <c r="O480" s="82">
        <f>AND(IF(P480&gt;($P$2-1),TRUE,FALSE),IF(P480&lt;($P$3+1),TRUE,FALSE))</f>
      </c>
      <c r="P480" s="83" t="s">
        <v>374</v>
      </c>
      <c r="Q480" s="13" t="s">
        <v>374</v>
      </c>
      <c r="R480" s="13" t="s">
        <v>374</v>
      </c>
      <c r="S480" s="13" t="s">
        <v>374</v>
      </c>
      <c r="T480" s="13" t="s">
        <v>374</v>
      </c>
      <c r="U480" s="12" t="s">
        <v>374</v>
      </c>
      <c r="V480" s="13" t="s">
        <v>374</v>
      </c>
      <c r="W480" s="13" t="s">
        <v>374</v>
      </c>
      <c r="X480" s="12" t="s">
        <v>374</v>
      </c>
      <c r="Y480" s="13" t="s">
        <v>374</v>
      </c>
      <c r="Z480" s="12" t="s">
        <v>374</v>
      </c>
      <c r="AA480" s="12" t="s">
        <v>374</v>
      </c>
      <c r="AB480" s="13" t="s">
        <v>374</v>
      </c>
      <c r="AC480" s="42"/>
      <c r="AD480" s="83">
        <f>IFERROR(P480,$AD$4)</f>
        <v>25569.5</v>
      </c>
      <c r="AE480" s="7">
        <f>IFERROR(U480,0)</f>
      </c>
      <c r="AF480" s="3"/>
      <c r="AG480" s="105">
        <f>Q479+S480+T480+U480</f>
      </c>
      <c r="AH480" s="105">
        <f>Q480+R480+X480</f>
      </c>
      <c r="AI480" s="60">
        <f>AH480-AG480</f>
      </c>
      <c r="AJ480" s="3"/>
      <c r="AK480" s="3"/>
    </row>
    <row x14ac:dyDescent="0.25" r="481" customHeight="1" ht="18.75">
      <c r="A481" s="3"/>
      <c r="B481" s="71"/>
      <c r="C481" s="3"/>
      <c r="D481" s="3"/>
      <c r="E481" s="3"/>
      <c r="F481" s="3"/>
      <c r="G481" s="59">
        <f>H481-DATE(YEAR(H481),1,0)+1</f>
      </c>
      <c r="H481" s="79">
        <f>H480+1</f>
        <v>25569.5</v>
      </c>
      <c r="I481" s="80">
        <f>HLOOKUP($H$4,'Met Data'!$A$2:$F$368,G481,FALSE)</f>
      </c>
      <c r="J481" s="80">
        <f>HLOOKUP($H$4,'Met Data'!$H$2:$M$368,G481,FALSE)*L481</f>
      </c>
      <c r="K481" s="81">
        <f>HLOOKUP($H$4,'Met Data'!$O$2:$T$368,G481,FALSE)</f>
      </c>
      <c r="L481" s="7">
        <f>IF(H481&lt;$B$31,$J$3,$J$4)</f>
      </c>
      <c r="M481" s="3"/>
      <c r="N481" s="82">
        <f>IF(P481&lt;$P$3,TRUE,FALSE)</f>
      </c>
      <c r="O481" s="82">
        <f>AND(IF(P481&gt;($P$2-1),TRUE,FALSE),IF(P481&lt;($P$3+1),TRUE,FALSE))</f>
      </c>
      <c r="P481" s="83" t="s">
        <v>374</v>
      </c>
      <c r="Q481" s="13" t="s">
        <v>374</v>
      </c>
      <c r="R481" s="13" t="s">
        <v>374</v>
      </c>
      <c r="S481" s="13" t="s">
        <v>374</v>
      </c>
      <c r="T481" s="13" t="s">
        <v>374</v>
      </c>
      <c r="U481" s="12" t="s">
        <v>374</v>
      </c>
      <c r="V481" s="13" t="s">
        <v>374</v>
      </c>
      <c r="W481" s="13" t="s">
        <v>374</v>
      </c>
      <c r="X481" s="12" t="s">
        <v>374</v>
      </c>
      <c r="Y481" s="13" t="s">
        <v>374</v>
      </c>
      <c r="Z481" s="12" t="s">
        <v>374</v>
      </c>
      <c r="AA481" s="12" t="s">
        <v>374</v>
      </c>
      <c r="AB481" s="13" t="s">
        <v>374</v>
      </c>
      <c r="AC481" s="42"/>
      <c r="AD481" s="83">
        <f>IFERROR(P481,$AD$4)</f>
        <v>25569.5</v>
      </c>
      <c r="AE481" s="7">
        <f>IFERROR(U481,0)</f>
      </c>
      <c r="AF481" s="3"/>
      <c r="AG481" s="105">
        <f>Q480+S481+T481+U481</f>
      </c>
      <c r="AH481" s="105">
        <f>Q481+R481+X481</f>
      </c>
      <c r="AI481" s="60">
        <f>AH481-AG481</f>
      </c>
      <c r="AJ481" s="3"/>
      <c r="AK481" s="3"/>
    </row>
    <row x14ac:dyDescent="0.25" r="482" customHeight="1" ht="18.75">
      <c r="A482" s="3"/>
      <c r="B482" s="71"/>
      <c r="C482" s="3"/>
      <c r="D482" s="3"/>
      <c r="E482" s="3"/>
      <c r="F482" s="3"/>
      <c r="G482" s="59">
        <f>H482-DATE(YEAR(H482),1,0)+1</f>
      </c>
      <c r="H482" s="79">
        <f>H481+1</f>
        <v>25569.5</v>
      </c>
      <c r="I482" s="80">
        <f>HLOOKUP($H$4,'Met Data'!$A$2:$F$368,G482,FALSE)</f>
      </c>
      <c r="J482" s="80">
        <f>HLOOKUP($H$4,'Met Data'!$H$2:$M$368,G482,FALSE)*L482</f>
      </c>
      <c r="K482" s="81">
        <f>HLOOKUP($H$4,'Met Data'!$O$2:$T$368,G482,FALSE)</f>
      </c>
      <c r="L482" s="7">
        <f>IF(H482&lt;$B$31,$J$3,$J$4)</f>
      </c>
      <c r="M482" s="3"/>
      <c r="N482" s="82">
        <f>IF(P482&lt;$P$3,TRUE,FALSE)</f>
      </c>
      <c r="O482" s="82">
        <f>AND(IF(P482&gt;($P$2-1),TRUE,FALSE),IF(P482&lt;($P$3+1),TRUE,FALSE))</f>
      </c>
      <c r="P482" s="83" t="s">
        <v>374</v>
      </c>
      <c r="Q482" s="13" t="s">
        <v>374</v>
      </c>
      <c r="R482" s="13" t="s">
        <v>374</v>
      </c>
      <c r="S482" s="13" t="s">
        <v>374</v>
      </c>
      <c r="T482" s="13" t="s">
        <v>374</v>
      </c>
      <c r="U482" s="12" t="s">
        <v>374</v>
      </c>
      <c r="V482" s="13" t="s">
        <v>374</v>
      </c>
      <c r="W482" s="13" t="s">
        <v>374</v>
      </c>
      <c r="X482" s="12" t="s">
        <v>374</v>
      </c>
      <c r="Y482" s="13" t="s">
        <v>374</v>
      </c>
      <c r="Z482" s="12" t="s">
        <v>374</v>
      </c>
      <c r="AA482" s="12" t="s">
        <v>374</v>
      </c>
      <c r="AB482" s="13" t="s">
        <v>374</v>
      </c>
      <c r="AC482" s="42"/>
      <c r="AD482" s="83">
        <f>IFERROR(P482,$AD$4)</f>
        <v>25569.5</v>
      </c>
      <c r="AE482" s="7">
        <f>IFERROR(U482,0)</f>
      </c>
      <c r="AF482" s="3"/>
      <c r="AG482" s="105">
        <f>Q481+S482+T482+U482</f>
      </c>
      <c r="AH482" s="105">
        <f>Q482+R482+X482</f>
      </c>
      <c r="AI482" s="60">
        <f>AH482-AG482</f>
      </c>
      <c r="AJ482" s="3"/>
      <c r="AK482" s="3"/>
    </row>
    <row x14ac:dyDescent="0.25" r="483" customHeight="1" ht="18.75">
      <c r="A483" s="3"/>
      <c r="B483" s="71"/>
      <c r="C483" s="3"/>
      <c r="D483" s="3"/>
      <c r="E483" s="3"/>
      <c r="F483" s="3"/>
      <c r="G483" s="59">
        <f>H483-DATE(YEAR(H483),1,0)+1</f>
      </c>
      <c r="H483" s="79">
        <f>H482+1</f>
        <v>25569.5</v>
      </c>
      <c r="I483" s="80">
        <f>HLOOKUP($H$4,'Met Data'!$A$2:$F$368,G483,FALSE)</f>
      </c>
      <c r="J483" s="80">
        <f>HLOOKUP($H$4,'Met Data'!$H$2:$M$368,G483,FALSE)*L483</f>
      </c>
      <c r="K483" s="81">
        <f>HLOOKUP($H$4,'Met Data'!$O$2:$T$368,G483,FALSE)</f>
      </c>
      <c r="L483" s="7">
        <f>IF(H483&lt;$B$31,$J$3,$J$4)</f>
      </c>
      <c r="M483" s="3"/>
      <c r="N483" s="82">
        <f>IF(P483&lt;$P$3,TRUE,FALSE)</f>
      </c>
      <c r="O483" s="82">
        <f>AND(IF(P483&gt;($P$2-1),TRUE,FALSE),IF(P483&lt;($P$3+1),TRUE,FALSE))</f>
      </c>
      <c r="P483" s="83" t="s">
        <v>374</v>
      </c>
      <c r="Q483" s="13" t="s">
        <v>374</v>
      </c>
      <c r="R483" s="13" t="s">
        <v>374</v>
      </c>
      <c r="S483" s="13" t="s">
        <v>374</v>
      </c>
      <c r="T483" s="13" t="s">
        <v>374</v>
      </c>
      <c r="U483" s="12" t="s">
        <v>374</v>
      </c>
      <c r="V483" s="13" t="s">
        <v>374</v>
      </c>
      <c r="W483" s="13" t="s">
        <v>374</v>
      </c>
      <c r="X483" s="12" t="s">
        <v>374</v>
      </c>
      <c r="Y483" s="13" t="s">
        <v>374</v>
      </c>
      <c r="Z483" s="12" t="s">
        <v>374</v>
      </c>
      <c r="AA483" s="12" t="s">
        <v>374</v>
      </c>
      <c r="AB483" s="13" t="s">
        <v>374</v>
      </c>
      <c r="AC483" s="42"/>
      <c r="AD483" s="83">
        <f>IFERROR(P483,$AD$4)</f>
        <v>25569.5</v>
      </c>
      <c r="AE483" s="7">
        <f>IFERROR(U483,0)</f>
      </c>
      <c r="AF483" s="3"/>
      <c r="AG483" s="105">
        <f>Q482+S483+T483+U483</f>
      </c>
      <c r="AH483" s="105">
        <f>Q483+R483+X483</f>
      </c>
      <c r="AI483" s="60">
        <f>AH483-AG483</f>
      </c>
      <c r="AJ483" s="3"/>
      <c r="AK483" s="3"/>
    </row>
    <row x14ac:dyDescent="0.25" r="484" customHeight="1" ht="18.75">
      <c r="A484" s="3"/>
      <c r="B484" s="71"/>
      <c r="C484" s="3"/>
      <c r="D484" s="3"/>
      <c r="E484" s="3"/>
      <c r="F484" s="3"/>
      <c r="G484" s="59">
        <f>H484-DATE(YEAR(H484),1,0)+1</f>
      </c>
      <c r="H484" s="79">
        <f>H483+1</f>
        <v>25569.5</v>
      </c>
      <c r="I484" s="80">
        <f>HLOOKUP($H$4,'Met Data'!$A$2:$F$368,G484,FALSE)</f>
      </c>
      <c r="J484" s="80">
        <f>HLOOKUP($H$4,'Met Data'!$H$2:$M$368,G484,FALSE)*L484</f>
      </c>
      <c r="K484" s="81">
        <f>HLOOKUP($H$4,'Met Data'!$O$2:$T$368,G484,FALSE)</f>
      </c>
      <c r="L484" s="7">
        <f>IF(H484&lt;$B$31,$J$3,$J$4)</f>
      </c>
      <c r="M484" s="3"/>
      <c r="N484" s="82">
        <f>IF(P484&lt;$P$3,TRUE,FALSE)</f>
      </c>
      <c r="O484" s="82">
        <f>AND(IF(P484&gt;($P$2-1),TRUE,FALSE),IF(P484&lt;($P$3+1),TRUE,FALSE))</f>
      </c>
      <c r="P484" s="83" t="s">
        <v>374</v>
      </c>
      <c r="Q484" s="13" t="s">
        <v>374</v>
      </c>
      <c r="R484" s="13" t="s">
        <v>374</v>
      </c>
      <c r="S484" s="13" t="s">
        <v>374</v>
      </c>
      <c r="T484" s="13" t="s">
        <v>374</v>
      </c>
      <c r="U484" s="12" t="s">
        <v>374</v>
      </c>
      <c r="V484" s="13" t="s">
        <v>374</v>
      </c>
      <c r="W484" s="13" t="s">
        <v>374</v>
      </c>
      <c r="X484" s="12" t="s">
        <v>374</v>
      </c>
      <c r="Y484" s="13" t="s">
        <v>374</v>
      </c>
      <c r="Z484" s="12" t="s">
        <v>374</v>
      </c>
      <c r="AA484" s="12" t="s">
        <v>374</v>
      </c>
      <c r="AB484" s="13" t="s">
        <v>374</v>
      </c>
      <c r="AC484" s="42"/>
      <c r="AD484" s="83">
        <f>IFERROR(P484,$AD$4)</f>
        <v>25569.5</v>
      </c>
      <c r="AE484" s="7">
        <f>IFERROR(U484,0)</f>
      </c>
      <c r="AF484" s="3"/>
      <c r="AG484" s="105">
        <f>Q483+S484+T484+U484</f>
      </c>
      <c r="AH484" s="105">
        <f>Q484+R484+X484</f>
      </c>
      <c r="AI484" s="60">
        <f>AH484-AG484</f>
      </c>
      <c r="AJ484" s="3"/>
      <c r="AK484" s="3"/>
    </row>
    <row x14ac:dyDescent="0.25" r="485" customHeight="1" ht="18.75">
      <c r="A485" s="3"/>
      <c r="B485" s="71"/>
      <c r="C485" s="3"/>
      <c r="D485" s="3"/>
      <c r="E485" s="3"/>
      <c r="F485" s="3"/>
      <c r="G485" s="59">
        <f>H485-DATE(YEAR(H485),1,0)+1</f>
      </c>
      <c r="H485" s="79">
        <f>H484+1</f>
        <v>25569.5</v>
      </c>
      <c r="I485" s="80">
        <f>HLOOKUP($H$4,'Met Data'!$A$2:$F$368,G485,FALSE)</f>
      </c>
      <c r="J485" s="80">
        <f>HLOOKUP($H$4,'Met Data'!$H$2:$M$368,G485,FALSE)*L485</f>
      </c>
      <c r="K485" s="81">
        <f>HLOOKUP($H$4,'Met Data'!$O$2:$T$368,G485,FALSE)</f>
      </c>
      <c r="L485" s="7">
        <f>IF(H485&lt;$B$31,$J$3,$J$4)</f>
      </c>
      <c r="M485" s="3"/>
      <c r="N485" s="82">
        <f>IF(P485&lt;$P$3,TRUE,FALSE)</f>
      </c>
      <c r="O485" s="82">
        <f>AND(IF(P485&gt;($P$2-1),TRUE,FALSE),IF(P485&lt;($P$3+1),TRUE,FALSE))</f>
      </c>
      <c r="P485" s="83" t="s">
        <v>374</v>
      </c>
      <c r="Q485" s="13" t="s">
        <v>374</v>
      </c>
      <c r="R485" s="13" t="s">
        <v>374</v>
      </c>
      <c r="S485" s="13" t="s">
        <v>374</v>
      </c>
      <c r="T485" s="13" t="s">
        <v>374</v>
      </c>
      <c r="U485" s="12" t="s">
        <v>374</v>
      </c>
      <c r="V485" s="13" t="s">
        <v>374</v>
      </c>
      <c r="W485" s="13" t="s">
        <v>374</v>
      </c>
      <c r="X485" s="12" t="s">
        <v>374</v>
      </c>
      <c r="Y485" s="13" t="s">
        <v>374</v>
      </c>
      <c r="Z485" s="12" t="s">
        <v>374</v>
      </c>
      <c r="AA485" s="12" t="s">
        <v>374</v>
      </c>
      <c r="AB485" s="13" t="s">
        <v>374</v>
      </c>
      <c r="AC485" s="42"/>
      <c r="AD485" s="83">
        <f>IFERROR(P485,$AD$4)</f>
        <v>25569.5</v>
      </c>
      <c r="AE485" s="7">
        <f>IFERROR(U485,0)</f>
      </c>
      <c r="AF485" s="3"/>
      <c r="AG485" s="105">
        <f>Q484+S485+T485+U485</f>
      </c>
      <c r="AH485" s="105">
        <f>Q485+R485+X485</f>
      </c>
      <c r="AI485" s="60">
        <f>AH485-AG485</f>
      </c>
      <c r="AJ485" s="3"/>
      <c r="AK485" s="3"/>
    </row>
    <row x14ac:dyDescent="0.25" r="486" customHeight="1" ht="18.75">
      <c r="A486" s="3"/>
      <c r="B486" s="71"/>
      <c r="C486" s="3"/>
      <c r="D486" s="3"/>
      <c r="E486" s="3"/>
      <c r="F486" s="3"/>
      <c r="G486" s="59">
        <f>H486-DATE(YEAR(H486),1,0)+1</f>
      </c>
      <c r="H486" s="79">
        <f>H485+1</f>
        <v>25569.5</v>
      </c>
      <c r="I486" s="80">
        <f>HLOOKUP($H$4,'Met Data'!$A$2:$F$368,G486,FALSE)</f>
      </c>
      <c r="J486" s="80">
        <f>HLOOKUP($H$4,'Met Data'!$H$2:$M$368,G486,FALSE)*L486</f>
      </c>
      <c r="K486" s="81">
        <f>HLOOKUP($H$4,'Met Data'!$O$2:$T$368,G486,FALSE)</f>
      </c>
      <c r="L486" s="7">
        <f>IF(H486&lt;$B$31,$J$3,$J$4)</f>
      </c>
      <c r="M486" s="3"/>
      <c r="N486" s="82">
        <f>IF(P486&lt;$P$3,TRUE,FALSE)</f>
      </c>
      <c r="O486" s="82">
        <f>AND(IF(P486&gt;($P$2-1),TRUE,FALSE),IF(P486&lt;($P$3+1),TRUE,FALSE))</f>
      </c>
      <c r="P486" s="83" t="s">
        <v>374</v>
      </c>
      <c r="Q486" s="13" t="s">
        <v>374</v>
      </c>
      <c r="R486" s="13" t="s">
        <v>374</v>
      </c>
      <c r="S486" s="13" t="s">
        <v>374</v>
      </c>
      <c r="T486" s="13" t="s">
        <v>374</v>
      </c>
      <c r="U486" s="12" t="s">
        <v>374</v>
      </c>
      <c r="V486" s="13" t="s">
        <v>374</v>
      </c>
      <c r="W486" s="13" t="s">
        <v>374</v>
      </c>
      <c r="X486" s="12" t="s">
        <v>374</v>
      </c>
      <c r="Y486" s="13" t="s">
        <v>374</v>
      </c>
      <c r="Z486" s="12" t="s">
        <v>374</v>
      </c>
      <c r="AA486" s="12" t="s">
        <v>374</v>
      </c>
      <c r="AB486" s="13" t="s">
        <v>374</v>
      </c>
      <c r="AC486" s="42"/>
      <c r="AD486" s="83">
        <f>IFERROR(P486,$AD$4)</f>
        <v>25569.5</v>
      </c>
      <c r="AE486" s="7">
        <f>IFERROR(U486,0)</f>
      </c>
      <c r="AF486" s="3"/>
      <c r="AG486" s="105">
        <f>Q485+S486+T486+U486</f>
      </c>
      <c r="AH486" s="105">
        <f>Q486+R486+X486</f>
      </c>
      <c r="AI486" s="60">
        <f>AH486-AG486</f>
      </c>
      <c r="AJ486" s="3"/>
      <c r="AK486" s="3"/>
    </row>
    <row x14ac:dyDescent="0.25" r="487" customHeight="1" ht="18.75">
      <c r="A487" s="3"/>
      <c r="B487" s="71"/>
      <c r="C487" s="3"/>
      <c r="D487" s="3"/>
      <c r="E487" s="3"/>
      <c r="F487" s="3"/>
      <c r="G487" s="59">
        <f>H487-DATE(YEAR(H487),1,0)+1</f>
      </c>
      <c r="H487" s="79">
        <f>H486+1</f>
        <v>25569.5</v>
      </c>
      <c r="I487" s="80">
        <f>HLOOKUP($H$4,'Met Data'!$A$2:$F$368,G487,FALSE)</f>
      </c>
      <c r="J487" s="80">
        <f>HLOOKUP($H$4,'Met Data'!$H$2:$M$368,G487,FALSE)*L487</f>
      </c>
      <c r="K487" s="81">
        <f>HLOOKUP($H$4,'Met Data'!$O$2:$T$368,G487,FALSE)</f>
      </c>
      <c r="L487" s="7">
        <f>IF(H487&lt;$B$31,$J$3,$J$4)</f>
      </c>
      <c r="M487" s="3"/>
      <c r="N487" s="82">
        <f>IF(P487&lt;$P$3,TRUE,FALSE)</f>
      </c>
      <c r="O487" s="82">
        <f>AND(IF(P487&gt;($P$2-1),TRUE,FALSE),IF(P487&lt;($P$3+1),TRUE,FALSE))</f>
      </c>
      <c r="P487" s="83" t="s">
        <v>374</v>
      </c>
      <c r="Q487" s="13" t="s">
        <v>374</v>
      </c>
      <c r="R487" s="13" t="s">
        <v>374</v>
      </c>
      <c r="S487" s="13" t="s">
        <v>374</v>
      </c>
      <c r="T487" s="13" t="s">
        <v>374</v>
      </c>
      <c r="U487" s="12" t="s">
        <v>374</v>
      </c>
      <c r="V487" s="13" t="s">
        <v>374</v>
      </c>
      <c r="W487" s="13" t="s">
        <v>374</v>
      </c>
      <c r="X487" s="12" t="s">
        <v>374</v>
      </c>
      <c r="Y487" s="13" t="s">
        <v>374</v>
      </c>
      <c r="Z487" s="12" t="s">
        <v>374</v>
      </c>
      <c r="AA487" s="12" t="s">
        <v>374</v>
      </c>
      <c r="AB487" s="13" t="s">
        <v>374</v>
      </c>
      <c r="AC487" s="42"/>
      <c r="AD487" s="83">
        <f>IFERROR(P487,$AD$4)</f>
        <v>25569.5</v>
      </c>
      <c r="AE487" s="7">
        <f>IFERROR(U487,0)</f>
      </c>
      <c r="AF487" s="3"/>
      <c r="AG487" s="105">
        <f>Q486+S487+T487+U487</f>
      </c>
      <c r="AH487" s="105">
        <f>Q487+R487+X487</f>
      </c>
      <c r="AI487" s="60">
        <f>AH487-AG487</f>
      </c>
      <c r="AJ487" s="3"/>
      <c r="AK487" s="3"/>
    </row>
    <row x14ac:dyDescent="0.25" r="488" customHeight="1" ht="18.75">
      <c r="A488" s="3"/>
      <c r="B488" s="71"/>
      <c r="C488" s="3"/>
      <c r="D488" s="3"/>
      <c r="E488" s="3"/>
      <c r="F488" s="3"/>
      <c r="G488" s="59">
        <f>H488-DATE(YEAR(H488),1,0)+1</f>
      </c>
      <c r="H488" s="79">
        <f>H487+1</f>
        <v>25569.5</v>
      </c>
      <c r="I488" s="80">
        <f>HLOOKUP($H$4,'Met Data'!$A$2:$F$368,G488,FALSE)</f>
      </c>
      <c r="J488" s="80">
        <f>HLOOKUP($H$4,'Met Data'!$H$2:$M$368,G488,FALSE)*L488</f>
      </c>
      <c r="K488" s="81">
        <f>HLOOKUP($H$4,'Met Data'!$O$2:$T$368,G488,FALSE)</f>
      </c>
      <c r="L488" s="7">
        <f>IF(H488&lt;$B$31,$J$3,$J$4)</f>
      </c>
      <c r="M488" s="3"/>
      <c r="N488" s="82">
        <f>IF(P488&lt;$P$3,TRUE,FALSE)</f>
      </c>
      <c r="O488" s="82">
        <f>AND(IF(P488&gt;($P$2-1),TRUE,FALSE),IF(P488&lt;($P$3+1),TRUE,FALSE))</f>
      </c>
      <c r="P488" s="83" t="s">
        <v>374</v>
      </c>
      <c r="Q488" s="13" t="s">
        <v>374</v>
      </c>
      <c r="R488" s="13" t="s">
        <v>374</v>
      </c>
      <c r="S488" s="13" t="s">
        <v>374</v>
      </c>
      <c r="T488" s="13" t="s">
        <v>374</v>
      </c>
      <c r="U488" s="12" t="s">
        <v>374</v>
      </c>
      <c r="V488" s="13" t="s">
        <v>374</v>
      </c>
      <c r="W488" s="13" t="s">
        <v>374</v>
      </c>
      <c r="X488" s="12" t="s">
        <v>374</v>
      </c>
      <c r="Y488" s="13" t="s">
        <v>374</v>
      </c>
      <c r="Z488" s="12" t="s">
        <v>374</v>
      </c>
      <c r="AA488" s="12" t="s">
        <v>374</v>
      </c>
      <c r="AB488" s="13" t="s">
        <v>374</v>
      </c>
      <c r="AC488" s="42"/>
      <c r="AD488" s="83">
        <f>IFERROR(P488,$AD$4)</f>
        <v>25569.5</v>
      </c>
      <c r="AE488" s="7">
        <f>IFERROR(U488,0)</f>
      </c>
      <c r="AF488" s="3"/>
      <c r="AG488" s="105">
        <f>Q487+S488+T488+U488</f>
      </c>
      <c r="AH488" s="105">
        <f>Q488+R488+X488</f>
      </c>
      <c r="AI488" s="60">
        <f>AH488-AG488</f>
      </c>
      <c r="AJ488" s="3"/>
      <c r="AK488" s="3"/>
    </row>
    <row x14ac:dyDescent="0.25" r="489" customHeight="1" ht="18.75">
      <c r="A489" s="3"/>
      <c r="B489" s="71"/>
      <c r="C489" s="3"/>
      <c r="D489" s="3"/>
      <c r="E489" s="3"/>
      <c r="F489" s="3"/>
      <c r="G489" s="59">
        <f>H489-DATE(YEAR(H489),1,0)+1</f>
      </c>
      <c r="H489" s="79">
        <f>H488+1</f>
        <v>25569.5</v>
      </c>
      <c r="I489" s="80">
        <f>HLOOKUP($H$4,'Met Data'!$A$2:$F$368,G489,FALSE)</f>
      </c>
      <c r="J489" s="80">
        <f>HLOOKUP($H$4,'Met Data'!$H$2:$M$368,G489,FALSE)*L489</f>
      </c>
      <c r="K489" s="81">
        <f>HLOOKUP($H$4,'Met Data'!$O$2:$T$368,G489,FALSE)</f>
      </c>
      <c r="L489" s="7">
        <f>IF(H489&lt;$B$31,$J$3,$J$4)</f>
      </c>
      <c r="M489" s="3"/>
      <c r="N489" s="82">
        <f>IF(P489&lt;$P$3,TRUE,FALSE)</f>
      </c>
      <c r="O489" s="82">
        <f>AND(IF(P489&gt;($P$2-1),TRUE,FALSE),IF(P489&lt;($P$3+1),TRUE,FALSE))</f>
      </c>
      <c r="P489" s="83" t="s">
        <v>374</v>
      </c>
      <c r="Q489" s="13" t="s">
        <v>374</v>
      </c>
      <c r="R489" s="13" t="s">
        <v>374</v>
      </c>
      <c r="S489" s="13" t="s">
        <v>374</v>
      </c>
      <c r="T489" s="13" t="s">
        <v>374</v>
      </c>
      <c r="U489" s="12" t="s">
        <v>374</v>
      </c>
      <c r="V489" s="13" t="s">
        <v>374</v>
      </c>
      <c r="W489" s="13" t="s">
        <v>374</v>
      </c>
      <c r="X489" s="12" t="s">
        <v>374</v>
      </c>
      <c r="Y489" s="13" t="s">
        <v>374</v>
      </c>
      <c r="Z489" s="12" t="s">
        <v>374</v>
      </c>
      <c r="AA489" s="12" t="s">
        <v>374</v>
      </c>
      <c r="AB489" s="13" t="s">
        <v>374</v>
      </c>
      <c r="AC489" s="42"/>
      <c r="AD489" s="83">
        <f>IFERROR(P489,$AD$4)</f>
        <v>25569.5</v>
      </c>
      <c r="AE489" s="7">
        <f>IFERROR(U489,0)</f>
      </c>
      <c r="AF489" s="3"/>
      <c r="AG489" s="105">
        <f>Q488+S489+T489+U489</f>
      </c>
      <c r="AH489" s="105">
        <f>Q489+R489+X489</f>
      </c>
      <c r="AI489" s="60">
        <f>AH489-AG489</f>
      </c>
      <c r="AJ489" s="3"/>
      <c r="AK489" s="3"/>
    </row>
    <row x14ac:dyDescent="0.25" r="490" customHeight="1" ht="18.75">
      <c r="A490" s="3"/>
      <c r="B490" s="71"/>
      <c r="C490" s="3"/>
      <c r="D490" s="3"/>
      <c r="E490" s="3"/>
      <c r="F490" s="3"/>
      <c r="G490" s="59">
        <f>H490-DATE(YEAR(H490),1,0)+1</f>
      </c>
      <c r="H490" s="79">
        <f>H489+1</f>
        <v>25569.5</v>
      </c>
      <c r="I490" s="80">
        <f>HLOOKUP($H$4,'Met Data'!$A$2:$F$368,G490,FALSE)</f>
      </c>
      <c r="J490" s="80">
        <f>HLOOKUP($H$4,'Met Data'!$H$2:$M$368,G490,FALSE)*L490</f>
      </c>
      <c r="K490" s="81">
        <f>HLOOKUP($H$4,'Met Data'!$O$2:$T$368,G490,FALSE)</f>
      </c>
      <c r="L490" s="7">
        <f>IF(H490&lt;$B$31,$J$3,$J$4)</f>
      </c>
      <c r="M490" s="3"/>
      <c r="N490" s="82">
        <f>IF(P490&lt;$P$3,TRUE,FALSE)</f>
      </c>
      <c r="O490" s="82">
        <f>AND(IF(P490&gt;($P$2-1),TRUE,FALSE),IF(P490&lt;($P$3+1),TRUE,FALSE))</f>
      </c>
      <c r="P490" s="83" t="s">
        <v>374</v>
      </c>
      <c r="Q490" s="13" t="s">
        <v>374</v>
      </c>
      <c r="R490" s="13" t="s">
        <v>374</v>
      </c>
      <c r="S490" s="13" t="s">
        <v>374</v>
      </c>
      <c r="T490" s="13" t="s">
        <v>374</v>
      </c>
      <c r="U490" s="12" t="s">
        <v>374</v>
      </c>
      <c r="V490" s="13" t="s">
        <v>374</v>
      </c>
      <c r="W490" s="13" t="s">
        <v>374</v>
      </c>
      <c r="X490" s="12" t="s">
        <v>374</v>
      </c>
      <c r="Y490" s="13" t="s">
        <v>374</v>
      </c>
      <c r="Z490" s="12" t="s">
        <v>374</v>
      </c>
      <c r="AA490" s="12" t="s">
        <v>374</v>
      </c>
      <c r="AB490" s="13" t="s">
        <v>374</v>
      </c>
      <c r="AC490" s="42"/>
      <c r="AD490" s="83">
        <f>IFERROR(P490,$AD$4)</f>
        <v>25569.5</v>
      </c>
      <c r="AE490" s="7">
        <f>IFERROR(U490,0)</f>
      </c>
      <c r="AF490" s="3"/>
      <c r="AG490" s="105">
        <f>Q489+S490+T490+U490</f>
      </c>
      <c r="AH490" s="105">
        <f>Q490+R490+X490</f>
      </c>
      <c r="AI490" s="60">
        <f>AH490-AG490</f>
      </c>
      <c r="AJ490" s="3"/>
      <c r="AK490" s="3"/>
    </row>
    <row x14ac:dyDescent="0.25" r="491" customHeight="1" ht="18.75">
      <c r="A491" s="3"/>
      <c r="B491" s="71"/>
      <c r="C491" s="3"/>
      <c r="D491" s="3"/>
      <c r="E491" s="3"/>
      <c r="F491" s="3"/>
      <c r="G491" s="59">
        <f>H491-DATE(YEAR(H491),1,0)+1</f>
      </c>
      <c r="H491" s="79">
        <f>H490+1</f>
        <v>25569.5</v>
      </c>
      <c r="I491" s="80">
        <f>HLOOKUP($H$4,'Met Data'!$A$2:$F$368,G491,FALSE)</f>
      </c>
      <c r="J491" s="80">
        <f>HLOOKUP($H$4,'Met Data'!$H$2:$M$368,G491,FALSE)*L491</f>
      </c>
      <c r="K491" s="81">
        <f>HLOOKUP($H$4,'Met Data'!$O$2:$T$368,G491,FALSE)</f>
      </c>
      <c r="L491" s="7">
        <f>IF(H491&lt;$B$31,$J$3,$J$4)</f>
      </c>
      <c r="M491" s="3"/>
      <c r="N491" s="82">
        <f>IF(P491&lt;$P$3,TRUE,FALSE)</f>
      </c>
      <c r="O491" s="82">
        <f>AND(IF(P491&gt;($P$2-1),TRUE,FALSE),IF(P491&lt;($P$3+1),TRUE,FALSE))</f>
      </c>
      <c r="P491" s="83" t="s">
        <v>374</v>
      </c>
      <c r="Q491" s="13" t="s">
        <v>374</v>
      </c>
      <c r="R491" s="13" t="s">
        <v>374</v>
      </c>
      <c r="S491" s="13" t="s">
        <v>374</v>
      </c>
      <c r="T491" s="13" t="s">
        <v>374</v>
      </c>
      <c r="U491" s="12" t="s">
        <v>374</v>
      </c>
      <c r="V491" s="13" t="s">
        <v>374</v>
      </c>
      <c r="W491" s="13" t="s">
        <v>374</v>
      </c>
      <c r="X491" s="12" t="s">
        <v>374</v>
      </c>
      <c r="Y491" s="13" t="s">
        <v>374</v>
      </c>
      <c r="Z491" s="12" t="s">
        <v>374</v>
      </c>
      <c r="AA491" s="12" t="s">
        <v>374</v>
      </c>
      <c r="AB491" s="13" t="s">
        <v>374</v>
      </c>
      <c r="AC491" s="42"/>
      <c r="AD491" s="83">
        <f>IFERROR(P491,$AD$4)</f>
        <v>25569.5</v>
      </c>
      <c r="AE491" s="7">
        <f>IFERROR(U491,0)</f>
      </c>
      <c r="AF491" s="3"/>
      <c r="AG491" s="105">
        <f>Q490+S491+T491+U491</f>
      </c>
      <c r="AH491" s="105">
        <f>Q491+R491+X491</f>
      </c>
      <c r="AI491" s="60">
        <f>AH491-AG491</f>
      </c>
      <c r="AJ491" s="3"/>
      <c r="AK491" s="3"/>
    </row>
    <row x14ac:dyDescent="0.25" r="492" customHeight="1" ht="18.75">
      <c r="A492" s="3"/>
      <c r="B492" s="71"/>
      <c r="C492" s="3"/>
      <c r="D492" s="3"/>
      <c r="E492" s="3"/>
      <c r="F492" s="3"/>
      <c r="G492" s="59">
        <f>H492-DATE(YEAR(H492),1,0)+1</f>
      </c>
      <c r="H492" s="79">
        <f>H491+1</f>
        <v>25569.5</v>
      </c>
      <c r="I492" s="80">
        <f>HLOOKUP($H$4,'Met Data'!$A$2:$F$368,G492,FALSE)</f>
      </c>
      <c r="J492" s="80">
        <f>HLOOKUP($H$4,'Met Data'!$H$2:$M$368,G492,FALSE)*L492</f>
      </c>
      <c r="K492" s="81">
        <f>HLOOKUP($H$4,'Met Data'!$O$2:$T$368,G492,FALSE)</f>
      </c>
      <c r="L492" s="7">
        <f>IF(H492&lt;$B$31,$J$3,$J$4)</f>
      </c>
      <c r="M492" s="3"/>
      <c r="N492" s="82">
        <f>IF(P492&lt;$P$3,TRUE,FALSE)</f>
      </c>
      <c r="O492" s="82">
        <f>AND(IF(P492&gt;($P$2-1),TRUE,FALSE),IF(P492&lt;($P$3+1),TRUE,FALSE))</f>
      </c>
      <c r="P492" s="83" t="s">
        <v>374</v>
      </c>
      <c r="Q492" s="13" t="s">
        <v>374</v>
      </c>
      <c r="R492" s="13" t="s">
        <v>374</v>
      </c>
      <c r="S492" s="13" t="s">
        <v>374</v>
      </c>
      <c r="T492" s="13" t="s">
        <v>374</v>
      </c>
      <c r="U492" s="12" t="s">
        <v>374</v>
      </c>
      <c r="V492" s="13" t="s">
        <v>374</v>
      </c>
      <c r="W492" s="13" t="s">
        <v>374</v>
      </c>
      <c r="X492" s="12" t="s">
        <v>374</v>
      </c>
      <c r="Y492" s="13" t="s">
        <v>374</v>
      </c>
      <c r="Z492" s="12" t="s">
        <v>374</v>
      </c>
      <c r="AA492" s="12" t="s">
        <v>374</v>
      </c>
      <c r="AB492" s="13" t="s">
        <v>374</v>
      </c>
      <c r="AC492" s="42"/>
      <c r="AD492" s="83">
        <f>IFERROR(P492,$AD$4)</f>
        <v>25569.5</v>
      </c>
      <c r="AE492" s="7">
        <f>IFERROR(U492,0)</f>
      </c>
      <c r="AF492" s="3"/>
      <c r="AG492" s="105">
        <f>Q491+S492+T492+U492</f>
      </c>
      <c r="AH492" s="105">
        <f>Q492+R492+X492</f>
      </c>
      <c r="AI492" s="60">
        <f>AH492-AG492</f>
      </c>
      <c r="AJ492" s="3"/>
      <c r="AK492" s="3"/>
    </row>
    <row x14ac:dyDescent="0.25" r="493" customHeight="1" ht="18.75">
      <c r="A493" s="3"/>
      <c r="B493" s="71"/>
      <c r="C493" s="3"/>
      <c r="D493" s="3"/>
      <c r="E493" s="3"/>
      <c r="F493" s="3"/>
      <c r="G493" s="59">
        <f>H493-DATE(YEAR(H493),1,0)+1</f>
      </c>
      <c r="H493" s="79">
        <f>H492+1</f>
        <v>25569.5</v>
      </c>
      <c r="I493" s="80">
        <f>HLOOKUP($H$4,'Met Data'!$A$2:$F$368,G493,FALSE)</f>
      </c>
      <c r="J493" s="80">
        <f>HLOOKUP($H$4,'Met Data'!$H$2:$M$368,G493,FALSE)*L493</f>
      </c>
      <c r="K493" s="81">
        <f>HLOOKUP($H$4,'Met Data'!$O$2:$T$368,G493,FALSE)</f>
      </c>
      <c r="L493" s="7">
        <f>IF(H493&lt;$B$31,$J$3,$J$4)</f>
      </c>
      <c r="M493" s="3"/>
      <c r="N493" s="82">
        <f>IF(P493&lt;$P$3,TRUE,FALSE)</f>
      </c>
      <c r="O493" s="82">
        <f>AND(IF(P493&gt;($P$2-1),TRUE,FALSE),IF(P493&lt;($P$3+1),TRUE,FALSE))</f>
      </c>
      <c r="P493" s="83" t="s">
        <v>374</v>
      </c>
      <c r="Q493" s="13" t="s">
        <v>374</v>
      </c>
      <c r="R493" s="13" t="s">
        <v>374</v>
      </c>
      <c r="S493" s="13" t="s">
        <v>374</v>
      </c>
      <c r="T493" s="13" t="s">
        <v>374</v>
      </c>
      <c r="U493" s="12" t="s">
        <v>374</v>
      </c>
      <c r="V493" s="13" t="s">
        <v>374</v>
      </c>
      <c r="W493" s="13" t="s">
        <v>374</v>
      </c>
      <c r="X493" s="12" t="s">
        <v>374</v>
      </c>
      <c r="Y493" s="13" t="s">
        <v>374</v>
      </c>
      <c r="Z493" s="12" t="s">
        <v>374</v>
      </c>
      <c r="AA493" s="12" t="s">
        <v>374</v>
      </c>
      <c r="AB493" s="13" t="s">
        <v>374</v>
      </c>
      <c r="AC493" s="42"/>
      <c r="AD493" s="83">
        <f>IFERROR(P493,$AD$4)</f>
        <v>25569.5</v>
      </c>
      <c r="AE493" s="7">
        <f>IFERROR(U493,0)</f>
      </c>
      <c r="AF493" s="3"/>
      <c r="AG493" s="105">
        <f>Q492+S493+T493+U493</f>
      </c>
      <c r="AH493" s="105">
        <f>Q493+R493+X493</f>
      </c>
      <c r="AI493" s="60">
        <f>AH493-AG493</f>
      </c>
      <c r="AJ493" s="3"/>
      <c r="AK493" s="3"/>
    </row>
    <row x14ac:dyDescent="0.25" r="494" customHeight="1" ht="18.75">
      <c r="A494" s="3"/>
      <c r="B494" s="71"/>
      <c r="C494" s="3"/>
      <c r="D494" s="3"/>
      <c r="E494" s="3"/>
      <c r="F494" s="3"/>
      <c r="G494" s="59">
        <f>H494-DATE(YEAR(H494),1,0)+1</f>
      </c>
      <c r="H494" s="79">
        <f>H493+1</f>
        <v>25569.5</v>
      </c>
      <c r="I494" s="80">
        <f>HLOOKUP($H$4,'Met Data'!$A$2:$F$368,G494,FALSE)</f>
      </c>
      <c r="J494" s="80">
        <f>HLOOKUP($H$4,'Met Data'!$H$2:$M$368,G494,FALSE)*L494</f>
      </c>
      <c r="K494" s="81">
        <f>HLOOKUP($H$4,'Met Data'!$O$2:$T$368,G494,FALSE)</f>
      </c>
      <c r="L494" s="7">
        <f>IF(H494&lt;$B$31,$J$3,$J$4)</f>
      </c>
      <c r="M494" s="3"/>
      <c r="N494" s="82">
        <f>IF(P494&lt;$P$3,TRUE,FALSE)</f>
      </c>
      <c r="O494" s="82">
        <f>AND(IF(P494&gt;($P$2-1),TRUE,FALSE),IF(P494&lt;($P$3+1),TRUE,FALSE))</f>
      </c>
      <c r="P494" s="83" t="s">
        <v>374</v>
      </c>
      <c r="Q494" s="13" t="s">
        <v>374</v>
      </c>
      <c r="R494" s="13" t="s">
        <v>374</v>
      </c>
      <c r="S494" s="13" t="s">
        <v>374</v>
      </c>
      <c r="T494" s="13" t="s">
        <v>374</v>
      </c>
      <c r="U494" s="12" t="s">
        <v>374</v>
      </c>
      <c r="V494" s="13" t="s">
        <v>374</v>
      </c>
      <c r="W494" s="13" t="s">
        <v>374</v>
      </c>
      <c r="X494" s="12" t="s">
        <v>374</v>
      </c>
      <c r="Y494" s="13" t="s">
        <v>374</v>
      </c>
      <c r="Z494" s="12" t="s">
        <v>374</v>
      </c>
      <c r="AA494" s="12" t="s">
        <v>374</v>
      </c>
      <c r="AB494" s="13" t="s">
        <v>374</v>
      </c>
      <c r="AC494" s="42"/>
      <c r="AD494" s="83">
        <f>IFERROR(P494,$AD$4)</f>
        <v>25569.5</v>
      </c>
      <c r="AE494" s="7">
        <f>IFERROR(U494,0)</f>
      </c>
      <c r="AF494" s="3"/>
      <c r="AG494" s="105">
        <f>Q493+S494+T494+U494</f>
      </c>
      <c r="AH494" s="105">
        <f>Q494+R494+X494</f>
      </c>
      <c r="AI494" s="60">
        <f>AH494-AG494</f>
      </c>
      <c r="AJ494" s="3"/>
      <c r="AK494" s="3"/>
    </row>
    <row x14ac:dyDescent="0.25" r="495" customHeight="1" ht="18.75">
      <c r="A495" s="3"/>
      <c r="B495" s="71"/>
      <c r="C495" s="3"/>
      <c r="D495" s="3"/>
      <c r="E495" s="3"/>
      <c r="F495" s="3"/>
      <c r="G495" s="59">
        <f>H495-DATE(YEAR(H495),1,0)+1</f>
      </c>
      <c r="H495" s="106">
        <f>H494+1</f>
        <v>25569.5</v>
      </c>
      <c r="I495" s="107">
        <f>HLOOKUP($H$4,'Met Data'!$A$2:$F$368,G495,FALSE)</f>
      </c>
      <c r="J495" s="80">
        <f>HLOOKUP($H$4,'Met Data'!$H$2:$M$368,G495,FALSE)*L495</f>
      </c>
      <c r="K495" s="108">
        <f>HLOOKUP($H$4,'Met Data'!$O$2:$T$368,G495,FALSE)</f>
      </c>
      <c r="L495" s="7">
        <f>IF(H495&lt;$B$31,$J$3,$J$4)</f>
      </c>
      <c r="M495" s="3"/>
      <c r="N495" s="82">
        <f>IF(P495&lt;$P$3,TRUE,FALSE)</f>
      </c>
      <c r="O495" s="82">
        <f>AND(IF(P495&gt;($P$2-1),TRUE,FALSE),IF(P495&lt;($P$3+1),TRUE,FALSE))</f>
      </c>
      <c r="P495" s="83" t="s">
        <v>374</v>
      </c>
      <c r="Q495" s="13" t="s">
        <v>374</v>
      </c>
      <c r="R495" s="13" t="s">
        <v>374</v>
      </c>
      <c r="S495" s="13" t="s">
        <v>374</v>
      </c>
      <c r="T495" s="13" t="s">
        <v>374</v>
      </c>
      <c r="U495" s="12" t="s">
        <v>374</v>
      </c>
      <c r="V495" s="13" t="s">
        <v>374</v>
      </c>
      <c r="W495" s="13" t="s">
        <v>374</v>
      </c>
      <c r="X495" s="12" t="s">
        <v>374</v>
      </c>
      <c r="Y495" s="13" t="s">
        <v>374</v>
      </c>
      <c r="Z495" s="12" t="s">
        <v>374</v>
      </c>
      <c r="AA495" s="12" t="s">
        <v>374</v>
      </c>
      <c r="AB495" s="13" t="s">
        <v>374</v>
      </c>
      <c r="AC495" s="42"/>
      <c r="AD495" s="83">
        <f>IFERROR(P495,$AD$4)</f>
        <v>25569.5</v>
      </c>
      <c r="AE495" s="7">
        <f>IFERROR(U495,0)</f>
      </c>
      <c r="AF495" s="3"/>
      <c r="AG495" s="105">
        <f>Q494+S495+T495+U495</f>
      </c>
      <c r="AH495" s="105">
        <f>Q495+R495+X495</f>
      </c>
      <c r="AI495" s="60">
        <f>AH495-AG495</f>
      </c>
      <c r="AJ495" s="3"/>
      <c r="AK495" s="3"/>
    </row>
  </sheetData>
  <mergeCells count="2">
    <mergeCell ref="A1:B1"/>
    <mergeCell ref="D11:E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A38"/>
  <sheetViews>
    <sheetView workbookViewId="0"/>
  </sheetViews>
  <sheetFormatPr defaultRowHeight="15" x14ac:dyDescent="0.25"/>
  <cols>
    <col min="1" max="1" style="11" width="15.147857142857141" customWidth="1" bestFit="1"/>
    <col min="2" max="2" style="11" width="18.862142857142857" customWidth="1" bestFit="1"/>
    <col min="3" max="3" style="11" width="16.290714285714284" customWidth="1" bestFit="1"/>
    <col min="4" max="4" style="11" width="5.576428571428571" customWidth="1" bestFit="1"/>
    <col min="5" max="5" style="11" width="7.2907142857142855" customWidth="1" bestFit="1"/>
    <col min="6" max="6" style="11" width="5.862142857142857" customWidth="1" bestFit="1"/>
    <col min="7" max="7" style="38" width="14.005" customWidth="1" bestFit="1"/>
    <col min="8" max="8" style="11" width="5.433571428571429" customWidth="1" bestFit="1"/>
    <col min="9" max="9" style="11" width="10.147857142857141" customWidth="1" bestFit="1"/>
    <col min="10" max="10" style="11" width="7.2907142857142855" customWidth="1" bestFit="1"/>
    <col min="11" max="11" style="11" width="11.290714285714287" customWidth="1" bestFit="1"/>
    <col min="12" max="12" style="11" width="15.576428571428572" customWidth="1" bestFit="1"/>
    <col min="13" max="13" style="11" width="13.576428571428572" customWidth="1" bestFit="1"/>
    <col min="14" max="14" style="11" width="13.576428571428572" customWidth="1" bestFit="1"/>
    <col min="15" max="15" style="11" width="13.576428571428572" customWidth="1" bestFit="1"/>
    <col min="16" max="16" style="11" width="13.576428571428572" customWidth="1" bestFit="1"/>
    <col min="17" max="17" style="11" width="13.576428571428572" customWidth="1" bestFit="1"/>
    <col min="18" max="18" style="11" width="13.576428571428572" customWidth="1" bestFit="1"/>
    <col min="19" max="19" style="14" width="13.576428571428572" customWidth="1" bestFit="1"/>
    <col min="20" max="20" style="11" width="13.862142857142858" customWidth="1" bestFit="1"/>
    <col min="21" max="21" style="11" width="13.576428571428572" customWidth="1" bestFit="1"/>
    <col min="22" max="22" style="14" width="13.576428571428572" customWidth="1" bestFit="1"/>
    <col min="23" max="23" style="11" width="13.576428571428572" customWidth="1" bestFit="1"/>
    <col min="24" max="24" style="11" width="13.576428571428572" customWidth="1" bestFit="1"/>
    <col min="25" max="25" style="11" width="13.576428571428572" customWidth="1" bestFit="1"/>
    <col min="26" max="26" style="11" width="13.576428571428572" customWidth="1" bestFit="1"/>
    <col min="27" max="27" style="15" width="13.576428571428572" customWidth="1" bestFit="1"/>
    <col min="28" max="28" style="11" width="13.576428571428572" customWidth="1" bestFit="1"/>
    <col min="29" max="29" style="11" width="13.576428571428572" customWidth="1" bestFit="1"/>
    <col min="30" max="30" style="11" width="13.576428571428572" customWidth="1" bestFit="1"/>
    <col min="31" max="31" style="11" width="13.576428571428572" customWidth="1" bestFit="1"/>
    <col min="32" max="32" style="14" width="13.576428571428572" customWidth="1" bestFit="1"/>
    <col min="33" max="33" style="11" width="13.576428571428572" customWidth="1" bestFit="1"/>
    <col min="34" max="34" style="11" width="13.576428571428572" customWidth="1" bestFit="1"/>
    <col min="35" max="35" style="15" width="13.576428571428572" customWidth="1" bestFit="1"/>
    <col min="36" max="36" style="15" width="13.576428571428572" customWidth="1" bestFit="1"/>
    <col min="37" max="37" style="11" width="13.576428571428572" customWidth="1" bestFit="1"/>
    <col min="38" max="38" style="11" width="13.576428571428572" customWidth="1" bestFit="1"/>
    <col min="39" max="39" style="11" width="13.576428571428572" customWidth="1" bestFit="1"/>
    <col min="40" max="40" style="11" width="13.576428571428572" customWidth="1" bestFit="1"/>
    <col min="41" max="41" style="11" width="13.576428571428572" customWidth="1" bestFit="1"/>
    <col min="42" max="42" style="11" width="13.576428571428572" customWidth="1" bestFit="1"/>
    <col min="43" max="43" style="11" width="13.576428571428572" customWidth="1" bestFit="1"/>
    <col min="44" max="44" style="11" width="13.576428571428572" customWidth="1" bestFit="1"/>
    <col min="45" max="45" style="11" width="13.576428571428572" customWidth="1" bestFit="1"/>
    <col min="46" max="46" style="11" width="13.576428571428572" customWidth="1" bestFit="1"/>
    <col min="47" max="47" style="11" width="13.576428571428572" customWidth="1" bestFit="1"/>
    <col min="48" max="48" style="11" width="13.576428571428572" customWidth="1" bestFit="1"/>
    <col min="49" max="49" style="11" width="13.576428571428572" customWidth="1" bestFit="1"/>
    <col min="50" max="50" style="11" width="13.576428571428572" customWidth="1" bestFit="1"/>
    <col min="51" max="51" style="11" width="13.576428571428572" customWidth="1" bestFit="1"/>
    <col min="52" max="52" style="11" width="13.576428571428572" customWidth="1" bestFit="1"/>
    <col min="53" max="53" style="11" width="13.576428571428572" customWidth="1" bestFit="1"/>
  </cols>
  <sheetData>
    <row x14ac:dyDescent="0.25" r="1" customHeight="1" ht="18.75">
      <c r="A1" s="16" t="s">
        <v>108</v>
      </c>
      <c r="B1" s="17" t="s">
        <v>102</v>
      </c>
      <c r="C1" s="17" t="s">
        <v>174</v>
      </c>
      <c r="D1" s="17" t="s">
        <v>367</v>
      </c>
      <c r="E1" s="17" t="s">
        <v>286</v>
      </c>
      <c r="F1" s="17" t="s">
        <v>375</v>
      </c>
      <c r="G1" s="17" t="s">
        <v>276</v>
      </c>
      <c r="H1" s="17" t="s">
        <v>141</v>
      </c>
      <c r="I1" s="17" t="s">
        <v>209</v>
      </c>
      <c r="J1" s="17" t="s">
        <v>271</v>
      </c>
      <c r="K1" s="17" t="s">
        <v>260</v>
      </c>
      <c r="L1" s="17" t="s">
        <v>150</v>
      </c>
      <c r="M1" s="17" t="s">
        <v>295</v>
      </c>
      <c r="N1" s="17" t="s">
        <v>204</v>
      </c>
      <c r="O1" s="17" t="s">
        <v>305</v>
      </c>
      <c r="P1" s="17" t="s">
        <v>59</v>
      </c>
      <c r="Q1" s="17" t="s">
        <v>256</v>
      </c>
      <c r="R1" s="17" t="s">
        <v>143</v>
      </c>
      <c r="S1" s="18" t="s">
        <v>83</v>
      </c>
      <c r="T1" s="17" t="s">
        <v>332</v>
      </c>
      <c r="U1" s="17" t="s">
        <v>233</v>
      </c>
      <c r="V1" s="18" t="s">
        <v>163</v>
      </c>
      <c r="W1" s="17" t="s">
        <v>338</v>
      </c>
      <c r="X1" s="17" t="s">
        <v>168</v>
      </c>
      <c r="Y1" s="17" t="s">
        <v>376</v>
      </c>
      <c r="Z1" s="17" t="s">
        <v>129</v>
      </c>
      <c r="AA1" s="19" t="s">
        <v>377</v>
      </c>
      <c r="AB1" s="17" t="s">
        <v>44</v>
      </c>
      <c r="AC1" s="17" t="s">
        <v>242</v>
      </c>
      <c r="AD1" s="17" t="s">
        <v>198</v>
      </c>
      <c r="AE1" s="17" t="s">
        <v>346</v>
      </c>
      <c r="AF1" s="18" t="s">
        <v>178</v>
      </c>
      <c r="AG1" s="17" t="s">
        <v>378</v>
      </c>
      <c r="AH1" s="17" t="s">
        <v>358</v>
      </c>
      <c r="AI1" s="19" t="s">
        <v>325</v>
      </c>
      <c r="AJ1" s="19" t="s">
        <v>219</v>
      </c>
      <c r="AK1" s="17" t="s">
        <v>77</v>
      </c>
      <c r="AL1" s="17" t="s">
        <v>190</v>
      </c>
      <c r="AM1" s="17" t="s">
        <v>316</v>
      </c>
      <c r="AN1" s="17" t="s">
        <v>114</v>
      </c>
      <c r="AO1" s="17" t="s">
        <v>215</v>
      </c>
      <c r="AP1" s="17" t="s">
        <v>265</v>
      </c>
      <c r="AQ1" s="17" t="s">
        <v>362</v>
      </c>
      <c r="AR1" s="17" t="s">
        <v>252</v>
      </c>
      <c r="AS1" s="17" t="s">
        <v>320</v>
      </c>
      <c r="AT1" s="17" t="s">
        <v>156</v>
      </c>
      <c r="AU1" s="17" t="s">
        <v>67</v>
      </c>
      <c r="AV1" s="17" t="s">
        <v>372</v>
      </c>
      <c r="AW1" s="17" t="s">
        <v>352</v>
      </c>
      <c r="AX1" s="17" t="s">
        <v>126</v>
      </c>
      <c r="AY1" s="17" t="s">
        <v>379</v>
      </c>
      <c r="AZ1" s="20" t="s">
        <v>89</v>
      </c>
      <c r="BA1" s="21"/>
    </row>
    <row x14ac:dyDescent="0.25" r="2" customHeight="1" ht="18.75">
      <c r="A2" s="22" t="s">
        <v>45</v>
      </c>
      <c r="B2" s="3" t="s">
        <v>45</v>
      </c>
      <c r="C2" s="3" t="s">
        <v>45</v>
      </c>
      <c r="D2" s="3" t="s">
        <v>45</v>
      </c>
      <c r="E2" s="3" t="s">
        <v>287</v>
      </c>
      <c r="F2" s="3" t="s">
        <v>45</v>
      </c>
      <c r="G2" s="23" t="s">
        <v>45</v>
      </c>
      <c r="H2" s="3" t="s">
        <v>45</v>
      </c>
      <c r="I2" s="3" t="s">
        <v>45</v>
      </c>
      <c r="J2" s="3" t="s">
        <v>45</v>
      </c>
      <c r="K2" s="3" t="s">
        <v>45</v>
      </c>
      <c r="L2" s="3" t="s">
        <v>45</v>
      </c>
      <c r="M2" s="3" t="s">
        <v>45</v>
      </c>
      <c r="N2" s="3" t="s">
        <v>45</v>
      </c>
      <c r="O2" s="3" t="s">
        <v>45</v>
      </c>
      <c r="P2" s="3" t="s">
        <v>45</v>
      </c>
      <c r="Q2" s="3" t="s">
        <v>45</v>
      </c>
      <c r="R2" s="3" t="s">
        <v>45</v>
      </c>
      <c r="S2" s="12" t="s">
        <v>45</v>
      </c>
      <c r="T2" s="3" t="s">
        <v>45</v>
      </c>
      <c r="U2" s="3" t="s">
        <v>45</v>
      </c>
      <c r="V2" s="12" t="s">
        <v>45</v>
      </c>
      <c r="W2" s="3" t="s">
        <v>339</v>
      </c>
      <c r="X2" s="3" t="s">
        <v>45</v>
      </c>
      <c r="Y2" s="3" t="s">
        <v>45</v>
      </c>
      <c r="Z2" s="3" t="s">
        <v>45</v>
      </c>
      <c r="AA2" s="13" t="s">
        <v>45</v>
      </c>
      <c r="AB2" s="3" t="s">
        <v>45</v>
      </c>
      <c r="AC2" s="3" t="s">
        <v>243</v>
      </c>
      <c r="AD2" s="3" t="s">
        <v>45</v>
      </c>
      <c r="AE2" s="3" t="s">
        <v>45</v>
      </c>
      <c r="AF2" s="12" t="s">
        <v>45</v>
      </c>
      <c r="AG2" s="3" t="s">
        <v>45</v>
      </c>
      <c r="AH2" s="3" t="s">
        <v>45</v>
      </c>
      <c r="AI2" s="13" t="s">
        <v>45</v>
      </c>
      <c r="AJ2" s="13" t="s">
        <v>220</v>
      </c>
      <c r="AK2" s="3" t="s">
        <v>45</v>
      </c>
      <c r="AL2" s="3" t="s">
        <v>45</v>
      </c>
      <c r="AM2" s="3" t="s">
        <v>45</v>
      </c>
      <c r="AN2" s="3" t="s">
        <v>45</v>
      </c>
      <c r="AO2" s="3" t="s">
        <v>45</v>
      </c>
      <c r="AP2" s="3" t="s">
        <v>45</v>
      </c>
      <c r="AQ2" s="3" t="s">
        <v>45</v>
      </c>
      <c r="AR2" s="3" t="s">
        <v>45</v>
      </c>
      <c r="AS2" s="3" t="s">
        <v>45</v>
      </c>
      <c r="AT2" s="3" t="s">
        <v>45</v>
      </c>
      <c r="AU2" s="3" t="s">
        <v>45</v>
      </c>
      <c r="AV2" s="3" t="s">
        <v>45</v>
      </c>
      <c r="AW2" s="3" t="s">
        <v>45</v>
      </c>
      <c r="AX2" s="3" t="s">
        <v>45</v>
      </c>
      <c r="AY2" s="3" t="s">
        <v>45</v>
      </c>
      <c r="AZ2" s="24" t="s">
        <v>58</v>
      </c>
      <c r="BA2" s="3"/>
    </row>
    <row x14ac:dyDescent="0.25" r="3" customHeight="1" ht="18.75">
      <c r="A3" s="22"/>
      <c r="B3" s="3"/>
      <c r="C3" s="3"/>
      <c r="D3" s="3"/>
      <c r="E3" s="3" t="s">
        <v>380</v>
      </c>
      <c r="F3" s="3"/>
      <c r="G3" s="2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12"/>
      <c r="T3" s="3"/>
      <c r="U3" s="3"/>
      <c r="V3" s="12"/>
      <c r="W3" s="3" t="s">
        <v>343</v>
      </c>
      <c r="X3" s="3"/>
      <c r="Y3" s="3"/>
      <c r="Z3" s="3"/>
      <c r="AA3" s="13"/>
      <c r="AB3" s="3"/>
      <c r="AC3" s="3" t="s">
        <v>247</v>
      </c>
      <c r="AD3" s="3"/>
      <c r="AE3" s="3"/>
      <c r="AF3" s="12"/>
      <c r="AG3" s="3"/>
      <c r="AH3" s="3"/>
      <c r="AI3" s="13"/>
      <c r="AJ3" s="1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24" t="s">
        <v>95</v>
      </c>
      <c r="BA3" s="3"/>
    </row>
    <row x14ac:dyDescent="0.25" r="4" customHeight="1" ht="18.75">
      <c r="A4" s="22"/>
      <c r="B4" s="3"/>
      <c r="C4" s="3"/>
      <c r="D4" s="3"/>
      <c r="E4" s="3"/>
      <c r="F4" s="3"/>
      <c r="G4" s="2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12"/>
      <c r="T4" s="3"/>
      <c r="U4" s="3"/>
      <c r="V4" s="12"/>
      <c r="W4" s="3"/>
      <c r="X4" s="3"/>
      <c r="Y4" s="3"/>
      <c r="Z4" s="3"/>
      <c r="AA4" s="13"/>
      <c r="AB4" s="3"/>
      <c r="AC4" s="3" t="s">
        <v>249</v>
      </c>
      <c r="AD4" s="3"/>
      <c r="AE4" s="3"/>
      <c r="AF4" s="12"/>
      <c r="AG4" s="3"/>
      <c r="AH4" s="3"/>
      <c r="AI4" s="13"/>
      <c r="AJ4" s="1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24"/>
      <c r="BA4" s="3"/>
    </row>
    <row x14ac:dyDescent="0.25" r="5" customHeight="1" ht="18.75">
      <c r="A5" s="25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7"/>
      <c r="T5" s="26"/>
      <c r="U5" s="26"/>
      <c r="V5" s="27"/>
      <c r="W5" s="26"/>
      <c r="X5" s="26"/>
      <c r="Y5" s="26"/>
      <c r="Z5" s="26"/>
      <c r="AA5" s="28"/>
      <c r="AB5" s="26"/>
      <c r="AC5" s="26"/>
      <c r="AD5" s="26"/>
      <c r="AE5" s="26"/>
      <c r="AF5" s="27"/>
      <c r="AG5" s="26"/>
      <c r="AH5" s="26"/>
      <c r="AI5" s="28"/>
      <c r="AJ5" s="28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9"/>
      <c r="BA5" s="3"/>
    </row>
    <row x14ac:dyDescent="0.25" r="6" customHeight="1" ht="18.75">
      <c r="A6" s="3"/>
      <c r="B6" s="3"/>
      <c r="C6" s="3"/>
      <c r="D6" s="3"/>
      <c r="E6" s="3"/>
      <c r="F6" s="3"/>
      <c r="G6" s="2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3"/>
      <c r="U6" s="3"/>
      <c r="V6" s="12"/>
      <c r="W6" s="3"/>
      <c r="X6" s="3"/>
      <c r="Y6" s="3"/>
      <c r="Z6" s="3"/>
      <c r="AA6" s="13"/>
      <c r="AB6" s="3"/>
      <c r="AC6" s="3"/>
      <c r="AD6" s="3"/>
      <c r="AE6" s="3"/>
      <c r="AF6" s="12"/>
      <c r="AG6" s="3"/>
      <c r="AH6" s="3"/>
      <c r="AI6" s="13" t="s">
        <v>381</v>
      </c>
      <c r="AJ6" s="13" t="s">
        <v>382</v>
      </c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</row>
    <row x14ac:dyDescent="0.25" r="7" customHeight="1" ht="18.75">
      <c r="A7" s="30" t="s">
        <v>58</v>
      </c>
      <c r="B7" s="31" t="s">
        <v>383</v>
      </c>
      <c r="C7" s="31" t="s">
        <v>42</v>
      </c>
      <c r="D7" s="31" t="s">
        <v>134</v>
      </c>
      <c r="E7" s="31" t="s">
        <v>384</v>
      </c>
      <c r="F7" s="31" t="s">
        <v>50</v>
      </c>
      <c r="G7" s="32" t="s">
        <v>231</v>
      </c>
      <c r="H7" s="3"/>
      <c r="I7" s="3"/>
      <c r="J7" s="16" t="s">
        <v>385</v>
      </c>
      <c r="K7" s="3"/>
      <c r="L7" s="33" t="s">
        <v>386</v>
      </c>
      <c r="M7" s="3"/>
      <c r="N7" s="33" t="s">
        <v>387</v>
      </c>
      <c r="O7" s="3"/>
      <c r="P7" s="33" t="s">
        <v>388</v>
      </c>
      <c r="Q7" s="3"/>
      <c r="R7" s="33" t="s">
        <v>389</v>
      </c>
      <c r="S7" s="12"/>
      <c r="T7" s="3"/>
      <c r="U7" s="33" t="s">
        <v>390</v>
      </c>
      <c r="V7" s="12"/>
      <c r="W7" s="3"/>
      <c r="X7" s="34" t="s">
        <v>391</v>
      </c>
      <c r="Y7" s="3"/>
      <c r="Z7" s="34" t="s">
        <v>392</v>
      </c>
      <c r="AA7" s="8">
        <v>1.7</v>
      </c>
      <c r="AB7" s="3"/>
      <c r="AC7" s="3" t="s">
        <v>393</v>
      </c>
      <c r="AD7" s="3"/>
      <c r="AE7" s="3" t="s">
        <v>394</v>
      </c>
      <c r="AF7" s="7">
        <v>2</v>
      </c>
      <c r="AG7" s="3"/>
      <c r="AH7" s="3" t="s">
        <v>395</v>
      </c>
      <c r="AI7" s="8">
        <v>0.7</v>
      </c>
      <c r="AJ7" s="8">
        <v>0.76</v>
      </c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</row>
    <row x14ac:dyDescent="0.25" r="8" customHeight="1" ht="18.75">
      <c r="A8" s="22" t="s">
        <v>379</v>
      </c>
      <c r="B8" s="35" t="s">
        <v>143</v>
      </c>
      <c r="C8" s="35" t="s">
        <v>108</v>
      </c>
      <c r="D8" s="35" t="s">
        <v>102</v>
      </c>
      <c r="E8" s="35" t="s">
        <v>376</v>
      </c>
      <c r="F8" s="35" t="s">
        <v>209</v>
      </c>
      <c r="G8" s="24" t="s">
        <v>174</v>
      </c>
      <c r="H8" s="3"/>
      <c r="I8" s="3"/>
      <c r="J8" s="22" t="s">
        <v>50</v>
      </c>
      <c r="K8" s="3"/>
      <c r="L8" s="36" t="s">
        <v>98</v>
      </c>
      <c r="M8" s="3"/>
      <c r="N8" s="36" t="s">
        <v>396</v>
      </c>
      <c r="O8" s="3"/>
      <c r="P8" s="36" t="s">
        <v>397</v>
      </c>
      <c r="Q8" s="3"/>
      <c r="R8" s="36" t="s">
        <v>54</v>
      </c>
      <c r="S8" s="7">
        <v>1000</v>
      </c>
      <c r="T8" s="3"/>
      <c r="U8" s="36" t="s">
        <v>398</v>
      </c>
      <c r="V8" s="7">
        <v>1</v>
      </c>
      <c r="W8" s="3"/>
      <c r="X8" s="36" t="s">
        <v>399</v>
      </c>
      <c r="Y8" s="3"/>
      <c r="Z8" s="36" t="s">
        <v>400</v>
      </c>
      <c r="AA8" s="8">
        <v>1.35</v>
      </c>
      <c r="AB8" s="3"/>
      <c r="AC8" s="3" t="s">
        <v>401</v>
      </c>
      <c r="AD8" s="3"/>
      <c r="AE8" s="3" t="s">
        <v>402</v>
      </c>
      <c r="AF8" s="7">
        <v>3</v>
      </c>
      <c r="AG8" s="3"/>
      <c r="AH8" s="3" t="s">
        <v>243</v>
      </c>
      <c r="AI8" s="8">
        <v>1.15</v>
      </c>
      <c r="AJ8" s="8">
        <v>1.22</v>
      </c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x14ac:dyDescent="0.25" r="9" customHeight="1" ht="18.75">
      <c r="A9" s="22"/>
      <c r="B9" s="3"/>
      <c r="C9" s="35" t="s">
        <v>102</v>
      </c>
      <c r="D9" s="35" t="s">
        <v>174</v>
      </c>
      <c r="E9" s="35" t="s">
        <v>377</v>
      </c>
      <c r="F9" s="35" t="s">
        <v>204</v>
      </c>
      <c r="G9" s="24" t="s">
        <v>367</v>
      </c>
      <c r="H9" s="3"/>
      <c r="I9" s="3"/>
      <c r="J9" s="25" t="s">
        <v>238</v>
      </c>
      <c r="K9" s="3"/>
      <c r="L9" s="36" t="s">
        <v>52</v>
      </c>
      <c r="M9" s="3"/>
      <c r="N9" s="36" t="s">
        <v>403</v>
      </c>
      <c r="O9" s="3"/>
      <c r="P9" s="36" t="s">
        <v>404</v>
      </c>
      <c r="Q9" s="3"/>
      <c r="R9" s="36" t="s">
        <v>405</v>
      </c>
      <c r="S9" s="7">
        <v>1</v>
      </c>
      <c r="T9" s="3"/>
      <c r="U9" s="36" t="s">
        <v>406</v>
      </c>
      <c r="V9" s="7">
        <v>2</v>
      </c>
      <c r="W9" s="3"/>
      <c r="X9" s="36" t="s">
        <v>407</v>
      </c>
      <c r="Y9" s="3"/>
      <c r="Z9" s="36" t="s">
        <v>408</v>
      </c>
      <c r="AA9" s="7">
        <v>1</v>
      </c>
      <c r="AB9" s="3"/>
      <c r="AC9" s="3"/>
      <c r="AD9" s="3"/>
      <c r="AE9" s="3"/>
      <c r="AF9" s="12"/>
      <c r="AG9" s="3"/>
      <c r="AH9" s="3" t="s">
        <v>409</v>
      </c>
      <c r="AI9" s="8">
        <v>1.15</v>
      </c>
      <c r="AJ9" s="8">
        <v>1.2</v>
      </c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</row>
    <row x14ac:dyDescent="0.25" r="10" customHeight="1" ht="18.75">
      <c r="A10" s="22"/>
      <c r="B10" s="3"/>
      <c r="C10" s="35" t="s">
        <v>59</v>
      </c>
      <c r="D10" s="35" t="s">
        <v>141</v>
      </c>
      <c r="E10" s="35" t="s">
        <v>378</v>
      </c>
      <c r="F10" s="35" t="s">
        <v>198</v>
      </c>
      <c r="G10" s="24" t="s">
        <v>286</v>
      </c>
      <c r="H10" s="3"/>
      <c r="I10" s="3"/>
      <c r="J10" s="3"/>
      <c r="K10" s="3"/>
      <c r="L10" s="36" t="s">
        <v>373</v>
      </c>
      <c r="M10" s="3"/>
      <c r="N10" s="36" t="s">
        <v>410</v>
      </c>
      <c r="O10" s="3"/>
      <c r="P10" s="37" t="s">
        <v>411</v>
      </c>
      <c r="Q10" s="3"/>
      <c r="R10" s="37" t="s">
        <v>412</v>
      </c>
      <c r="S10" s="7">
        <v>1</v>
      </c>
      <c r="T10" s="3"/>
      <c r="U10" s="37" t="s">
        <v>413</v>
      </c>
      <c r="V10" s="7">
        <v>3</v>
      </c>
      <c r="W10" s="3"/>
      <c r="X10" s="37" t="s">
        <v>414</v>
      </c>
      <c r="Y10" s="3"/>
      <c r="Z10" s="36" t="s">
        <v>56</v>
      </c>
      <c r="AA10" s="8">
        <v>0.65</v>
      </c>
      <c r="AB10" s="3"/>
      <c r="AC10" s="3"/>
      <c r="AD10" s="3"/>
      <c r="AE10" s="3"/>
      <c r="AF10" s="12"/>
      <c r="AG10" s="3"/>
      <c r="AH10" s="3" t="s">
        <v>415</v>
      </c>
      <c r="AI10" s="8">
        <v>0.8</v>
      </c>
      <c r="AJ10" s="8">
        <v>0.83</v>
      </c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</row>
    <row x14ac:dyDescent="0.25" r="11" customHeight="1" ht="18.75">
      <c r="A11" s="22"/>
      <c r="B11" s="3"/>
      <c r="C11" s="35" t="s">
        <v>83</v>
      </c>
      <c r="D11" s="35" t="s">
        <v>150</v>
      </c>
      <c r="E11" s="35" t="s">
        <v>77</v>
      </c>
      <c r="F11" s="35" t="s">
        <v>219</v>
      </c>
      <c r="G11" s="24" t="s">
        <v>375</v>
      </c>
      <c r="H11" s="3"/>
      <c r="I11" s="3"/>
      <c r="J11" s="3"/>
      <c r="K11" s="3"/>
      <c r="L11" s="36" t="s">
        <v>74</v>
      </c>
      <c r="M11" s="3"/>
      <c r="N11" s="36" t="s">
        <v>416</v>
      </c>
      <c r="O11" s="3"/>
      <c r="P11" s="3"/>
      <c r="Q11" s="3"/>
      <c r="R11" s="3"/>
      <c r="S11" s="12"/>
      <c r="T11" s="3"/>
      <c r="U11" s="3"/>
      <c r="V11" s="12"/>
      <c r="W11" s="3"/>
      <c r="X11" s="3"/>
      <c r="Y11" s="3"/>
      <c r="Z11" s="37" t="s">
        <v>417</v>
      </c>
      <c r="AA11" s="8">
        <v>0.3</v>
      </c>
      <c r="AB11" s="3"/>
      <c r="AC11" s="3"/>
      <c r="AD11" s="3"/>
      <c r="AE11" s="3"/>
      <c r="AF11" s="12"/>
      <c r="AG11" s="3"/>
      <c r="AH11" s="3" t="s">
        <v>418</v>
      </c>
      <c r="AI11" s="8">
        <v>1.17</v>
      </c>
      <c r="AJ11" s="8">
        <v>1.24</v>
      </c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</row>
    <row x14ac:dyDescent="0.25" r="12" customHeight="1" ht="18.75">
      <c r="A12" s="22"/>
      <c r="B12" s="3"/>
      <c r="C12" s="35" t="s">
        <v>129</v>
      </c>
      <c r="D12" s="35" t="s">
        <v>143</v>
      </c>
      <c r="E12" s="35" t="s">
        <v>89</v>
      </c>
      <c r="F12" s="35" t="s">
        <v>77</v>
      </c>
      <c r="G12" s="24" t="s">
        <v>276</v>
      </c>
      <c r="H12" s="3"/>
      <c r="I12" s="3"/>
      <c r="J12" s="3"/>
      <c r="K12" s="3"/>
      <c r="L12" s="36" t="s">
        <v>136</v>
      </c>
      <c r="M12" s="3"/>
      <c r="N12" s="36" t="s">
        <v>419</v>
      </c>
      <c r="O12" s="3"/>
      <c r="P12" s="3"/>
      <c r="Q12" s="3"/>
      <c r="R12" s="3"/>
      <c r="S12" s="12"/>
      <c r="T12" s="3"/>
      <c r="U12" s="3"/>
      <c r="V12" s="12"/>
      <c r="W12" s="3"/>
      <c r="X12" s="3"/>
      <c r="Y12" s="3"/>
      <c r="Z12" s="3"/>
      <c r="AA12" s="13"/>
      <c r="AB12" s="3"/>
      <c r="AC12" s="3"/>
      <c r="AD12" s="3"/>
      <c r="AE12" s="3"/>
      <c r="AF12" s="12"/>
      <c r="AG12" s="3"/>
      <c r="AH12" s="3" t="s">
        <v>420</v>
      </c>
      <c r="AI12" s="8">
        <v>1.16</v>
      </c>
      <c r="AJ12" s="8">
        <v>1.19</v>
      </c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</row>
    <row x14ac:dyDescent="0.25" r="13" customHeight="1" ht="18.75">
      <c r="A13" s="22"/>
      <c r="B13" s="3"/>
      <c r="C13" s="35" t="s">
        <v>44</v>
      </c>
      <c r="D13" s="35" t="s">
        <v>163</v>
      </c>
      <c r="E13" s="3"/>
      <c r="F13" s="35" t="s">
        <v>190</v>
      </c>
      <c r="G13" s="24" t="s">
        <v>209</v>
      </c>
      <c r="H13" s="3"/>
      <c r="I13" s="3"/>
      <c r="J13" s="3"/>
      <c r="K13" s="3"/>
      <c r="L13" s="37" t="s">
        <v>421</v>
      </c>
      <c r="M13" s="3"/>
      <c r="N13" s="37"/>
      <c r="O13" s="3"/>
      <c r="P13" s="3"/>
      <c r="Q13" s="3"/>
      <c r="R13" s="3"/>
      <c r="S13" s="12"/>
      <c r="T13" s="3"/>
      <c r="U13" s="3"/>
      <c r="V13" s="12"/>
      <c r="W13" s="3"/>
      <c r="X13" s="3"/>
      <c r="Y13" s="3"/>
      <c r="Z13" s="3"/>
      <c r="AA13" s="13"/>
      <c r="AB13" s="3"/>
      <c r="AC13" s="3"/>
      <c r="AD13" s="3"/>
      <c r="AE13" s="3"/>
      <c r="AF13" s="12"/>
      <c r="AG13" s="3"/>
      <c r="AH13" s="3" t="s">
        <v>422</v>
      </c>
      <c r="AI13" s="13"/>
      <c r="AJ13" s="1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x14ac:dyDescent="0.25" r="14" customHeight="1" ht="18.75">
      <c r="A14" s="22"/>
      <c r="B14" s="3"/>
      <c r="C14" s="35" t="s">
        <v>77</v>
      </c>
      <c r="D14" s="35" t="s">
        <v>168</v>
      </c>
      <c r="E14" s="3"/>
      <c r="F14" s="35" t="s">
        <v>215</v>
      </c>
      <c r="G14" s="24" t="s">
        <v>271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12"/>
      <c r="T14" s="3"/>
      <c r="U14" s="3"/>
      <c r="V14" s="12"/>
      <c r="W14" s="3"/>
      <c r="X14" s="3"/>
      <c r="Y14" s="3"/>
      <c r="Z14" s="3"/>
      <c r="AA14" s="13"/>
      <c r="AB14" s="3"/>
      <c r="AC14" s="3"/>
      <c r="AD14" s="3"/>
      <c r="AE14" s="3"/>
      <c r="AF14" s="12"/>
      <c r="AG14" s="3"/>
      <c r="AH14" s="3"/>
      <c r="AI14" s="13"/>
      <c r="AJ14" s="1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</row>
    <row x14ac:dyDescent="0.25" r="15" customHeight="1" ht="18.75">
      <c r="A15" s="22"/>
      <c r="B15" s="3"/>
      <c r="C15" s="35" t="s">
        <v>114</v>
      </c>
      <c r="D15" s="35" t="s">
        <v>129</v>
      </c>
      <c r="E15" s="3"/>
      <c r="F15" s="35" t="s">
        <v>226</v>
      </c>
      <c r="G15" s="24" t="s">
        <v>260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12"/>
      <c r="T15" s="3"/>
      <c r="U15" s="3"/>
      <c r="V15" s="12"/>
      <c r="W15" s="3"/>
      <c r="X15" s="3"/>
      <c r="Y15" s="3"/>
      <c r="Z15" s="3"/>
      <c r="AA15" s="13"/>
      <c r="AB15" s="3"/>
      <c r="AC15" s="3"/>
      <c r="AD15" s="3"/>
      <c r="AE15" s="3"/>
      <c r="AF15" s="12"/>
      <c r="AG15" s="3"/>
      <c r="AH15" s="3"/>
      <c r="AI15" s="13"/>
      <c r="AJ15" s="1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</row>
    <row x14ac:dyDescent="0.25" r="16" customHeight="1" ht="18.75">
      <c r="A16" s="22"/>
      <c r="B16" s="3"/>
      <c r="C16" s="35" t="s">
        <v>67</v>
      </c>
      <c r="D16" s="35" t="s">
        <v>44</v>
      </c>
      <c r="E16" s="3"/>
      <c r="F16" s="3"/>
      <c r="G16" s="24" t="s">
        <v>295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12"/>
      <c r="T16" s="3"/>
      <c r="U16" s="3"/>
      <c r="V16" s="12"/>
      <c r="W16" s="3"/>
      <c r="X16" s="3"/>
      <c r="Y16" s="3"/>
      <c r="Z16" s="3"/>
      <c r="AA16" s="13"/>
      <c r="AB16" s="3"/>
      <c r="AC16" s="3"/>
      <c r="AD16" s="3"/>
      <c r="AE16" s="3"/>
      <c r="AF16" s="12"/>
      <c r="AG16" s="3"/>
      <c r="AH16" s="3"/>
      <c r="AI16" s="13"/>
      <c r="AJ16" s="1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x14ac:dyDescent="0.25" r="17" customHeight="1" ht="18.75">
      <c r="A17" s="22"/>
      <c r="B17" s="3"/>
      <c r="C17" s="35" t="s">
        <v>126</v>
      </c>
      <c r="D17" s="35" t="s">
        <v>178</v>
      </c>
      <c r="E17" s="3"/>
      <c r="F17" s="3"/>
      <c r="G17" s="24" t="s">
        <v>305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12"/>
      <c r="T17" s="3"/>
      <c r="U17" s="3"/>
      <c r="V17" s="12"/>
      <c r="W17" s="3"/>
      <c r="X17" s="3"/>
      <c r="Y17" s="3"/>
      <c r="Z17" s="3"/>
      <c r="AA17" s="13"/>
      <c r="AB17" s="3"/>
      <c r="AC17" s="3"/>
      <c r="AD17" s="3"/>
      <c r="AE17" s="3"/>
      <c r="AF17" s="12"/>
      <c r="AG17" s="3"/>
      <c r="AH17" s="3"/>
      <c r="AI17" s="13"/>
      <c r="AJ17" s="1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x14ac:dyDescent="0.25" r="18" customHeight="1" ht="18.75">
      <c r="A18" s="22"/>
      <c r="B18" s="3"/>
      <c r="C18" s="35" t="s">
        <v>89</v>
      </c>
      <c r="D18" s="35" t="s">
        <v>156</v>
      </c>
      <c r="E18" s="3"/>
      <c r="F18" s="3"/>
      <c r="G18" s="24" t="s">
        <v>256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12"/>
      <c r="T18" s="3"/>
      <c r="U18" s="3"/>
      <c r="V18" s="12"/>
      <c r="W18" s="3"/>
      <c r="X18" s="3"/>
      <c r="Y18" s="3"/>
      <c r="Z18" s="3"/>
      <c r="AA18" s="13"/>
      <c r="AB18" s="3"/>
      <c r="AC18" s="3"/>
      <c r="AD18" s="3"/>
      <c r="AE18" s="3"/>
      <c r="AF18" s="12"/>
      <c r="AG18" s="3"/>
      <c r="AH18" s="3"/>
      <c r="AI18" s="13"/>
      <c r="AJ18" s="1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x14ac:dyDescent="0.25" r="19" customHeight="1" ht="18.75">
      <c r="A19" s="22"/>
      <c r="B19" s="3"/>
      <c r="C19" s="35" t="s">
        <v>121</v>
      </c>
      <c r="D19" s="35" t="s">
        <v>121</v>
      </c>
      <c r="E19" s="3"/>
      <c r="F19" s="3"/>
      <c r="G19" s="24" t="s">
        <v>332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12"/>
      <c r="T19" s="3"/>
      <c r="U19" s="3"/>
      <c r="V19" s="12"/>
      <c r="W19" s="3"/>
      <c r="X19" s="3"/>
      <c r="Y19" s="3"/>
      <c r="Z19" s="3"/>
      <c r="AA19" s="13"/>
      <c r="AB19" s="3"/>
      <c r="AC19" s="3"/>
      <c r="AD19" s="3"/>
      <c r="AE19" s="3"/>
      <c r="AF19" s="12"/>
      <c r="AG19" s="3"/>
      <c r="AH19" s="3"/>
      <c r="AI19" s="13"/>
      <c r="AJ19" s="1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</row>
    <row x14ac:dyDescent="0.25" r="20" customHeight="1" ht="18.75">
      <c r="A20" s="22"/>
      <c r="B20" s="3"/>
      <c r="C20" s="3"/>
      <c r="D20" s="3"/>
      <c r="E20" s="3"/>
      <c r="F20" s="3"/>
      <c r="G20" s="24" t="s">
        <v>233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12"/>
      <c r="T20" s="3"/>
      <c r="U20" s="3"/>
      <c r="V20" s="12"/>
      <c r="W20" s="3"/>
      <c r="X20" s="3"/>
      <c r="Y20" s="3"/>
      <c r="Z20" s="3"/>
      <c r="AA20" s="13"/>
      <c r="AB20" s="3"/>
      <c r="AC20" s="3"/>
      <c r="AD20" s="3"/>
      <c r="AE20" s="3"/>
      <c r="AF20" s="12"/>
      <c r="AG20" s="3"/>
      <c r="AH20" s="3"/>
      <c r="AI20" s="13"/>
      <c r="AJ20" s="1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</row>
    <row x14ac:dyDescent="0.25" r="21" customHeight="1" ht="18.75">
      <c r="A21" s="22"/>
      <c r="B21" s="3"/>
      <c r="C21" s="3"/>
      <c r="D21" s="3"/>
      <c r="E21" s="3"/>
      <c r="F21" s="3"/>
      <c r="G21" s="24" t="s">
        <v>338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12"/>
      <c r="T21" s="3"/>
      <c r="U21" s="3"/>
      <c r="V21" s="12"/>
      <c r="W21" s="3"/>
      <c r="X21" s="3"/>
      <c r="Y21" s="3"/>
      <c r="Z21" s="3"/>
      <c r="AA21" s="13"/>
      <c r="AB21" s="3"/>
      <c r="AC21" s="3"/>
      <c r="AD21" s="3"/>
      <c r="AE21" s="3"/>
      <c r="AF21" s="12"/>
      <c r="AG21" s="3"/>
      <c r="AH21" s="3"/>
      <c r="AI21" s="13"/>
      <c r="AJ21" s="1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x14ac:dyDescent="0.25" r="22" customHeight="1" ht="18.75">
      <c r="A22" s="22"/>
      <c r="B22" s="3"/>
      <c r="C22" s="3"/>
      <c r="D22" s="3"/>
      <c r="E22" s="3"/>
      <c r="F22" s="3"/>
      <c r="G22" s="24" t="s">
        <v>242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12"/>
      <c r="T22" s="3"/>
      <c r="U22" s="3"/>
      <c r="V22" s="12"/>
      <c r="W22" s="3"/>
      <c r="X22" s="3"/>
      <c r="Y22" s="3"/>
      <c r="Z22" s="3"/>
      <c r="AA22" s="13"/>
      <c r="AB22" s="3"/>
      <c r="AC22" s="3"/>
      <c r="AD22" s="3"/>
      <c r="AE22" s="3"/>
      <c r="AF22" s="12"/>
      <c r="AG22" s="3"/>
      <c r="AH22" s="3"/>
      <c r="AI22" s="13"/>
      <c r="AJ22" s="1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</row>
    <row x14ac:dyDescent="0.25" r="23" customHeight="1" ht="18.75">
      <c r="A23" s="22"/>
      <c r="B23" s="3"/>
      <c r="C23" s="3"/>
      <c r="D23" s="3"/>
      <c r="E23" s="3"/>
      <c r="F23" s="3"/>
      <c r="G23" s="24" t="s">
        <v>198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12"/>
      <c r="T23" s="3"/>
      <c r="U23" s="3"/>
      <c r="V23" s="12"/>
      <c r="W23" s="3"/>
      <c r="X23" s="3"/>
      <c r="Y23" s="3"/>
      <c r="Z23" s="3"/>
      <c r="AA23" s="13"/>
      <c r="AB23" s="3"/>
      <c r="AC23" s="3"/>
      <c r="AD23" s="3"/>
      <c r="AE23" s="3"/>
      <c r="AF23" s="12"/>
      <c r="AG23" s="3"/>
      <c r="AH23" s="3"/>
      <c r="AI23" s="13"/>
      <c r="AJ23" s="1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</row>
    <row x14ac:dyDescent="0.25" r="24" customHeight="1" ht="18.75">
      <c r="A24" s="22"/>
      <c r="B24" s="3"/>
      <c r="C24" s="3"/>
      <c r="D24" s="3"/>
      <c r="E24" s="3"/>
      <c r="F24" s="3"/>
      <c r="G24" s="24" t="s">
        <v>346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12"/>
      <c r="T24" s="3"/>
      <c r="U24" s="3"/>
      <c r="V24" s="12"/>
      <c r="W24" s="3"/>
      <c r="X24" s="3"/>
      <c r="Y24" s="3"/>
      <c r="Z24" s="3"/>
      <c r="AA24" s="13"/>
      <c r="AB24" s="3"/>
      <c r="AC24" s="3"/>
      <c r="AD24" s="3"/>
      <c r="AE24" s="3"/>
      <c r="AF24" s="12"/>
      <c r="AG24" s="3"/>
      <c r="AH24" s="3"/>
      <c r="AI24" s="13"/>
      <c r="AJ24" s="1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x14ac:dyDescent="0.25" r="25" customHeight="1" ht="18.75">
      <c r="A25" s="22"/>
      <c r="B25" s="3"/>
      <c r="C25" s="3"/>
      <c r="D25" s="3"/>
      <c r="E25" s="3"/>
      <c r="F25" s="3"/>
      <c r="G25" s="24" t="s">
        <v>178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12"/>
      <c r="T25" s="3"/>
      <c r="U25" s="3"/>
      <c r="V25" s="12"/>
      <c r="W25" s="3"/>
      <c r="X25" s="3"/>
      <c r="Y25" s="3"/>
      <c r="Z25" s="3"/>
      <c r="AA25" s="13"/>
      <c r="AB25" s="3"/>
      <c r="AC25" s="3"/>
      <c r="AD25" s="3"/>
      <c r="AE25" s="3"/>
      <c r="AF25" s="12"/>
      <c r="AG25" s="3"/>
      <c r="AH25" s="3"/>
      <c r="AI25" s="13"/>
      <c r="AJ25" s="1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</row>
    <row x14ac:dyDescent="0.25" r="26" customHeight="1" ht="18.75">
      <c r="A26" s="22"/>
      <c r="B26" s="3"/>
      <c r="C26" s="3"/>
      <c r="D26" s="3"/>
      <c r="E26" s="3"/>
      <c r="F26" s="3"/>
      <c r="G26" s="24" t="s">
        <v>358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12"/>
      <c r="T26" s="3"/>
      <c r="U26" s="3"/>
      <c r="V26" s="12"/>
      <c r="W26" s="3"/>
      <c r="X26" s="3"/>
      <c r="Y26" s="3"/>
      <c r="Z26" s="3"/>
      <c r="AA26" s="13"/>
      <c r="AB26" s="3"/>
      <c r="AC26" s="3"/>
      <c r="AD26" s="3"/>
      <c r="AE26" s="3"/>
      <c r="AF26" s="12"/>
      <c r="AG26" s="3"/>
      <c r="AH26" s="3"/>
      <c r="AI26" s="13"/>
      <c r="AJ26" s="1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</row>
    <row x14ac:dyDescent="0.25" r="27" customHeight="1" ht="18.75">
      <c r="A27" s="22"/>
      <c r="B27" s="3"/>
      <c r="C27" s="3"/>
      <c r="D27" s="3"/>
      <c r="E27" s="3"/>
      <c r="F27" s="3"/>
      <c r="G27" s="24" t="s">
        <v>325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12"/>
      <c r="T27" s="3"/>
      <c r="U27" s="3"/>
      <c r="V27" s="12"/>
      <c r="W27" s="3"/>
      <c r="X27" s="3"/>
      <c r="Y27" s="3"/>
      <c r="Z27" s="3"/>
      <c r="AA27" s="13"/>
      <c r="AB27" s="3"/>
      <c r="AC27" s="3"/>
      <c r="AD27" s="3"/>
      <c r="AE27" s="3"/>
      <c r="AF27" s="12"/>
      <c r="AG27" s="3"/>
      <c r="AH27" s="3"/>
      <c r="AI27" s="13"/>
      <c r="AJ27" s="1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</row>
    <row x14ac:dyDescent="0.25" r="28" customHeight="1" ht="18.75">
      <c r="A28" s="22"/>
      <c r="B28" s="3"/>
      <c r="C28" s="3"/>
      <c r="D28" s="3"/>
      <c r="E28" s="3"/>
      <c r="F28" s="3"/>
      <c r="G28" s="24" t="s">
        <v>190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12"/>
      <c r="T28" s="3"/>
      <c r="U28" s="3"/>
      <c r="V28" s="12"/>
      <c r="W28" s="3"/>
      <c r="X28" s="3"/>
      <c r="Y28" s="3"/>
      <c r="Z28" s="3"/>
      <c r="AA28" s="13"/>
      <c r="AB28" s="3"/>
      <c r="AC28" s="3"/>
      <c r="AD28" s="3"/>
      <c r="AE28" s="3"/>
      <c r="AF28" s="12"/>
      <c r="AG28" s="3"/>
      <c r="AH28" s="3"/>
      <c r="AI28" s="13"/>
      <c r="AJ28" s="1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</row>
    <row x14ac:dyDescent="0.25" r="29" customHeight="1" ht="18.75">
      <c r="A29" s="22"/>
      <c r="B29" s="3"/>
      <c r="C29" s="3"/>
      <c r="D29" s="3"/>
      <c r="E29" s="3"/>
      <c r="F29" s="3"/>
      <c r="G29" s="24" t="s">
        <v>316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2"/>
      <c r="T29" s="3"/>
      <c r="U29" s="3"/>
      <c r="V29" s="12"/>
      <c r="W29" s="3"/>
      <c r="X29" s="3"/>
      <c r="Y29" s="3"/>
      <c r="Z29" s="3"/>
      <c r="AA29" s="13"/>
      <c r="AB29" s="3"/>
      <c r="AC29" s="3"/>
      <c r="AD29" s="3"/>
      <c r="AE29" s="3"/>
      <c r="AF29" s="12"/>
      <c r="AG29" s="3"/>
      <c r="AH29" s="3"/>
      <c r="AI29" s="13"/>
      <c r="AJ29" s="1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x14ac:dyDescent="0.25" r="30" customHeight="1" ht="18.75">
      <c r="A30" s="22"/>
      <c r="B30" s="3"/>
      <c r="C30" s="3"/>
      <c r="D30" s="3"/>
      <c r="E30" s="3"/>
      <c r="F30" s="3"/>
      <c r="G30" s="24" t="s">
        <v>265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12"/>
      <c r="T30" s="3"/>
      <c r="U30" s="3"/>
      <c r="V30" s="12"/>
      <c r="W30" s="3"/>
      <c r="X30" s="3"/>
      <c r="Y30" s="3"/>
      <c r="Z30" s="3"/>
      <c r="AA30" s="13"/>
      <c r="AB30" s="3"/>
      <c r="AC30" s="3"/>
      <c r="AD30" s="3"/>
      <c r="AE30" s="3"/>
      <c r="AF30" s="12"/>
      <c r="AG30" s="3"/>
      <c r="AH30" s="3"/>
      <c r="AI30" s="13"/>
      <c r="AJ30" s="1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</row>
    <row x14ac:dyDescent="0.25" r="31" customHeight="1" ht="18.75">
      <c r="A31" s="22"/>
      <c r="B31" s="3"/>
      <c r="C31" s="3"/>
      <c r="D31" s="3"/>
      <c r="E31" s="3"/>
      <c r="F31" s="3"/>
      <c r="G31" s="24" t="s">
        <v>362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12"/>
      <c r="T31" s="3"/>
      <c r="U31" s="3"/>
      <c r="V31" s="12"/>
      <c r="W31" s="3"/>
      <c r="X31" s="3"/>
      <c r="Y31" s="3"/>
      <c r="Z31" s="3"/>
      <c r="AA31" s="13"/>
      <c r="AB31" s="3"/>
      <c r="AC31" s="3"/>
      <c r="AD31" s="3"/>
      <c r="AE31" s="3"/>
      <c r="AF31" s="12"/>
      <c r="AG31" s="3"/>
      <c r="AH31" s="3"/>
      <c r="AI31" s="13"/>
      <c r="AJ31" s="1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</row>
    <row x14ac:dyDescent="0.25" r="32" customHeight="1" ht="18.75">
      <c r="A32" s="22"/>
      <c r="B32" s="3"/>
      <c r="C32" s="3"/>
      <c r="D32" s="3"/>
      <c r="E32" s="3"/>
      <c r="F32" s="3"/>
      <c r="G32" s="24" t="s">
        <v>252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12"/>
      <c r="T32" s="3"/>
      <c r="U32" s="3"/>
      <c r="V32" s="12"/>
      <c r="W32" s="3"/>
      <c r="X32" s="3"/>
      <c r="Y32" s="3"/>
      <c r="Z32" s="3"/>
      <c r="AA32" s="13"/>
      <c r="AB32" s="3"/>
      <c r="AC32" s="3"/>
      <c r="AD32" s="3"/>
      <c r="AE32" s="3"/>
      <c r="AF32" s="12"/>
      <c r="AG32" s="3"/>
      <c r="AH32" s="3"/>
      <c r="AI32" s="13"/>
      <c r="AJ32" s="1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x14ac:dyDescent="0.25" r="33" customHeight="1" ht="18.75">
      <c r="A33" s="22"/>
      <c r="B33" s="3"/>
      <c r="C33" s="3"/>
      <c r="D33" s="3"/>
      <c r="E33" s="3"/>
      <c r="F33" s="3"/>
      <c r="G33" s="24" t="s">
        <v>320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12"/>
      <c r="T33" s="3"/>
      <c r="U33" s="3"/>
      <c r="V33" s="12"/>
      <c r="W33" s="3"/>
      <c r="X33" s="3"/>
      <c r="Y33" s="3"/>
      <c r="Z33" s="3"/>
      <c r="AA33" s="13"/>
      <c r="AB33" s="3"/>
      <c r="AC33" s="3"/>
      <c r="AD33" s="3"/>
      <c r="AE33" s="3"/>
      <c r="AF33" s="12"/>
      <c r="AG33" s="3"/>
      <c r="AH33" s="3"/>
      <c r="AI33" s="13"/>
      <c r="AJ33" s="1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</row>
    <row x14ac:dyDescent="0.25" r="34" customHeight="1" ht="18.75">
      <c r="A34" s="22"/>
      <c r="B34" s="3"/>
      <c r="C34" s="3"/>
      <c r="D34" s="3"/>
      <c r="E34" s="3"/>
      <c r="F34" s="3"/>
      <c r="G34" s="24" t="s">
        <v>372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2"/>
      <c r="T34" s="3"/>
      <c r="U34" s="3"/>
      <c r="V34" s="12"/>
      <c r="W34" s="3"/>
      <c r="X34" s="3"/>
      <c r="Y34" s="3"/>
      <c r="Z34" s="3"/>
      <c r="AA34" s="13"/>
      <c r="AB34" s="3"/>
      <c r="AC34" s="3"/>
      <c r="AD34" s="3"/>
      <c r="AE34" s="3"/>
      <c r="AF34" s="12"/>
      <c r="AG34" s="3"/>
      <c r="AH34" s="3"/>
      <c r="AI34" s="13"/>
      <c r="AJ34" s="1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</row>
    <row x14ac:dyDescent="0.25" r="35" customHeight="1" ht="18.75">
      <c r="A35" s="22"/>
      <c r="B35" s="3"/>
      <c r="C35" s="3"/>
      <c r="D35" s="3"/>
      <c r="E35" s="3"/>
      <c r="F35" s="3"/>
      <c r="G35" s="24" t="s">
        <v>352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12"/>
      <c r="T35" s="3"/>
      <c r="U35" s="3"/>
      <c r="V35" s="12"/>
      <c r="W35" s="3"/>
      <c r="X35" s="3"/>
      <c r="Y35" s="3"/>
      <c r="Z35" s="3"/>
      <c r="AA35" s="13"/>
      <c r="AB35" s="3"/>
      <c r="AC35" s="3"/>
      <c r="AD35" s="3"/>
      <c r="AE35" s="3"/>
      <c r="AF35" s="12"/>
      <c r="AG35" s="3"/>
      <c r="AH35" s="3"/>
      <c r="AI35" s="13"/>
      <c r="AJ35" s="1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</row>
    <row x14ac:dyDescent="0.25" r="36" customHeight="1" ht="18.75">
      <c r="A36" s="22"/>
      <c r="B36" s="3"/>
      <c r="C36" s="3"/>
      <c r="D36" s="3"/>
      <c r="E36" s="3"/>
      <c r="F36" s="3"/>
      <c r="G36" s="24" t="s">
        <v>310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12"/>
      <c r="T36" s="3"/>
      <c r="U36" s="3"/>
      <c r="V36" s="12"/>
      <c r="W36" s="3"/>
      <c r="X36" s="3"/>
      <c r="Y36" s="3"/>
      <c r="Z36" s="3"/>
      <c r="AA36" s="13"/>
      <c r="AB36" s="3"/>
      <c r="AC36" s="3"/>
      <c r="AD36" s="3"/>
      <c r="AE36" s="3"/>
      <c r="AF36" s="12"/>
      <c r="AG36" s="3"/>
      <c r="AH36" s="3"/>
      <c r="AI36" s="13"/>
      <c r="AJ36" s="1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</row>
    <row x14ac:dyDescent="0.25" r="37" customHeight="1" ht="18.75">
      <c r="A37" s="22"/>
      <c r="B37" s="3"/>
      <c r="C37" s="3"/>
      <c r="D37" s="3"/>
      <c r="E37" s="3"/>
      <c r="F37" s="3"/>
      <c r="G37" s="24" t="s">
        <v>300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12"/>
      <c r="T37" s="3"/>
      <c r="U37" s="3"/>
      <c r="V37" s="12"/>
      <c r="W37" s="3"/>
      <c r="X37" s="3"/>
      <c r="Y37" s="3"/>
      <c r="Z37" s="3"/>
      <c r="AA37" s="13"/>
      <c r="AB37" s="3"/>
      <c r="AC37" s="3"/>
      <c r="AD37" s="3"/>
      <c r="AE37" s="3"/>
      <c r="AF37" s="12"/>
      <c r="AG37" s="3"/>
      <c r="AH37" s="3"/>
      <c r="AI37" s="13"/>
      <c r="AJ37" s="1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x14ac:dyDescent="0.25" r="38" customHeight="1" ht="18.75">
      <c r="A38" s="25"/>
      <c r="B38" s="26"/>
      <c r="C38" s="26"/>
      <c r="D38" s="26"/>
      <c r="E38" s="26"/>
      <c r="F38" s="26"/>
      <c r="G38" s="29" t="s">
        <v>329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12"/>
      <c r="T38" s="3"/>
      <c r="U38" s="3"/>
      <c r="V38" s="12"/>
      <c r="W38" s="3"/>
      <c r="X38" s="3"/>
      <c r="Y38" s="3"/>
      <c r="Z38" s="3"/>
      <c r="AA38" s="13"/>
      <c r="AB38" s="3"/>
      <c r="AC38" s="3"/>
      <c r="AD38" s="3"/>
      <c r="AE38" s="3"/>
      <c r="AF38" s="12"/>
      <c r="AG38" s="3"/>
      <c r="AH38" s="3"/>
      <c r="AI38" s="13"/>
      <c r="AJ38" s="1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G141"/>
  <sheetViews>
    <sheetView workbookViewId="0"/>
  </sheetViews>
  <sheetFormatPr defaultRowHeight="15" x14ac:dyDescent="0.25"/>
  <cols>
    <col min="1" max="1" style="14" width="31.719285714285714" customWidth="1" bestFit="1"/>
    <col min="2" max="2" style="14" width="13.576428571428572" customWidth="1" bestFit="1"/>
    <col min="3" max="3" style="14" width="13.576428571428572" customWidth="1" bestFit="1"/>
    <col min="4" max="4" style="14" width="13.576428571428572" customWidth="1" bestFit="1"/>
    <col min="5" max="5" style="14" width="13.576428571428572" customWidth="1" bestFit="1"/>
    <col min="6" max="6" style="14" width="13.576428571428572" customWidth="1" bestFit="1"/>
    <col min="7" max="7" style="14" width="13.576428571428572" customWidth="1" bestFit="1"/>
    <col min="8" max="8" style="14" width="13.576428571428572" customWidth="1" bestFit="1"/>
    <col min="9" max="9" style="14" width="13.576428571428572" customWidth="1" bestFit="1"/>
    <col min="10" max="10" style="14" width="13.576428571428572" customWidth="1" bestFit="1"/>
    <col min="11" max="11" style="14" width="16.290714285714284" customWidth="1" bestFit="1"/>
    <col min="12" max="12" style="14" width="13.576428571428572" customWidth="1" bestFit="1"/>
    <col min="13" max="13" style="14" width="21.005" customWidth="1" bestFit="1"/>
    <col min="14" max="14" style="14" width="13.576428571428572" customWidth="1" bestFit="1"/>
    <col min="15" max="15" style="14" width="13.576428571428572" customWidth="1" bestFit="1"/>
    <col min="16" max="16" style="14" width="13.576428571428572" customWidth="1" bestFit="1"/>
    <col min="17" max="17" style="14" width="13.576428571428572" customWidth="1" bestFit="1"/>
    <col min="18" max="18" style="14" width="13.576428571428572" customWidth="1" bestFit="1"/>
    <col min="19" max="19" style="14" width="13.576428571428572" customWidth="1" bestFit="1"/>
    <col min="20" max="20" style="14" width="13.576428571428572" customWidth="1" bestFit="1"/>
    <col min="21" max="21" style="14" width="13.576428571428572" customWidth="1" bestFit="1"/>
    <col min="22" max="22" style="14" width="13.576428571428572" customWidth="1" bestFit="1"/>
    <col min="23" max="23" style="14" width="13.576428571428572" customWidth="1" bestFit="1"/>
    <col min="24" max="24" style="15" width="13.576428571428572" customWidth="1" bestFit="1"/>
    <col min="25" max="25" style="15" width="13.576428571428572" customWidth="1" bestFit="1"/>
    <col min="26" max="26" style="14" width="13.576428571428572" customWidth="1" bestFit="1"/>
    <col min="27" max="27" style="15" width="13.576428571428572" customWidth="1" bestFit="1"/>
    <col min="28" max="28" style="15" width="13.576428571428572" customWidth="1" bestFit="1"/>
    <col min="29" max="29" style="15" width="13.576428571428572" customWidth="1" bestFit="1"/>
    <col min="30" max="30" style="14" width="13.576428571428572" customWidth="1" bestFit="1"/>
    <col min="31" max="31" style="15" width="13.576428571428572" customWidth="1" bestFit="1"/>
    <col min="32" max="32" style="15" width="13.576428571428572" customWidth="1" bestFit="1"/>
    <col min="33" max="33" style="15" width="13.576428571428572" customWidth="1" bestFit="1"/>
  </cols>
  <sheetData>
    <row x14ac:dyDescent="0.25" r="1" customHeight="1" ht="18.75">
      <c r="A1" s="12">
        <f>_xll.GetCropCoefficients()</f>
      </c>
      <c r="B1" s="12" t="s">
        <v>9</v>
      </c>
      <c r="C1" s="12" t="s">
        <v>10</v>
      </c>
      <c r="D1" s="12" t="s">
        <v>11</v>
      </c>
      <c r="E1" s="12" t="s">
        <v>12</v>
      </c>
      <c r="F1" s="12" t="s">
        <v>13</v>
      </c>
      <c r="G1" s="12" t="s">
        <v>14</v>
      </c>
      <c r="H1" s="12" t="s">
        <v>15</v>
      </c>
      <c r="I1" s="12" t="s">
        <v>16</v>
      </c>
      <c r="J1" s="12" t="s">
        <v>17</v>
      </c>
      <c r="K1" s="12" t="s">
        <v>18</v>
      </c>
      <c r="L1" s="12" t="s">
        <v>19</v>
      </c>
      <c r="M1" s="12" t="s">
        <v>20</v>
      </c>
      <c r="N1" s="12" t="s">
        <v>21</v>
      </c>
      <c r="O1" s="12" t="s">
        <v>22</v>
      </c>
      <c r="P1" s="12" t="s">
        <v>23</v>
      </c>
      <c r="Q1" s="12" t="s">
        <v>24</v>
      </c>
      <c r="R1" s="12" t="s">
        <v>25</v>
      </c>
      <c r="S1" s="12" t="s">
        <v>26</v>
      </c>
      <c r="T1" s="12" t="s">
        <v>27</v>
      </c>
      <c r="U1" s="12" t="s">
        <v>28</v>
      </c>
      <c r="V1" s="12" t="s">
        <v>29</v>
      </c>
      <c r="W1" s="12" t="s">
        <v>30</v>
      </c>
      <c r="X1" s="13" t="s">
        <v>31</v>
      </c>
      <c r="Y1" s="13" t="s">
        <v>32</v>
      </c>
      <c r="Z1" s="12" t="s">
        <v>33</v>
      </c>
      <c r="AA1" s="13" t="s">
        <v>34</v>
      </c>
      <c r="AB1" s="13" t="s">
        <v>35</v>
      </c>
      <c r="AC1" s="13" t="s">
        <v>36</v>
      </c>
      <c r="AD1" s="12" t="s">
        <v>37</v>
      </c>
      <c r="AE1" s="13" t="s">
        <v>38</v>
      </c>
      <c r="AF1" s="13" t="s">
        <v>39</v>
      </c>
      <c r="AG1" s="13" t="s">
        <v>40</v>
      </c>
    </row>
    <row x14ac:dyDescent="0.25" r="2" customHeight="1" ht="18.75">
      <c r="A2" s="7">
        <v>0</v>
      </c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  <c r="N2" s="7">
        <v>13</v>
      </c>
      <c r="O2" s="7">
        <v>14</v>
      </c>
      <c r="P2" s="7">
        <v>15</v>
      </c>
      <c r="Q2" s="7">
        <v>16</v>
      </c>
      <c r="R2" s="7">
        <v>17</v>
      </c>
      <c r="S2" s="7">
        <v>18</v>
      </c>
      <c r="T2" s="7">
        <v>19</v>
      </c>
      <c r="U2" s="7">
        <v>20</v>
      </c>
      <c r="V2" s="7">
        <v>21</v>
      </c>
      <c r="W2" s="7">
        <v>22</v>
      </c>
      <c r="X2" s="7">
        <v>23</v>
      </c>
      <c r="Y2" s="7">
        <v>24</v>
      </c>
      <c r="Z2" s="7">
        <v>25</v>
      </c>
      <c r="AA2" s="7">
        <v>26</v>
      </c>
      <c r="AB2" s="7">
        <v>27</v>
      </c>
      <c r="AC2" s="7">
        <v>28</v>
      </c>
      <c r="AD2" s="7">
        <v>29</v>
      </c>
      <c r="AE2" s="7">
        <v>30</v>
      </c>
      <c r="AF2" s="7">
        <v>31</v>
      </c>
      <c r="AG2" s="7">
        <v>32</v>
      </c>
    </row>
    <row x14ac:dyDescent="0.25" r="3" customHeight="1" ht="18.75">
      <c r="A3" s="12" t="s">
        <v>41</v>
      </c>
      <c r="B3" s="7">
        <v>0</v>
      </c>
      <c r="C3" s="12" t="s">
        <v>42</v>
      </c>
      <c r="D3" s="12" t="s">
        <v>43</v>
      </c>
      <c r="E3" s="12" t="s">
        <v>44</v>
      </c>
      <c r="F3" s="12" t="s">
        <v>45</v>
      </c>
      <c r="G3" s="12" t="s">
        <v>46</v>
      </c>
      <c r="H3" s="12" t="s">
        <v>47</v>
      </c>
      <c r="I3" s="12" t="s">
        <v>48</v>
      </c>
      <c r="J3" s="12"/>
      <c r="K3" s="12" t="s">
        <v>49</v>
      </c>
      <c r="L3" s="12" t="s">
        <v>48</v>
      </c>
      <c r="M3" s="12" t="s">
        <v>50</v>
      </c>
      <c r="N3" s="12" t="s">
        <v>51</v>
      </c>
      <c r="O3" s="12" t="s">
        <v>52</v>
      </c>
      <c r="P3" s="12" t="s">
        <v>53</v>
      </c>
      <c r="Q3" s="7">
        <v>10</v>
      </c>
      <c r="R3" s="12" t="s">
        <v>54</v>
      </c>
      <c r="S3" s="12" t="s">
        <v>55</v>
      </c>
      <c r="T3" s="7">
        <v>50000</v>
      </c>
      <c r="U3" s="12" t="s">
        <v>56</v>
      </c>
      <c r="V3" s="7">
        <v>0</v>
      </c>
      <c r="W3" s="7">
        <v>0</v>
      </c>
      <c r="X3" s="8">
        <v>0.949999988079071</v>
      </c>
      <c r="Y3" s="7">
        <v>0</v>
      </c>
      <c r="Z3" s="7">
        <v>80</v>
      </c>
      <c r="AA3" s="8">
        <v>0.10000000149011612</v>
      </c>
      <c r="AB3" s="8">
        <v>1.5</v>
      </c>
      <c r="AC3" s="7">
        <v>1</v>
      </c>
      <c r="AD3" s="7">
        <v>1</v>
      </c>
      <c r="AE3" s="8">
        <v>0.8999999761581421</v>
      </c>
      <c r="AF3" s="8">
        <v>0.5</v>
      </c>
      <c r="AG3" s="8">
        <v>1.2999999523162842</v>
      </c>
    </row>
    <row x14ac:dyDescent="0.25" r="4" customHeight="1" ht="18.75">
      <c r="A4" s="12" t="s">
        <v>57</v>
      </c>
      <c r="B4" s="7">
        <v>1</v>
      </c>
      <c r="C4" s="12" t="s">
        <v>42</v>
      </c>
      <c r="D4" s="12" t="s">
        <v>58</v>
      </c>
      <c r="E4" s="12" t="s">
        <v>59</v>
      </c>
      <c r="F4" s="12" t="s">
        <v>45</v>
      </c>
      <c r="G4" s="12" t="s">
        <v>60</v>
      </c>
      <c r="H4" s="12" t="s">
        <v>61</v>
      </c>
      <c r="I4" s="12" t="s">
        <v>62</v>
      </c>
      <c r="J4" s="12" t="s">
        <v>63</v>
      </c>
      <c r="K4" s="12" t="s">
        <v>64</v>
      </c>
      <c r="L4" s="12" t="s">
        <v>65</v>
      </c>
      <c r="M4" s="12" t="s">
        <v>50</v>
      </c>
      <c r="N4" s="12" t="s">
        <v>53</v>
      </c>
      <c r="O4" s="12" t="s">
        <v>52</v>
      </c>
      <c r="P4" s="12" t="s">
        <v>51</v>
      </c>
      <c r="Q4" s="7">
        <v>20</v>
      </c>
      <c r="R4" s="12" t="s">
        <v>54</v>
      </c>
      <c r="S4" s="12" t="s">
        <v>55</v>
      </c>
      <c r="T4" s="7">
        <v>50000</v>
      </c>
      <c r="U4" s="12" t="s">
        <v>56</v>
      </c>
      <c r="V4" s="7">
        <v>0</v>
      </c>
      <c r="W4" s="7">
        <v>0</v>
      </c>
      <c r="X4" s="8">
        <v>0.8895000219345093</v>
      </c>
      <c r="Y4" s="8">
        <v>-0.11050000041723251</v>
      </c>
      <c r="Z4" s="7">
        <v>17</v>
      </c>
      <c r="AA4" s="8">
        <v>0.10000000149011612</v>
      </c>
      <c r="AB4" s="8">
        <v>1.5</v>
      </c>
      <c r="AC4" s="7">
        <v>1</v>
      </c>
      <c r="AD4" s="7">
        <v>1</v>
      </c>
      <c r="AE4" s="8">
        <v>0.800000011920929</v>
      </c>
      <c r="AF4" s="8">
        <v>1.5</v>
      </c>
      <c r="AG4" s="7">
        <v>1</v>
      </c>
    </row>
    <row x14ac:dyDescent="0.25" r="5" customHeight="1" ht="18.75">
      <c r="A5" s="12" t="s">
        <v>66</v>
      </c>
      <c r="B5" s="7">
        <v>2</v>
      </c>
      <c r="C5" s="12" t="s">
        <v>42</v>
      </c>
      <c r="D5" s="12" t="s">
        <v>58</v>
      </c>
      <c r="E5" s="12" t="s">
        <v>67</v>
      </c>
      <c r="F5" s="12" t="s">
        <v>45</v>
      </c>
      <c r="G5" s="12" t="s">
        <v>68</v>
      </c>
      <c r="H5" s="12" t="s">
        <v>69</v>
      </c>
      <c r="I5" s="12" t="s">
        <v>70</v>
      </c>
      <c r="J5" s="12" t="s">
        <v>71</v>
      </c>
      <c r="K5" s="12" t="s">
        <v>72</v>
      </c>
      <c r="L5" s="12" t="s">
        <v>73</v>
      </c>
      <c r="M5" s="12" t="s">
        <v>50</v>
      </c>
      <c r="N5" s="12" t="s">
        <v>53</v>
      </c>
      <c r="O5" s="12" t="s">
        <v>74</v>
      </c>
      <c r="P5" s="12" t="s">
        <v>51</v>
      </c>
      <c r="Q5" s="7">
        <v>12</v>
      </c>
      <c r="R5" s="12" t="s">
        <v>54</v>
      </c>
      <c r="S5" s="12" t="s">
        <v>55</v>
      </c>
      <c r="T5" s="7">
        <v>50000</v>
      </c>
      <c r="U5" s="12" t="s">
        <v>56</v>
      </c>
      <c r="V5" s="7">
        <v>0</v>
      </c>
      <c r="W5" s="7">
        <v>0</v>
      </c>
      <c r="X5" s="8">
        <v>0.8339999914169312</v>
      </c>
      <c r="Y5" s="8">
        <v>-0.15600000321865082</v>
      </c>
      <c r="Z5" s="7">
        <v>12</v>
      </c>
      <c r="AA5" s="8">
        <v>0.10000000149011612</v>
      </c>
      <c r="AB5" s="8">
        <v>1.2000000476837158</v>
      </c>
      <c r="AC5" s="7">
        <v>1</v>
      </c>
      <c r="AD5" s="7">
        <v>2</v>
      </c>
      <c r="AE5" s="8">
        <v>0.800000011920929</v>
      </c>
      <c r="AF5" s="8">
        <v>0.6000000238418579</v>
      </c>
      <c r="AG5" s="8">
        <v>2.5</v>
      </c>
    </row>
    <row x14ac:dyDescent="0.25" r="6" customHeight="1" ht="18.75">
      <c r="A6" s="12" t="s">
        <v>75</v>
      </c>
      <c r="B6" s="7">
        <v>3</v>
      </c>
      <c r="C6" s="12" t="s">
        <v>42</v>
      </c>
      <c r="D6" s="12" t="s">
        <v>76</v>
      </c>
      <c r="E6" s="12" t="s">
        <v>77</v>
      </c>
      <c r="F6" s="12" t="s">
        <v>45</v>
      </c>
      <c r="G6" s="12" t="s">
        <v>68</v>
      </c>
      <c r="H6" s="12" t="s">
        <v>69</v>
      </c>
      <c r="I6" s="12" t="s">
        <v>70</v>
      </c>
      <c r="J6" s="12" t="s">
        <v>70</v>
      </c>
      <c r="K6" s="12" t="s">
        <v>78</v>
      </c>
      <c r="L6" s="12" t="s">
        <v>79</v>
      </c>
      <c r="M6" s="12" t="s">
        <v>50</v>
      </c>
      <c r="N6" s="12" t="s">
        <v>80</v>
      </c>
      <c r="O6" s="12" t="s">
        <v>52</v>
      </c>
      <c r="P6" s="12" t="s">
        <v>81</v>
      </c>
      <c r="Q6" s="7">
        <v>6</v>
      </c>
      <c r="R6" s="12" t="s">
        <v>54</v>
      </c>
      <c r="S6" s="12" t="s">
        <v>55</v>
      </c>
      <c r="T6" s="7">
        <v>50000</v>
      </c>
      <c r="U6" s="12" t="s">
        <v>56</v>
      </c>
      <c r="V6" s="7">
        <v>0</v>
      </c>
      <c r="W6" s="7">
        <v>0</v>
      </c>
      <c r="X6" s="8">
        <v>0.777999997138977</v>
      </c>
      <c r="Y6" s="8">
        <v>-0.12200000137090683</v>
      </c>
      <c r="Z6" s="7">
        <v>10</v>
      </c>
      <c r="AA6" s="8">
        <v>0.10000000149011612</v>
      </c>
      <c r="AB6" s="8">
        <v>1.2000000476837158</v>
      </c>
      <c r="AC6" s="7">
        <v>1</v>
      </c>
      <c r="AD6" s="7">
        <v>2</v>
      </c>
      <c r="AE6" s="8">
        <v>0.800000011920929</v>
      </c>
      <c r="AF6" s="7">
        <v>1</v>
      </c>
      <c r="AG6" s="7">
        <v>3</v>
      </c>
    </row>
    <row x14ac:dyDescent="0.25" r="7" customHeight="1" ht="18.75">
      <c r="A7" s="12" t="s">
        <v>82</v>
      </c>
      <c r="B7" s="7">
        <v>4</v>
      </c>
      <c r="C7" s="12" t="s">
        <v>42</v>
      </c>
      <c r="D7" s="12" t="s">
        <v>76</v>
      </c>
      <c r="E7" s="12" t="s">
        <v>83</v>
      </c>
      <c r="F7" s="12" t="s">
        <v>45</v>
      </c>
      <c r="G7" s="12" t="s">
        <v>68</v>
      </c>
      <c r="H7" s="12" t="s">
        <v>69</v>
      </c>
      <c r="I7" s="12" t="s">
        <v>84</v>
      </c>
      <c r="J7" s="12" t="s">
        <v>85</v>
      </c>
      <c r="K7" s="12" t="s">
        <v>86</v>
      </c>
      <c r="L7" s="12" t="s">
        <v>87</v>
      </c>
      <c r="M7" s="12" t="s">
        <v>50</v>
      </c>
      <c r="N7" s="12" t="s">
        <v>80</v>
      </c>
      <c r="O7" s="12" t="s">
        <v>74</v>
      </c>
      <c r="P7" s="12" t="s">
        <v>51</v>
      </c>
      <c r="Q7" s="7">
        <v>12</v>
      </c>
      <c r="R7" s="12" t="s">
        <v>54</v>
      </c>
      <c r="S7" s="12" t="s">
        <v>55</v>
      </c>
      <c r="T7" s="7">
        <v>50000</v>
      </c>
      <c r="U7" s="12" t="s">
        <v>56</v>
      </c>
      <c r="V7" s="7">
        <v>0</v>
      </c>
      <c r="W7" s="7">
        <v>0</v>
      </c>
      <c r="X7" s="8">
        <v>0.5799999833106995</v>
      </c>
      <c r="Y7" s="8">
        <v>-0.3199999928474426</v>
      </c>
      <c r="Z7" s="7">
        <v>13</v>
      </c>
      <c r="AA7" s="8">
        <v>0.10000000149011612</v>
      </c>
      <c r="AB7" s="8">
        <v>1.2000000476837158</v>
      </c>
      <c r="AC7" s="7">
        <v>1</v>
      </c>
      <c r="AD7" s="7">
        <v>2</v>
      </c>
      <c r="AE7" s="8">
        <v>0.800000011920929</v>
      </c>
      <c r="AF7" s="7">
        <v>1</v>
      </c>
      <c r="AG7" s="7">
        <v>3</v>
      </c>
    </row>
    <row x14ac:dyDescent="0.25" r="8" customHeight="1" ht="18.75">
      <c r="A8" s="12" t="s">
        <v>88</v>
      </c>
      <c r="B8" s="7">
        <v>5</v>
      </c>
      <c r="C8" s="12" t="s">
        <v>42</v>
      </c>
      <c r="D8" s="12" t="s">
        <v>58</v>
      </c>
      <c r="E8" s="12" t="s">
        <v>89</v>
      </c>
      <c r="F8" s="12" t="s">
        <v>58</v>
      </c>
      <c r="G8" s="12" t="s">
        <v>68</v>
      </c>
      <c r="H8" s="12" t="s">
        <v>69</v>
      </c>
      <c r="I8" s="12" t="s">
        <v>90</v>
      </c>
      <c r="J8" s="12" t="s">
        <v>90</v>
      </c>
      <c r="K8" s="12" t="s">
        <v>91</v>
      </c>
      <c r="L8" s="12" t="s">
        <v>92</v>
      </c>
      <c r="M8" s="12" t="s">
        <v>50</v>
      </c>
      <c r="N8" s="12" t="s">
        <v>93</v>
      </c>
      <c r="O8" s="12" t="s">
        <v>52</v>
      </c>
      <c r="P8" s="12" t="s">
        <v>51</v>
      </c>
      <c r="Q8" s="7">
        <v>8</v>
      </c>
      <c r="R8" s="12" t="s">
        <v>54</v>
      </c>
      <c r="S8" s="12" t="s">
        <v>55</v>
      </c>
      <c r="T8" s="7">
        <v>50000</v>
      </c>
      <c r="U8" s="12" t="s">
        <v>56</v>
      </c>
      <c r="V8" s="7">
        <v>0</v>
      </c>
      <c r="W8" s="7">
        <v>0</v>
      </c>
      <c r="X8" s="8">
        <v>0.871999979019165</v>
      </c>
      <c r="Y8" s="8">
        <v>-0.12800000607967377</v>
      </c>
      <c r="Z8" s="7">
        <v>10</v>
      </c>
      <c r="AA8" s="8">
        <v>0.10000000149011612</v>
      </c>
      <c r="AB8" s="8">
        <v>1.2000000476837158</v>
      </c>
      <c r="AC8" s="7">
        <v>1</v>
      </c>
      <c r="AD8" s="7">
        <v>2</v>
      </c>
      <c r="AE8" s="8">
        <v>0.800000011920929</v>
      </c>
      <c r="AF8" s="8">
        <v>0.6000000238418579</v>
      </c>
      <c r="AG8" s="8">
        <v>2.5</v>
      </c>
    </row>
    <row x14ac:dyDescent="0.25" r="9" customHeight="1" ht="18.75">
      <c r="A9" s="12" t="s">
        <v>94</v>
      </c>
      <c r="B9" s="7">
        <v>6</v>
      </c>
      <c r="C9" s="12" t="s">
        <v>42</v>
      </c>
      <c r="D9" s="12" t="s">
        <v>76</v>
      </c>
      <c r="E9" s="12" t="s">
        <v>89</v>
      </c>
      <c r="F9" s="12" t="s">
        <v>95</v>
      </c>
      <c r="G9" s="12" t="s">
        <v>68</v>
      </c>
      <c r="H9" s="12" t="s">
        <v>69</v>
      </c>
      <c r="I9" s="12" t="s">
        <v>96</v>
      </c>
      <c r="J9" s="12"/>
      <c r="K9" s="12" t="s">
        <v>97</v>
      </c>
      <c r="L9" s="12" t="s">
        <v>96</v>
      </c>
      <c r="M9" s="12" t="s">
        <v>50</v>
      </c>
      <c r="N9" s="12" t="s">
        <v>80</v>
      </c>
      <c r="O9" s="12" t="s">
        <v>98</v>
      </c>
      <c r="P9" s="12" t="s">
        <v>99</v>
      </c>
      <c r="Q9" s="7">
        <v>6</v>
      </c>
      <c r="R9" s="12" t="s">
        <v>54</v>
      </c>
      <c r="S9" s="12" t="s">
        <v>55</v>
      </c>
      <c r="T9" s="7">
        <v>50000</v>
      </c>
      <c r="U9" s="12" t="s">
        <v>56</v>
      </c>
      <c r="V9" s="7">
        <v>0</v>
      </c>
      <c r="W9" s="7">
        <v>0</v>
      </c>
      <c r="X9" s="8">
        <v>0.49000000953674316</v>
      </c>
      <c r="Y9" s="8">
        <v>-0.20999999344348907</v>
      </c>
      <c r="Z9" s="7">
        <v>17</v>
      </c>
      <c r="AA9" s="8">
        <v>0.10000000149011612</v>
      </c>
      <c r="AB9" s="8">
        <v>1.2000000476837158</v>
      </c>
      <c r="AC9" s="7">
        <v>1</v>
      </c>
      <c r="AD9" s="7">
        <v>2</v>
      </c>
      <c r="AE9" s="8">
        <v>0.800000011920929</v>
      </c>
      <c r="AF9" s="8">
        <v>1.5</v>
      </c>
      <c r="AG9" s="8">
        <v>3.5</v>
      </c>
    </row>
    <row x14ac:dyDescent="0.25" r="10" customHeight="1" ht="18.75">
      <c r="A10" s="12" t="s">
        <v>100</v>
      </c>
      <c r="B10" s="7">
        <v>6</v>
      </c>
      <c r="C10" s="12" t="s">
        <v>42</v>
      </c>
      <c r="D10" s="12" t="s">
        <v>76</v>
      </c>
      <c r="E10" s="12" t="s">
        <v>89</v>
      </c>
      <c r="F10" s="12" t="s">
        <v>45</v>
      </c>
      <c r="G10" s="12" t="s">
        <v>68</v>
      </c>
      <c r="H10" s="12" t="s">
        <v>69</v>
      </c>
      <c r="I10" s="12" t="s">
        <v>96</v>
      </c>
      <c r="J10" s="12"/>
      <c r="K10" s="12" t="s">
        <v>97</v>
      </c>
      <c r="L10" s="12" t="s">
        <v>96</v>
      </c>
      <c r="M10" s="12" t="s">
        <v>50</v>
      </c>
      <c r="N10" s="12" t="s">
        <v>80</v>
      </c>
      <c r="O10" s="12" t="s">
        <v>98</v>
      </c>
      <c r="P10" s="12" t="s">
        <v>99</v>
      </c>
      <c r="Q10" s="7">
        <v>6</v>
      </c>
      <c r="R10" s="12" t="s">
        <v>54</v>
      </c>
      <c r="S10" s="12" t="s">
        <v>55</v>
      </c>
      <c r="T10" s="7">
        <v>50000</v>
      </c>
      <c r="U10" s="12" t="s">
        <v>56</v>
      </c>
      <c r="V10" s="7">
        <v>0</v>
      </c>
      <c r="W10" s="7">
        <v>0</v>
      </c>
      <c r="X10" s="8">
        <v>0.49000000953674316</v>
      </c>
      <c r="Y10" s="8">
        <v>-0.20999999344348907</v>
      </c>
      <c r="Z10" s="7">
        <v>17</v>
      </c>
      <c r="AA10" s="8">
        <v>0.10000000149011612</v>
      </c>
      <c r="AB10" s="8">
        <v>1.2000000476837158</v>
      </c>
      <c r="AC10" s="7">
        <v>1</v>
      </c>
      <c r="AD10" s="7">
        <v>2</v>
      </c>
      <c r="AE10" s="8">
        <v>0.800000011920929</v>
      </c>
      <c r="AF10" s="8">
        <v>1.5</v>
      </c>
      <c r="AG10" s="8">
        <v>3.5</v>
      </c>
    </row>
    <row x14ac:dyDescent="0.25" r="11" customHeight="1" ht="18.75">
      <c r="A11" s="12" t="s">
        <v>101</v>
      </c>
      <c r="B11" s="7">
        <v>7</v>
      </c>
      <c r="C11" s="12" t="s">
        <v>42</v>
      </c>
      <c r="D11" s="12" t="s">
        <v>43</v>
      </c>
      <c r="E11" s="12" t="s">
        <v>102</v>
      </c>
      <c r="F11" s="12" t="s">
        <v>45</v>
      </c>
      <c r="G11" s="12" t="s">
        <v>46</v>
      </c>
      <c r="H11" s="12" t="s">
        <v>103</v>
      </c>
      <c r="I11" s="12" t="s">
        <v>104</v>
      </c>
      <c r="J11" s="12"/>
      <c r="K11" s="12" t="s">
        <v>105</v>
      </c>
      <c r="L11" s="12" t="s">
        <v>104</v>
      </c>
      <c r="M11" s="12" t="s">
        <v>50</v>
      </c>
      <c r="N11" s="12" t="s">
        <v>51</v>
      </c>
      <c r="O11" s="12" t="s">
        <v>52</v>
      </c>
      <c r="P11" s="12" t="s">
        <v>53</v>
      </c>
      <c r="Q11" s="7">
        <v>8</v>
      </c>
      <c r="R11" s="12" t="s">
        <v>54</v>
      </c>
      <c r="S11" s="12" t="s">
        <v>55</v>
      </c>
      <c r="T11" s="7">
        <v>50000</v>
      </c>
      <c r="U11" s="12" t="s">
        <v>56</v>
      </c>
      <c r="V11" s="7">
        <v>0</v>
      </c>
      <c r="W11" s="7">
        <v>0</v>
      </c>
      <c r="X11" s="8">
        <v>0.949999988079071</v>
      </c>
      <c r="Y11" s="7">
        <v>0</v>
      </c>
      <c r="Z11" s="7">
        <v>80</v>
      </c>
      <c r="AA11" s="8">
        <v>0.10000000149011612</v>
      </c>
      <c r="AB11" s="8">
        <v>1.2000000476837158</v>
      </c>
      <c r="AC11" s="7">
        <v>1</v>
      </c>
      <c r="AD11" s="7">
        <v>1</v>
      </c>
      <c r="AE11" s="8">
        <v>0.8999999761581421</v>
      </c>
      <c r="AF11" s="8">
        <v>0.5</v>
      </c>
      <c r="AG11" s="8">
        <v>1.2999999523162842</v>
      </c>
    </row>
    <row x14ac:dyDescent="0.25" r="12" customHeight="1" ht="18.75">
      <c r="A12" s="12" t="s">
        <v>106</v>
      </c>
      <c r="B12" s="7">
        <v>8</v>
      </c>
      <c r="C12" s="12" t="s">
        <v>42</v>
      </c>
      <c r="D12" s="12" t="s">
        <v>107</v>
      </c>
      <c r="E12" s="12" t="s">
        <v>108</v>
      </c>
      <c r="F12" s="12" t="s">
        <v>45</v>
      </c>
      <c r="G12" s="12" t="s">
        <v>46</v>
      </c>
      <c r="H12" s="12" t="s">
        <v>109</v>
      </c>
      <c r="I12" s="12" t="s">
        <v>110</v>
      </c>
      <c r="J12" s="12"/>
      <c r="K12" s="12" t="s">
        <v>111</v>
      </c>
      <c r="L12" s="12" t="s">
        <v>110</v>
      </c>
      <c r="M12" s="12" t="s">
        <v>50</v>
      </c>
      <c r="N12" s="12" t="s">
        <v>112</v>
      </c>
      <c r="O12" s="12" t="s">
        <v>52</v>
      </c>
      <c r="P12" s="12" t="s">
        <v>93</v>
      </c>
      <c r="Q12" s="7">
        <v>5</v>
      </c>
      <c r="R12" s="12" t="s">
        <v>54</v>
      </c>
      <c r="S12" s="12" t="s">
        <v>55</v>
      </c>
      <c r="T12" s="7">
        <v>50000</v>
      </c>
      <c r="U12" s="12" t="s">
        <v>56</v>
      </c>
      <c r="V12" s="7">
        <v>0</v>
      </c>
      <c r="W12" s="7">
        <v>0</v>
      </c>
      <c r="X12" s="8">
        <v>0.949999988079071</v>
      </c>
      <c r="Y12" s="7">
        <v>0</v>
      </c>
      <c r="Z12" s="7">
        <v>80</v>
      </c>
      <c r="AA12" s="8">
        <v>0.10000000149011612</v>
      </c>
      <c r="AB12" s="8">
        <v>0.8999999761581421</v>
      </c>
      <c r="AC12" s="7">
        <v>1</v>
      </c>
      <c r="AD12" s="8">
        <v>1.5</v>
      </c>
      <c r="AE12" s="8">
        <v>0.8999999761581421</v>
      </c>
      <c r="AF12" s="7">
        <v>1</v>
      </c>
      <c r="AG12" s="8">
        <v>2.5</v>
      </c>
    </row>
    <row x14ac:dyDescent="0.25" r="13" customHeight="1" ht="18.75">
      <c r="A13" s="12" t="s">
        <v>113</v>
      </c>
      <c r="B13" s="7">
        <v>9</v>
      </c>
      <c r="C13" s="12" t="s">
        <v>42</v>
      </c>
      <c r="D13" s="12" t="s">
        <v>43</v>
      </c>
      <c r="E13" s="12" t="s">
        <v>114</v>
      </c>
      <c r="F13" s="12" t="s">
        <v>45</v>
      </c>
      <c r="G13" s="12" t="s">
        <v>46</v>
      </c>
      <c r="H13" s="12" t="s">
        <v>115</v>
      </c>
      <c r="I13" s="12" t="s">
        <v>116</v>
      </c>
      <c r="J13" s="12"/>
      <c r="K13" s="12" t="s">
        <v>117</v>
      </c>
      <c r="L13" s="12" t="s">
        <v>116</v>
      </c>
      <c r="M13" s="12" t="s">
        <v>50</v>
      </c>
      <c r="N13" s="12" t="s">
        <v>118</v>
      </c>
      <c r="O13" s="12" t="s">
        <v>52</v>
      </c>
      <c r="P13" s="12" t="s">
        <v>119</v>
      </c>
      <c r="Q13" s="7">
        <v>8</v>
      </c>
      <c r="R13" s="12" t="s">
        <v>54</v>
      </c>
      <c r="S13" s="12" t="s">
        <v>55</v>
      </c>
      <c r="T13" s="7">
        <v>50000</v>
      </c>
      <c r="U13" s="12" t="s">
        <v>56</v>
      </c>
      <c r="V13" s="7">
        <v>0</v>
      </c>
      <c r="W13" s="7">
        <v>0</v>
      </c>
      <c r="X13" s="8">
        <v>0.949999988079071</v>
      </c>
      <c r="Y13" s="7">
        <v>0</v>
      </c>
      <c r="Z13" s="7">
        <v>80</v>
      </c>
      <c r="AA13" s="8">
        <v>0.10000000149011612</v>
      </c>
      <c r="AB13" s="8">
        <v>1.5</v>
      </c>
      <c r="AC13" s="7">
        <v>1</v>
      </c>
      <c r="AD13" s="7">
        <v>1</v>
      </c>
      <c r="AE13" s="8">
        <v>0.8999999761581421</v>
      </c>
      <c r="AF13" s="8">
        <v>0.5</v>
      </c>
      <c r="AG13" s="8">
        <v>1.2999999523162842</v>
      </c>
    </row>
    <row x14ac:dyDescent="0.25" r="14" customHeight="1" ht="18.75">
      <c r="A14" s="12" t="s">
        <v>120</v>
      </c>
      <c r="B14" s="7">
        <v>10</v>
      </c>
      <c r="C14" s="12" t="s">
        <v>42</v>
      </c>
      <c r="D14" s="12" t="s">
        <v>43</v>
      </c>
      <c r="E14" s="12" t="s">
        <v>121</v>
      </c>
      <c r="F14" s="12" t="s">
        <v>45</v>
      </c>
      <c r="G14" s="12" t="s">
        <v>46</v>
      </c>
      <c r="H14" s="12" t="s">
        <v>122</v>
      </c>
      <c r="I14" s="12" t="s">
        <v>123</v>
      </c>
      <c r="J14" s="12"/>
      <c r="K14" s="12" t="s">
        <v>124</v>
      </c>
      <c r="L14" s="12" t="s">
        <v>123</v>
      </c>
      <c r="M14" s="12" t="s">
        <v>50</v>
      </c>
      <c r="N14" s="12" t="s">
        <v>51</v>
      </c>
      <c r="O14" s="12" t="s">
        <v>52</v>
      </c>
      <c r="P14" s="12" t="s">
        <v>53</v>
      </c>
      <c r="Q14" s="7">
        <v>8</v>
      </c>
      <c r="R14" s="12" t="s">
        <v>54</v>
      </c>
      <c r="S14" s="12" t="s">
        <v>55</v>
      </c>
      <c r="T14" s="7">
        <v>50000</v>
      </c>
      <c r="U14" s="12" t="s">
        <v>56</v>
      </c>
      <c r="V14" s="7">
        <v>0</v>
      </c>
      <c r="W14" s="7">
        <v>0</v>
      </c>
      <c r="X14" s="8">
        <v>0.949999988079071</v>
      </c>
      <c r="Y14" s="7">
        <v>0</v>
      </c>
      <c r="Z14" s="7">
        <v>80</v>
      </c>
      <c r="AA14" s="8">
        <v>0.10000000149011612</v>
      </c>
      <c r="AB14" s="8">
        <v>1.5</v>
      </c>
      <c r="AC14" s="7">
        <v>1</v>
      </c>
      <c r="AD14" s="7">
        <v>1</v>
      </c>
      <c r="AE14" s="8">
        <v>0.8999999761581421</v>
      </c>
      <c r="AF14" s="8">
        <v>0.5</v>
      </c>
      <c r="AG14" s="8">
        <v>1.2999999523162842</v>
      </c>
    </row>
    <row x14ac:dyDescent="0.25" r="15" customHeight="1" ht="18.75">
      <c r="A15" s="12" t="s">
        <v>125</v>
      </c>
      <c r="B15" s="7">
        <v>11</v>
      </c>
      <c r="C15" s="12" t="s">
        <v>42</v>
      </c>
      <c r="D15" s="12" t="s">
        <v>43</v>
      </c>
      <c r="E15" s="12" t="s">
        <v>126</v>
      </c>
      <c r="F15" s="12" t="s">
        <v>45</v>
      </c>
      <c r="G15" s="12" t="s">
        <v>46</v>
      </c>
      <c r="H15" s="12" t="s">
        <v>127</v>
      </c>
      <c r="I15" s="12"/>
      <c r="J15" s="12"/>
      <c r="K15" s="12" t="s">
        <v>127</v>
      </c>
      <c r="L15" s="12"/>
      <c r="M15" s="12" t="s">
        <v>50</v>
      </c>
      <c r="N15" s="12" t="s">
        <v>51</v>
      </c>
      <c r="O15" s="12" t="s">
        <v>52</v>
      </c>
      <c r="P15" s="12" t="s">
        <v>53</v>
      </c>
      <c r="Q15" s="7">
        <v>12</v>
      </c>
      <c r="R15" s="12" t="s">
        <v>54</v>
      </c>
      <c r="S15" s="12" t="s">
        <v>55</v>
      </c>
      <c r="T15" s="7">
        <v>50000</v>
      </c>
      <c r="U15" s="12" t="s">
        <v>56</v>
      </c>
      <c r="V15" s="7">
        <v>0</v>
      </c>
      <c r="W15" s="7">
        <v>0</v>
      </c>
      <c r="X15" s="8">
        <v>0.949999988079071</v>
      </c>
      <c r="Y15" s="7">
        <v>0</v>
      </c>
      <c r="Z15" s="7">
        <v>80</v>
      </c>
      <c r="AA15" s="8">
        <v>0.10000000149011612</v>
      </c>
      <c r="AB15" s="8">
        <v>1.5</v>
      </c>
      <c r="AC15" s="7">
        <v>1</v>
      </c>
      <c r="AD15" s="7">
        <v>1</v>
      </c>
      <c r="AE15" s="8">
        <v>0.8999999761581421</v>
      </c>
      <c r="AF15" s="8">
        <v>0.5</v>
      </c>
      <c r="AG15" s="8">
        <v>1.2999999523162842</v>
      </c>
    </row>
    <row x14ac:dyDescent="0.25" r="16" customHeight="1" ht="18.75">
      <c r="A16" s="12" t="s">
        <v>128</v>
      </c>
      <c r="B16" s="7">
        <v>12</v>
      </c>
      <c r="C16" s="12" t="s">
        <v>42</v>
      </c>
      <c r="D16" s="12" t="s">
        <v>43</v>
      </c>
      <c r="E16" s="12" t="s">
        <v>129</v>
      </c>
      <c r="F16" s="12" t="s">
        <v>45</v>
      </c>
      <c r="G16" s="12" t="s">
        <v>46</v>
      </c>
      <c r="H16" s="12" t="s">
        <v>130</v>
      </c>
      <c r="I16" s="12" t="s">
        <v>131</v>
      </c>
      <c r="J16" s="12"/>
      <c r="K16" s="12" t="s">
        <v>132</v>
      </c>
      <c r="L16" s="12" t="s">
        <v>131</v>
      </c>
      <c r="M16" s="12" t="s">
        <v>50</v>
      </c>
      <c r="N16" s="12" t="s">
        <v>53</v>
      </c>
      <c r="O16" s="12" t="s">
        <v>52</v>
      </c>
      <c r="P16" s="12" t="s">
        <v>118</v>
      </c>
      <c r="Q16" s="8">
        <v>17.5</v>
      </c>
      <c r="R16" s="12" t="s">
        <v>54</v>
      </c>
      <c r="S16" s="12" t="s">
        <v>55</v>
      </c>
      <c r="T16" s="7">
        <v>50000</v>
      </c>
      <c r="U16" s="12" t="s">
        <v>56</v>
      </c>
      <c r="V16" s="7">
        <v>0</v>
      </c>
      <c r="W16" s="7">
        <v>0</v>
      </c>
      <c r="X16" s="8">
        <v>0.949999988079071</v>
      </c>
      <c r="Y16" s="7">
        <v>0</v>
      </c>
      <c r="Z16" s="7">
        <v>33</v>
      </c>
      <c r="AA16" s="8">
        <v>0.10000000149011612</v>
      </c>
      <c r="AB16" s="8">
        <v>1.5</v>
      </c>
      <c r="AC16" s="8">
        <v>0.8500000238418579</v>
      </c>
      <c r="AD16" s="7">
        <v>1</v>
      </c>
      <c r="AE16" s="8">
        <v>0.8999999761581421</v>
      </c>
      <c r="AF16" s="8">
        <v>0.699999988079071</v>
      </c>
      <c r="AG16" s="8">
        <v>1.399999976158142</v>
      </c>
    </row>
    <row x14ac:dyDescent="0.25" r="17" customHeight="1" ht="18.75">
      <c r="A17" s="12" t="s">
        <v>133</v>
      </c>
      <c r="B17" s="7">
        <v>13</v>
      </c>
      <c r="C17" s="12" t="s">
        <v>134</v>
      </c>
      <c r="D17" s="12" t="s">
        <v>43</v>
      </c>
      <c r="E17" s="12" t="s">
        <v>44</v>
      </c>
      <c r="F17" s="12" t="s">
        <v>45</v>
      </c>
      <c r="G17" s="12" t="s">
        <v>46</v>
      </c>
      <c r="H17" s="12" t="s">
        <v>47</v>
      </c>
      <c r="I17" s="12" t="s">
        <v>48</v>
      </c>
      <c r="J17" s="12"/>
      <c r="K17" s="12" t="s">
        <v>49</v>
      </c>
      <c r="L17" s="12" t="s">
        <v>48</v>
      </c>
      <c r="M17" s="12" t="s">
        <v>50</v>
      </c>
      <c r="N17" s="12" t="s">
        <v>135</v>
      </c>
      <c r="O17" s="12" t="s">
        <v>136</v>
      </c>
      <c r="P17" s="12" t="s">
        <v>118</v>
      </c>
      <c r="Q17" s="7">
        <v>6</v>
      </c>
      <c r="R17" s="12" t="s">
        <v>54</v>
      </c>
      <c r="S17" s="12" t="s">
        <v>137</v>
      </c>
      <c r="T17" s="7">
        <v>50000</v>
      </c>
      <c r="U17" s="12" t="s">
        <v>138</v>
      </c>
      <c r="V17" s="7">
        <v>0</v>
      </c>
      <c r="W17" s="7">
        <v>0</v>
      </c>
      <c r="X17" s="8">
        <v>0.4000000059604645</v>
      </c>
      <c r="Y17" s="8">
        <v>0.10000000149011612</v>
      </c>
      <c r="Z17" s="7">
        <v>13</v>
      </c>
      <c r="AA17" s="8">
        <v>0.10000000149011612</v>
      </c>
      <c r="AB17" s="8">
        <v>1.5</v>
      </c>
      <c r="AC17" s="7">
        <v>1</v>
      </c>
      <c r="AD17" s="7">
        <v>1</v>
      </c>
      <c r="AE17" s="8">
        <v>0.8999999761581421</v>
      </c>
      <c r="AF17" s="8">
        <v>0.5</v>
      </c>
      <c r="AG17" s="8">
        <v>1.2999999523162842</v>
      </c>
    </row>
    <row x14ac:dyDescent="0.25" r="18" customHeight="1" ht="18.75">
      <c r="A18" s="12" t="s">
        <v>139</v>
      </c>
      <c r="B18" s="7">
        <v>14</v>
      </c>
      <c r="C18" s="12" t="s">
        <v>134</v>
      </c>
      <c r="D18" s="12" t="s">
        <v>140</v>
      </c>
      <c r="E18" s="12" t="s">
        <v>141</v>
      </c>
      <c r="F18" s="12" t="s">
        <v>45</v>
      </c>
      <c r="G18" s="12" t="s">
        <v>68</v>
      </c>
      <c r="H18" s="12" t="s">
        <v>69</v>
      </c>
      <c r="I18" s="12" t="s">
        <v>70</v>
      </c>
      <c r="J18" s="12" t="s">
        <v>70</v>
      </c>
      <c r="K18" s="12" t="s">
        <v>78</v>
      </c>
      <c r="L18" s="12" t="s">
        <v>79</v>
      </c>
      <c r="M18" s="12" t="s">
        <v>50</v>
      </c>
      <c r="N18" s="12" t="s">
        <v>112</v>
      </c>
      <c r="O18" s="12" t="s">
        <v>74</v>
      </c>
      <c r="P18" s="12" t="s">
        <v>81</v>
      </c>
      <c r="Q18" s="7">
        <v>4</v>
      </c>
      <c r="R18" s="12" t="s">
        <v>54</v>
      </c>
      <c r="S18" s="12" t="s">
        <v>137</v>
      </c>
      <c r="T18" s="7">
        <v>50000</v>
      </c>
      <c r="U18" s="12" t="s">
        <v>138</v>
      </c>
      <c r="V18" s="7">
        <v>0</v>
      </c>
      <c r="W18" s="7">
        <v>0</v>
      </c>
      <c r="X18" s="8">
        <v>0.27000001072883606</v>
      </c>
      <c r="Y18" s="8">
        <v>0.013000000268220901</v>
      </c>
      <c r="Z18" s="7">
        <v>9</v>
      </c>
      <c r="AA18" s="8">
        <v>0.10000000149011612</v>
      </c>
      <c r="AB18" s="8">
        <v>1.2000000476837158</v>
      </c>
      <c r="AC18" s="7">
        <v>1</v>
      </c>
      <c r="AD18" s="7">
        <v>2</v>
      </c>
      <c r="AE18" s="8">
        <v>0.800000011920929</v>
      </c>
      <c r="AF18" s="8">
        <v>1.149999976158142</v>
      </c>
      <c r="AG18" s="8">
        <v>3.2200000286102295</v>
      </c>
    </row>
    <row x14ac:dyDescent="0.25" r="19" customHeight="1" ht="18.75">
      <c r="A19" s="12" t="s">
        <v>142</v>
      </c>
      <c r="B19" s="7">
        <v>15</v>
      </c>
      <c r="C19" s="12" t="s">
        <v>134</v>
      </c>
      <c r="D19" s="12" t="s">
        <v>140</v>
      </c>
      <c r="E19" s="12" t="s">
        <v>143</v>
      </c>
      <c r="F19" s="12" t="s">
        <v>45</v>
      </c>
      <c r="G19" s="12" t="s">
        <v>144</v>
      </c>
      <c r="H19" s="12" t="s">
        <v>145</v>
      </c>
      <c r="I19" s="12" t="s">
        <v>146</v>
      </c>
      <c r="J19" s="12"/>
      <c r="K19" s="12" t="s">
        <v>147</v>
      </c>
      <c r="L19" s="12" t="s">
        <v>146</v>
      </c>
      <c r="M19" s="12" t="s">
        <v>50</v>
      </c>
      <c r="N19" s="12" t="s">
        <v>53</v>
      </c>
      <c r="O19" s="12" t="s">
        <v>136</v>
      </c>
      <c r="P19" s="12" t="s">
        <v>99</v>
      </c>
      <c r="Q19" s="8">
        <v>1.149999976158142</v>
      </c>
      <c r="R19" s="12" t="s">
        <v>54</v>
      </c>
      <c r="S19" s="12" t="s">
        <v>137</v>
      </c>
      <c r="T19" s="7">
        <v>50000</v>
      </c>
      <c r="U19" s="12" t="s">
        <v>138</v>
      </c>
      <c r="V19" s="7">
        <v>0</v>
      </c>
      <c r="W19" s="7">
        <v>0</v>
      </c>
      <c r="X19" s="8">
        <v>0.10000000149011612</v>
      </c>
      <c r="Y19" s="8">
        <v>0.05000000074505806</v>
      </c>
      <c r="Z19" s="7">
        <v>9</v>
      </c>
      <c r="AA19" s="8">
        <v>0.10000000149011612</v>
      </c>
      <c r="AB19" s="8">
        <v>1.5</v>
      </c>
      <c r="AC19" s="7">
        <v>1</v>
      </c>
      <c r="AD19" s="7">
        <v>1</v>
      </c>
      <c r="AE19" s="7">
        <v>1</v>
      </c>
      <c r="AF19" s="7">
        <v>1</v>
      </c>
      <c r="AG19" s="7">
        <v>4</v>
      </c>
    </row>
    <row x14ac:dyDescent="0.25" r="20" customHeight="1" ht="18.75">
      <c r="A20" s="12" t="s">
        <v>148</v>
      </c>
      <c r="B20" s="7">
        <v>16</v>
      </c>
      <c r="C20" s="12" t="s">
        <v>134</v>
      </c>
      <c r="D20" s="12" t="s">
        <v>149</v>
      </c>
      <c r="E20" s="12" t="s">
        <v>150</v>
      </c>
      <c r="F20" s="12" t="s">
        <v>45</v>
      </c>
      <c r="G20" s="12" t="s">
        <v>151</v>
      </c>
      <c r="H20" s="12" t="s">
        <v>152</v>
      </c>
      <c r="I20" s="12" t="s">
        <v>153</v>
      </c>
      <c r="J20" s="12"/>
      <c r="K20" s="12" t="s">
        <v>154</v>
      </c>
      <c r="L20" s="12" t="s">
        <v>153</v>
      </c>
      <c r="M20" s="12" t="s">
        <v>50</v>
      </c>
      <c r="N20" s="12" t="s">
        <v>80</v>
      </c>
      <c r="O20" s="12" t="s">
        <v>74</v>
      </c>
      <c r="P20" s="12" t="s">
        <v>99</v>
      </c>
      <c r="Q20" s="7">
        <v>4</v>
      </c>
      <c r="R20" s="12" t="s">
        <v>54</v>
      </c>
      <c r="S20" s="12" t="s">
        <v>137</v>
      </c>
      <c r="T20" s="7">
        <v>50000</v>
      </c>
      <c r="U20" s="12" t="s">
        <v>138</v>
      </c>
      <c r="V20" s="7">
        <v>0</v>
      </c>
      <c r="W20" s="7">
        <v>0</v>
      </c>
      <c r="X20" s="8">
        <v>0.30000001192092896</v>
      </c>
      <c r="Y20" s="7">
        <v>0</v>
      </c>
      <c r="Z20" s="7">
        <v>15</v>
      </c>
      <c r="AA20" s="8">
        <v>0.10000000149011612</v>
      </c>
      <c r="AB20" s="7">
        <v>1</v>
      </c>
      <c r="AC20" s="7">
        <v>1</v>
      </c>
      <c r="AD20" s="7">
        <v>1</v>
      </c>
      <c r="AE20" s="8">
        <v>1.5</v>
      </c>
      <c r="AF20" s="8">
        <v>1.600000023841858</v>
      </c>
      <c r="AG20" s="8">
        <v>4.699999809265137</v>
      </c>
    </row>
    <row x14ac:dyDescent="0.25" r="21" customHeight="1" ht="18.75">
      <c r="A21" s="12" t="s">
        <v>155</v>
      </c>
      <c r="B21" s="7">
        <v>17</v>
      </c>
      <c r="C21" s="12" t="s">
        <v>134</v>
      </c>
      <c r="D21" s="12" t="s">
        <v>43</v>
      </c>
      <c r="E21" s="12" t="s">
        <v>156</v>
      </c>
      <c r="F21" s="12" t="s">
        <v>45</v>
      </c>
      <c r="G21" s="12" t="s">
        <v>157</v>
      </c>
      <c r="H21" s="12" t="s">
        <v>158</v>
      </c>
      <c r="I21" s="12" t="s">
        <v>159</v>
      </c>
      <c r="J21" s="12"/>
      <c r="K21" s="12" t="s">
        <v>160</v>
      </c>
      <c r="L21" s="12" t="s">
        <v>159</v>
      </c>
      <c r="M21" s="12" t="s">
        <v>50</v>
      </c>
      <c r="N21" s="12" t="s">
        <v>80</v>
      </c>
      <c r="O21" s="12" t="s">
        <v>136</v>
      </c>
      <c r="P21" s="12" t="s">
        <v>99</v>
      </c>
      <c r="Q21" s="7">
        <v>3</v>
      </c>
      <c r="R21" s="12" t="s">
        <v>54</v>
      </c>
      <c r="S21" s="12" t="s">
        <v>137</v>
      </c>
      <c r="T21" s="7">
        <v>50000</v>
      </c>
      <c r="U21" s="12" t="s">
        <v>138</v>
      </c>
      <c r="V21" s="7">
        <v>0</v>
      </c>
      <c r="W21" s="7">
        <v>0</v>
      </c>
      <c r="X21" s="8">
        <v>0.30000001192092896</v>
      </c>
      <c r="Y21" s="8">
        <v>0.10000000149011612</v>
      </c>
      <c r="Z21" s="7">
        <v>8</v>
      </c>
      <c r="AA21" s="8">
        <v>0.10000000149011612</v>
      </c>
      <c r="AB21" s="8">
        <v>1.5</v>
      </c>
      <c r="AC21" s="7">
        <v>1</v>
      </c>
      <c r="AD21" s="7">
        <v>1</v>
      </c>
      <c r="AE21" s="8">
        <v>0.8999999761581421</v>
      </c>
      <c r="AF21" s="8">
        <v>1.2999999523162842</v>
      </c>
      <c r="AG21" s="8">
        <v>2.4000000953674316</v>
      </c>
    </row>
    <row x14ac:dyDescent="0.25" r="22" customHeight="1" ht="18.75">
      <c r="A22" s="12" t="s">
        <v>161</v>
      </c>
      <c r="B22" s="7">
        <v>18</v>
      </c>
      <c r="C22" s="12" t="s">
        <v>134</v>
      </c>
      <c r="D22" s="12" t="s">
        <v>43</v>
      </c>
      <c r="E22" s="12" t="s">
        <v>102</v>
      </c>
      <c r="F22" s="12" t="s">
        <v>45</v>
      </c>
      <c r="G22" s="12" t="s">
        <v>46</v>
      </c>
      <c r="H22" s="12" t="s">
        <v>103</v>
      </c>
      <c r="I22" s="12" t="s">
        <v>104</v>
      </c>
      <c r="J22" s="12"/>
      <c r="K22" s="12" t="s">
        <v>105</v>
      </c>
      <c r="L22" s="12" t="s">
        <v>104</v>
      </c>
      <c r="M22" s="12" t="s">
        <v>50</v>
      </c>
      <c r="N22" s="12" t="s">
        <v>119</v>
      </c>
      <c r="O22" s="12" t="s">
        <v>136</v>
      </c>
      <c r="P22" s="12" t="s">
        <v>118</v>
      </c>
      <c r="Q22" s="7">
        <v>8</v>
      </c>
      <c r="R22" s="12" t="s">
        <v>54</v>
      </c>
      <c r="S22" s="12" t="s">
        <v>137</v>
      </c>
      <c r="T22" s="7">
        <v>50000</v>
      </c>
      <c r="U22" s="12" t="s">
        <v>138</v>
      </c>
      <c r="V22" s="7">
        <v>0</v>
      </c>
      <c r="W22" s="7">
        <v>0</v>
      </c>
      <c r="X22" s="8">
        <v>0.46299999952316284</v>
      </c>
      <c r="Y22" s="8">
        <v>0.10000000149011612</v>
      </c>
      <c r="Z22" s="7">
        <v>13</v>
      </c>
      <c r="AA22" s="8">
        <v>0.10000000149011612</v>
      </c>
      <c r="AB22" s="8">
        <v>1.2000000476837158</v>
      </c>
      <c r="AC22" s="7">
        <v>1</v>
      </c>
      <c r="AD22" s="7">
        <v>1</v>
      </c>
      <c r="AE22" s="8">
        <v>0.8999999761581421</v>
      </c>
      <c r="AF22" s="8">
        <v>0.5</v>
      </c>
      <c r="AG22" s="8">
        <v>1.2000000476837158</v>
      </c>
    </row>
    <row x14ac:dyDescent="0.25" r="23" customHeight="1" ht="18.75">
      <c r="A23" s="12" t="s">
        <v>162</v>
      </c>
      <c r="B23" s="7">
        <v>19</v>
      </c>
      <c r="C23" s="12" t="s">
        <v>134</v>
      </c>
      <c r="D23" s="12" t="s">
        <v>149</v>
      </c>
      <c r="E23" s="12" t="s">
        <v>163</v>
      </c>
      <c r="F23" s="12" t="s">
        <v>45</v>
      </c>
      <c r="G23" s="12" t="s">
        <v>151</v>
      </c>
      <c r="H23" s="12" t="s">
        <v>164</v>
      </c>
      <c r="I23" s="12" t="s">
        <v>165</v>
      </c>
      <c r="J23" s="12"/>
      <c r="K23" s="12" t="s">
        <v>166</v>
      </c>
      <c r="L23" s="12" t="s">
        <v>165</v>
      </c>
      <c r="M23" s="12" t="s">
        <v>50</v>
      </c>
      <c r="N23" s="12" t="s">
        <v>80</v>
      </c>
      <c r="O23" s="12" t="s">
        <v>136</v>
      </c>
      <c r="P23" s="12" t="s">
        <v>99</v>
      </c>
      <c r="Q23" s="8">
        <v>3.5</v>
      </c>
      <c r="R23" s="12" t="s">
        <v>54</v>
      </c>
      <c r="S23" s="12" t="s">
        <v>137</v>
      </c>
      <c r="T23" s="7">
        <v>50000</v>
      </c>
      <c r="U23" s="12" t="s">
        <v>138</v>
      </c>
      <c r="V23" s="7">
        <v>0</v>
      </c>
      <c r="W23" s="7">
        <v>0</v>
      </c>
      <c r="X23" s="8">
        <v>0.5</v>
      </c>
      <c r="Y23" s="7">
        <v>0</v>
      </c>
      <c r="Z23" s="7">
        <v>14</v>
      </c>
      <c r="AA23" s="8">
        <v>0.10000000149011612</v>
      </c>
      <c r="AB23" s="7">
        <v>1</v>
      </c>
      <c r="AC23" s="7">
        <v>1</v>
      </c>
      <c r="AD23" s="7">
        <v>1</v>
      </c>
      <c r="AE23" s="8">
        <v>1.5</v>
      </c>
      <c r="AF23" s="8">
        <v>1.600000023841858</v>
      </c>
      <c r="AG23" s="8">
        <v>3.5</v>
      </c>
    </row>
    <row x14ac:dyDescent="0.25" r="24" customHeight="1" ht="18.75">
      <c r="A24" s="12" t="s">
        <v>167</v>
      </c>
      <c r="B24" s="7">
        <v>20</v>
      </c>
      <c r="C24" s="12" t="s">
        <v>134</v>
      </c>
      <c r="D24" s="12" t="s">
        <v>140</v>
      </c>
      <c r="E24" s="12" t="s">
        <v>168</v>
      </c>
      <c r="F24" s="12" t="s">
        <v>45</v>
      </c>
      <c r="G24" s="12" t="s">
        <v>169</v>
      </c>
      <c r="H24" s="12" t="s">
        <v>170</v>
      </c>
      <c r="I24" s="12" t="s">
        <v>171</v>
      </c>
      <c r="J24" s="12"/>
      <c r="K24" s="12" t="s">
        <v>172</v>
      </c>
      <c r="L24" s="12" t="s">
        <v>171</v>
      </c>
      <c r="M24" s="12" t="s">
        <v>50</v>
      </c>
      <c r="N24" s="12" t="s">
        <v>119</v>
      </c>
      <c r="O24" s="12" t="s">
        <v>74</v>
      </c>
      <c r="P24" s="12" t="s">
        <v>99</v>
      </c>
      <c r="Q24" s="8">
        <v>2.5</v>
      </c>
      <c r="R24" s="12" t="s">
        <v>54</v>
      </c>
      <c r="S24" s="12" t="s">
        <v>137</v>
      </c>
      <c r="T24" s="7">
        <v>50000</v>
      </c>
      <c r="U24" s="12" t="s">
        <v>138</v>
      </c>
      <c r="V24" s="7">
        <v>0</v>
      </c>
      <c r="W24" s="7">
        <v>0</v>
      </c>
      <c r="X24" s="8">
        <v>0.2083333283662796</v>
      </c>
      <c r="Y24" s="7">
        <v>0</v>
      </c>
      <c r="Z24" s="7">
        <v>9</v>
      </c>
      <c r="AA24" s="8">
        <v>0.10000000149011612</v>
      </c>
      <c r="AB24" s="7">
        <v>1</v>
      </c>
      <c r="AC24" s="7">
        <v>1</v>
      </c>
      <c r="AD24" s="7">
        <v>1</v>
      </c>
      <c r="AE24" s="7">
        <v>1</v>
      </c>
      <c r="AF24" s="7">
        <v>1</v>
      </c>
      <c r="AG24" s="8">
        <v>4.300000190734863</v>
      </c>
    </row>
    <row x14ac:dyDescent="0.25" r="25" customHeight="1" ht="18.75">
      <c r="A25" s="12" t="s">
        <v>173</v>
      </c>
      <c r="B25" s="7">
        <v>21</v>
      </c>
      <c r="C25" s="12" t="s">
        <v>134</v>
      </c>
      <c r="D25" s="12" t="s">
        <v>149</v>
      </c>
      <c r="E25" s="12" t="s">
        <v>174</v>
      </c>
      <c r="F25" s="12" t="s">
        <v>45</v>
      </c>
      <c r="G25" s="12" t="s">
        <v>151</v>
      </c>
      <c r="H25" s="12" t="s">
        <v>175</v>
      </c>
      <c r="I25" s="12" t="s">
        <v>62</v>
      </c>
      <c r="J25" s="12"/>
      <c r="K25" s="12" t="s">
        <v>176</v>
      </c>
      <c r="L25" s="12" t="s">
        <v>62</v>
      </c>
      <c r="M25" s="12" t="s">
        <v>50</v>
      </c>
      <c r="N25" s="12" t="s">
        <v>80</v>
      </c>
      <c r="O25" s="12" t="s">
        <v>136</v>
      </c>
      <c r="P25" s="12" t="s">
        <v>99</v>
      </c>
      <c r="Q25" s="8">
        <v>3.5</v>
      </c>
      <c r="R25" s="12" t="s">
        <v>54</v>
      </c>
      <c r="S25" s="12" t="s">
        <v>137</v>
      </c>
      <c r="T25" s="7">
        <v>50000</v>
      </c>
      <c r="U25" s="12" t="s">
        <v>138</v>
      </c>
      <c r="V25" s="7">
        <v>0</v>
      </c>
      <c r="W25" s="7">
        <v>0</v>
      </c>
      <c r="X25" s="8">
        <v>0.5</v>
      </c>
      <c r="Y25" s="7">
        <v>0</v>
      </c>
      <c r="Z25" s="7">
        <v>14</v>
      </c>
      <c r="AA25" s="8">
        <v>0.10000000149011612</v>
      </c>
      <c r="AB25" s="7">
        <v>1</v>
      </c>
      <c r="AC25" s="7">
        <v>1</v>
      </c>
      <c r="AD25" s="7">
        <v>1</v>
      </c>
      <c r="AE25" s="8">
        <v>1.5</v>
      </c>
      <c r="AF25" s="8">
        <v>1.600000023841858</v>
      </c>
      <c r="AG25" s="8">
        <v>3.5</v>
      </c>
    </row>
    <row x14ac:dyDescent="0.25" r="26" customHeight="1" ht="18.75">
      <c r="A26" s="12" t="s">
        <v>177</v>
      </c>
      <c r="B26" s="7">
        <v>22</v>
      </c>
      <c r="C26" s="12" t="s">
        <v>134</v>
      </c>
      <c r="D26" s="12" t="s">
        <v>149</v>
      </c>
      <c r="E26" s="12" t="s">
        <v>178</v>
      </c>
      <c r="F26" s="12" t="s">
        <v>45</v>
      </c>
      <c r="G26" s="12" t="s">
        <v>151</v>
      </c>
      <c r="H26" s="12" t="s">
        <v>179</v>
      </c>
      <c r="I26" s="12" t="s">
        <v>180</v>
      </c>
      <c r="J26" s="12"/>
      <c r="K26" s="12" t="s">
        <v>181</v>
      </c>
      <c r="L26" s="12" t="s">
        <v>180</v>
      </c>
      <c r="M26" s="12" t="s">
        <v>50</v>
      </c>
      <c r="N26" s="12" t="s">
        <v>80</v>
      </c>
      <c r="O26" s="12" t="s">
        <v>136</v>
      </c>
      <c r="P26" s="12" t="s">
        <v>99</v>
      </c>
      <c r="Q26" s="8">
        <v>3.5</v>
      </c>
      <c r="R26" s="12" t="s">
        <v>54</v>
      </c>
      <c r="S26" s="12" t="s">
        <v>137</v>
      </c>
      <c r="T26" s="7">
        <v>50000</v>
      </c>
      <c r="U26" s="12" t="s">
        <v>138</v>
      </c>
      <c r="V26" s="7">
        <v>0</v>
      </c>
      <c r="W26" s="7">
        <v>0</v>
      </c>
      <c r="X26" s="8">
        <v>0.30000001192092896</v>
      </c>
      <c r="Y26" s="7">
        <v>0</v>
      </c>
      <c r="Z26" s="7">
        <v>14</v>
      </c>
      <c r="AA26" s="8">
        <v>0.10000000149011612</v>
      </c>
      <c r="AB26" s="8">
        <v>0.699999988079071</v>
      </c>
      <c r="AC26" s="7">
        <v>1</v>
      </c>
      <c r="AD26" s="7">
        <v>1</v>
      </c>
      <c r="AE26" s="8">
        <v>1.5</v>
      </c>
      <c r="AF26" s="8">
        <v>1.600000023841858</v>
      </c>
      <c r="AG26" s="8">
        <v>4.699999809265137</v>
      </c>
    </row>
    <row x14ac:dyDescent="0.25" r="27" customHeight="1" ht="18.75">
      <c r="A27" s="12" t="s">
        <v>182</v>
      </c>
      <c r="B27" s="7">
        <v>23</v>
      </c>
      <c r="C27" s="12" t="s">
        <v>134</v>
      </c>
      <c r="D27" s="12" t="s">
        <v>43</v>
      </c>
      <c r="E27" s="12" t="s">
        <v>121</v>
      </c>
      <c r="F27" s="12" t="s">
        <v>183</v>
      </c>
      <c r="G27" s="12" t="s">
        <v>46</v>
      </c>
      <c r="H27" s="12" t="s">
        <v>122</v>
      </c>
      <c r="I27" s="12" t="s">
        <v>123</v>
      </c>
      <c r="J27" s="12"/>
      <c r="K27" s="12" t="s">
        <v>124</v>
      </c>
      <c r="L27" s="12" t="s">
        <v>123</v>
      </c>
      <c r="M27" s="12" t="s">
        <v>50</v>
      </c>
      <c r="N27" s="12" t="s">
        <v>112</v>
      </c>
      <c r="O27" s="12" t="s">
        <v>136</v>
      </c>
      <c r="P27" s="12" t="s">
        <v>118</v>
      </c>
      <c r="Q27" s="7">
        <v>10</v>
      </c>
      <c r="R27" s="12" t="s">
        <v>54</v>
      </c>
      <c r="S27" s="12" t="s">
        <v>137</v>
      </c>
      <c r="T27" s="7">
        <v>50000</v>
      </c>
      <c r="U27" s="12" t="s">
        <v>138</v>
      </c>
      <c r="V27" s="7">
        <v>0</v>
      </c>
      <c r="W27" s="7">
        <v>0</v>
      </c>
      <c r="X27" s="8">
        <v>0.4117000102996826</v>
      </c>
      <c r="Y27" s="8">
        <v>0.10000000149011612</v>
      </c>
      <c r="Z27" s="7">
        <v>13</v>
      </c>
      <c r="AA27" s="8">
        <v>0.10000000149011612</v>
      </c>
      <c r="AB27" s="8">
        <v>1.5</v>
      </c>
      <c r="AC27" s="7">
        <v>1</v>
      </c>
      <c r="AD27" s="7">
        <v>1</v>
      </c>
      <c r="AE27" s="8">
        <v>0.8999999761581421</v>
      </c>
      <c r="AF27" s="8">
        <v>0.5</v>
      </c>
      <c r="AG27" s="8">
        <v>1.5</v>
      </c>
    </row>
    <row x14ac:dyDescent="0.25" r="28" customHeight="1" ht="18.75">
      <c r="A28" s="12" t="s">
        <v>184</v>
      </c>
      <c r="B28" s="7">
        <v>24</v>
      </c>
      <c r="C28" s="12" t="s">
        <v>134</v>
      </c>
      <c r="D28" s="12" t="s">
        <v>43</v>
      </c>
      <c r="E28" s="12" t="s">
        <v>121</v>
      </c>
      <c r="F28" s="12" t="s">
        <v>185</v>
      </c>
      <c r="G28" s="12" t="s">
        <v>46</v>
      </c>
      <c r="H28" s="12" t="s">
        <v>122</v>
      </c>
      <c r="I28" s="12" t="s">
        <v>123</v>
      </c>
      <c r="J28" s="12"/>
      <c r="K28" s="12" t="s">
        <v>124</v>
      </c>
      <c r="L28" s="12" t="s">
        <v>123</v>
      </c>
      <c r="M28" s="12" t="s">
        <v>50</v>
      </c>
      <c r="N28" s="12" t="s">
        <v>112</v>
      </c>
      <c r="O28" s="12" t="s">
        <v>136</v>
      </c>
      <c r="P28" s="12" t="s">
        <v>118</v>
      </c>
      <c r="Q28" s="7">
        <v>12</v>
      </c>
      <c r="R28" s="12" t="s">
        <v>54</v>
      </c>
      <c r="S28" s="12" t="s">
        <v>137</v>
      </c>
      <c r="T28" s="7">
        <v>50000</v>
      </c>
      <c r="U28" s="12" t="s">
        <v>138</v>
      </c>
      <c r="V28" s="7">
        <v>0</v>
      </c>
      <c r="W28" s="7">
        <v>0</v>
      </c>
      <c r="X28" s="8">
        <v>0.4117000102996826</v>
      </c>
      <c r="Y28" s="8">
        <v>0.10000000149011612</v>
      </c>
      <c r="Z28" s="7">
        <v>13</v>
      </c>
      <c r="AA28" s="8">
        <v>0.10000000149011612</v>
      </c>
      <c r="AB28" s="8">
        <v>1.5</v>
      </c>
      <c r="AC28" s="7">
        <v>1</v>
      </c>
      <c r="AD28" s="7">
        <v>1</v>
      </c>
      <c r="AE28" s="8">
        <v>0.8999999761581421</v>
      </c>
      <c r="AF28" s="8">
        <v>0.5</v>
      </c>
      <c r="AG28" s="8">
        <v>1.2000000476837158</v>
      </c>
    </row>
    <row x14ac:dyDescent="0.25" r="29" customHeight="1" ht="18.75">
      <c r="A29" s="12" t="s">
        <v>186</v>
      </c>
      <c r="B29" s="7">
        <v>24</v>
      </c>
      <c r="C29" s="12" t="s">
        <v>134</v>
      </c>
      <c r="D29" s="12" t="s">
        <v>43</v>
      </c>
      <c r="E29" s="12" t="s">
        <v>121</v>
      </c>
      <c r="F29" s="12" t="s">
        <v>45</v>
      </c>
      <c r="G29" s="12" t="s">
        <v>46</v>
      </c>
      <c r="H29" s="12" t="s">
        <v>122</v>
      </c>
      <c r="I29" s="12" t="s">
        <v>123</v>
      </c>
      <c r="J29" s="12"/>
      <c r="K29" s="12" t="s">
        <v>124</v>
      </c>
      <c r="L29" s="12" t="s">
        <v>123</v>
      </c>
      <c r="M29" s="12" t="s">
        <v>50</v>
      </c>
      <c r="N29" s="12" t="s">
        <v>112</v>
      </c>
      <c r="O29" s="12" t="s">
        <v>136</v>
      </c>
      <c r="P29" s="12" t="s">
        <v>118</v>
      </c>
      <c r="Q29" s="7">
        <v>12</v>
      </c>
      <c r="R29" s="12" t="s">
        <v>54</v>
      </c>
      <c r="S29" s="12" t="s">
        <v>137</v>
      </c>
      <c r="T29" s="7">
        <v>50000</v>
      </c>
      <c r="U29" s="12" t="s">
        <v>138</v>
      </c>
      <c r="V29" s="7">
        <v>0</v>
      </c>
      <c r="W29" s="7">
        <v>0</v>
      </c>
      <c r="X29" s="8">
        <v>0.4117000102996826</v>
      </c>
      <c r="Y29" s="8">
        <v>0.10000000149011612</v>
      </c>
      <c r="Z29" s="7">
        <v>13</v>
      </c>
      <c r="AA29" s="8">
        <v>0.10000000149011612</v>
      </c>
      <c r="AB29" s="8">
        <v>1.5</v>
      </c>
      <c r="AC29" s="7">
        <v>1</v>
      </c>
      <c r="AD29" s="7">
        <v>1</v>
      </c>
      <c r="AE29" s="8">
        <v>0.8999999761581421</v>
      </c>
      <c r="AF29" s="8">
        <v>0.5</v>
      </c>
      <c r="AG29" s="8">
        <v>1.2000000476837158</v>
      </c>
    </row>
    <row x14ac:dyDescent="0.25" r="30" customHeight="1" ht="18.75">
      <c r="A30" s="12" t="s">
        <v>187</v>
      </c>
      <c r="B30" s="7">
        <v>25</v>
      </c>
      <c r="C30" s="12" t="s">
        <v>134</v>
      </c>
      <c r="D30" s="12" t="s">
        <v>43</v>
      </c>
      <c r="E30" s="12" t="s">
        <v>129</v>
      </c>
      <c r="F30" s="12" t="s">
        <v>45</v>
      </c>
      <c r="G30" s="12" t="s">
        <v>46</v>
      </c>
      <c r="H30" s="12" t="s">
        <v>130</v>
      </c>
      <c r="I30" s="12" t="s">
        <v>131</v>
      </c>
      <c r="J30" s="12"/>
      <c r="K30" s="12" t="s">
        <v>132</v>
      </c>
      <c r="L30" s="12" t="s">
        <v>131</v>
      </c>
      <c r="M30" s="12" t="s">
        <v>50</v>
      </c>
      <c r="N30" s="12" t="s">
        <v>80</v>
      </c>
      <c r="O30" s="12" t="s">
        <v>136</v>
      </c>
      <c r="P30" s="12" t="s">
        <v>112</v>
      </c>
      <c r="Q30" s="8">
        <v>13.300000190734863</v>
      </c>
      <c r="R30" s="12" t="s">
        <v>54</v>
      </c>
      <c r="S30" s="12" t="s">
        <v>137</v>
      </c>
      <c r="T30" s="7">
        <v>50000</v>
      </c>
      <c r="U30" s="12" t="s">
        <v>138</v>
      </c>
      <c r="V30" s="7">
        <v>0</v>
      </c>
      <c r="W30" s="7">
        <v>0</v>
      </c>
      <c r="X30" s="8">
        <v>0.5</v>
      </c>
      <c r="Y30" s="7">
        <v>0</v>
      </c>
      <c r="Z30" s="7">
        <v>13</v>
      </c>
      <c r="AA30" s="8">
        <v>0.10000000149011612</v>
      </c>
      <c r="AB30" s="8">
        <v>1.5</v>
      </c>
      <c r="AC30" s="8">
        <v>0.8500000238418579</v>
      </c>
      <c r="AD30" s="7">
        <v>1</v>
      </c>
      <c r="AE30" s="8">
        <v>0.8999999761581421</v>
      </c>
      <c r="AF30" s="8">
        <v>0.699999988079071</v>
      </c>
      <c r="AG30" s="8">
        <v>1.399999976158142</v>
      </c>
    </row>
    <row x14ac:dyDescent="0.25" r="31" customHeight="1" ht="18.75">
      <c r="A31" s="12" t="s">
        <v>188</v>
      </c>
      <c r="B31" s="7">
        <v>26</v>
      </c>
      <c r="C31" s="12" t="s">
        <v>50</v>
      </c>
      <c r="D31" s="12" t="s">
        <v>189</v>
      </c>
      <c r="E31" s="12" t="s">
        <v>190</v>
      </c>
      <c r="F31" s="12" t="s">
        <v>45</v>
      </c>
      <c r="G31" s="12" t="s">
        <v>60</v>
      </c>
      <c r="H31" s="12" t="s">
        <v>61</v>
      </c>
      <c r="I31" s="12" t="s">
        <v>62</v>
      </c>
      <c r="J31" s="12" t="s">
        <v>191</v>
      </c>
      <c r="K31" s="12" t="s">
        <v>192</v>
      </c>
      <c r="L31" s="12" t="s">
        <v>193</v>
      </c>
      <c r="M31" s="12" t="s">
        <v>50</v>
      </c>
      <c r="N31" s="12" t="s">
        <v>112</v>
      </c>
      <c r="O31" s="12" t="s">
        <v>74</v>
      </c>
      <c r="P31" s="12" t="s">
        <v>99</v>
      </c>
      <c r="Q31" s="8">
        <v>1.2000000476837158</v>
      </c>
      <c r="R31" s="12" t="s">
        <v>54</v>
      </c>
      <c r="S31" s="12" t="s">
        <v>194</v>
      </c>
      <c r="T31" s="7">
        <v>50000</v>
      </c>
      <c r="U31" s="12" t="s">
        <v>138</v>
      </c>
      <c r="V31" s="7">
        <v>15</v>
      </c>
      <c r="W31" s="7">
        <v>0</v>
      </c>
      <c r="X31" s="8">
        <v>0.17000000178813934</v>
      </c>
      <c r="Y31" s="8">
        <v>0.07000000029802322</v>
      </c>
      <c r="Z31" s="7">
        <v>15</v>
      </c>
      <c r="AA31" s="8">
        <v>0.10000000149011612</v>
      </c>
      <c r="AB31" s="8">
        <v>1.5</v>
      </c>
      <c r="AC31" s="8">
        <v>0.8500000238418579</v>
      </c>
      <c r="AD31" s="8">
        <v>0.800000011920929</v>
      </c>
      <c r="AE31" s="8">
        <v>0.800000011920929</v>
      </c>
      <c r="AF31" s="8">
        <v>1.7999999523162842</v>
      </c>
      <c r="AG31" s="8">
        <v>2.0999999046325684</v>
      </c>
    </row>
    <row x14ac:dyDescent="0.25" r="32" customHeight="1" ht="18.75">
      <c r="A32" s="12" t="s">
        <v>195</v>
      </c>
      <c r="B32" s="7">
        <v>27</v>
      </c>
      <c r="C32" s="12" t="s">
        <v>50</v>
      </c>
      <c r="D32" s="12" t="s">
        <v>42</v>
      </c>
      <c r="E32" s="12" t="s">
        <v>77</v>
      </c>
      <c r="F32" s="12" t="s">
        <v>45</v>
      </c>
      <c r="G32" s="12" t="s">
        <v>68</v>
      </c>
      <c r="H32" s="12" t="s">
        <v>69</v>
      </c>
      <c r="I32" s="12" t="s">
        <v>70</v>
      </c>
      <c r="J32" s="12" t="s">
        <v>70</v>
      </c>
      <c r="K32" s="12" t="s">
        <v>78</v>
      </c>
      <c r="L32" s="12" t="s">
        <v>79</v>
      </c>
      <c r="M32" s="12" t="s">
        <v>50</v>
      </c>
      <c r="N32" s="12" t="s">
        <v>112</v>
      </c>
      <c r="O32" s="12" t="s">
        <v>74</v>
      </c>
      <c r="P32" s="12" t="s">
        <v>118</v>
      </c>
      <c r="Q32" s="7">
        <v>4</v>
      </c>
      <c r="R32" s="12" t="s">
        <v>54</v>
      </c>
      <c r="S32" s="12" t="s">
        <v>194</v>
      </c>
      <c r="T32" s="7">
        <v>50000</v>
      </c>
      <c r="U32" s="12" t="s">
        <v>138</v>
      </c>
      <c r="V32" s="7">
        <v>3</v>
      </c>
      <c r="W32" s="7">
        <v>0</v>
      </c>
      <c r="X32" s="8">
        <v>0.33000001311302185</v>
      </c>
      <c r="Y32" s="8">
        <v>0.07999999821186066</v>
      </c>
      <c r="Z32" s="7">
        <v>10</v>
      </c>
      <c r="AA32" s="8">
        <v>0.10000000149011612</v>
      </c>
      <c r="AB32" s="8">
        <v>1.2000000476837158</v>
      </c>
      <c r="AC32" s="7">
        <v>1</v>
      </c>
      <c r="AD32" s="8">
        <v>1.600000023841858</v>
      </c>
      <c r="AE32" s="8">
        <v>0.800000011920929</v>
      </c>
      <c r="AF32" s="8">
        <v>1.7999999523162842</v>
      </c>
      <c r="AG32" s="7">
        <v>5</v>
      </c>
    </row>
    <row x14ac:dyDescent="0.25" r="33" customHeight="1" ht="18.75">
      <c r="A33" s="12" t="s">
        <v>196</v>
      </c>
      <c r="B33" s="7">
        <v>28</v>
      </c>
      <c r="C33" s="12" t="s">
        <v>50</v>
      </c>
      <c r="D33" s="12" t="s">
        <v>197</v>
      </c>
      <c r="E33" s="12" t="s">
        <v>198</v>
      </c>
      <c r="F33" s="12" t="s">
        <v>45</v>
      </c>
      <c r="G33" s="12" t="s">
        <v>68</v>
      </c>
      <c r="H33" s="12" t="s">
        <v>69</v>
      </c>
      <c r="I33" s="12" t="s">
        <v>90</v>
      </c>
      <c r="J33" s="12" t="s">
        <v>199</v>
      </c>
      <c r="K33" s="12" t="s">
        <v>200</v>
      </c>
      <c r="L33" s="12" t="s">
        <v>201</v>
      </c>
      <c r="M33" s="12" t="s">
        <v>50</v>
      </c>
      <c r="N33" s="12" t="s">
        <v>119</v>
      </c>
      <c r="O33" s="12" t="s">
        <v>74</v>
      </c>
      <c r="P33" s="12" t="s">
        <v>118</v>
      </c>
      <c r="Q33" s="8">
        <v>1.2999999523162842</v>
      </c>
      <c r="R33" s="12" t="s">
        <v>54</v>
      </c>
      <c r="S33" s="12" t="s">
        <v>194</v>
      </c>
      <c r="T33" s="7">
        <v>50000</v>
      </c>
      <c r="U33" s="12" t="s">
        <v>138</v>
      </c>
      <c r="V33" s="7">
        <v>0</v>
      </c>
      <c r="W33" s="7">
        <v>0</v>
      </c>
      <c r="X33" s="8">
        <v>0.24500000476837158</v>
      </c>
      <c r="Y33" s="8">
        <v>0.14000000059604645</v>
      </c>
      <c r="Z33" s="7">
        <v>8</v>
      </c>
      <c r="AA33" s="8">
        <v>0.10000000149011612</v>
      </c>
      <c r="AB33" s="8">
        <v>1.2000000476837158</v>
      </c>
      <c r="AC33" s="8">
        <v>0.8500000238418579</v>
      </c>
      <c r="AD33" s="8">
        <v>1.5</v>
      </c>
      <c r="AE33" s="8">
        <v>0.800000011920929</v>
      </c>
      <c r="AF33" s="8">
        <v>1.100000023841858</v>
      </c>
      <c r="AG33" s="8">
        <v>3.200000047683716</v>
      </c>
    </row>
    <row x14ac:dyDescent="0.25" r="34" customHeight="1" ht="18.75">
      <c r="A34" s="12" t="s">
        <v>202</v>
      </c>
      <c r="B34" s="7">
        <v>29</v>
      </c>
      <c r="C34" s="12" t="s">
        <v>50</v>
      </c>
      <c r="D34" s="12" t="s">
        <v>203</v>
      </c>
      <c r="E34" s="12" t="s">
        <v>204</v>
      </c>
      <c r="F34" s="12" t="s">
        <v>45</v>
      </c>
      <c r="G34" s="12" t="s">
        <v>46</v>
      </c>
      <c r="H34" s="12" t="s">
        <v>205</v>
      </c>
      <c r="I34" s="12" t="s">
        <v>206</v>
      </c>
      <c r="J34" s="12"/>
      <c r="K34" s="12" t="s">
        <v>207</v>
      </c>
      <c r="L34" s="12" t="s">
        <v>206</v>
      </c>
      <c r="M34" s="12" t="s">
        <v>50</v>
      </c>
      <c r="N34" s="12" t="s">
        <v>118</v>
      </c>
      <c r="O34" s="12" t="s">
        <v>74</v>
      </c>
      <c r="P34" s="12" t="s">
        <v>81</v>
      </c>
      <c r="Q34" s="7">
        <v>1</v>
      </c>
      <c r="R34" s="12" t="s">
        <v>54</v>
      </c>
      <c r="S34" s="12" t="s">
        <v>194</v>
      </c>
      <c r="T34" s="7">
        <v>50000</v>
      </c>
      <c r="U34" s="12" t="s">
        <v>138</v>
      </c>
      <c r="V34" s="7">
        <v>10</v>
      </c>
      <c r="W34" s="7">
        <v>0</v>
      </c>
      <c r="X34" s="8">
        <v>0.09000000357627869</v>
      </c>
      <c r="Y34" s="8">
        <v>0.029999999329447746</v>
      </c>
      <c r="Z34" s="7">
        <v>15</v>
      </c>
      <c r="AA34" s="8">
        <v>0.10000000149011612</v>
      </c>
      <c r="AB34" s="7">
        <v>1</v>
      </c>
      <c r="AC34" s="7">
        <v>1</v>
      </c>
      <c r="AD34" s="8">
        <v>0.800000011920929</v>
      </c>
      <c r="AE34" s="8">
        <v>0.8999999761581421</v>
      </c>
      <c r="AF34" s="8">
        <v>1.2000000476837158</v>
      </c>
      <c r="AG34" s="7">
        <v>2</v>
      </c>
    </row>
    <row x14ac:dyDescent="0.25" r="35" customHeight="1" ht="18.75">
      <c r="A35" s="12" t="s">
        <v>208</v>
      </c>
      <c r="B35" s="7">
        <v>30</v>
      </c>
      <c r="C35" s="12" t="s">
        <v>50</v>
      </c>
      <c r="D35" s="12" t="s">
        <v>189</v>
      </c>
      <c r="E35" s="12" t="s">
        <v>209</v>
      </c>
      <c r="F35" s="12" t="s">
        <v>45</v>
      </c>
      <c r="G35" s="12" t="s">
        <v>210</v>
      </c>
      <c r="H35" s="12" t="s">
        <v>211</v>
      </c>
      <c r="I35" s="12" t="s">
        <v>212</v>
      </c>
      <c r="J35" s="12"/>
      <c r="K35" s="12" t="s">
        <v>213</v>
      </c>
      <c r="L35" s="12" t="s">
        <v>212</v>
      </c>
      <c r="M35" s="12" t="s">
        <v>50</v>
      </c>
      <c r="N35" s="12" t="s">
        <v>118</v>
      </c>
      <c r="O35" s="12" t="s">
        <v>74</v>
      </c>
      <c r="P35" s="12" t="s">
        <v>118</v>
      </c>
      <c r="Q35" s="8">
        <v>0.699999988079071</v>
      </c>
      <c r="R35" s="12" t="s">
        <v>54</v>
      </c>
      <c r="S35" s="12" t="s">
        <v>194</v>
      </c>
      <c r="T35" s="7">
        <v>50000</v>
      </c>
      <c r="U35" s="12" t="s">
        <v>138</v>
      </c>
      <c r="V35" s="7">
        <v>0</v>
      </c>
      <c r="W35" s="7">
        <v>0</v>
      </c>
      <c r="X35" s="8">
        <v>0.11999999731779099</v>
      </c>
      <c r="Y35" s="8">
        <v>0.07999999821186066</v>
      </c>
      <c r="Z35" s="7">
        <v>15</v>
      </c>
      <c r="AA35" s="8">
        <v>0.10000000149011612</v>
      </c>
      <c r="AB35" s="8">
        <v>1.2000000476837158</v>
      </c>
      <c r="AC35" s="8">
        <v>0.8500000238418579</v>
      </c>
      <c r="AD35" s="8">
        <v>0.699999988079071</v>
      </c>
      <c r="AE35" s="8">
        <v>0.8999999761581421</v>
      </c>
      <c r="AF35" s="8">
        <v>1.2000000476837158</v>
      </c>
      <c r="AG35" s="8">
        <v>3.4000000953674316</v>
      </c>
    </row>
    <row x14ac:dyDescent="0.25" r="36" customHeight="1" ht="18.75">
      <c r="A36" s="12" t="s">
        <v>214</v>
      </c>
      <c r="B36" s="7">
        <v>31</v>
      </c>
      <c r="C36" s="12" t="s">
        <v>50</v>
      </c>
      <c r="D36" s="12" t="s">
        <v>203</v>
      </c>
      <c r="E36" s="12" t="s">
        <v>215</v>
      </c>
      <c r="F36" s="12" t="s">
        <v>45</v>
      </c>
      <c r="G36" s="12" t="s">
        <v>46</v>
      </c>
      <c r="H36" s="12" t="s">
        <v>109</v>
      </c>
      <c r="I36" s="12" t="s">
        <v>216</v>
      </c>
      <c r="J36" s="12"/>
      <c r="K36" s="12" t="s">
        <v>217</v>
      </c>
      <c r="L36" s="12" t="s">
        <v>216</v>
      </c>
      <c r="M36" s="12" t="s">
        <v>50</v>
      </c>
      <c r="N36" s="12" t="s">
        <v>112</v>
      </c>
      <c r="O36" s="12" t="s">
        <v>74</v>
      </c>
      <c r="P36" s="12" t="s">
        <v>81</v>
      </c>
      <c r="Q36" s="8">
        <v>2.069999933242798</v>
      </c>
      <c r="R36" s="12" t="s">
        <v>54</v>
      </c>
      <c r="S36" s="12" t="s">
        <v>194</v>
      </c>
      <c r="T36" s="7">
        <v>50000</v>
      </c>
      <c r="U36" s="12" t="s">
        <v>138</v>
      </c>
      <c r="V36" s="7">
        <v>15</v>
      </c>
      <c r="W36" s="7">
        <v>0</v>
      </c>
      <c r="X36" s="8">
        <v>0.20350000262260437</v>
      </c>
      <c r="Y36" s="8">
        <v>0.10350000113248825</v>
      </c>
      <c r="Z36" s="7">
        <v>14</v>
      </c>
      <c r="AA36" s="8">
        <v>0.10000000149011612</v>
      </c>
      <c r="AB36" s="8">
        <v>0.8999999761581421</v>
      </c>
      <c r="AC36" s="7">
        <v>1</v>
      </c>
      <c r="AD36" s="8">
        <v>1.5</v>
      </c>
      <c r="AE36" s="8">
        <v>0.8999999761581421</v>
      </c>
      <c r="AF36" s="8">
        <v>1.100000023841858</v>
      </c>
      <c r="AG36" s="7">
        <v>2</v>
      </c>
    </row>
    <row x14ac:dyDescent="0.25" r="37" customHeight="1" ht="18.75">
      <c r="A37" s="12" t="s">
        <v>218</v>
      </c>
      <c r="B37" s="7">
        <v>32</v>
      </c>
      <c r="C37" s="12" t="s">
        <v>50</v>
      </c>
      <c r="D37" s="12" t="s">
        <v>189</v>
      </c>
      <c r="E37" s="12" t="s">
        <v>219</v>
      </c>
      <c r="F37" s="12" t="s">
        <v>220</v>
      </c>
      <c r="G37" s="12" t="s">
        <v>68</v>
      </c>
      <c r="H37" s="12" t="s">
        <v>221</v>
      </c>
      <c r="I37" s="12" t="s">
        <v>222</v>
      </c>
      <c r="J37" s="12" t="s">
        <v>48</v>
      </c>
      <c r="K37" s="12" t="s">
        <v>223</v>
      </c>
      <c r="L37" s="12" t="s">
        <v>224</v>
      </c>
      <c r="M37" s="12" t="s">
        <v>50</v>
      </c>
      <c r="N37" s="12" t="s">
        <v>119</v>
      </c>
      <c r="O37" s="12" t="s">
        <v>74</v>
      </c>
      <c r="P37" s="12" t="s">
        <v>118</v>
      </c>
      <c r="Q37" s="8">
        <v>1.7999999523162842</v>
      </c>
      <c r="R37" s="12" t="s">
        <v>54</v>
      </c>
      <c r="S37" s="12" t="s">
        <v>194</v>
      </c>
      <c r="T37" s="7">
        <v>50000</v>
      </c>
      <c r="U37" s="12" t="s">
        <v>138</v>
      </c>
      <c r="V37" s="7">
        <v>30</v>
      </c>
      <c r="W37" s="7">
        <v>0</v>
      </c>
      <c r="X37" s="8">
        <v>0.17800000309944153</v>
      </c>
      <c r="Y37" s="8">
        <v>0.1080000028014183</v>
      </c>
      <c r="Z37" s="7">
        <v>10</v>
      </c>
      <c r="AA37" s="8">
        <v>0.10000000149011612</v>
      </c>
      <c r="AB37" s="8">
        <v>1.2000000476837158</v>
      </c>
      <c r="AC37" s="8">
        <v>0.8500000238418579</v>
      </c>
      <c r="AD37" s="8">
        <v>1.100000023841858</v>
      </c>
      <c r="AE37" s="8">
        <v>0.800000011920929</v>
      </c>
      <c r="AF37" s="8">
        <v>1.600000023841858</v>
      </c>
      <c r="AG37" s="8">
        <v>4.5</v>
      </c>
    </row>
    <row x14ac:dyDescent="0.25" r="38" customHeight="1" ht="18.75">
      <c r="A38" s="12" t="s">
        <v>225</v>
      </c>
      <c r="B38" s="7">
        <v>33</v>
      </c>
      <c r="C38" s="12" t="s">
        <v>50</v>
      </c>
      <c r="D38" s="12" t="s">
        <v>203</v>
      </c>
      <c r="E38" s="12" t="s">
        <v>226</v>
      </c>
      <c r="F38" s="12" t="s">
        <v>45</v>
      </c>
      <c r="G38" s="12" t="s">
        <v>151</v>
      </c>
      <c r="H38" s="12" t="s">
        <v>227</v>
      </c>
      <c r="I38" s="12" t="s">
        <v>228</v>
      </c>
      <c r="J38" s="12"/>
      <c r="K38" s="12" t="s">
        <v>229</v>
      </c>
      <c r="L38" s="12" t="s">
        <v>228</v>
      </c>
      <c r="M38" s="12" t="s">
        <v>50</v>
      </c>
      <c r="N38" s="12" t="s">
        <v>99</v>
      </c>
      <c r="O38" s="12" t="s">
        <v>74</v>
      </c>
      <c r="P38" s="12" t="s">
        <v>118</v>
      </c>
      <c r="Q38" s="8">
        <v>0.6000000238418579</v>
      </c>
      <c r="R38" s="12" t="s">
        <v>54</v>
      </c>
      <c r="S38" s="12" t="s">
        <v>194</v>
      </c>
      <c r="T38" s="7">
        <v>50000</v>
      </c>
      <c r="U38" s="12" t="s">
        <v>138</v>
      </c>
      <c r="V38" s="7">
        <v>20</v>
      </c>
      <c r="W38" s="7">
        <v>0</v>
      </c>
      <c r="X38" s="8">
        <v>0.15000000596046448</v>
      </c>
      <c r="Y38" s="8">
        <v>0.09000000357627869</v>
      </c>
      <c r="Z38" s="7">
        <v>14</v>
      </c>
      <c r="AA38" s="8">
        <v>0.10000000149011612</v>
      </c>
      <c r="AB38" s="8">
        <v>0.8999999761581421</v>
      </c>
      <c r="AC38" s="7">
        <v>1</v>
      </c>
      <c r="AD38" s="8">
        <v>0.6000000238418579</v>
      </c>
      <c r="AE38" s="8">
        <v>1.5</v>
      </c>
      <c r="AF38" s="7">
        <v>4</v>
      </c>
      <c r="AG38" s="7">
        <v>3</v>
      </c>
    </row>
    <row x14ac:dyDescent="0.25" r="39" customHeight="1" ht="18.75">
      <c r="A39" s="12" t="s">
        <v>230</v>
      </c>
      <c r="B39" s="7">
        <v>34</v>
      </c>
      <c r="C39" s="12" t="s">
        <v>231</v>
      </c>
      <c r="D39" s="12" t="s">
        <v>232</v>
      </c>
      <c r="E39" s="12" t="s">
        <v>233</v>
      </c>
      <c r="F39" s="12" t="s">
        <v>45</v>
      </c>
      <c r="G39" s="12" t="s">
        <v>234</v>
      </c>
      <c r="H39" s="12" t="s">
        <v>235</v>
      </c>
      <c r="I39" s="12" t="s">
        <v>236</v>
      </c>
      <c r="J39" s="12"/>
      <c r="K39" s="12" t="s">
        <v>237</v>
      </c>
      <c r="L39" s="12" t="s">
        <v>236</v>
      </c>
      <c r="M39" s="12" t="s">
        <v>238</v>
      </c>
      <c r="N39" s="12" t="s">
        <v>53</v>
      </c>
      <c r="O39" s="12" t="s">
        <v>98</v>
      </c>
      <c r="P39" s="12" t="s">
        <v>135</v>
      </c>
      <c r="Q39" s="7">
        <v>63</v>
      </c>
      <c r="R39" s="12" t="s">
        <v>54</v>
      </c>
      <c r="S39" s="12" t="s">
        <v>239</v>
      </c>
      <c r="T39" s="7">
        <v>50000</v>
      </c>
      <c r="U39" s="12" t="s">
        <v>138</v>
      </c>
      <c r="V39" s="7">
        <v>0</v>
      </c>
      <c r="W39" s="7">
        <v>0</v>
      </c>
      <c r="X39" s="8">
        <v>0.8999999761581421</v>
      </c>
      <c r="Y39" s="7">
        <v>0</v>
      </c>
      <c r="Z39" s="7">
        <v>89</v>
      </c>
      <c r="AA39" s="8">
        <v>0.10000000149011612</v>
      </c>
      <c r="AB39" s="8">
        <v>0.6000000238418579</v>
      </c>
      <c r="AC39" s="8">
        <v>0.75</v>
      </c>
      <c r="AD39" s="8">
        <v>0.6000000238418579</v>
      </c>
      <c r="AE39" s="7">
        <v>1</v>
      </c>
      <c r="AF39" s="8">
        <v>3.5</v>
      </c>
      <c r="AG39" s="7">
        <v>2</v>
      </c>
    </row>
    <row x14ac:dyDescent="0.25" r="40" customHeight="1" ht="18.75">
      <c r="A40" s="12" t="s">
        <v>240</v>
      </c>
      <c r="B40" s="7">
        <v>35</v>
      </c>
      <c r="C40" s="12" t="s">
        <v>231</v>
      </c>
      <c r="D40" s="12" t="s">
        <v>241</v>
      </c>
      <c r="E40" s="12" t="s">
        <v>242</v>
      </c>
      <c r="F40" s="12" t="s">
        <v>243</v>
      </c>
      <c r="G40" s="12" t="s">
        <v>234</v>
      </c>
      <c r="H40" s="12" t="s">
        <v>235</v>
      </c>
      <c r="I40" s="12" t="s">
        <v>244</v>
      </c>
      <c r="J40" s="12"/>
      <c r="K40" s="12" t="s">
        <v>245</v>
      </c>
      <c r="L40" s="12" t="s">
        <v>244</v>
      </c>
      <c r="M40" s="12" t="s">
        <v>50</v>
      </c>
      <c r="N40" s="12" t="s">
        <v>135</v>
      </c>
      <c r="O40" s="12" t="s">
        <v>136</v>
      </c>
      <c r="P40" s="12" t="s">
        <v>118</v>
      </c>
      <c r="Q40" s="7">
        <v>70</v>
      </c>
      <c r="R40" s="12" t="s">
        <v>54</v>
      </c>
      <c r="S40" s="12" t="s">
        <v>239</v>
      </c>
      <c r="T40" s="7">
        <v>50000</v>
      </c>
      <c r="U40" s="12" t="s">
        <v>138</v>
      </c>
      <c r="V40" s="7">
        <v>0</v>
      </c>
      <c r="W40" s="7">
        <v>0</v>
      </c>
      <c r="X40" s="8">
        <v>0.800000011920929</v>
      </c>
      <c r="Y40" s="7">
        <v>0</v>
      </c>
      <c r="Z40" s="7">
        <v>89</v>
      </c>
      <c r="AA40" s="8">
        <v>0.10000000149011612</v>
      </c>
      <c r="AB40" s="8">
        <v>0.6000000238418579</v>
      </c>
      <c r="AC40" s="8">
        <v>0.800000011920929</v>
      </c>
      <c r="AD40" s="8">
        <v>0.6000000238418579</v>
      </c>
      <c r="AE40" s="7">
        <v>1</v>
      </c>
      <c r="AF40" s="7">
        <v>2</v>
      </c>
      <c r="AG40" s="8">
        <v>1.399999976158142</v>
      </c>
    </row>
    <row x14ac:dyDescent="0.25" r="41" customHeight="1" ht="18.75">
      <c r="A41" s="12" t="s">
        <v>246</v>
      </c>
      <c r="B41" s="7">
        <v>36</v>
      </c>
      <c r="C41" s="12" t="s">
        <v>231</v>
      </c>
      <c r="D41" s="12" t="s">
        <v>241</v>
      </c>
      <c r="E41" s="12" t="s">
        <v>242</v>
      </c>
      <c r="F41" s="12" t="s">
        <v>247</v>
      </c>
      <c r="G41" s="12" t="s">
        <v>234</v>
      </c>
      <c r="H41" s="12" t="s">
        <v>235</v>
      </c>
      <c r="I41" s="12" t="s">
        <v>244</v>
      </c>
      <c r="J41" s="12"/>
      <c r="K41" s="12" t="s">
        <v>245</v>
      </c>
      <c r="L41" s="12" t="s">
        <v>244</v>
      </c>
      <c r="M41" s="12" t="s">
        <v>50</v>
      </c>
      <c r="N41" s="12" t="s">
        <v>135</v>
      </c>
      <c r="O41" s="12" t="s">
        <v>74</v>
      </c>
      <c r="P41" s="12" t="s">
        <v>112</v>
      </c>
      <c r="Q41" s="7">
        <v>80</v>
      </c>
      <c r="R41" s="12" t="s">
        <v>54</v>
      </c>
      <c r="S41" s="12" t="s">
        <v>239</v>
      </c>
      <c r="T41" s="7">
        <v>50000</v>
      </c>
      <c r="U41" s="12" t="s">
        <v>138</v>
      </c>
      <c r="V41" s="7">
        <v>0</v>
      </c>
      <c r="W41" s="7">
        <v>0</v>
      </c>
      <c r="X41" s="8">
        <v>0.800000011920929</v>
      </c>
      <c r="Y41" s="7">
        <v>0</v>
      </c>
      <c r="Z41" s="7">
        <v>90</v>
      </c>
      <c r="AA41" s="8">
        <v>0.10000000149011612</v>
      </c>
      <c r="AB41" s="8">
        <v>0.6000000238418579</v>
      </c>
      <c r="AC41" s="8">
        <v>0.800000011920929</v>
      </c>
      <c r="AD41" s="8">
        <v>0.6000000238418579</v>
      </c>
      <c r="AE41" s="7">
        <v>1</v>
      </c>
      <c r="AF41" s="7">
        <v>2</v>
      </c>
      <c r="AG41" s="8">
        <v>1.399999976158142</v>
      </c>
    </row>
    <row x14ac:dyDescent="0.25" r="42" customHeight="1" ht="18.75">
      <c r="A42" s="12" t="s">
        <v>248</v>
      </c>
      <c r="B42" s="7">
        <v>37</v>
      </c>
      <c r="C42" s="12" t="s">
        <v>231</v>
      </c>
      <c r="D42" s="12" t="s">
        <v>241</v>
      </c>
      <c r="E42" s="12" t="s">
        <v>242</v>
      </c>
      <c r="F42" s="12" t="s">
        <v>249</v>
      </c>
      <c r="G42" s="12" t="s">
        <v>234</v>
      </c>
      <c r="H42" s="12" t="s">
        <v>235</v>
      </c>
      <c r="I42" s="12" t="s">
        <v>244</v>
      </c>
      <c r="J42" s="12"/>
      <c r="K42" s="12" t="s">
        <v>245</v>
      </c>
      <c r="L42" s="12" t="s">
        <v>244</v>
      </c>
      <c r="M42" s="12" t="s">
        <v>50</v>
      </c>
      <c r="N42" s="12" t="s">
        <v>112</v>
      </c>
      <c r="O42" s="12" t="s">
        <v>98</v>
      </c>
      <c r="P42" s="12" t="s">
        <v>93</v>
      </c>
      <c r="Q42" s="7">
        <v>60</v>
      </c>
      <c r="R42" s="12" t="s">
        <v>54</v>
      </c>
      <c r="S42" s="12" t="s">
        <v>239</v>
      </c>
      <c r="T42" s="7">
        <v>50000</v>
      </c>
      <c r="U42" s="12" t="s">
        <v>138</v>
      </c>
      <c r="V42" s="7">
        <v>0</v>
      </c>
      <c r="W42" s="7">
        <v>0</v>
      </c>
      <c r="X42" s="8">
        <v>0.800000011920929</v>
      </c>
      <c r="Y42" s="7">
        <v>0</v>
      </c>
      <c r="Z42" s="7">
        <v>90</v>
      </c>
      <c r="AA42" s="8">
        <v>0.10000000149011612</v>
      </c>
      <c r="AB42" s="8">
        <v>0.6000000238418579</v>
      </c>
      <c r="AC42" s="8">
        <v>0.800000011920929</v>
      </c>
      <c r="AD42" s="8">
        <v>0.6000000238418579</v>
      </c>
      <c r="AE42" s="7">
        <v>1</v>
      </c>
      <c r="AF42" s="7">
        <v>2</v>
      </c>
      <c r="AG42" s="8">
        <v>1.399999976158142</v>
      </c>
    </row>
    <row x14ac:dyDescent="0.25" r="43" customHeight="1" ht="18.75">
      <c r="A43" s="12" t="s">
        <v>250</v>
      </c>
      <c r="B43" s="7">
        <v>35</v>
      </c>
      <c r="C43" s="12" t="s">
        <v>231</v>
      </c>
      <c r="D43" s="12" t="s">
        <v>241</v>
      </c>
      <c r="E43" s="12" t="s">
        <v>242</v>
      </c>
      <c r="F43" s="12" t="s">
        <v>45</v>
      </c>
      <c r="G43" s="12" t="s">
        <v>234</v>
      </c>
      <c r="H43" s="12" t="s">
        <v>235</v>
      </c>
      <c r="I43" s="12" t="s">
        <v>244</v>
      </c>
      <c r="J43" s="12"/>
      <c r="K43" s="12" t="s">
        <v>245</v>
      </c>
      <c r="L43" s="12" t="s">
        <v>244</v>
      </c>
      <c r="M43" s="12" t="s">
        <v>50</v>
      </c>
      <c r="N43" s="12" t="s">
        <v>135</v>
      </c>
      <c r="O43" s="12" t="s">
        <v>136</v>
      </c>
      <c r="P43" s="12" t="s">
        <v>118</v>
      </c>
      <c r="Q43" s="7">
        <v>70</v>
      </c>
      <c r="R43" s="12" t="s">
        <v>54</v>
      </c>
      <c r="S43" s="12" t="s">
        <v>239</v>
      </c>
      <c r="T43" s="7">
        <v>50000</v>
      </c>
      <c r="U43" s="12" t="s">
        <v>138</v>
      </c>
      <c r="V43" s="7">
        <v>0</v>
      </c>
      <c r="W43" s="7">
        <v>0</v>
      </c>
      <c r="X43" s="8">
        <v>0.800000011920929</v>
      </c>
      <c r="Y43" s="7">
        <v>0</v>
      </c>
      <c r="Z43" s="7">
        <v>89</v>
      </c>
      <c r="AA43" s="8">
        <v>0.10000000149011612</v>
      </c>
      <c r="AB43" s="8">
        <v>0.6000000238418579</v>
      </c>
      <c r="AC43" s="8">
        <v>0.800000011920929</v>
      </c>
      <c r="AD43" s="8">
        <v>0.6000000238418579</v>
      </c>
      <c r="AE43" s="7">
        <v>1</v>
      </c>
      <c r="AF43" s="7">
        <v>2</v>
      </c>
      <c r="AG43" s="8">
        <v>1.399999976158142</v>
      </c>
    </row>
    <row x14ac:dyDescent="0.25" r="44" customHeight="1" ht="18.75">
      <c r="A44" s="12" t="s">
        <v>251</v>
      </c>
      <c r="B44" s="7">
        <v>38</v>
      </c>
      <c r="C44" s="12" t="s">
        <v>231</v>
      </c>
      <c r="D44" s="12" t="s">
        <v>232</v>
      </c>
      <c r="E44" s="12" t="s">
        <v>252</v>
      </c>
      <c r="F44" s="12" t="s">
        <v>45</v>
      </c>
      <c r="G44" s="12" t="s">
        <v>234</v>
      </c>
      <c r="H44" s="12" t="s">
        <v>235</v>
      </c>
      <c r="I44" s="12" t="s">
        <v>253</v>
      </c>
      <c r="J44" s="12"/>
      <c r="K44" s="12" t="s">
        <v>254</v>
      </c>
      <c r="L44" s="12" t="s">
        <v>253</v>
      </c>
      <c r="M44" s="12" t="s">
        <v>50</v>
      </c>
      <c r="N44" s="12" t="s">
        <v>118</v>
      </c>
      <c r="O44" s="12" t="s">
        <v>98</v>
      </c>
      <c r="P44" s="12" t="s">
        <v>119</v>
      </c>
      <c r="Q44" s="7">
        <v>60</v>
      </c>
      <c r="R44" s="12" t="s">
        <v>54</v>
      </c>
      <c r="S44" s="12" t="s">
        <v>239</v>
      </c>
      <c r="T44" s="7">
        <v>50000</v>
      </c>
      <c r="U44" s="12" t="s">
        <v>138</v>
      </c>
      <c r="V44" s="7">
        <v>0</v>
      </c>
      <c r="W44" s="7">
        <v>0</v>
      </c>
      <c r="X44" s="7">
        <v>1</v>
      </c>
      <c r="Y44" s="7">
        <v>0</v>
      </c>
      <c r="Z44" s="7">
        <v>95</v>
      </c>
      <c r="AA44" s="8">
        <v>0.10000000149011612</v>
      </c>
      <c r="AB44" s="8">
        <v>0.6000000238418579</v>
      </c>
      <c r="AC44" s="8">
        <v>0.75</v>
      </c>
      <c r="AD44" s="8">
        <v>0.6000000238418579</v>
      </c>
      <c r="AE44" s="7">
        <v>1</v>
      </c>
      <c r="AF44" s="8">
        <v>2.200000047683716</v>
      </c>
      <c r="AG44" s="8">
        <v>2.200000047683716</v>
      </c>
    </row>
    <row x14ac:dyDescent="0.25" r="45" customHeight="1" ht="18.75">
      <c r="A45" s="12" t="s">
        <v>255</v>
      </c>
      <c r="B45" s="7">
        <v>39</v>
      </c>
      <c r="C45" s="12" t="s">
        <v>231</v>
      </c>
      <c r="D45" s="12" t="s">
        <v>241</v>
      </c>
      <c r="E45" s="12" t="s">
        <v>256</v>
      </c>
      <c r="F45" s="12" t="s">
        <v>45</v>
      </c>
      <c r="G45" s="12" t="s">
        <v>234</v>
      </c>
      <c r="H45" s="12" t="s">
        <v>235</v>
      </c>
      <c r="I45" s="12" t="s">
        <v>180</v>
      </c>
      <c r="J45" s="12"/>
      <c r="K45" s="12" t="s">
        <v>257</v>
      </c>
      <c r="L45" s="12" t="s">
        <v>180</v>
      </c>
      <c r="M45" s="12" t="s">
        <v>50</v>
      </c>
      <c r="N45" s="12" t="s">
        <v>258</v>
      </c>
      <c r="O45" s="12" t="s">
        <v>98</v>
      </c>
      <c r="P45" s="12" t="s">
        <v>93</v>
      </c>
      <c r="Q45" s="7">
        <v>50</v>
      </c>
      <c r="R45" s="12" t="s">
        <v>54</v>
      </c>
      <c r="S45" s="12" t="s">
        <v>239</v>
      </c>
      <c r="T45" s="7">
        <v>50000</v>
      </c>
      <c r="U45" s="12" t="s">
        <v>138</v>
      </c>
      <c r="V45" s="7">
        <v>0</v>
      </c>
      <c r="W45" s="7">
        <v>0</v>
      </c>
      <c r="X45" s="8">
        <v>0.800000011920929</v>
      </c>
      <c r="Y45" s="7">
        <v>0</v>
      </c>
      <c r="Z45" s="7">
        <v>90</v>
      </c>
      <c r="AA45" s="8">
        <v>0.10000000149011612</v>
      </c>
      <c r="AB45" s="8">
        <v>0.6000000238418579</v>
      </c>
      <c r="AC45" s="8">
        <v>0.699999988079071</v>
      </c>
      <c r="AD45" s="8">
        <v>0.6000000238418579</v>
      </c>
      <c r="AE45" s="7">
        <v>1</v>
      </c>
      <c r="AF45" s="7">
        <v>2</v>
      </c>
      <c r="AG45" s="8">
        <v>1.399999976158142</v>
      </c>
    </row>
    <row x14ac:dyDescent="0.25" r="46" customHeight="1" ht="18.75">
      <c r="A46" s="12" t="s">
        <v>259</v>
      </c>
      <c r="B46" s="7">
        <v>40</v>
      </c>
      <c r="C46" s="12" t="s">
        <v>231</v>
      </c>
      <c r="D46" s="12" t="s">
        <v>232</v>
      </c>
      <c r="E46" s="12" t="s">
        <v>260</v>
      </c>
      <c r="F46" s="12" t="s">
        <v>45</v>
      </c>
      <c r="G46" s="12" t="s">
        <v>210</v>
      </c>
      <c r="H46" s="12" t="s">
        <v>261</v>
      </c>
      <c r="I46" s="12" t="s">
        <v>262</v>
      </c>
      <c r="J46" s="12"/>
      <c r="K46" s="12" t="s">
        <v>263</v>
      </c>
      <c r="L46" s="12" t="s">
        <v>262</v>
      </c>
      <c r="M46" s="12" t="s">
        <v>238</v>
      </c>
      <c r="N46" s="12" t="s">
        <v>80</v>
      </c>
      <c r="O46" s="12" t="s">
        <v>98</v>
      </c>
      <c r="P46" s="12" t="s">
        <v>81</v>
      </c>
      <c r="Q46" s="7">
        <v>60</v>
      </c>
      <c r="R46" s="12" t="s">
        <v>54</v>
      </c>
      <c r="S46" s="12" t="s">
        <v>239</v>
      </c>
      <c r="T46" s="7">
        <v>50000</v>
      </c>
      <c r="U46" s="12" t="s">
        <v>138</v>
      </c>
      <c r="V46" s="7">
        <v>0</v>
      </c>
      <c r="W46" s="7">
        <v>0</v>
      </c>
      <c r="X46" s="8">
        <v>0.8500000238418579</v>
      </c>
      <c r="Y46" s="7">
        <v>0</v>
      </c>
      <c r="Z46" s="7">
        <v>88</v>
      </c>
      <c r="AA46" s="8">
        <v>0.10000000149011612</v>
      </c>
      <c r="AB46" s="8">
        <v>1.2000000476837158</v>
      </c>
      <c r="AC46" s="7">
        <v>1</v>
      </c>
      <c r="AD46" s="8">
        <v>0.800000011920929</v>
      </c>
      <c r="AE46" s="8">
        <v>0.8999999761581421</v>
      </c>
      <c r="AF46" s="8">
        <v>2.5</v>
      </c>
      <c r="AG46" s="8">
        <v>2.5</v>
      </c>
    </row>
    <row x14ac:dyDescent="0.25" r="47" customHeight="1" ht="18.75">
      <c r="A47" s="12" t="s">
        <v>264</v>
      </c>
      <c r="B47" s="7">
        <v>41</v>
      </c>
      <c r="C47" s="12" t="s">
        <v>231</v>
      </c>
      <c r="D47" s="12" t="s">
        <v>232</v>
      </c>
      <c r="E47" s="12" t="s">
        <v>265</v>
      </c>
      <c r="F47" s="12" t="s">
        <v>45</v>
      </c>
      <c r="G47" s="12" t="s">
        <v>60</v>
      </c>
      <c r="H47" s="12" t="s">
        <v>61</v>
      </c>
      <c r="I47" s="12" t="s">
        <v>62</v>
      </c>
      <c r="J47" s="12" t="s">
        <v>266</v>
      </c>
      <c r="K47" s="12" t="s">
        <v>267</v>
      </c>
      <c r="L47" s="12" t="s">
        <v>268</v>
      </c>
      <c r="M47" s="12" t="s">
        <v>238</v>
      </c>
      <c r="N47" s="12" t="s">
        <v>53</v>
      </c>
      <c r="O47" s="12" t="s">
        <v>98</v>
      </c>
      <c r="P47" s="12" t="s">
        <v>135</v>
      </c>
      <c r="Q47" s="7">
        <v>156</v>
      </c>
      <c r="R47" s="12" t="s">
        <v>54</v>
      </c>
      <c r="S47" s="12" t="s">
        <v>239</v>
      </c>
      <c r="T47" s="7">
        <v>50000</v>
      </c>
      <c r="U47" s="12" t="s">
        <v>138</v>
      </c>
      <c r="V47" s="7">
        <v>0</v>
      </c>
      <c r="W47" s="7">
        <v>0</v>
      </c>
      <c r="X47" s="8">
        <v>0.800000011920929</v>
      </c>
      <c r="Y47" s="7">
        <v>0</v>
      </c>
      <c r="Z47" s="7">
        <v>93</v>
      </c>
      <c r="AA47" s="8">
        <v>0.10000000149011612</v>
      </c>
      <c r="AB47" s="8">
        <v>1.5</v>
      </c>
      <c r="AC47" s="8">
        <v>0.7599999904632568</v>
      </c>
      <c r="AD47" s="7">
        <v>1</v>
      </c>
      <c r="AE47" s="8">
        <v>0.800000011920929</v>
      </c>
      <c r="AF47" s="8">
        <v>2.5</v>
      </c>
      <c r="AG47" s="7">
        <v>3</v>
      </c>
    </row>
    <row x14ac:dyDescent="0.25" r="48" customHeight="1" ht="18.75">
      <c r="A48" s="12" t="s">
        <v>269</v>
      </c>
      <c r="B48" s="7">
        <v>42</v>
      </c>
      <c r="C48" s="12" t="s">
        <v>231</v>
      </c>
      <c r="D48" s="12" t="s">
        <v>241</v>
      </c>
      <c r="E48" s="12" t="s">
        <v>190</v>
      </c>
      <c r="F48" s="12" t="s">
        <v>45</v>
      </c>
      <c r="G48" s="12" t="s">
        <v>60</v>
      </c>
      <c r="H48" s="12" t="s">
        <v>61</v>
      </c>
      <c r="I48" s="12" t="s">
        <v>62</v>
      </c>
      <c r="J48" s="12" t="s">
        <v>191</v>
      </c>
      <c r="K48" s="12" t="s">
        <v>192</v>
      </c>
      <c r="L48" s="12" t="s">
        <v>193</v>
      </c>
      <c r="M48" s="12" t="s">
        <v>50</v>
      </c>
      <c r="N48" s="12" t="s">
        <v>119</v>
      </c>
      <c r="O48" s="12" t="s">
        <v>52</v>
      </c>
      <c r="P48" s="12" t="s">
        <v>135</v>
      </c>
      <c r="Q48" s="7">
        <v>55</v>
      </c>
      <c r="R48" s="12" t="s">
        <v>54</v>
      </c>
      <c r="S48" s="12" t="s">
        <v>239</v>
      </c>
      <c r="T48" s="7">
        <v>50000</v>
      </c>
      <c r="U48" s="12" t="s">
        <v>138</v>
      </c>
      <c r="V48" s="7">
        <v>0</v>
      </c>
      <c r="W48" s="7">
        <v>0</v>
      </c>
      <c r="X48" s="8">
        <v>0.8149999976158142</v>
      </c>
      <c r="Y48" s="8">
        <v>0.054999999701976776</v>
      </c>
      <c r="Z48" s="7">
        <v>86</v>
      </c>
      <c r="AA48" s="8">
        <v>0.10000000149011612</v>
      </c>
      <c r="AB48" s="8">
        <v>1.5</v>
      </c>
      <c r="AC48" s="8">
        <v>0.949999988079071</v>
      </c>
      <c r="AD48" s="8">
        <v>0.800000011920929</v>
      </c>
      <c r="AE48" s="8">
        <v>0.800000011920929</v>
      </c>
      <c r="AF48" s="7">
        <v>2</v>
      </c>
      <c r="AG48" s="8">
        <v>1.5</v>
      </c>
    </row>
    <row x14ac:dyDescent="0.25" r="49" customHeight="1" ht="18.75">
      <c r="A49" s="12" t="s">
        <v>270</v>
      </c>
      <c r="B49" s="7">
        <v>43</v>
      </c>
      <c r="C49" s="12" t="s">
        <v>231</v>
      </c>
      <c r="D49" s="12" t="s">
        <v>232</v>
      </c>
      <c r="E49" s="12" t="s">
        <v>271</v>
      </c>
      <c r="F49" s="12" t="s">
        <v>45</v>
      </c>
      <c r="G49" s="12" t="s">
        <v>68</v>
      </c>
      <c r="H49" s="12" t="s">
        <v>69</v>
      </c>
      <c r="I49" s="12" t="s">
        <v>84</v>
      </c>
      <c r="J49" s="12" t="s">
        <v>272</v>
      </c>
      <c r="K49" s="12" t="s">
        <v>273</v>
      </c>
      <c r="L49" s="12" t="s">
        <v>274</v>
      </c>
      <c r="M49" s="12" t="s">
        <v>238</v>
      </c>
      <c r="N49" s="12" t="s">
        <v>119</v>
      </c>
      <c r="O49" s="12" t="s">
        <v>52</v>
      </c>
      <c r="P49" s="12" t="s">
        <v>81</v>
      </c>
      <c r="Q49" s="7">
        <v>40</v>
      </c>
      <c r="R49" s="12" t="s">
        <v>54</v>
      </c>
      <c r="S49" s="12" t="s">
        <v>239</v>
      </c>
      <c r="T49" s="7">
        <v>50000</v>
      </c>
      <c r="U49" s="12" t="s">
        <v>138</v>
      </c>
      <c r="V49" s="7">
        <v>0</v>
      </c>
      <c r="W49" s="7">
        <v>0</v>
      </c>
      <c r="X49" s="8">
        <v>0.4000000059604645</v>
      </c>
      <c r="Y49" s="7">
        <v>0</v>
      </c>
      <c r="Z49" s="7">
        <v>93</v>
      </c>
      <c r="AA49" s="8">
        <v>0.10000000149011612</v>
      </c>
      <c r="AB49" s="8">
        <v>1.2000000476837158</v>
      </c>
      <c r="AC49" s="7">
        <v>1</v>
      </c>
      <c r="AD49" s="7">
        <v>2</v>
      </c>
      <c r="AE49" s="8">
        <v>0.800000011920929</v>
      </c>
      <c r="AF49" s="8">
        <v>3.799999952316284</v>
      </c>
      <c r="AG49" s="8">
        <v>3.5</v>
      </c>
    </row>
    <row x14ac:dyDescent="0.25" r="50" customHeight="1" ht="18.75">
      <c r="A50" s="12" t="s">
        <v>275</v>
      </c>
      <c r="B50" s="7">
        <v>44</v>
      </c>
      <c r="C50" s="12" t="s">
        <v>231</v>
      </c>
      <c r="D50" s="12" t="s">
        <v>232</v>
      </c>
      <c r="E50" s="12" t="s">
        <v>276</v>
      </c>
      <c r="F50" s="12" t="s">
        <v>45</v>
      </c>
      <c r="G50" s="12" t="s">
        <v>68</v>
      </c>
      <c r="H50" s="12" t="s">
        <v>69</v>
      </c>
      <c r="I50" s="12" t="s">
        <v>84</v>
      </c>
      <c r="J50" s="12" t="s">
        <v>277</v>
      </c>
      <c r="K50" s="12" t="s">
        <v>278</v>
      </c>
      <c r="L50" s="12" t="s">
        <v>279</v>
      </c>
      <c r="M50" s="12" t="s">
        <v>238</v>
      </c>
      <c r="N50" s="12" t="s">
        <v>119</v>
      </c>
      <c r="O50" s="12" t="s">
        <v>98</v>
      </c>
      <c r="P50" s="12" t="s">
        <v>81</v>
      </c>
      <c r="Q50" s="7">
        <v>60</v>
      </c>
      <c r="R50" s="12" t="s">
        <v>54</v>
      </c>
      <c r="S50" s="12" t="s">
        <v>239</v>
      </c>
      <c r="T50" s="7">
        <v>50000</v>
      </c>
      <c r="U50" s="12" t="s">
        <v>138</v>
      </c>
      <c r="V50" s="7">
        <v>0</v>
      </c>
      <c r="W50" s="7">
        <v>0</v>
      </c>
      <c r="X50" s="8">
        <v>0.699999988079071</v>
      </c>
      <c r="Y50" s="7">
        <v>0</v>
      </c>
      <c r="Z50" s="7">
        <v>90</v>
      </c>
      <c r="AA50" s="8">
        <v>0.10000000149011612</v>
      </c>
      <c r="AB50" s="8">
        <v>1.2000000476837158</v>
      </c>
      <c r="AC50" s="7">
        <v>1</v>
      </c>
      <c r="AD50" s="7">
        <v>2</v>
      </c>
      <c r="AE50" s="8">
        <v>0.800000011920929</v>
      </c>
      <c r="AF50" s="7">
        <v>3</v>
      </c>
      <c r="AG50" s="8">
        <v>2.5999999046325684</v>
      </c>
    </row>
    <row x14ac:dyDescent="0.25" r="51" customHeight="1" ht="18.75">
      <c r="A51" s="12" t="s">
        <v>280</v>
      </c>
      <c r="B51" s="7">
        <v>45</v>
      </c>
      <c r="C51" s="12" t="s">
        <v>231</v>
      </c>
      <c r="D51" s="12" t="s">
        <v>232</v>
      </c>
      <c r="E51" s="12" t="s">
        <v>281</v>
      </c>
      <c r="F51" s="12" t="s">
        <v>45</v>
      </c>
      <c r="G51" s="12" t="s">
        <v>68</v>
      </c>
      <c r="H51" s="12" t="s">
        <v>69</v>
      </c>
      <c r="I51" s="12" t="s">
        <v>84</v>
      </c>
      <c r="J51" s="12" t="s">
        <v>282</v>
      </c>
      <c r="K51" s="12" t="s">
        <v>283</v>
      </c>
      <c r="L51" s="12" t="s">
        <v>284</v>
      </c>
      <c r="M51" s="12" t="s">
        <v>238</v>
      </c>
      <c r="N51" s="12" t="s">
        <v>53</v>
      </c>
      <c r="O51" s="12" t="s">
        <v>52</v>
      </c>
      <c r="P51" s="12" t="s">
        <v>258</v>
      </c>
      <c r="Q51" s="7">
        <v>15</v>
      </c>
      <c r="R51" s="12" t="s">
        <v>54</v>
      </c>
      <c r="S51" s="12" t="s">
        <v>239</v>
      </c>
      <c r="T51" s="7">
        <v>50000</v>
      </c>
      <c r="U51" s="12" t="s">
        <v>138</v>
      </c>
      <c r="V51" s="7">
        <v>0</v>
      </c>
      <c r="W51" s="7">
        <v>0</v>
      </c>
      <c r="X51" s="8">
        <v>0.4000000059604645</v>
      </c>
      <c r="Y51" s="7">
        <v>0</v>
      </c>
      <c r="Z51" s="7">
        <v>80</v>
      </c>
      <c r="AA51" s="8">
        <v>0.10000000149011612</v>
      </c>
      <c r="AB51" s="8">
        <v>1.2000000476837158</v>
      </c>
      <c r="AC51" s="7">
        <v>1</v>
      </c>
      <c r="AD51" s="7">
        <v>2</v>
      </c>
      <c r="AE51" s="8">
        <v>0.800000011920929</v>
      </c>
      <c r="AF51" s="8">
        <v>3.799999952316284</v>
      </c>
      <c r="AG51" s="8">
        <v>3.5</v>
      </c>
    </row>
    <row x14ac:dyDescent="0.25" r="52" customHeight="1" ht="18.75">
      <c r="A52" s="12" t="s">
        <v>285</v>
      </c>
      <c r="B52" s="7">
        <v>46</v>
      </c>
      <c r="C52" s="12" t="s">
        <v>231</v>
      </c>
      <c r="D52" s="12" t="s">
        <v>232</v>
      </c>
      <c r="E52" s="12" t="s">
        <v>286</v>
      </c>
      <c r="F52" s="12" t="s">
        <v>287</v>
      </c>
      <c r="G52" s="12" t="s">
        <v>68</v>
      </c>
      <c r="H52" s="12" t="s">
        <v>69</v>
      </c>
      <c r="I52" s="12" t="s">
        <v>84</v>
      </c>
      <c r="J52" s="12" t="s">
        <v>288</v>
      </c>
      <c r="K52" s="12" t="s">
        <v>289</v>
      </c>
      <c r="L52" s="12" t="s">
        <v>290</v>
      </c>
      <c r="M52" s="12" t="s">
        <v>238</v>
      </c>
      <c r="N52" s="12" t="s">
        <v>135</v>
      </c>
      <c r="O52" s="12" t="s">
        <v>52</v>
      </c>
      <c r="P52" s="12" t="s">
        <v>119</v>
      </c>
      <c r="Q52" s="7">
        <v>10</v>
      </c>
      <c r="R52" s="12" t="s">
        <v>54</v>
      </c>
      <c r="S52" s="12" t="s">
        <v>239</v>
      </c>
      <c r="T52" s="7">
        <v>50000</v>
      </c>
      <c r="U52" s="12" t="s">
        <v>138</v>
      </c>
      <c r="V52" s="7">
        <v>0</v>
      </c>
      <c r="W52" s="7">
        <v>0</v>
      </c>
      <c r="X52" s="8">
        <v>0.12999999523162842</v>
      </c>
      <c r="Y52" s="7">
        <v>0</v>
      </c>
      <c r="Z52" s="7">
        <v>89</v>
      </c>
      <c r="AA52" s="8">
        <v>0.10000000149011612</v>
      </c>
      <c r="AB52" s="8">
        <v>1.2000000476837158</v>
      </c>
      <c r="AC52" s="7">
        <v>1</v>
      </c>
      <c r="AD52" s="7">
        <v>2</v>
      </c>
      <c r="AE52" s="8">
        <v>0.800000011920929</v>
      </c>
      <c r="AF52" s="8">
        <v>3.799999952316284</v>
      </c>
      <c r="AG52" s="8">
        <v>3.5</v>
      </c>
    </row>
    <row x14ac:dyDescent="0.25" r="53" customHeight="1" ht="18.75">
      <c r="A53" s="12" t="s">
        <v>285</v>
      </c>
      <c r="B53" s="7">
        <v>46</v>
      </c>
      <c r="C53" s="12" t="s">
        <v>231</v>
      </c>
      <c r="D53" s="12" t="s">
        <v>232</v>
      </c>
      <c r="E53" s="12" t="s">
        <v>286</v>
      </c>
      <c r="F53" s="12" t="s">
        <v>287</v>
      </c>
      <c r="G53" s="12" t="s">
        <v>68</v>
      </c>
      <c r="H53" s="12" t="s">
        <v>69</v>
      </c>
      <c r="I53" s="12" t="s">
        <v>84</v>
      </c>
      <c r="J53" s="12" t="s">
        <v>288</v>
      </c>
      <c r="K53" s="12" t="s">
        <v>289</v>
      </c>
      <c r="L53" s="12" t="s">
        <v>290</v>
      </c>
      <c r="M53" s="12" t="s">
        <v>238</v>
      </c>
      <c r="N53" s="12" t="s">
        <v>135</v>
      </c>
      <c r="O53" s="12" t="s">
        <v>52</v>
      </c>
      <c r="P53" s="12" t="s">
        <v>119</v>
      </c>
      <c r="Q53" s="7">
        <v>10</v>
      </c>
      <c r="R53" s="12" t="s">
        <v>54</v>
      </c>
      <c r="S53" s="12" t="s">
        <v>239</v>
      </c>
      <c r="T53" s="7">
        <v>50000</v>
      </c>
      <c r="U53" s="12" t="s">
        <v>138</v>
      </c>
      <c r="V53" s="7">
        <v>0</v>
      </c>
      <c r="W53" s="7">
        <v>0</v>
      </c>
      <c r="X53" s="8">
        <v>0.12999999523162842</v>
      </c>
      <c r="Y53" s="7">
        <v>0</v>
      </c>
      <c r="Z53" s="7">
        <v>89</v>
      </c>
      <c r="AA53" s="8">
        <v>0.10000000149011612</v>
      </c>
      <c r="AB53" s="8">
        <v>1.2000000476837158</v>
      </c>
      <c r="AC53" s="7">
        <v>1</v>
      </c>
      <c r="AD53" s="7">
        <v>2</v>
      </c>
      <c r="AE53" s="8">
        <v>0.800000011920929</v>
      </c>
      <c r="AF53" s="8">
        <v>3.799999952316284</v>
      </c>
      <c r="AG53" s="8">
        <v>3.5</v>
      </c>
    </row>
    <row x14ac:dyDescent="0.25" r="54" customHeight="1" ht="18.75">
      <c r="A54" s="12" t="s">
        <v>291</v>
      </c>
      <c r="B54" s="7">
        <v>47</v>
      </c>
      <c r="C54" s="12" t="s">
        <v>231</v>
      </c>
      <c r="D54" s="12" t="s">
        <v>232</v>
      </c>
      <c r="E54" s="12" t="s">
        <v>286</v>
      </c>
      <c r="F54" s="12" t="s">
        <v>45</v>
      </c>
      <c r="G54" s="12" t="s">
        <v>68</v>
      </c>
      <c r="H54" s="12" t="s">
        <v>69</v>
      </c>
      <c r="I54" s="12" t="s">
        <v>84</v>
      </c>
      <c r="J54" s="12" t="s">
        <v>288</v>
      </c>
      <c r="K54" s="12" t="s">
        <v>289</v>
      </c>
      <c r="L54" s="12" t="s">
        <v>290</v>
      </c>
      <c r="M54" s="12" t="s">
        <v>238</v>
      </c>
      <c r="N54" s="12" t="s">
        <v>135</v>
      </c>
      <c r="O54" s="12" t="s">
        <v>52</v>
      </c>
      <c r="P54" s="12" t="s">
        <v>119</v>
      </c>
      <c r="Q54" s="7">
        <v>20</v>
      </c>
      <c r="R54" s="12" t="s">
        <v>54</v>
      </c>
      <c r="S54" s="12" t="s">
        <v>239</v>
      </c>
      <c r="T54" s="7">
        <v>50000</v>
      </c>
      <c r="U54" s="12" t="s">
        <v>138</v>
      </c>
      <c r="V54" s="7">
        <v>0</v>
      </c>
      <c r="W54" s="7">
        <v>0</v>
      </c>
      <c r="X54" s="8">
        <v>0.25999999046325684</v>
      </c>
      <c r="Y54" s="7">
        <v>0</v>
      </c>
      <c r="Z54" s="7">
        <v>89</v>
      </c>
      <c r="AA54" s="8">
        <v>0.10000000149011612</v>
      </c>
      <c r="AB54" s="8">
        <v>1.2000000476837158</v>
      </c>
      <c r="AC54" s="7">
        <v>1</v>
      </c>
      <c r="AD54" s="7">
        <v>2</v>
      </c>
      <c r="AE54" s="8">
        <v>0.800000011920929</v>
      </c>
      <c r="AF54" s="8">
        <v>3.5999999046325684</v>
      </c>
      <c r="AG54" s="8">
        <v>3.5999999046325684</v>
      </c>
    </row>
    <row x14ac:dyDescent="0.25" r="55" customHeight="1" ht="18.75">
      <c r="A55" s="12" t="s">
        <v>292</v>
      </c>
      <c r="B55" s="7">
        <v>48</v>
      </c>
      <c r="C55" s="12" t="s">
        <v>231</v>
      </c>
      <c r="D55" s="12" t="s">
        <v>232</v>
      </c>
      <c r="E55" s="12" t="s">
        <v>198</v>
      </c>
      <c r="F55" s="12" t="s">
        <v>45</v>
      </c>
      <c r="G55" s="12" t="s">
        <v>68</v>
      </c>
      <c r="H55" s="12" t="s">
        <v>69</v>
      </c>
      <c r="I55" s="12" t="s">
        <v>90</v>
      </c>
      <c r="J55" s="12" t="s">
        <v>199</v>
      </c>
      <c r="K55" s="12" t="s">
        <v>200</v>
      </c>
      <c r="L55" s="12" t="s">
        <v>201</v>
      </c>
      <c r="M55" s="12" t="s">
        <v>238</v>
      </c>
      <c r="N55" s="12" t="s">
        <v>135</v>
      </c>
      <c r="O55" s="12" t="s">
        <v>98</v>
      </c>
      <c r="P55" s="12" t="s">
        <v>293</v>
      </c>
      <c r="Q55" s="7">
        <v>45</v>
      </c>
      <c r="R55" s="12" t="s">
        <v>54</v>
      </c>
      <c r="S55" s="12" t="s">
        <v>239</v>
      </c>
      <c r="T55" s="7">
        <v>50000</v>
      </c>
      <c r="U55" s="12" t="s">
        <v>138</v>
      </c>
      <c r="V55" s="7">
        <v>0</v>
      </c>
      <c r="W55" s="7">
        <v>0</v>
      </c>
      <c r="X55" s="8">
        <v>0.6299999952316284</v>
      </c>
      <c r="Y55" s="7">
        <v>0</v>
      </c>
      <c r="Z55" s="7">
        <v>96</v>
      </c>
      <c r="AA55" s="8">
        <v>0.10000000149011612</v>
      </c>
      <c r="AB55" s="8">
        <v>1.2000000476837158</v>
      </c>
      <c r="AC55" s="8">
        <v>0.800000011920929</v>
      </c>
      <c r="AD55" s="8">
        <v>1.5</v>
      </c>
      <c r="AE55" s="8">
        <v>0.800000011920929</v>
      </c>
      <c r="AF55" s="8">
        <v>4.5</v>
      </c>
      <c r="AG55" s="8">
        <v>4.800000190734863</v>
      </c>
    </row>
    <row x14ac:dyDescent="0.25" r="56" customHeight="1" ht="18.75">
      <c r="A56" s="12" t="s">
        <v>294</v>
      </c>
      <c r="B56" s="7">
        <v>49</v>
      </c>
      <c r="C56" s="12" t="s">
        <v>231</v>
      </c>
      <c r="D56" s="12" t="s">
        <v>232</v>
      </c>
      <c r="E56" s="12" t="s">
        <v>295</v>
      </c>
      <c r="F56" s="12" t="s">
        <v>45</v>
      </c>
      <c r="G56" s="12" t="s">
        <v>68</v>
      </c>
      <c r="H56" s="12" t="s">
        <v>69</v>
      </c>
      <c r="I56" s="12" t="s">
        <v>90</v>
      </c>
      <c r="J56" s="12" t="s">
        <v>296</v>
      </c>
      <c r="K56" s="12" t="s">
        <v>297</v>
      </c>
      <c r="L56" s="12" t="s">
        <v>298</v>
      </c>
      <c r="M56" s="12" t="s">
        <v>238</v>
      </c>
      <c r="N56" s="12" t="s">
        <v>135</v>
      </c>
      <c r="O56" s="12" t="s">
        <v>98</v>
      </c>
      <c r="P56" s="12" t="s">
        <v>119</v>
      </c>
      <c r="Q56" s="7">
        <v>40</v>
      </c>
      <c r="R56" s="12" t="s">
        <v>54</v>
      </c>
      <c r="S56" s="12" t="s">
        <v>239</v>
      </c>
      <c r="T56" s="7">
        <v>50000</v>
      </c>
      <c r="U56" s="12" t="s">
        <v>138</v>
      </c>
      <c r="V56" s="7">
        <v>0</v>
      </c>
      <c r="W56" s="7">
        <v>0</v>
      </c>
      <c r="X56" s="8">
        <v>0.8500000238418579</v>
      </c>
      <c r="Y56" s="7">
        <v>0</v>
      </c>
      <c r="Z56" s="7">
        <v>90</v>
      </c>
      <c r="AA56" s="8">
        <v>0.10000000149011612</v>
      </c>
      <c r="AB56" s="8">
        <v>1.2000000476837158</v>
      </c>
      <c r="AC56" s="8">
        <v>0.8999999761581421</v>
      </c>
      <c r="AD56" s="7">
        <v>2</v>
      </c>
      <c r="AE56" s="8">
        <v>0.800000011920929</v>
      </c>
      <c r="AF56" s="8">
        <v>4.5</v>
      </c>
      <c r="AG56" s="8">
        <v>4.800000190734863</v>
      </c>
    </row>
    <row x14ac:dyDescent="0.25" r="57" customHeight="1" ht="18.75">
      <c r="A57" s="12" t="s">
        <v>299</v>
      </c>
      <c r="B57" s="7">
        <v>50</v>
      </c>
      <c r="C57" s="12" t="s">
        <v>231</v>
      </c>
      <c r="D57" s="12" t="s">
        <v>232</v>
      </c>
      <c r="E57" s="12" t="s">
        <v>300</v>
      </c>
      <c r="F57" s="12" t="s">
        <v>45</v>
      </c>
      <c r="G57" s="12" t="s">
        <v>68</v>
      </c>
      <c r="H57" s="12" t="s">
        <v>69</v>
      </c>
      <c r="I57" s="12" t="s">
        <v>90</v>
      </c>
      <c r="J57" s="12" t="s">
        <v>301</v>
      </c>
      <c r="K57" s="12" t="s">
        <v>302</v>
      </c>
      <c r="L57" s="12" t="s">
        <v>303</v>
      </c>
      <c r="M57" s="12" t="s">
        <v>238</v>
      </c>
      <c r="N57" s="12" t="s">
        <v>93</v>
      </c>
      <c r="O57" s="12" t="s">
        <v>98</v>
      </c>
      <c r="P57" s="12" t="s">
        <v>258</v>
      </c>
      <c r="Q57" s="7">
        <v>53</v>
      </c>
      <c r="R57" s="12" t="s">
        <v>54</v>
      </c>
      <c r="S57" s="12" t="s">
        <v>239</v>
      </c>
      <c r="T57" s="7">
        <v>50000</v>
      </c>
      <c r="U57" s="12" t="s">
        <v>138</v>
      </c>
      <c r="V57" s="7">
        <v>0</v>
      </c>
      <c r="W57" s="7">
        <v>0</v>
      </c>
      <c r="X57" s="8">
        <v>0.800000011920929</v>
      </c>
      <c r="Y57" s="7">
        <v>0</v>
      </c>
      <c r="Z57" s="7">
        <v>90</v>
      </c>
      <c r="AA57" s="8">
        <v>0.10000000149011612</v>
      </c>
      <c r="AB57" s="8">
        <v>1.2000000476837158</v>
      </c>
      <c r="AC57" s="8">
        <v>0.8999999761581421</v>
      </c>
      <c r="AD57" s="7">
        <v>2</v>
      </c>
      <c r="AE57" s="8">
        <v>0.800000011920929</v>
      </c>
      <c r="AF57" s="7">
        <v>3</v>
      </c>
      <c r="AG57" s="7">
        <v>3</v>
      </c>
    </row>
    <row x14ac:dyDescent="0.25" r="58" customHeight="1" ht="18.75">
      <c r="A58" s="12" t="s">
        <v>304</v>
      </c>
      <c r="B58" s="7">
        <v>51</v>
      </c>
      <c r="C58" s="12" t="s">
        <v>231</v>
      </c>
      <c r="D58" s="12" t="s">
        <v>232</v>
      </c>
      <c r="E58" s="12" t="s">
        <v>305</v>
      </c>
      <c r="F58" s="12" t="s">
        <v>45</v>
      </c>
      <c r="G58" s="12" t="s">
        <v>210</v>
      </c>
      <c r="H58" s="12" t="s">
        <v>306</v>
      </c>
      <c r="I58" s="12" t="s">
        <v>180</v>
      </c>
      <c r="J58" s="12"/>
      <c r="K58" s="12" t="s">
        <v>307</v>
      </c>
      <c r="L58" s="12" t="s">
        <v>180</v>
      </c>
      <c r="M58" s="12" t="s">
        <v>50</v>
      </c>
      <c r="N58" s="12" t="s">
        <v>135</v>
      </c>
      <c r="O58" s="12" t="s">
        <v>98</v>
      </c>
      <c r="P58" s="12" t="s">
        <v>119</v>
      </c>
      <c r="Q58" s="7">
        <v>20</v>
      </c>
      <c r="R58" s="12" t="s">
        <v>54</v>
      </c>
      <c r="S58" s="12" t="s">
        <v>239</v>
      </c>
      <c r="T58" s="7">
        <v>50000</v>
      </c>
      <c r="U58" s="12" t="s">
        <v>138</v>
      </c>
      <c r="V58" s="7">
        <v>0</v>
      </c>
      <c r="W58" s="7">
        <v>0</v>
      </c>
      <c r="X58" s="7">
        <v>1</v>
      </c>
      <c r="Y58" s="7">
        <v>0</v>
      </c>
      <c r="Z58" s="7">
        <v>95</v>
      </c>
      <c r="AA58" s="8">
        <v>0.10000000149011612</v>
      </c>
      <c r="AB58" s="8">
        <v>1.2000000476837158</v>
      </c>
      <c r="AC58" s="8">
        <v>0.8999999761581421</v>
      </c>
      <c r="AD58" s="8">
        <v>0.800000011920929</v>
      </c>
      <c r="AE58" s="8">
        <v>0.8999999761581421</v>
      </c>
      <c r="AF58" s="8">
        <v>4.699999809265137</v>
      </c>
      <c r="AG58" s="8">
        <v>4.699999809265137</v>
      </c>
    </row>
    <row x14ac:dyDescent="0.25" r="59" customHeight="1" ht="18.75">
      <c r="A59" s="12" t="s">
        <v>308</v>
      </c>
      <c r="B59" s="7">
        <v>52</v>
      </c>
      <c r="C59" s="12" t="s">
        <v>231</v>
      </c>
      <c r="D59" s="12" t="s">
        <v>309</v>
      </c>
      <c r="E59" s="12" t="s">
        <v>310</v>
      </c>
      <c r="F59" s="12" t="s">
        <v>45</v>
      </c>
      <c r="G59" s="12" t="s">
        <v>311</v>
      </c>
      <c r="H59" s="12" t="s">
        <v>312</v>
      </c>
      <c r="I59" s="12" t="s">
        <v>313</v>
      </c>
      <c r="J59" s="12"/>
      <c r="K59" s="12" t="s">
        <v>314</v>
      </c>
      <c r="L59" s="12" t="s">
        <v>313</v>
      </c>
      <c r="M59" s="12" t="s">
        <v>238</v>
      </c>
      <c r="N59" s="12" t="s">
        <v>80</v>
      </c>
      <c r="O59" s="12" t="s">
        <v>74</v>
      </c>
      <c r="P59" s="12" t="s">
        <v>118</v>
      </c>
      <c r="Q59" s="7">
        <v>180</v>
      </c>
      <c r="R59" s="12" t="s">
        <v>54</v>
      </c>
      <c r="S59" s="12" t="s">
        <v>239</v>
      </c>
      <c r="T59" s="7">
        <v>50000</v>
      </c>
      <c r="U59" s="12" t="s">
        <v>138</v>
      </c>
      <c r="V59" s="7">
        <v>0</v>
      </c>
      <c r="W59" s="7">
        <v>0</v>
      </c>
      <c r="X59" s="8">
        <v>0.8500000238418579</v>
      </c>
      <c r="Y59" s="7">
        <v>0</v>
      </c>
      <c r="Z59" s="7">
        <v>95</v>
      </c>
      <c r="AA59" s="8">
        <v>0.10000000149011612</v>
      </c>
      <c r="AB59" s="8">
        <v>0.800000011920929</v>
      </c>
      <c r="AC59" s="7">
        <v>1</v>
      </c>
      <c r="AD59" s="7">
        <v>1</v>
      </c>
      <c r="AE59" s="7">
        <v>1</v>
      </c>
      <c r="AF59" s="7">
        <v>2</v>
      </c>
      <c r="AG59" s="7">
        <v>2</v>
      </c>
    </row>
    <row x14ac:dyDescent="0.25" r="60" customHeight="1" ht="18.75">
      <c r="A60" s="12" t="s">
        <v>315</v>
      </c>
      <c r="B60" s="7">
        <v>53</v>
      </c>
      <c r="C60" s="12" t="s">
        <v>231</v>
      </c>
      <c r="D60" s="12" t="s">
        <v>309</v>
      </c>
      <c r="E60" s="12" t="s">
        <v>316</v>
      </c>
      <c r="F60" s="12" t="s">
        <v>45</v>
      </c>
      <c r="G60" s="12" t="s">
        <v>311</v>
      </c>
      <c r="H60" s="12" t="s">
        <v>312</v>
      </c>
      <c r="I60" s="12" t="s">
        <v>317</v>
      </c>
      <c r="J60" s="12"/>
      <c r="K60" s="12" t="s">
        <v>318</v>
      </c>
      <c r="L60" s="12" t="s">
        <v>317</v>
      </c>
      <c r="M60" s="12" t="s">
        <v>238</v>
      </c>
      <c r="N60" s="12" t="s">
        <v>80</v>
      </c>
      <c r="O60" s="12" t="s">
        <v>74</v>
      </c>
      <c r="P60" s="12" t="s">
        <v>118</v>
      </c>
      <c r="Q60" s="7">
        <v>80</v>
      </c>
      <c r="R60" s="12" t="s">
        <v>54</v>
      </c>
      <c r="S60" s="12" t="s">
        <v>239</v>
      </c>
      <c r="T60" s="7">
        <v>50000</v>
      </c>
      <c r="U60" s="12" t="s">
        <v>138</v>
      </c>
      <c r="V60" s="7">
        <v>0</v>
      </c>
      <c r="W60" s="7">
        <v>0</v>
      </c>
      <c r="X60" s="8">
        <v>0.699999988079071</v>
      </c>
      <c r="Y60" s="7">
        <v>0</v>
      </c>
      <c r="Z60" s="7">
        <v>95</v>
      </c>
      <c r="AA60" s="8">
        <v>0.10000000149011612</v>
      </c>
      <c r="AB60" s="8">
        <v>0.800000011920929</v>
      </c>
      <c r="AC60" s="7">
        <v>1</v>
      </c>
      <c r="AD60" s="7">
        <v>1</v>
      </c>
      <c r="AE60" s="7">
        <v>1</v>
      </c>
      <c r="AF60" s="7">
        <v>2</v>
      </c>
      <c r="AG60" s="7">
        <v>2</v>
      </c>
    </row>
    <row x14ac:dyDescent="0.25" r="61" customHeight="1" ht="18.75">
      <c r="A61" s="12" t="s">
        <v>319</v>
      </c>
      <c r="B61" s="7">
        <v>54</v>
      </c>
      <c r="C61" s="12" t="s">
        <v>231</v>
      </c>
      <c r="D61" s="12" t="s">
        <v>309</v>
      </c>
      <c r="E61" s="12" t="s">
        <v>320</v>
      </c>
      <c r="F61" s="12" t="s">
        <v>45</v>
      </c>
      <c r="G61" s="12" t="s">
        <v>311</v>
      </c>
      <c r="H61" s="12" t="s">
        <v>321</v>
      </c>
      <c r="I61" s="12" t="s">
        <v>322</v>
      </c>
      <c r="J61" s="12"/>
      <c r="K61" s="12" t="s">
        <v>323</v>
      </c>
      <c r="L61" s="12" t="s">
        <v>322</v>
      </c>
      <c r="M61" s="12" t="s">
        <v>238</v>
      </c>
      <c r="N61" s="12" t="s">
        <v>80</v>
      </c>
      <c r="O61" s="12" t="s">
        <v>136</v>
      </c>
      <c r="P61" s="12" t="s">
        <v>99</v>
      </c>
      <c r="Q61" s="7">
        <v>25</v>
      </c>
      <c r="R61" s="12" t="s">
        <v>54</v>
      </c>
      <c r="S61" s="12" t="s">
        <v>239</v>
      </c>
      <c r="T61" s="7">
        <v>50000</v>
      </c>
      <c r="U61" s="12" t="s">
        <v>138</v>
      </c>
      <c r="V61" s="7">
        <v>0</v>
      </c>
      <c r="W61" s="7">
        <v>0</v>
      </c>
      <c r="X61" s="8">
        <v>0.800000011920929</v>
      </c>
      <c r="Y61" s="7">
        <v>0</v>
      </c>
      <c r="Z61" s="7">
        <v>80</v>
      </c>
      <c r="AA61" s="8">
        <v>0.10000000149011612</v>
      </c>
      <c r="AB61" s="8">
        <v>0.800000011920929</v>
      </c>
      <c r="AC61" s="8">
        <v>0.9399999976158142</v>
      </c>
      <c r="AD61" s="7">
        <v>1</v>
      </c>
      <c r="AE61" s="7">
        <v>1</v>
      </c>
      <c r="AF61" s="7">
        <v>2</v>
      </c>
      <c r="AG61" s="7">
        <v>2</v>
      </c>
    </row>
    <row x14ac:dyDescent="0.25" r="62" customHeight="1" ht="18.75">
      <c r="A62" s="12" t="s">
        <v>324</v>
      </c>
      <c r="B62" s="7">
        <v>55</v>
      </c>
      <c r="C62" s="12" t="s">
        <v>231</v>
      </c>
      <c r="D62" s="12" t="s">
        <v>309</v>
      </c>
      <c r="E62" s="12" t="s">
        <v>325</v>
      </c>
      <c r="F62" s="12" t="s">
        <v>45</v>
      </c>
      <c r="G62" s="12" t="s">
        <v>311</v>
      </c>
      <c r="H62" s="12" t="s">
        <v>321</v>
      </c>
      <c r="I62" s="12" t="s">
        <v>326</v>
      </c>
      <c r="J62" s="12"/>
      <c r="K62" s="12" t="s">
        <v>327</v>
      </c>
      <c r="L62" s="12" t="s">
        <v>326</v>
      </c>
      <c r="M62" s="12" t="s">
        <v>50</v>
      </c>
      <c r="N62" s="12" t="s">
        <v>80</v>
      </c>
      <c r="O62" s="12" t="s">
        <v>74</v>
      </c>
      <c r="P62" s="12" t="s">
        <v>99</v>
      </c>
      <c r="Q62" s="7">
        <v>40</v>
      </c>
      <c r="R62" s="12" t="s">
        <v>54</v>
      </c>
      <c r="S62" s="12" t="s">
        <v>239</v>
      </c>
      <c r="T62" s="7">
        <v>50000</v>
      </c>
      <c r="U62" s="12" t="s">
        <v>138</v>
      </c>
      <c r="V62" s="7">
        <v>0</v>
      </c>
      <c r="W62" s="7">
        <v>0</v>
      </c>
      <c r="X62" s="8">
        <v>0.800000011920929</v>
      </c>
      <c r="Y62" s="7">
        <v>0</v>
      </c>
      <c r="Z62" s="7">
        <v>88</v>
      </c>
      <c r="AA62" s="8">
        <v>0.10000000149011612</v>
      </c>
      <c r="AB62" s="8">
        <v>0.800000011920929</v>
      </c>
      <c r="AC62" s="7">
        <v>1</v>
      </c>
      <c r="AD62" s="7">
        <v>1</v>
      </c>
      <c r="AE62" s="7">
        <v>1</v>
      </c>
      <c r="AF62" s="8">
        <v>1.399999976158142</v>
      </c>
      <c r="AG62" s="7">
        <v>2</v>
      </c>
    </row>
    <row x14ac:dyDescent="0.25" r="63" customHeight="1" ht="18.75">
      <c r="A63" s="12" t="s">
        <v>328</v>
      </c>
      <c r="B63" s="7">
        <v>56</v>
      </c>
      <c r="C63" s="12" t="s">
        <v>231</v>
      </c>
      <c r="D63" s="12" t="s">
        <v>309</v>
      </c>
      <c r="E63" s="12" t="s">
        <v>329</v>
      </c>
      <c r="F63" s="12" t="s">
        <v>45</v>
      </c>
      <c r="G63" s="12" t="s">
        <v>311</v>
      </c>
      <c r="H63" s="12" t="s">
        <v>321</v>
      </c>
      <c r="I63" s="12" t="s">
        <v>326</v>
      </c>
      <c r="J63" s="12"/>
      <c r="K63" s="12" t="s">
        <v>327</v>
      </c>
      <c r="L63" s="12" t="s">
        <v>326</v>
      </c>
      <c r="M63" s="12" t="s">
        <v>50</v>
      </c>
      <c r="N63" s="12" t="s">
        <v>80</v>
      </c>
      <c r="O63" s="12" t="s">
        <v>52</v>
      </c>
      <c r="P63" s="12" t="s">
        <v>81</v>
      </c>
      <c r="Q63" s="7">
        <v>40</v>
      </c>
      <c r="R63" s="12" t="s">
        <v>54</v>
      </c>
      <c r="S63" s="12" t="s">
        <v>239</v>
      </c>
      <c r="T63" s="7">
        <v>50000</v>
      </c>
      <c r="U63" s="12" t="s">
        <v>138</v>
      </c>
      <c r="V63" s="7">
        <v>0</v>
      </c>
      <c r="W63" s="7">
        <v>0</v>
      </c>
      <c r="X63" s="8">
        <v>0.4000000059604645</v>
      </c>
      <c r="Y63" s="7">
        <v>0</v>
      </c>
      <c r="Z63" s="7">
        <v>95</v>
      </c>
      <c r="AA63" s="8">
        <v>0.10000000149011612</v>
      </c>
      <c r="AB63" s="8">
        <v>0.800000011920929</v>
      </c>
      <c r="AC63" s="8">
        <v>0.8500000238418579</v>
      </c>
      <c r="AD63" s="7">
        <v>1</v>
      </c>
      <c r="AE63" s="7">
        <v>1</v>
      </c>
      <c r="AF63" s="8">
        <v>3.799999952316284</v>
      </c>
      <c r="AG63" s="8">
        <v>3.200000047683716</v>
      </c>
    </row>
    <row x14ac:dyDescent="0.25" r="64" customHeight="1" ht="18.75">
      <c r="A64" s="12" t="s">
        <v>330</v>
      </c>
      <c r="B64" s="7">
        <v>57</v>
      </c>
      <c r="C64" s="12" t="s">
        <v>231</v>
      </c>
      <c r="D64" s="12" t="s">
        <v>241</v>
      </c>
      <c r="E64" s="12" t="s">
        <v>209</v>
      </c>
      <c r="F64" s="12" t="s">
        <v>45</v>
      </c>
      <c r="G64" s="12" t="s">
        <v>210</v>
      </c>
      <c r="H64" s="12" t="s">
        <v>211</v>
      </c>
      <c r="I64" s="12" t="s">
        <v>212</v>
      </c>
      <c r="J64" s="12"/>
      <c r="K64" s="12" t="s">
        <v>213</v>
      </c>
      <c r="L64" s="12" t="s">
        <v>212</v>
      </c>
      <c r="M64" s="12" t="s">
        <v>50</v>
      </c>
      <c r="N64" s="12" t="s">
        <v>80</v>
      </c>
      <c r="O64" s="12" t="s">
        <v>52</v>
      </c>
      <c r="P64" s="12" t="s">
        <v>258</v>
      </c>
      <c r="Q64" s="7">
        <v>70</v>
      </c>
      <c r="R64" s="12" t="s">
        <v>54</v>
      </c>
      <c r="S64" s="12" t="s">
        <v>239</v>
      </c>
      <c r="T64" s="7">
        <v>50000</v>
      </c>
      <c r="U64" s="12" t="s">
        <v>138</v>
      </c>
      <c r="V64" s="7">
        <v>0</v>
      </c>
      <c r="W64" s="7">
        <v>0</v>
      </c>
      <c r="X64" s="8">
        <v>0.8999999761581421</v>
      </c>
      <c r="Y64" s="8">
        <v>0.07000000029802322</v>
      </c>
      <c r="Z64" s="7">
        <v>88</v>
      </c>
      <c r="AA64" s="8">
        <v>0.10000000149011612</v>
      </c>
      <c r="AB64" s="8">
        <v>1.2000000476837158</v>
      </c>
      <c r="AC64" s="8">
        <v>0.8999999761581421</v>
      </c>
      <c r="AD64" s="8">
        <v>0.699999988079071</v>
      </c>
      <c r="AE64" s="8">
        <v>0.8999999761581421</v>
      </c>
      <c r="AF64" s="7">
        <v>2</v>
      </c>
      <c r="AG64" s="7">
        <v>1</v>
      </c>
    </row>
    <row x14ac:dyDescent="0.25" r="65" customHeight="1" ht="18.75">
      <c r="A65" s="12" t="s">
        <v>331</v>
      </c>
      <c r="B65" s="7">
        <v>58</v>
      </c>
      <c r="C65" s="12" t="s">
        <v>231</v>
      </c>
      <c r="D65" s="12" t="s">
        <v>241</v>
      </c>
      <c r="E65" s="12" t="s">
        <v>332</v>
      </c>
      <c r="F65" s="12" t="s">
        <v>45</v>
      </c>
      <c r="G65" s="12" t="s">
        <v>333</v>
      </c>
      <c r="H65" s="12" t="s">
        <v>334</v>
      </c>
      <c r="I65" s="12" t="s">
        <v>335</v>
      </c>
      <c r="J65" s="12"/>
      <c r="K65" s="12" t="s">
        <v>336</v>
      </c>
      <c r="L65" s="12" t="s">
        <v>335</v>
      </c>
      <c r="M65" s="12" t="s">
        <v>50</v>
      </c>
      <c r="N65" s="12" t="s">
        <v>80</v>
      </c>
      <c r="O65" s="12" t="s">
        <v>136</v>
      </c>
      <c r="P65" s="12" t="s">
        <v>135</v>
      </c>
      <c r="Q65" s="7">
        <v>50</v>
      </c>
      <c r="R65" s="12" t="s">
        <v>54</v>
      </c>
      <c r="S65" s="12" t="s">
        <v>239</v>
      </c>
      <c r="T65" s="7">
        <v>50000</v>
      </c>
      <c r="U65" s="12" t="s">
        <v>138</v>
      </c>
      <c r="V65" s="7">
        <v>0</v>
      </c>
      <c r="W65" s="7">
        <v>0</v>
      </c>
      <c r="X65" s="8">
        <v>0.8899999856948853</v>
      </c>
      <c r="Y65" s="7">
        <v>0</v>
      </c>
      <c r="Z65" s="8">
        <v>77.4000015258789</v>
      </c>
      <c r="AA65" s="8">
        <v>0.10000000149011612</v>
      </c>
      <c r="AB65" s="8">
        <v>0.8999999761581421</v>
      </c>
      <c r="AC65" s="7">
        <v>1</v>
      </c>
      <c r="AD65" s="7">
        <v>1</v>
      </c>
      <c r="AE65" s="7">
        <v>1</v>
      </c>
      <c r="AF65" s="7">
        <v>2</v>
      </c>
      <c r="AG65" s="8">
        <v>1.7999999523162842</v>
      </c>
    </row>
    <row x14ac:dyDescent="0.25" r="66" customHeight="1" ht="18.75">
      <c r="A66" s="12" t="s">
        <v>337</v>
      </c>
      <c r="B66" s="7">
        <v>59</v>
      </c>
      <c r="C66" s="12" t="s">
        <v>231</v>
      </c>
      <c r="D66" s="12" t="s">
        <v>232</v>
      </c>
      <c r="E66" s="12" t="s">
        <v>338</v>
      </c>
      <c r="F66" s="12" t="s">
        <v>339</v>
      </c>
      <c r="G66" s="12" t="s">
        <v>157</v>
      </c>
      <c r="H66" s="12" t="s">
        <v>340</v>
      </c>
      <c r="I66" s="12" t="s">
        <v>48</v>
      </c>
      <c r="J66" s="12"/>
      <c r="K66" s="12" t="s">
        <v>341</v>
      </c>
      <c r="L66" s="12" t="s">
        <v>48</v>
      </c>
      <c r="M66" s="12" t="s">
        <v>238</v>
      </c>
      <c r="N66" s="12" t="s">
        <v>119</v>
      </c>
      <c r="O66" s="12" t="s">
        <v>98</v>
      </c>
      <c r="P66" s="12" t="s">
        <v>93</v>
      </c>
      <c r="Q66" s="7">
        <v>50</v>
      </c>
      <c r="R66" s="12" t="s">
        <v>54</v>
      </c>
      <c r="S66" s="12" t="s">
        <v>239</v>
      </c>
      <c r="T66" s="7">
        <v>50000</v>
      </c>
      <c r="U66" s="12" t="s">
        <v>138</v>
      </c>
      <c r="V66" s="7">
        <v>0</v>
      </c>
      <c r="W66" s="7">
        <v>0</v>
      </c>
      <c r="X66" s="8">
        <v>0.699999988079071</v>
      </c>
      <c r="Y66" s="7">
        <v>0</v>
      </c>
      <c r="Z66" s="7">
        <v>95</v>
      </c>
      <c r="AA66" s="8">
        <v>0.10000000149011612</v>
      </c>
      <c r="AB66" s="7">
        <v>1</v>
      </c>
      <c r="AC66" s="8">
        <v>0.949999988079071</v>
      </c>
      <c r="AD66" s="7">
        <v>1</v>
      </c>
      <c r="AE66" s="8">
        <v>0.8999999761581421</v>
      </c>
      <c r="AF66" s="7">
        <v>3</v>
      </c>
      <c r="AG66" s="8">
        <v>2.5999999046325684</v>
      </c>
    </row>
    <row x14ac:dyDescent="0.25" r="67" customHeight="1" ht="18.75">
      <c r="A67" s="12" t="s">
        <v>342</v>
      </c>
      <c r="B67" s="7">
        <v>60</v>
      </c>
      <c r="C67" s="12" t="s">
        <v>231</v>
      </c>
      <c r="D67" s="12" t="s">
        <v>232</v>
      </c>
      <c r="E67" s="12" t="s">
        <v>338</v>
      </c>
      <c r="F67" s="12" t="s">
        <v>343</v>
      </c>
      <c r="G67" s="12" t="s">
        <v>157</v>
      </c>
      <c r="H67" s="12" t="s">
        <v>340</v>
      </c>
      <c r="I67" s="12" t="s">
        <v>48</v>
      </c>
      <c r="J67" s="12"/>
      <c r="K67" s="12" t="s">
        <v>341</v>
      </c>
      <c r="L67" s="12" t="s">
        <v>48</v>
      </c>
      <c r="M67" s="12" t="s">
        <v>238</v>
      </c>
      <c r="N67" s="12" t="s">
        <v>119</v>
      </c>
      <c r="O67" s="12" t="s">
        <v>98</v>
      </c>
      <c r="P67" s="12" t="s">
        <v>93</v>
      </c>
      <c r="Q67" s="7">
        <v>40</v>
      </c>
      <c r="R67" s="12" t="s">
        <v>54</v>
      </c>
      <c r="S67" s="12" t="s">
        <v>239</v>
      </c>
      <c r="T67" s="7">
        <v>50000</v>
      </c>
      <c r="U67" s="12" t="s">
        <v>138</v>
      </c>
      <c r="V67" s="7">
        <v>0</v>
      </c>
      <c r="W67" s="7">
        <v>0</v>
      </c>
      <c r="X67" s="8">
        <v>0.800000011920929</v>
      </c>
      <c r="Y67" s="7">
        <v>0</v>
      </c>
      <c r="Z67" s="7">
        <v>95</v>
      </c>
      <c r="AA67" s="8">
        <v>0.10000000149011612</v>
      </c>
      <c r="AB67" s="7">
        <v>1</v>
      </c>
      <c r="AC67" s="8">
        <v>0.8999999761581421</v>
      </c>
      <c r="AD67" s="7">
        <v>1</v>
      </c>
      <c r="AE67" s="8">
        <v>0.8999999761581421</v>
      </c>
      <c r="AF67" s="7">
        <v>3</v>
      </c>
      <c r="AG67" s="8">
        <v>3.5</v>
      </c>
    </row>
    <row x14ac:dyDescent="0.25" r="68" customHeight="1" ht="18.75">
      <c r="A68" s="12" t="s">
        <v>344</v>
      </c>
      <c r="B68" s="7">
        <v>59</v>
      </c>
      <c r="C68" s="12" t="s">
        <v>231</v>
      </c>
      <c r="D68" s="12" t="s">
        <v>232</v>
      </c>
      <c r="E68" s="12" t="s">
        <v>338</v>
      </c>
      <c r="F68" s="12" t="s">
        <v>45</v>
      </c>
      <c r="G68" s="12" t="s">
        <v>157</v>
      </c>
      <c r="H68" s="12" t="s">
        <v>340</v>
      </c>
      <c r="I68" s="12" t="s">
        <v>48</v>
      </c>
      <c r="J68" s="12"/>
      <c r="K68" s="12" t="s">
        <v>341</v>
      </c>
      <c r="L68" s="12" t="s">
        <v>48</v>
      </c>
      <c r="M68" s="12" t="s">
        <v>238</v>
      </c>
      <c r="N68" s="12" t="s">
        <v>119</v>
      </c>
      <c r="O68" s="12" t="s">
        <v>98</v>
      </c>
      <c r="P68" s="12" t="s">
        <v>93</v>
      </c>
      <c r="Q68" s="7">
        <v>50</v>
      </c>
      <c r="R68" s="12" t="s">
        <v>54</v>
      </c>
      <c r="S68" s="12" t="s">
        <v>239</v>
      </c>
      <c r="T68" s="7">
        <v>50000</v>
      </c>
      <c r="U68" s="12" t="s">
        <v>138</v>
      </c>
      <c r="V68" s="7">
        <v>0</v>
      </c>
      <c r="W68" s="7">
        <v>0</v>
      </c>
      <c r="X68" s="8">
        <v>0.699999988079071</v>
      </c>
      <c r="Y68" s="7">
        <v>0</v>
      </c>
      <c r="Z68" s="7">
        <v>95</v>
      </c>
      <c r="AA68" s="8">
        <v>0.10000000149011612</v>
      </c>
      <c r="AB68" s="7">
        <v>1</v>
      </c>
      <c r="AC68" s="8">
        <v>0.949999988079071</v>
      </c>
      <c r="AD68" s="7">
        <v>1</v>
      </c>
      <c r="AE68" s="8">
        <v>0.8999999761581421</v>
      </c>
      <c r="AF68" s="7">
        <v>3</v>
      </c>
      <c r="AG68" s="8">
        <v>2.5999999046325684</v>
      </c>
    </row>
    <row x14ac:dyDescent="0.25" r="69" customHeight="1" ht="18.75">
      <c r="A69" s="12" t="s">
        <v>345</v>
      </c>
      <c r="B69" s="7">
        <v>61</v>
      </c>
      <c r="C69" s="12" t="s">
        <v>231</v>
      </c>
      <c r="D69" s="12" t="s">
        <v>241</v>
      </c>
      <c r="E69" s="12" t="s">
        <v>346</v>
      </c>
      <c r="F69" s="12" t="s">
        <v>45</v>
      </c>
      <c r="G69" s="12" t="s">
        <v>210</v>
      </c>
      <c r="H69" s="12" t="s">
        <v>347</v>
      </c>
      <c r="I69" s="12" t="s">
        <v>48</v>
      </c>
      <c r="J69" s="12"/>
      <c r="K69" s="12" t="s">
        <v>348</v>
      </c>
      <c r="L69" s="12" t="s">
        <v>48</v>
      </c>
      <c r="M69" s="12" t="s">
        <v>50</v>
      </c>
      <c r="N69" s="12" t="s">
        <v>119</v>
      </c>
      <c r="O69" s="12" t="s">
        <v>52</v>
      </c>
      <c r="P69" s="12" t="s">
        <v>135</v>
      </c>
      <c r="Q69" s="7">
        <v>44</v>
      </c>
      <c r="R69" s="12" t="s">
        <v>54</v>
      </c>
      <c r="S69" s="12" t="s">
        <v>239</v>
      </c>
      <c r="T69" s="7">
        <v>50000</v>
      </c>
      <c r="U69" s="12" t="s">
        <v>138</v>
      </c>
      <c r="V69" s="7">
        <v>0</v>
      </c>
      <c r="W69" s="7">
        <v>0</v>
      </c>
      <c r="X69" s="8">
        <v>0.949999988079071</v>
      </c>
      <c r="Y69" s="7">
        <v>0</v>
      </c>
      <c r="Z69" s="7">
        <v>83</v>
      </c>
      <c r="AA69" s="8">
        <v>0.10000000149011612</v>
      </c>
      <c r="AB69" s="8">
        <v>1.2000000476837158</v>
      </c>
      <c r="AC69" s="8">
        <v>0.949999988079071</v>
      </c>
      <c r="AD69" s="8">
        <v>0.800000011920929</v>
      </c>
      <c r="AE69" s="8">
        <v>0.8999999761581421</v>
      </c>
      <c r="AF69" s="7">
        <v>2</v>
      </c>
      <c r="AG69" s="8">
        <v>1.350000023841858</v>
      </c>
    </row>
    <row x14ac:dyDescent="0.25" r="70" customHeight="1" ht="18.75">
      <c r="A70" s="12" t="s">
        <v>349</v>
      </c>
      <c r="B70" s="7">
        <v>62</v>
      </c>
      <c r="C70" s="12" t="s">
        <v>231</v>
      </c>
      <c r="D70" s="12" t="s">
        <v>149</v>
      </c>
      <c r="E70" s="12" t="s">
        <v>174</v>
      </c>
      <c r="F70" s="12" t="s">
        <v>45</v>
      </c>
      <c r="G70" s="12" t="s">
        <v>151</v>
      </c>
      <c r="H70" s="12" t="s">
        <v>175</v>
      </c>
      <c r="I70" s="12" t="s">
        <v>62</v>
      </c>
      <c r="J70" s="12"/>
      <c r="K70" s="12" t="s">
        <v>176</v>
      </c>
      <c r="L70" s="12" t="s">
        <v>62</v>
      </c>
      <c r="M70" s="12" t="s">
        <v>50</v>
      </c>
      <c r="N70" s="12" t="s">
        <v>53</v>
      </c>
      <c r="O70" s="12" t="s">
        <v>52</v>
      </c>
      <c r="P70" s="12" t="s">
        <v>99</v>
      </c>
      <c r="Q70" s="7">
        <v>18</v>
      </c>
      <c r="R70" s="12" t="s">
        <v>54</v>
      </c>
      <c r="S70" s="12" t="s">
        <v>239</v>
      </c>
      <c r="T70" s="7">
        <v>50000</v>
      </c>
      <c r="U70" s="12" t="s">
        <v>138</v>
      </c>
      <c r="V70" s="7">
        <v>0</v>
      </c>
      <c r="W70" s="7">
        <v>0</v>
      </c>
      <c r="X70" s="8">
        <v>0.4399999976158142</v>
      </c>
      <c r="Y70" s="8">
        <v>0.07000000029802322</v>
      </c>
      <c r="Z70" s="7">
        <v>89</v>
      </c>
      <c r="AA70" s="8">
        <v>0.10000000149011612</v>
      </c>
      <c r="AB70" s="7">
        <v>1</v>
      </c>
      <c r="AC70" s="8">
        <v>0.8999999761581421</v>
      </c>
      <c r="AD70" s="7">
        <v>1</v>
      </c>
      <c r="AE70" s="8">
        <v>1.5</v>
      </c>
      <c r="AF70" s="8">
        <v>2.5</v>
      </c>
      <c r="AG70" s="8">
        <v>2.799999952316284</v>
      </c>
    </row>
    <row x14ac:dyDescent="0.25" r="71" customHeight="1" ht="18.75">
      <c r="A71" s="12" t="s">
        <v>350</v>
      </c>
      <c r="B71" s="7">
        <v>63</v>
      </c>
      <c r="C71" s="12" t="s">
        <v>231</v>
      </c>
      <c r="D71" s="12" t="s">
        <v>149</v>
      </c>
      <c r="E71" s="12" t="s">
        <v>178</v>
      </c>
      <c r="F71" s="12" t="s">
        <v>45</v>
      </c>
      <c r="G71" s="12" t="s">
        <v>151</v>
      </c>
      <c r="H71" s="12" t="s">
        <v>179</v>
      </c>
      <c r="I71" s="12" t="s">
        <v>180</v>
      </c>
      <c r="J71" s="12"/>
      <c r="K71" s="12" t="s">
        <v>181</v>
      </c>
      <c r="L71" s="12" t="s">
        <v>180</v>
      </c>
      <c r="M71" s="12" t="s">
        <v>50</v>
      </c>
      <c r="N71" s="12" t="s">
        <v>293</v>
      </c>
      <c r="O71" s="12" t="s">
        <v>52</v>
      </c>
      <c r="P71" s="12" t="s">
        <v>81</v>
      </c>
      <c r="Q71" s="8">
        <v>9.5</v>
      </c>
      <c r="R71" s="12" t="s">
        <v>54</v>
      </c>
      <c r="S71" s="12" t="s">
        <v>239</v>
      </c>
      <c r="T71" s="7">
        <v>50000</v>
      </c>
      <c r="U71" s="12" t="s">
        <v>138</v>
      </c>
      <c r="V71" s="7">
        <v>0</v>
      </c>
      <c r="W71" s="7">
        <v>0</v>
      </c>
      <c r="X71" s="8">
        <v>0.3400000035762787</v>
      </c>
      <c r="Y71" s="8">
        <v>0.07999999821186066</v>
      </c>
      <c r="Z71" s="7">
        <v>73</v>
      </c>
      <c r="AA71" s="8">
        <v>0.10000000149011612</v>
      </c>
      <c r="AB71" s="8">
        <v>0.699999988079071</v>
      </c>
      <c r="AC71" s="7">
        <v>1</v>
      </c>
      <c r="AD71" s="7">
        <v>1</v>
      </c>
      <c r="AE71" s="8">
        <v>1.5</v>
      </c>
      <c r="AF71" s="8">
        <v>2.0999999046325684</v>
      </c>
      <c r="AG71" s="7">
        <v>4</v>
      </c>
    </row>
    <row x14ac:dyDescent="0.25" r="72" customHeight="1" ht="18.75">
      <c r="A72" s="12" t="s">
        <v>351</v>
      </c>
      <c r="B72" s="7">
        <v>64</v>
      </c>
      <c r="C72" s="12" t="s">
        <v>231</v>
      </c>
      <c r="D72" s="12" t="s">
        <v>309</v>
      </c>
      <c r="E72" s="12" t="s">
        <v>352</v>
      </c>
      <c r="F72" s="12" t="s">
        <v>45</v>
      </c>
      <c r="G72" s="12" t="s">
        <v>353</v>
      </c>
      <c r="H72" s="12" t="s">
        <v>354</v>
      </c>
      <c r="I72" s="12" t="s">
        <v>355</v>
      </c>
      <c r="J72" s="12"/>
      <c r="K72" s="12" t="s">
        <v>356</v>
      </c>
      <c r="L72" s="12" t="s">
        <v>355</v>
      </c>
      <c r="M72" s="12" t="s">
        <v>238</v>
      </c>
      <c r="N72" s="12" t="s">
        <v>80</v>
      </c>
      <c r="O72" s="12" t="s">
        <v>74</v>
      </c>
      <c r="P72" s="12" t="s">
        <v>112</v>
      </c>
      <c r="Q72" s="7">
        <v>100</v>
      </c>
      <c r="R72" s="12" t="s">
        <v>54</v>
      </c>
      <c r="S72" s="12" t="s">
        <v>239</v>
      </c>
      <c r="T72" s="7">
        <v>50000</v>
      </c>
      <c r="U72" s="12" t="s">
        <v>138</v>
      </c>
      <c r="V72" s="7">
        <v>0</v>
      </c>
      <c r="W72" s="7">
        <v>0</v>
      </c>
      <c r="X72" s="8">
        <v>0.5</v>
      </c>
      <c r="Y72" s="7">
        <v>0</v>
      </c>
      <c r="Z72" s="7">
        <v>95</v>
      </c>
      <c r="AA72" s="8">
        <v>0.10000000149011612</v>
      </c>
      <c r="AB72" s="8">
        <v>0.6000000238418579</v>
      </c>
      <c r="AC72" s="7">
        <v>1</v>
      </c>
      <c r="AD72" s="8">
        <v>1.2000000476837158</v>
      </c>
      <c r="AE72" s="8">
        <v>0.8999999761581421</v>
      </c>
      <c r="AF72" s="7">
        <v>2</v>
      </c>
      <c r="AG72" s="7">
        <v>2</v>
      </c>
    </row>
    <row x14ac:dyDescent="0.25" r="73" customHeight="1" ht="18.75">
      <c r="A73" s="12" t="s">
        <v>357</v>
      </c>
      <c r="B73" s="7">
        <v>65</v>
      </c>
      <c r="C73" s="12" t="s">
        <v>231</v>
      </c>
      <c r="D73" s="12" t="s">
        <v>241</v>
      </c>
      <c r="E73" s="12" t="s">
        <v>358</v>
      </c>
      <c r="F73" s="12" t="s">
        <v>45</v>
      </c>
      <c r="G73" s="12" t="s">
        <v>353</v>
      </c>
      <c r="H73" s="12" t="s">
        <v>354</v>
      </c>
      <c r="I73" s="12" t="s">
        <v>359</v>
      </c>
      <c r="J73" s="12"/>
      <c r="K73" s="12" t="s">
        <v>360</v>
      </c>
      <c r="L73" s="12" t="s">
        <v>359</v>
      </c>
      <c r="M73" s="12" t="s">
        <v>50</v>
      </c>
      <c r="N73" s="12" t="s">
        <v>80</v>
      </c>
      <c r="O73" s="12" t="s">
        <v>74</v>
      </c>
      <c r="P73" s="12" t="s">
        <v>135</v>
      </c>
      <c r="Q73" s="7">
        <v>64</v>
      </c>
      <c r="R73" s="12" t="s">
        <v>54</v>
      </c>
      <c r="S73" s="12" t="s">
        <v>239</v>
      </c>
      <c r="T73" s="7">
        <v>50000</v>
      </c>
      <c r="U73" s="12" t="s">
        <v>138</v>
      </c>
      <c r="V73" s="7">
        <v>0</v>
      </c>
      <c r="W73" s="7">
        <v>0</v>
      </c>
      <c r="X73" s="8">
        <v>0.8999999761581421</v>
      </c>
      <c r="Y73" s="8">
        <v>0.05999999865889549</v>
      </c>
      <c r="Z73" s="8">
        <v>77.69999694824219</v>
      </c>
      <c r="AA73" s="8">
        <v>0.10000000149011612</v>
      </c>
      <c r="AB73" s="8">
        <v>0.6000000238418579</v>
      </c>
      <c r="AC73" s="7">
        <v>1</v>
      </c>
      <c r="AD73" s="8">
        <v>1.2000000476837158</v>
      </c>
      <c r="AE73" s="8">
        <v>0.8999999761581421</v>
      </c>
      <c r="AF73" s="7">
        <v>2</v>
      </c>
      <c r="AG73" s="8">
        <v>1.7999999523162842</v>
      </c>
    </row>
    <row x14ac:dyDescent="0.25" r="74" customHeight="1" ht="18.75">
      <c r="A74" s="12" t="s">
        <v>361</v>
      </c>
      <c r="B74" s="7">
        <v>66</v>
      </c>
      <c r="C74" s="12" t="s">
        <v>231</v>
      </c>
      <c r="D74" s="12" t="s">
        <v>232</v>
      </c>
      <c r="E74" s="12" t="s">
        <v>362</v>
      </c>
      <c r="F74" s="12" t="s">
        <v>45</v>
      </c>
      <c r="G74" s="12" t="s">
        <v>60</v>
      </c>
      <c r="H74" s="12" t="s">
        <v>363</v>
      </c>
      <c r="I74" s="12" t="s">
        <v>364</v>
      </c>
      <c r="J74" s="12"/>
      <c r="K74" s="12" t="s">
        <v>365</v>
      </c>
      <c r="L74" s="12" t="s">
        <v>364</v>
      </c>
      <c r="M74" s="12" t="s">
        <v>50</v>
      </c>
      <c r="N74" s="12" t="s">
        <v>135</v>
      </c>
      <c r="O74" s="12" t="s">
        <v>98</v>
      </c>
      <c r="P74" s="12" t="s">
        <v>119</v>
      </c>
      <c r="Q74" s="7">
        <v>22</v>
      </c>
      <c r="R74" s="12" t="s">
        <v>54</v>
      </c>
      <c r="S74" s="12" t="s">
        <v>239</v>
      </c>
      <c r="T74" s="7">
        <v>50000</v>
      </c>
      <c r="U74" s="12" t="s">
        <v>138</v>
      </c>
      <c r="V74" s="7">
        <v>0</v>
      </c>
      <c r="W74" s="7">
        <v>0</v>
      </c>
      <c r="X74" s="8">
        <v>0.699999988079071</v>
      </c>
      <c r="Y74" s="7">
        <v>0</v>
      </c>
      <c r="Z74" s="7">
        <v>92</v>
      </c>
      <c r="AA74" s="8">
        <v>0.10000000149011612</v>
      </c>
      <c r="AB74" s="8">
        <v>1.5</v>
      </c>
      <c r="AC74" s="8">
        <v>0.800000011920929</v>
      </c>
      <c r="AD74" s="7">
        <v>1</v>
      </c>
      <c r="AE74" s="8">
        <v>0.800000011920929</v>
      </c>
      <c r="AF74" s="7">
        <v>4</v>
      </c>
      <c r="AG74" s="8">
        <v>4.5</v>
      </c>
    </row>
    <row x14ac:dyDescent="0.25" r="75" customHeight="1" ht="18.75">
      <c r="A75" s="12" t="s">
        <v>366</v>
      </c>
      <c r="B75" s="7">
        <v>67</v>
      </c>
      <c r="C75" s="12" t="s">
        <v>231</v>
      </c>
      <c r="D75" s="12" t="s">
        <v>149</v>
      </c>
      <c r="E75" s="12" t="s">
        <v>367</v>
      </c>
      <c r="F75" s="12" t="s">
        <v>45</v>
      </c>
      <c r="G75" s="12" t="s">
        <v>151</v>
      </c>
      <c r="H75" s="12" t="s">
        <v>368</v>
      </c>
      <c r="I75" s="12" t="s">
        <v>369</v>
      </c>
      <c r="J75" s="12"/>
      <c r="K75" s="12" t="s">
        <v>370</v>
      </c>
      <c r="L75" s="12" t="s">
        <v>369</v>
      </c>
      <c r="M75" s="12" t="s">
        <v>50</v>
      </c>
      <c r="N75" s="12" t="s">
        <v>135</v>
      </c>
      <c r="O75" s="12" t="s">
        <v>52</v>
      </c>
      <c r="P75" s="12" t="s">
        <v>53</v>
      </c>
      <c r="Q75" s="7">
        <v>11</v>
      </c>
      <c r="R75" s="12" t="s">
        <v>54</v>
      </c>
      <c r="S75" s="12" t="s">
        <v>239</v>
      </c>
      <c r="T75" s="7">
        <v>50000</v>
      </c>
      <c r="U75" s="12" t="s">
        <v>138</v>
      </c>
      <c r="V75" s="7">
        <v>0</v>
      </c>
      <c r="W75" s="7">
        <v>0</v>
      </c>
      <c r="X75" s="8">
        <v>0.30000001192092896</v>
      </c>
      <c r="Y75" s="8">
        <v>0.05000000074505806</v>
      </c>
      <c r="Z75" s="7">
        <v>76</v>
      </c>
      <c r="AA75" s="8">
        <v>0.10000000149011612</v>
      </c>
      <c r="AB75" s="7">
        <v>1</v>
      </c>
      <c r="AC75" s="8">
        <v>0.8999999761581421</v>
      </c>
      <c r="AD75" s="7">
        <v>1</v>
      </c>
      <c r="AE75" s="8">
        <v>1.5</v>
      </c>
      <c r="AF75" s="8">
        <v>1.7000000476837158</v>
      </c>
      <c r="AG75" s="8">
        <v>4.400000095367432</v>
      </c>
    </row>
    <row x14ac:dyDescent="0.25" r="76" customHeight="1" ht="18.75">
      <c r="A76" s="12" t="s">
        <v>371</v>
      </c>
      <c r="B76" s="7">
        <v>68</v>
      </c>
      <c r="C76" s="12" t="s">
        <v>231</v>
      </c>
      <c r="D76" s="12" t="s">
        <v>309</v>
      </c>
      <c r="E76" s="12" t="s">
        <v>372</v>
      </c>
      <c r="F76" s="12" t="s">
        <v>45</v>
      </c>
      <c r="G76" s="12" t="s">
        <v>46</v>
      </c>
      <c r="H76" s="12" t="s">
        <v>130</v>
      </c>
      <c r="I76" s="12" t="s">
        <v>131</v>
      </c>
      <c r="J76" s="12"/>
      <c r="K76" s="12" t="s">
        <v>132</v>
      </c>
      <c r="L76" s="12" t="s">
        <v>131</v>
      </c>
      <c r="M76" s="12" t="s">
        <v>50</v>
      </c>
      <c r="N76" s="12" t="s">
        <v>80</v>
      </c>
      <c r="O76" s="12" t="s">
        <v>373</v>
      </c>
      <c r="P76" s="12" t="s">
        <v>118</v>
      </c>
      <c r="Q76" s="7">
        <v>22</v>
      </c>
      <c r="R76" s="12" t="s">
        <v>54</v>
      </c>
      <c r="S76" s="12" t="s">
        <v>239</v>
      </c>
      <c r="T76" s="7">
        <v>50000</v>
      </c>
      <c r="U76" s="12" t="s">
        <v>138</v>
      </c>
      <c r="V76" s="7">
        <v>0</v>
      </c>
      <c r="W76" s="7">
        <v>0</v>
      </c>
      <c r="X76" s="8">
        <v>0.47999998927116394</v>
      </c>
      <c r="Y76" s="8">
        <v>0.019999999552965164</v>
      </c>
      <c r="Z76" s="7">
        <v>78</v>
      </c>
      <c r="AA76" s="8">
        <v>0.10000000149011612</v>
      </c>
      <c r="AB76" s="8">
        <v>1.5</v>
      </c>
      <c r="AC76" s="8">
        <v>0.75</v>
      </c>
      <c r="AD76" s="7">
        <v>1</v>
      </c>
      <c r="AE76" s="8">
        <v>0.8999999761581421</v>
      </c>
      <c r="AF76" s="8">
        <v>0.8999999761581421</v>
      </c>
      <c r="AG76" s="8">
        <v>1.399999976158142</v>
      </c>
    </row>
    <row x14ac:dyDescent="0.25" r="77" customHeight="1" ht="18.75">
      <c r="A77" s="12" t="s">
        <v>374</v>
      </c>
      <c r="B77" s="12" t="s">
        <v>374</v>
      </c>
      <c r="C77" s="12" t="s">
        <v>374</v>
      </c>
      <c r="D77" s="12" t="s">
        <v>374</v>
      </c>
      <c r="E77" s="12" t="s">
        <v>374</v>
      </c>
      <c r="F77" s="12" t="s">
        <v>374</v>
      </c>
      <c r="G77" s="12" t="s">
        <v>374</v>
      </c>
      <c r="H77" s="12" t="s">
        <v>374</v>
      </c>
      <c r="I77" s="12" t="s">
        <v>374</v>
      </c>
      <c r="J77" s="12" t="s">
        <v>374</v>
      </c>
      <c r="K77" s="12" t="s">
        <v>374</v>
      </c>
      <c r="L77" s="12" t="s">
        <v>374</v>
      </c>
      <c r="M77" s="12" t="s">
        <v>374</v>
      </c>
      <c r="N77" s="12" t="s">
        <v>374</v>
      </c>
      <c r="O77" s="12" t="s">
        <v>374</v>
      </c>
      <c r="P77" s="12" t="s">
        <v>374</v>
      </c>
      <c r="Q77" s="12" t="s">
        <v>374</v>
      </c>
      <c r="R77" s="12" t="s">
        <v>374</v>
      </c>
      <c r="S77" s="12" t="s">
        <v>374</v>
      </c>
      <c r="T77" s="12" t="s">
        <v>374</v>
      </c>
      <c r="U77" s="12" t="s">
        <v>374</v>
      </c>
      <c r="V77" s="12" t="s">
        <v>374</v>
      </c>
      <c r="W77" s="12" t="s">
        <v>374</v>
      </c>
      <c r="X77" s="13" t="s">
        <v>374</v>
      </c>
      <c r="Y77" s="13" t="s">
        <v>374</v>
      </c>
      <c r="Z77" s="12" t="s">
        <v>374</v>
      </c>
      <c r="AA77" s="13" t="s">
        <v>374</v>
      </c>
      <c r="AB77" s="13" t="s">
        <v>374</v>
      </c>
      <c r="AC77" s="13" t="s">
        <v>374</v>
      </c>
      <c r="AD77" s="12" t="s">
        <v>374</v>
      </c>
      <c r="AE77" s="13" t="s">
        <v>374</v>
      </c>
      <c r="AF77" s="13" t="s">
        <v>374</v>
      </c>
      <c r="AG77" s="13" t="s">
        <v>374</v>
      </c>
    </row>
    <row x14ac:dyDescent="0.25" r="78" customHeight="1" ht="18.75">
      <c r="A78" s="12" t="s">
        <v>374</v>
      </c>
      <c r="B78" s="12" t="s">
        <v>374</v>
      </c>
      <c r="C78" s="12" t="s">
        <v>374</v>
      </c>
      <c r="D78" s="12" t="s">
        <v>374</v>
      </c>
      <c r="E78" s="12" t="s">
        <v>374</v>
      </c>
      <c r="F78" s="12" t="s">
        <v>374</v>
      </c>
      <c r="G78" s="12" t="s">
        <v>374</v>
      </c>
      <c r="H78" s="12" t="s">
        <v>374</v>
      </c>
      <c r="I78" s="12" t="s">
        <v>374</v>
      </c>
      <c r="J78" s="12" t="s">
        <v>374</v>
      </c>
      <c r="K78" s="12" t="s">
        <v>374</v>
      </c>
      <c r="L78" s="12" t="s">
        <v>374</v>
      </c>
      <c r="M78" s="12" t="s">
        <v>374</v>
      </c>
      <c r="N78" s="12" t="s">
        <v>374</v>
      </c>
      <c r="O78" s="12" t="s">
        <v>374</v>
      </c>
      <c r="P78" s="12" t="s">
        <v>374</v>
      </c>
      <c r="Q78" s="12" t="s">
        <v>374</v>
      </c>
      <c r="R78" s="12" t="s">
        <v>374</v>
      </c>
      <c r="S78" s="12" t="s">
        <v>374</v>
      </c>
      <c r="T78" s="12" t="s">
        <v>374</v>
      </c>
      <c r="U78" s="12" t="s">
        <v>374</v>
      </c>
      <c r="V78" s="12" t="s">
        <v>374</v>
      </c>
      <c r="W78" s="12" t="s">
        <v>374</v>
      </c>
      <c r="X78" s="13" t="s">
        <v>374</v>
      </c>
      <c r="Y78" s="13" t="s">
        <v>374</v>
      </c>
      <c r="Z78" s="12" t="s">
        <v>374</v>
      </c>
      <c r="AA78" s="13" t="s">
        <v>374</v>
      </c>
      <c r="AB78" s="13" t="s">
        <v>374</v>
      </c>
      <c r="AC78" s="13" t="s">
        <v>374</v>
      </c>
      <c r="AD78" s="12" t="s">
        <v>374</v>
      </c>
      <c r="AE78" s="13" t="s">
        <v>374</v>
      </c>
      <c r="AF78" s="13" t="s">
        <v>374</v>
      </c>
      <c r="AG78" s="13" t="s">
        <v>374</v>
      </c>
    </row>
    <row x14ac:dyDescent="0.25" r="79" customHeight="1" ht="18.75">
      <c r="A79" s="12" t="s">
        <v>374</v>
      </c>
      <c r="B79" s="12" t="s">
        <v>374</v>
      </c>
      <c r="C79" s="12" t="s">
        <v>374</v>
      </c>
      <c r="D79" s="12" t="s">
        <v>374</v>
      </c>
      <c r="E79" s="12" t="s">
        <v>374</v>
      </c>
      <c r="F79" s="12" t="s">
        <v>374</v>
      </c>
      <c r="G79" s="12" t="s">
        <v>374</v>
      </c>
      <c r="H79" s="12" t="s">
        <v>374</v>
      </c>
      <c r="I79" s="12" t="s">
        <v>374</v>
      </c>
      <c r="J79" s="12" t="s">
        <v>374</v>
      </c>
      <c r="K79" s="12" t="s">
        <v>374</v>
      </c>
      <c r="L79" s="12" t="s">
        <v>374</v>
      </c>
      <c r="M79" s="12" t="s">
        <v>374</v>
      </c>
      <c r="N79" s="12" t="s">
        <v>374</v>
      </c>
      <c r="O79" s="12" t="s">
        <v>374</v>
      </c>
      <c r="P79" s="12" t="s">
        <v>374</v>
      </c>
      <c r="Q79" s="12" t="s">
        <v>374</v>
      </c>
      <c r="R79" s="12" t="s">
        <v>374</v>
      </c>
      <c r="S79" s="12" t="s">
        <v>374</v>
      </c>
      <c r="T79" s="12" t="s">
        <v>374</v>
      </c>
      <c r="U79" s="12" t="s">
        <v>374</v>
      </c>
      <c r="V79" s="12" t="s">
        <v>374</v>
      </c>
      <c r="W79" s="12" t="s">
        <v>374</v>
      </c>
      <c r="X79" s="13" t="s">
        <v>374</v>
      </c>
      <c r="Y79" s="13" t="s">
        <v>374</v>
      </c>
      <c r="Z79" s="12" t="s">
        <v>374</v>
      </c>
      <c r="AA79" s="13" t="s">
        <v>374</v>
      </c>
      <c r="AB79" s="13" t="s">
        <v>374</v>
      </c>
      <c r="AC79" s="13" t="s">
        <v>374</v>
      </c>
      <c r="AD79" s="12" t="s">
        <v>374</v>
      </c>
      <c r="AE79" s="13" t="s">
        <v>374</v>
      </c>
      <c r="AF79" s="13" t="s">
        <v>374</v>
      </c>
      <c r="AG79" s="13" t="s">
        <v>374</v>
      </c>
    </row>
    <row x14ac:dyDescent="0.25" r="80" customHeight="1" ht="18.75">
      <c r="A80" s="12" t="s">
        <v>374</v>
      </c>
      <c r="B80" s="12" t="s">
        <v>374</v>
      </c>
      <c r="C80" s="12" t="s">
        <v>374</v>
      </c>
      <c r="D80" s="12" t="s">
        <v>374</v>
      </c>
      <c r="E80" s="12" t="s">
        <v>374</v>
      </c>
      <c r="F80" s="12" t="s">
        <v>374</v>
      </c>
      <c r="G80" s="12" t="s">
        <v>374</v>
      </c>
      <c r="H80" s="12" t="s">
        <v>374</v>
      </c>
      <c r="I80" s="12" t="s">
        <v>374</v>
      </c>
      <c r="J80" s="12" t="s">
        <v>374</v>
      </c>
      <c r="K80" s="12" t="s">
        <v>374</v>
      </c>
      <c r="L80" s="12" t="s">
        <v>374</v>
      </c>
      <c r="M80" s="12" t="s">
        <v>374</v>
      </c>
      <c r="N80" s="12" t="s">
        <v>374</v>
      </c>
      <c r="O80" s="12" t="s">
        <v>374</v>
      </c>
      <c r="P80" s="12" t="s">
        <v>374</v>
      </c>
      <c r="Q80" s="12" t="s">
        <v>374</v>
      </c>
      <c r="R80" s="12" t="s">
        <v>374</v>
      </c>
      <c r="S80" s="12" t="s">
        <v>374</v>
      </c>
      <c r="T80" s="12" t="s">
        <v>374</v>
      </c>
      <c r="U80" s="12" t="s">
        <v>374</v>
      </c>
      <c r="V80" s="12" t="s">
        <v>374</v>
      </c>
      <c r="W80" s="12" t="s">
        <v>374</v>
      </c>
      <c r="X80" s="13" t="s">
        <v>374</v>
      </c>
      <c r="Y80" s="13" t="s">
        <v>374</v>
      </c>
      <c r="Z80" s="12" t="s">
        <v>374</v>
      </c>
      <c r="AA80" s="13" t="s">
        <v>374</v>
      </c>
      <c r="AB80" s="13" t="s">
        <v>374</v>
      </c>
      <c r="AC80" s="13" t="s">
        <v>374</v>
      </c>
      <c r="AD80" s="12" t="s">
        <v>374</v>
      </c>
      <c r="AE80" s="13" t="s">
        <v>374</v>
      </c>
      <c r="AF80" s="13" t="s">
        <v>374</v>
      </c>
      <c r="AG80" s="13" t="s">
        <v>374</v>
      </c>
    </row>
    <row x14ac:dyDescent="0.25" r="81" customHeight="1" ht="18.75">
      <c r="A81" s="12" t="s">
        <v>374</v>
      </c>
      <c r="B81" s="12" t="s">
        <v>374</v>
      </c>
      <c r="C81" s="12" t="s">
        <v>374</v>
      </c>
      <c r="D81" s="12" t="s">
        <v>374</v>
      </c>
      <c r="E81" s="12" t="s">
        <v>374</v>
      </c>
      <c r="F81" s="12" t="s">
        <v>374</v>
      </c>
      <c r="G81" s="12" t="s">
        <v>374</v>
      </c>
      <c r="H81" s="12" t="s">
        <v>374</v>
      </c>
      <c r="I81" s="12" t="s">
        <v>374</v>
      </c>
      <c r="J81" s="12" t="s">
        <v>374</v>
      </c>
      <c r="K81" s="12" t="s">
        <v>374</v>
      </c>
      <c r="L81" s="12" t="s">
        <v>374</v>
      </c>
      <c r="M81" s="12" t="s">
        <v>374</v>
      </c>
      <c r="N81" s="12" t="s">
        <v>374</v>
      </c>
      <c r="O81" s="12" t="s">
        <v>374</v>
      </c>
      <c r="P81" s="12" t="s">
        <v>374</v>
      </c>
      <c r="Q81" s="12" t="s">
        <v>374</v>
      </c>
      <c r="R81" s="12" t="s">
        <v>374</v>
      </c>
      <c r="S81" s="12" t="s">
        <v>374</v>
      </c>
      <c r="T81" s="12" t="s">
        <v>374</v>
      </c>
      <c r="U81" s="12" t="s">
        <v>374</v>
      </c>
      <c r="V81" s="12" t="s">
        <v>374</v>
      </c>
      <c r="W81" s="12" t="s">
        <v>374</v>
      </c>
      <c r="X81" s="13" t="s">
        <v>374</v>
      </c>
      <c r="Y81" s="13" t="s">
        <v>374</v>
      </c>
      <c r="Z81" s="12" t="s">
        <v>374</v>
      </c>
      <c r="AA81" s="13" t="s">
        <v>374</v>
      </c>
      <c r="AB81" s="13" t="s">
        <v>374</v>
      </c>
      <c r="AC81" s="13" t="s">
        <v>374</v>
      </c>
      <c r="AD81" s="12" t="s">
        <v>374</v>
      </c>
      <c r="AE81" s="13" t="s">
        <v>374</v>
      </c>
      <c r="AF81" s="13" t="s">
        <v>374</v>
      </c>
      <c r="AG81" s="13" t="s">
        <v>374</v>
      </c>
    </row>
    <row x14ac:dyDescent="0.25" r="82" customHeight="1" ht="18.75">
      <c r="A82" s="12" t="s">
        <v>374</v>
      </c>
      <c r="B82" s="12" t="s">
        <v>374</v>
      </c>
      <c r="C82" s="12" t="s">
        <v>374</v>
      </c>
      <c r="D82" s="12" t="s">
        <v>374</v>
      </c>
      <c r="E82" s="12" t="s">
        <v>374</v>
      </c>
      <c r="F82" s="12" t="s">
        <v>374</v>
      </c>
      <c r="G82" s="12" t="s">
        <v>374</v>
      </c>
      <c r="H82" s="12" t="s">
        <v>374</v>
      </c>
      <c r="I82" s="12" t="s">
        <v>374</v>
      </c>
      <c r="J82" s="12" t="s">
        <v>374</v>
      </c>
      <c r="K82" s="12" t="s">
        <v>374</v>
      </c>
      <c r="L82" s="12" t="s">
        <v>374</v>
      </c>
      <c r="M82" s="12" t="s">
        <v>374</v>
      </c>
      <c r="N82" s="12" t="s">
        <v>374</v>
      </c>
      <c r="O82" s="12" t="s">
        <v>374</v>
      </c>
      <c r="P82" s="12" t="s">
        <v>374</v>
      </c>
      <c r="Q82" s="12" t="s">
        <v>374</v>
      </c>
      <c r="R82" s="12" t="s">
        <v>374</v>
      </c>
      <c r="S82" s="12" t="s">
        <v>374</v>
      </c>
      <c r="T82" s="12" t="s">
        <v>374</v>
      </c>
      <c r="U82" s="12" t="s">
        <v>374</v>
      </c>
      <c r="V82" s="12" t="s">
        <v>374</v>
      </c>
      <c r="W82" s="12" t="s">
        <v>374</v>
      </c>
      <c r="X82" s="13" t="s">
        <v>374</v>
      </c>
      <c r="Y82" s="13" t="s">
        <v>374</v>
      </c>
      <c r="Z82" s="12" t="s">
        <v>374</v>
      </c>
      <c r="AA82" s="13" t="s">
        <v>374</v>
      </c>
      <c r="AB82" s="13" t="s">
        <v>374</v>
      </c>
      <c r="AC82" s="13" t="s">
        <v>374</v>
      </c>
      <c r="AD82" s="12" t="s">
        <v>374</v>
      </c>
      <c r="AE82" s="13" t="s">
        <v>374</v>
      </c>
      <c r="AF82" s="13" t="s">
        <v>374</v>
      </c>
      <c r="AG82" s="13" t="s">
        <v>374</v>
      </c>
    </row>
    <row x14ac:dyDescent="0.25" r="83" customHeight="1" ht="18.75">
      <c r="A83" s="12" t="s">
        <v>374</v>
      </c>
      <c r="B83" s="12" t="s">
        <v>374</v>
      </c>
      <c r="C83" s="12" t="s">
        <v>374</v>
      </c>
      <c r="D83" s="12" t="s">
        <v>374</v>
      </c>
      <c r="E83" s="12" t="s">
        <v>374</v>
      </c>
      <c r="F83" s="12" t="s">
        <v>374</v>
      </c>
      <c r="G83" s="12" t="s">
        <v>374</v>
      </c>
      <c r="H83" s="12" t="s">
        <v>374</v>
      </c>
      <c r="I83" s="12" t="s">
        <v>374</v>
      </c>
      <c r="J83" s="12" t="s">
        <v>374</v>
      </c>
      <c r="K83" s="12" t="s">
        <v>374</v>
      </c>
      <c r="L83" s="12" t="s">
        <v>374</v>
      </c>
      <c r="M83" s="12" t="s">
        <v>374</v>
      </c>
      <c r="N83" s="12" t="s">
        <v>374</v>
      </c>
      <c r="O83" s="12" t="s">
        <v>374</v>
      </c>
      <c r="P83" s="12" t="s">
        <v>374</v>
      </c>
      <c r="Q83" s="12" t="s">
        <v>374</v>
      </c>
      <c r="R83" s="12" t="s">
        <v>374</v>
      </c>
      <c r="S83" s="12" t="s">
        <v>374</v>
      </c>
      <c r="T83" s="12" t="s">
        <v>374</v>
      </c>
      <c r="U83" s="12" t="s">
        <v>374</v>
      </c>
      <c r="V83" s="12" t="s">
        <v>374</v>
      </c>
      <c r="W83" s="12" t="s">
        <v>374</v>
      </c>
      <c r="X83" s="13" t="s">
        <v>374</v>
      </c>
      <c r="Y83" s="13" t="s">
        <v>374</v>
      </c>
      <c r="Z83" s="12" t="s">
        <v>374</v>
      </c>
      <c r="AA83" s="13" t="s">
        <v>374</v>
      </c>
      <c r="AB83" s="13" t="s">
        <v>374</v>
      </c>
      <c r="AC83" s="13" t="s">
        <v>374</v>
      </c>
      <c r="AD83" s="12" t="s">
        <v>374</v>
      </c>
      <c r="AE83" s="13" t="s">
        <v>374</v>
      </c>
      <c r="AF83" s="13" t="s">
        <v>374</v>
      </c>
      <c r="AG83" s="13" t="s">
        <v>374</v>
      </c>
    </row>
    <row x14ac:dyDescent="0.25" r="84" customHeight="1" ht="18.75">
      <c r="A84" s="12" t="s">
        <v>374</v>
      </c>
      <c r="B84" s="12" t="s">
        <v>374</v>
      </c>
      <c r="C84" s="12" t="s">
        <v>374</v>
      </c>
      <c r="D84" s="12" t="s">
        <v>374</v>
      </c>
      <c r="E84" s="12" t="s">
        <v>374</v>
      </c>
      <c r="F84" s="12" t="s">
        <v>374</v>
      </c>
      <c r="G84" s="12" t="s">
        <v>374</v>
      </c>
      <c r="H84" s="12" t="s">
        <v>374</v>
      </c>
      <c r="I84" s="12" t="s">
        <v>374</v>
      </c>
      <c r="J84" s="12" t="s">
        <v>374</v>
      </c>
      <c r="K84" s="12" t="s">
        <v>374</v>
      </c>
      <c r="L84" s="12" t="s">
        <v>374</v>
      </c>
      <c r="M84" s="12" t="s">
        <v>374</v>
      </c>
      <c r="N84" s="12" t="s">
        <v>374</v>
      </c>
      <c r="O84" s="12" t="s">
        <v>374</v>
      </c>
      <c r="P84" s="12" t="s">
        <v>374</v>
      </c>
      <c r="Q84" s="12" t="s">
        <v>374</v>
      </c>
      <c r="R84" s="12" t="s">
        <v>374</v>
      </c>
      <c r="S84" s="12" t="s">
        <v>374</v>
      </c>
      <c r="T84" s="12" t="s">
        <v>374</v>
      </c>
      <c r="U84" s="12" t="s">
        <v>374</v>
      </c>
      <c r="V84" s="12" t="s">
        <v>374</v>
      </c>
      <c r="W84" s="12" t="s">
        <v>374</v>
      </c>
      <c r="X84" s="13" t="s">
        <v>374</v>
      </c>
      <c r="Y84" s="13" t="s">
        <v>374</v>
      </c>
      <c r="Z84" s="12" t="s">
        <v>374</v>
      </c>
      <c r="AA84" s="13" t="s">
        <v>374</v>
      </c>
      <c r="AB84" s="13" t="s">
        <v>374</v>
      </c>
      <c r="AC84" s="13" t="s">
        <v>374</v>
      </c>
      <c r="AD84" s="12" t="s">
        <v>374</v>
      </c>
      <c r="AE84" s="13" t="s">
        <v>374</v>
      </c>
      <c r="AF84" s="13" t="s">
        <v>374</v>
      </c>
      <c r="AG84" s="13" t="s">
        <v>374</v>
      </c>
    </row>
    <row x14ac:dyDescent="0.25" r="85" customHeight="1" ht="18.75">
      <c r="A85" s="12" t="s">
        <v>374</v>
      </c>
      <c r="B85" s="12" t="s">
        <v>374</v>
      </c>
      <c r="C85" s="12" t="s">
        <v>374</v>
      </c>
      <c r="D85" s="12" t="s">
        <v>374</v>
      </c>
      <c r="E85" s="12" t="s">
        <v>374</v>
      </c>
      <c r="F85" s="12" t="s">
        <v>374</v>
      </c>
      <c r="G85" s="12" t="s">
        <v>374</v>
      </c>
      <c r="H85" s="12" t="s">
        <v>374</v>
      </c>
      <c r="I85" s="12" t="s">
        <v>374</v>
      </c>
      <c r="J85" s="12" t="s">
        <v>374</v>
      </c>
      <c r="K85" s="12" t="s">
        <v>374</v>
      </c>
      <c r="L85" s="12" t="s">
        <v>374</v>
      </c>
      <c r="M85" s="12" t="s">
        <v>374</v>
      </c>
      <c r="N85" s="12" t="s">
        <v>374</v>
      </c>
      <c r="O85" s="12" t="s">
        <v>374</v>
      </c>
      <c r="P85" s="12" t="s">
        <v>374</v>
      </c>
      <c r="Q85" s="12" t="s">
        <v>374</v>
      </c>
      <c r="R85" s="12" t="s">
        <v>374</v>
      </c>
      <c r="S85" s="12" t="s">
        <v>374</v>
      </c>
      <c r="T85" s="12" t="s">
        <v>374</v>
      </c>
      <c r="U85" s="12" t="s">
        <v>374</v>
      </c>
      <c r="V85" s="12" t="s">
        <v>374</v>
      </c>
      <c r="W85" s="12" t="s">
        <v>374</v>
      </c>
      <c r="X85" s="13" t="s">
        <v>374</v>
      </c>
      <c r="Y85" s="13" t="s">
        <v>374</v>
      </c>
      <c r="Z85" s="12" t="s">
        <v>374</v>
      </c>
      <c r="AA85" s="13" t="s">
        <v>374</v>
      </c>
      <c r="AB85" s="13" t="s">
        <v>374</v>
      </c>
      <c r="AC85" s="13" t="s">
        <v>374</v>
      </c>
      <c r="AD85" s="12" t="s">
        <v>374</v>
      </c>
      <c r="AE85" s="13" t="s">
        <v>374</v>
      </c>
      <c r="AF85" s="13" t="s">
        <v>374</v>
      </c>
      <c r="AG85" s="13" t="s">
        <v>374</v>
      </c>
    </row>
    <row x14ac:dyDescent="0.25" r="86" customHeight="1" ht="18.75">
      <c r="A86" s="12" t="s">
        <v>374</v>
      </c>
      <c r="B86" s="12" t="s">
        <v>374</v>
      </c>
      <c r="C86" s="12" t="s">
        <v>374</v>
      </c>
      <c r="D86" s="12" t="s">
        <v>374</v>
      </c>
      <c r="E86" s="12" t="s">
        <v>374</v>
      </c>
      <c r="F86" s="12" t="s">
        <v>374</v>
      </c>
      <c r="G86" s="12" t="s">
        <v>374</v>
      </c>
      <c r="H86" s="12" t="s">
        <v>374</v>
      </c>
      <c r="I86" s="12" t="s">
        <v>374</v>
      </c>
      <c r="J86" s="12" t="s">
        <v>374</v>
      </c>
      <c r="K86" s="12" t="s">
        <v>374</v>
      </c>
      <c r="L86" s="12" t="s">
        <v>374</v>
      </c>
      <c r="M86" s="12" t="s">
        <v>374</v>
      </c>
      <c r="N86" s="12" t="s">
        <v>374</v>
      </c>
      <c r="O86" s="12" t="s">
        <v>374</v>
      </c>
      <c r="P86" s="12" t="s">
        <v>374</v>
      </c>
      <c r="Q86" s="12" t="s">
        <v>374</v>
      </c>
      <c r="R86" s="12" t="s">
        <v>374</v>
      </c>
      <c r="S86" s="12" t="s">
        <v>374</v>
      </c>
      <c r="T86" s="12" t="s">
        <v>374</v>
      </c>
      <c r="U86" s="12" t="s">
        <v>374</v>
      </c>
      <c r="V86" s="12" t="s">
        <v>374</v>
      </c>
      <c r="W86" s="12" t="s">
        <v>374</v>
      </c>
      <c r="X86" s="13" t="s">
        <v>374</v>
      </c>
      <c r="Y86" s="13" t="s">
        <v>374</v>
      </c>
      <c r="Z86" s="12" t="s">
        <v>374</v>
      </c>
      <c r="AA86" s="13" t="s">
        <v>374</v>
      </c>
      <c r="AB86" s="13" t="s">
        <v>374</v>
      </c>
      <c r="AC86" s="13" t="s">
        <v>374</v>
      </c>
      <c r="AD86" s="12" t="s">
        <v>374</v>
      </c>
      <c r="AE86" s="13" t="s">
        <v>374</v>
      </c>
      <c r="AF86" s="13" t="s">
        <v>374</v>
      </c>
      <c r="AG86" s="13" t="s">
        <v>374</v>
      </c>
    </row>
    <row x14ac:dyDescent="0.25" r="87" customHeight="1" ht="18.75">
      <c r="A87" s="12" t="s">
        <v>374</v>
      </c>
      <c r="B87" s="12" t="s">
        <v>374</v>
      </c>
      <c r="C87" s="12" t="s">
        <v>374</v>
      </c>
      <c r="D87" s="12" t="s">
        <v>374</v>
      </c>
      <c r="E87" s="12" t="s">
        <v>374</v>
      </c>
      <c r="F87" s="12" t="s">
        <v>374</v>
      </c>
      <c r="G87" s="12" t="s">
        <v>374</v>
      </c>
      <c r="H87" s="12" t="s">
        <v>374</v>
      </c>
      <c r="I87" s="12" t="s">
        <v>374</v>
      </c>
      <c r="J87" s="12" t="s">
        <v>374</v>
      </c>
      <c r="K87" s="12" t="s">
        <v>374</v>
      </c>
      <c r="L87" s="12" t="s">
        <v>374</v>
      </c>
      <c r="M87" s="12" t="s">
        <v>374</v>
      </c>
      <c r="N87" s="12" t="s">
        <v>374</v>
      </c>
      <c r="O87" s="12" t="s">
        <v>374</v>
      </c>
      <c r="P87" s="12" t="s">
        <v>374</v>
      </c>
      <c r="Q87" s="12" t="s">
        <v>374</v>
      </c>
      <c r="R87" s="12" t="s">
        <v>374</v>
      </c>
      <c r="S87" s="12" t="s">
        <v>374</v>
      </c>
      <c r="T87" s="12" t="s">
        <v>374</v>
      </c>
      <c r="U87" s="12" t="s">
        <v>374</v>
      </c>
      <c r="V87" s="12" t="s">
        <v>374</v>
      </c>
      <c r="W87" s="12" t="s">
        <v>374</v>
      </c>
      <c r="X87" s="13" t="s">
        <v>374</v>
      </c>
      <c r="Y87" s="13" t="s">
        <v>374</v>
      </c>
      <c r="Z87" s="12" t="s">
        <v>374</v>
      </c>
      <c r="AA87" s="13" t="s">
        <v>374</v>
      </c>
      <c r="AB87" s="13" t="s">
        <v>374</v>
      </c>
      <c r="AC87" s="13" t="s">
        <v>374</v>
      </c>
      <c r="AD87" s="12" t="s">
        <v>374</v>
      </c>
      <c r="AE87" s="13" t="s">
        <v>374</v>
      </c>
      <c r="AF87" s="13" t="s">
        <v>374</v>
      </c>
      <c r="AG87" s="13" t="s">
        <v>374</v>
      </c>
    </row>
    <row x14ac:dyDescent="0.25" r="88" customHeight="1" ht="18.75">
      <c r="A88" s="12" t="s">
        <v>374</v>
      </c>
      <c r="B88" s="12" t="s">
        <v>374</v>
      </c>
      <c r="C88" s="12" t="s">
        <v>374</v>
      </c>
      <c r="D88" s="12" t="s">
        <v>374</v>
      </c>
      <c r="E88" s="12" t="s">
        <v>374</v>
      </c>
      <c r="F88" s="12" t="s">
        <v>374</v>
      </c>
      <c r="G88" s="12" t="s">
        <v>374</v>
      </c>
      <c r="H88" s="12" t="s">
        <v>374</v>
      </c>
      <c r="I88" s="12" t="s">
        <v>374</v>
      </c>
      <c r="J88" s="12" t="s">
        <v>374</v>
      </c>
      <c r="K88" s="12" t="s">
        <v>374</v>
      </c>
      <c r="L88" s="12" t="s">
        <v>374</v>
      </c>
      <c r="M88" s="12" t="s">
        <v>374</v>
      </c>
      <c r="N88" s="12" t="s">
        <v>374</v>
      </c>
      <c r="O88" s="12" t="s">
        <v>374</v>
      </c>
      <c r="P88" s="12" t="s">
        <v>374</v>
      </c>
      <c r="Q88" s="12" t="s">
        <v>374</v>
      </c>
      <c r="R88" s="12" t="s">
        <v>374</v>
      </c>
      <c r="S88" s="12" t="s">
        <v>374</v>
      </c>
      <c r="T88" s="12" t="s">
        <v>374</v>
      </c>
      <c r="U88" s="12" t="s">
        <v>374</v>
      </c>
      <c r="V88" s="12" t="s">
        <v>374</v>
      </c>
      <c r="W88" s="12" t="s">
        <v>374</v>
      </c>
      <c r="X88" s="13" t="s">
        <v>374</v>
      </c>
      <c r="Y88" s="13" t="s">
        <v>374</v>
      </c>
      <c r="Z88" s="12" t="s">
        <v>374</v>
      </c>
      <c r="AA88" s="13" t="s">
        <v>374</v>
      </c>
      <c r="AB88" s="13" t="s">
        <v>374</v>
      </c>
      <c r="AC88" s="13" t="s">
        <v>374</v>
      </c>
      <c r="AD88" s="12" t="s">
        <v>374</v>
      </c>
      <c r="AE88" s="13" t="s">
        <v>374</v>
      </c>
      <c r="AF88" s="13" t="s">
        <v>374</v>
      </c>
      <c r="AG88" s="13" t="s">
        <v>374</v>
      </c>
    </row>
    <row x14ac:dyDescent="0.25" r="89" customHeight="1" ht="18.75">
      <c r="A89" s="12" t="s">
        <v>374</v>
      </c>
      <c r="B89" s="12" t="s">
        <v>374</v>
      </c>
      <c r="C89" s="12" t="s">
        <v>374</v>
      </c>
      <c r="D89" s="12" t="s">
        <v>374</v>
      </c>
      <c r="E89" s="12" t="s">
        <v>374</v>
      </c>
      <c r="F89" s="12" t="s">
        <v>374</v>
      </c>
      <c r="G89" s="12" t="s">
        <v>374</v>
      </c>
      <c r="H89" s="12" t="s">
        <v>374</v>
      </c>
      <c r="I89" s="12" t="s">
        <v>374</v>
      </c>
      <c r="J89" s="12" t="s">
        <v>374</v>
      </c>
      <c r="K89" s="12" t="s">
        <v>374</v>
      </c>
      <c r="L89" s="12" t="s">
        <v>374</v>
      </c>
      <c r="M89" s="12" t="s">
        <v>374</v>
      </c>
      <c r="N89" s="12" t="s">
        <v>374</v>
      </c>
      <c r="O89" s="12" t="s">
        <v>374</v>
      </c>
      <c r="P89" s="12" t="s">
        <v>374</v>
      </c>
      <c r="Q89" s="12" t="s">
        <v>374</v>
      </c>
      <c r="R89" s="12" t="s">
        <v>374</v>
      </c>
      <c r="S89" s="12" t="s">
        <v>374</v>
      </c>
      <c r="T89" s="12" t="s">
        <v>374</v>
      </c>
      <c r="U89" s="12" t="s">
        <v>374</v>
      </c>
      <c r="V89" s="12" t="s">
        <v>374</v>
      </c>
      <c r="W89" s="12" t="s">
        <v>374</v>
      </c>
      <c r="X89" s="13" t="s">
        <v>374</v>
      </c>
      <c r="Y89" s="13" t="s">
        <v>374</v>
      </c>
      <c r="Z89" s="12" t="s">
        <v>374</v>
      </c>
      <c r="AA89" s="13" t="s">
        <v>374</v>
      </c>
      <c r="AB89" s="13" t="s">
        <v>374</v>
      </c>
      <c r="AC89" s="13" t="s">
        <v>374</v>
      </c>
      <c r="AD89" s="12" t="s">
        <v>374</v>
      </c>
      <c r="AE89" s="13" t="s">
        <v>374</v>
      </c>
      <c r="AF89" s="13" t="s">
        <v>374</v>
      </c>
      <c r="AG89" s="13" t="s">
        <v>374</v>
      </c>
    </row>
    <row x14ac:dyDescent="0.25" r="90" customHeight="1" ht="18.75">
      <c r="A90" s="12" t="s">
        <v>374</v>
      </c>
      <c r="B90" s="12" t="s">
        <v>374</v>
      </c>
      <c r="C90" s="12" t="s">
        <v>374</v>
      </c>
      <c r="D90" s="12" t="s">
        <v>374</v>
      </c>
      <c r="E90" s="12" t="s">
        <v>374</v>
      </c>
      <c r="F90" s="12" t="s">
        <v>374</v>
      </c>
      <c r="G90" s="12" t="s">
        <v>374</v>
      </c>
      <c r="H90" s="12" t="s">
        <v>374</v>
      </c>
      <c r="I90" s="12" t="s">
        <v>374</v>
      </c>
      <c r="J90" s="12" t="s">
        <v>374</v>
      </c>
      <c r="K90" s="12" t="s">
        <v>374</v>
      </c>
      <c r="L90" s="12" t="s">
        <v>374</v>
      </c>
      <c r="M90" s="12" t="s">
        <v>374</v>
      </c>
      <c r="N90" s="12" t="s">
        <v>374</v>
      </c>
      <c r="O90" s="12" t="s">
        <v>374</v>
      </c>
      <c r="P90" s="12" t="s">
        <v>374</v>
      </c>
      <c r="Q90" s="12" t="s">
        <v>374</v>
      </c>
      <c r="R90" s="12" t="s">
        <v>374</v>
      </c>
      <c r="S90" s="12" t="s">
        <v>374</v>
      </c>
      <c r="T90" s="12" t="s">
        <v>374</v>
      </c>
      <c r="U90" s="12" t="s">
        <v>374</v>
      </c>
      <c r="V90" s="12" t="s">
        <v>374</v>
      </c>
      <c r="W90" s="12" t="s">
        <v>374</v>
      </c>
      <c r="X90" s="13" t="s">
        <v>374</v>
      </c>
      <c r="Y90" s="13" t="s">
        <v>374</v>
      </c>
      <c r="Z90" s="12" t="s">
        <v>374</v>
      </c>
      <c r="AA90" s="13" t="s">
        <v>374</v>
      </c>
      <c r="AB90" s="13" t="s">
        <v>374</v>
      </c>
      <c r="AC90" s="13" t="s">
        <v>374</v>
      </c>
      <c r="AD90" s="12" t="s">
        <v>374</v>
      </c>
      <c r="AE90" s="13" t="s">
        <v>374</v>
      </c>
      <c r="AF90" s="13" t="s">
        <v>374</v>
      </c>
      <c r="AG90" s="13" t="s">
        <v>374</v>
      </c>
    </row>
    <row x14ac:dyDescent="0.25" r="91" customHeight="1" ht="18.75">
      <c r="A91" s="12" t="s">
        <v>374</v>
      </c>
      <c r="B91" s="12" t="s">
        <v>374</v>
      </c>
      <c r="C91" s="12" t="s">
        <v>374</v>
      </c>
      <c r="D91" s="12" t="s">
        <v>374</v>
      </c>
      <c r="E91" s="12" t="s">
        <v>374</v>
      </c>
      <c r="F91" s="12" t="s">
        <v>374</v>
      </c>
      <c r="G91" s="12" t="s">
        <v>374</v>
      </c>
      <c r="H91" s="12" t="s">
        <v>374</v>
      </c>
      <c r="I91" s="12" t="s">
        <v>374</v>
      </c>
      <c r="J91" s="12" t="s">
        <v>374</v>
      </c>
      <c r="K91" s="12" t="s">
        <v>374</v>
      </c>
      <c r="L91" s="12" t="s">
        <v>374</v>
      </c>
      <c r="M91" s="12" t="s">
        <v>374</v>
      </c>
      <c r="N91" s="12" t="s">
        <v>374</v>
      </c>
      <c r="O91" s="12" t="s">
        <v>374</v>
      </c>
      <c r="P91" s="12" t="s">
        <v>374</v>
      </c>
      <c r="Q91" s="12" t="s">
        <v>374</v>
      </c>
      <c r="R91" s="12" t="s">
        <v>374</v>
      </c>
      <c r="S91" s="12" t="s">
        <v>374</v>
      </c>
      <c r="T91" s="12" t="s">
        <v>374</v>
      </c>
      <c r="U91" s="12" t="s">
        <v>374</v>
      </c>
      <c r="V91" s="12" t="s">
        <v>374</v>
      </c>
      <c r="W91" s="12" t="s">
        <v>374</v>
      </c>
      <c r="X91" s="13" t="s">
        <v>374</v>
      </c>
      <c r="Y91" s="13" t="s">
        <v>374</v>
      </c>
      <c r="Z91" s="12" t="s">
        <v>374</v>
      </c>
      <c r="AA91" s="13" t="s">
        <v>374</v>
      </c>
      <c r="AB91" s="13" t="s">
        <v>374</v>
      </c>
      <c r="AC91" s="13" t="s">
        <v>374</v>
      </c>
      <c r="AD91" s="12" t="s">
        <v>374</v>
      </c>
      <c r="AE91" s="13" t="s">
        <v>374</v>
      </c>
      <c r="AF91" s="13" t="s">
        <v>374</v>
      </c>
      <c r="AG91" s="13" t="s">
        <v>374</v>
      </c>
    </row>
    <row x14ac:dyDescent="0.25" r="92" customHeight="1" ht="18.75">
      <c r="A92" s="12" t="s">
        <v>374</v>
      </c>
      <c r="B92" s="12" t="s">
        <v>374</v>
      </c>
      <c r="C92" s="12" t="s">
        <v>374</v>
      </c>
      <c r="D92" s="12" t="s">
        <v>374</v>
      </c>
      <c r="E92" s="12" t="s">
        <v>374</v>
      </c>
      <c r="F92" s="12" t="s">
        <v>374</v>
      </c>
      <c r="G92" s="12" t="s">
        <v>374</v>
      </c>
      <c r="H92" s="12" t="s">
        <v>374</v>
      </c>
      <c r="I92" s="12" t="s">
        <v>374</v>
      </c>
      <c r="J92" s="12" t="s">
        <v>374</v>
      </c>
      <c r="K92" s="12" t="s">
        <v>374</v>
      </c>
      <c r="L92" s="12" t="s">
        <v>374</v>
      </c>
      <c r="M92" s="12" t="s">
        <v>374</v>
      </c>
      <c r="N92" s="12" t="s">
        <v>374</v>
      </c>
      <c r="O92" s="12" t="s">
        <v>374</v>
      </c>
      <c r="P92" s="12" t="s">
        <v>374</v>
      </c>
      <c r="Q92" s="12" t="s">
        <v>374</v>
      </c>
      <c r="R92" s="12" t="s">
        <v>374</v>
      </c>
      <c r="S92" s="12" t="s">
        <v>374</v>
      </c>
      <c r="T92" s="12" t="s">
        <v>374</v>
      </c>
      <c r="U92" s="12" t="s">
        <v>374</v>
      </c>
      <c r="V92" s="12" t="s">
        <v>374</v>
      </c>
      <c r="W92" s="12" t="s">
        <v>374</v>
      </c>
      <c r="X92" s="13" t="s">
        <v>374</v>
      </c>
      <c r="Y92" s="13" t="s">
        <v>374</v>
      </c>
      <c r="Z92" s="12" t="s">
        <v>374</v>
      </c>
      <c r="AA92" s="13" t="s">
        <v>374</v>
      </c>
      <c r="AB92" s="13" t="s">
        <v>374</v>
      </c>
      <c r="AC92" s="13" t="s">
        <v>374</v>
      </c>
      <c r="AD92" s="12" t="s">
        <v>374</v>
      </c>
      <c r="AE92" s="13" t="s">
        <v>374</v>
      </c>
      <c r="AF92" s="13" t="s">
        <v>374</v>
      </c>
      <c r="AG92" s="13" t="s">
        <v>374</v>
      </c>
    </row>
    <row x14ac:dyDescent="0.25" r="93" customHeight="1" ht="18.75">
      <c r="A93" s="12" t="s">
        <v>374</v>
      </c>
      <c r="B93" s="12" t="s">
        <v>374</v>
      </c>
      <c r="C93" s="12" t="s">
        <v>374</v>
      </c>
      <c r="D93" s="12" t="s">
        <v>374</v>
      </c>
      <c r="E93" s="12" t="s">
        <v>374</v>
      </c>
      <c r="F93" s="12" t="s">
        <v>374</v>
      </c>
      <c r="G93" s="12" t="s">
        <v>374</v>
      </c>
      <c r="H93" s="12" t="s">
        <v>374</v>
      </c>
      <c r="I93" s="12" t="s">
        <v>374</v>
      </c>
      <c r="J93" s="12" t="s">
        <v>374</v>
      </c>
      <c r="K93" s="12" t="s">
        <v>374</v>
      </c>
      <c r="L93" s="12" t="s">
        <v>374</v>
      </c>
      <c r="M93" s="12" t="s">
        <v>374</v>
      </c>
      <c r="N93" s="12" t="s">
        <v>374</v>
      </c>
      <c r="O93" s="12" t="s">
        <v>374</v>
      </c>
      <c r="P93" s="12" t="s">
        <v>374</v>
      </c>
      <c r="Q93" s="12" t="s">
        <v>374</v>
      </c>
      <c r="R93" s="12" t="s">
        <v>374</v>
      </c>
      <c r="S93" s="12" t="s">
        <v>374</v>
      </c>
      <c r="T93" s="12" t="s">
        <v>374</v>
      </c>
      <c r="U93" s="12" t="s">
        <v>374</v>
      </c>
      <c r="V93" s="12" t="s">
        <v>374</v>
      </c>
      <c r="W93" s="12" t="s">
        <v>374</v>
      </c>
      <c r="X93" s="13" t="s">
        <v>374</v>
      </c>
      <c r="Y93" s="13" t="s">
        <v>374</v>
      </c>
      <c r="Z93" s="12" t="s">
        <v>374</v>
      </c>
      <c r="AA93" s="13" t="s">
        <v>374</v>
      </c>
      <c r="AB93" s="13" t="s">
        <v>374</v>
      </c>
      <c r="AC93" s="13" t="s">
        <v>374</v>
      </c>
      <c r="AD93" s="12" t="s">
        <v>374</v>
      </c>
      <c r="AE93" s="13" t="s">
        <v>374</v>
      </c>
      <c r="AF93" s="13" t="s">
        <v>374</v>
      </c>
      <c r="AG93" s="13" t="s">
        <v>374</v>
      </c>
    </row>
    <row x14ac:dyDescent="0.25" r="94" customHeight="1" ht="18.75">
      <c r="A94" s="12" t="s">
        <v>374</v>
      </c>
      <c r="B94" s="12" t="s">
        <v>374</v>
      </c>
      <c r="C94" s="12" t="s">
        <v>374</v>
      </c>
      <c r="D94" s="12" t="s">
        <v>374</v>
      </c>
      <c r="E94" s="12" t="s">
        <v>374</v>
      </c>
      <c r="F94" s="12" t="s">
        <v>374</v>
      </c>
      <c r="G94" s="12" t="s">
        <v>374</v>
      </c>
      <c r="H94" s="12" t="s">
        <v>374</v>
      </c>
      <c r="I94" s="12" t="s">
        <v>374</v>
      </c>
      <c r="J94" s="12" t="s">
        <v>374</v>
      </c>
      <c r="K94" s="12" t="s">
        <v>374</v>
      </c>
      <c r="L94" s="12" t="s">
        <v>374</v>
      </c>
      <c r="M94" s="12" t="s">
        <v>374</v>
      </c>
      <c r="N94" s="12" t="s">
        <v>374</v>
      </c>
      <c r="O94" s="12" t="s">
        <v>374</v>
      </c>
      <c r="P94" s="12" t="s">
        <v>374</v>
      </c>
      <c r="Q94" s="12" t="s">
        <v>374</v>
      </c>
      <c r="R94" s="12" t="s">
        <v>374</v>
      </c>
      <c r="S94" s="12" t="s">
        <v>374</v>
      </c>
      <c r="T94" s="12" t="s">
        <v>374</v>
      </c>
      <c r="U94" s="12" t="s">
        <v>374</v>
      </c>
      <c r="V94" s="12" t="s">
        <v>374</v>
      </c>
      <c r="W94" s="12" t="s">
        <v>374</v>
      </c>
      <c r="X94" s="13" t="s">
        <v>374</v>
      </c>
      <c r="Y94" s="13" t="s">
        <v>374</v>
      </c>
      <c r="Z94" s="12" t="s">
        <v>374</v>
      </c>
      <c r="AA94" s="13" t="s">
        <v>374</v>
      </c>
      <c r="AB94" s="13" t="s">
        <v>374</v>
      </c>
      <c r="AC94" s="13" t="s">
        <v>374</v>
      </c>
      <c r="AD94" s="12" t="s">
        <v>374</v>
      </c>
      <c r="AE94" s="13" t="s">
        <v>374</v>
      </c>
      <c r="AF94" s="13" t="s">
        <v>374</v>
      </c>
      <c r="AG94" s="13" t="s">
        <v>374</v>
      </c>
    </row>
    <row x14ac:dyDescent="0.25" r="95" customHeight="1" ht="18.75">
      <c r="A95" s="12" t="s">
        <v>374</v>
      </c>
      <c r="B95" s="12" t="s">
        <v>374</v>
      </c>
      <c r="C95" s="12" t="s">
        <v>374</v>
      </c>
      <c r="D95" s="12" t="s">
        <v>374</v>
      </c>
      <c r="E95" s="12" t="s">
        <v>374</v>
      </c>
      <c r="F95" s="12" t="s">
        <v>374</v>
      </c>
      <c r="G95" s="12" t="s">
        <v>374</v>
      </c>
      <c r="H95" s="12" t="s">
        <v>374</v>
      </c>
      <c r="I95" s="12" t="s">
        <v>374</v>
      </c>
      <c r="J95" s="12" t="s">
        <v>374</v>
      </c>
      <c r="K95" s="12" t="s">
        <v>374</v>
      </c>
      <c r="L95" s="12" t="s">
        <v>374</v>
      </c>
      <c r="M95" s="12" t="s">
        <v>374</v>
      </c>
      <c r="N95" s="12" t="s">
        <v>374</v>
      </c>
      <c r="O95" s="12" t="s">
        <v>374</v>
      </c>
      <c r="P95" s="12" t="s">
        <v>374</v>
      </c>
      <c r="Q95" s="12" t="s">
        <v>374</v>
      </c>
      <c r="R95" s="12" t="s">
        <v>374</v>
      </c>
      <c r="S95" s="12" t="s">
        <v>374</v>
      </c>
      <c r="T95" s="12" t="s">
        <v>374</v>
      </c>
      <c r="U95" s="12" t="s">
        <v>374</v>
      </c>
      <c r="V95" s="12" t="s">
        <v>374</v>
      </c>
      <c r="W95" s="12" t="s">
        <v>374</v>
      </c>
      <c r="X95" s="13" t="s">
        <v>374</v>
      </c>
      <c r="Y95" s="13" t="s">
        <v>374</v>
      </c>
      <c r="Z95" s="12" t="s">
        <v>374</v>
      </c>
      <c r="AA95" s="13" t="s">
        <v>374</v>
      </c>
      <c r="AB95" s="13" t="s">
        <v>374</v>
      </c>
      <c r="AC95" s="13" t="s">
        <v>374</v>
      </c>
      <c r="AD95" s="12" t="s">
        <v>374</v>
      </c>
      <c r="AE95" s="13" t="s">
        <v>374</v>
      </c>
      <c r="AF95" s="13" t="s">
        <v>374</v>
      </c>
      <c r="AG95" s="13" t="s">
        <v>374</v>
      </c>
    </row>
    <row x14ac:dyDescent="0.25" r="96" customHeight="1" ht="18.75">
      <c r="A96" s="12" t="s">
        <v>374</v>
      </c>
      <c r="B96" s="12" t="s">
        <v>374</v>
      </c>
      <c r="C96" s="12" t="s">
        <v>374</v>
      </c>
      <c r="D96" s="12" t="s">
        <v>374</v>
      </c>
      <c r="E96" s="12" t="s">
        <v>374</v>
      </c>
      <c r="F96" s="12" t="s">
        <v>374</v>
      </c>
      <c r="G96" s="12" t="s">
        <v>374</v>
      </c>
      <c r="H96" s="12" t="s">
        <v>374</v>
      </c>
      <c r="I96" s="12" t="s">
        <v>374</v>
      </c>
      <c r="J96" s="12" t="s">
        <v>374</v>
      </c>
      <c r="K96" s="12" t="s">
        <v>374</v>
      </c>
      <c r="L96" s="12" t="s">
        <v>374</v>
      </c>
      <c r="M96" s="12" t="s">
        <v>374</v>
      </c>
      <c r="N96" s="12" t="s">
        <v>374</v>
      </c>
      <c r="O96" s="12" t="s">
        <v>374</v>
      </c>
      <c r="P96" s="12" t="s">
        <v>374</v>
      </c>
      <c r="Q96" s="12" t="s">
        <v>374</v>
      </c>
      <c r="R96" s="12" t="s">
        <v>374</v>
      </c>
      <c r="S96" s="12" t="s">
        <v>374</v>
      </c>
      <c r="T96" s="12" t="s">
        <v>374</v>
      </c>
      <c r="U96" s="12" t="s">
        <v>374</v>
      </c>
      <c r="V96" s="12" t="s">
        <v>374</v>
      </c>
      <c r="W96" s="12" t="s">
        <v>374</v>
      </c>
      <c r="X96" s="13" t="s">
        <v>374</v>
      </c>
      <c r="Y96" s="13" t="s">
        <v>374</v>
      </c>
      <c r="Z96" s="12" t="s">
        <v>374</v>
      </c>
      <c r="AA96" s="13" t="s">
        <v>374</v>
      </c>
      <c r="AB96" s="13" t="s">
        <v>374</v>
      </c>
      <c r="AC96" s="13" t="s">
        <v>374</v>
      </c>
      <c r="AD96" s="12" t="s">
        <v>374</v>
      </c>
      <c r="AE96" s="13" t="s">
        <v>374</v>
      </c>
      <c r="AF96" s="13" t="s">
        <v>374</v>
      </c>
      <c r="AG96" s="13" t="s">
        <v>374</v>
      </c>
    </row>
    <row x14ac:dyDescent="0.25" r="97" customHeight="1" ht="18.75">
      <c r="A97" s="12" t="s">
        <v>374</v>
      </c>
      <c r="B97" s="12" t="s">
        <v>374</v>
      </c>
      <c r="C97" s="12" t="s">
        <v>374</v>
      </c>
      <c r="D97" s="12" t="s">
        <v>374</v>
      </c>
      <c r="E97" s="12" t="s">
        <v>374</v>
      </c>
      <c r="F97" s="12" t="s">
        <v>374</v>
      </c>
      <c r="G97" s="12" t="s">
        <v>374</v>
      </c>
      <c r="H97" s="12" t="s">
        <v>374</v>
      </c>
      <c r="I97" s="12" t="s">
        <v>374</v>
      </c>
      <c r="J97" s="12" t="s">
        <v>374</v>
      </c>
      <c r="K97" s="12" t="s">
        <v>374</v>
      </c>
      <c r="L97" s="12" t="s">
        <v>374</v>
      </c>
      <c r="M97" s="12" t="s">
        <v>374</v>
      </c>
      <c r="N97" s="12" t="s">
        <v>374</v>
      </c>
      <c r="O97" s="12" t="s">
        <v>374</v>
      </c>
      <c r="P97" s="12" t="s">
        <v>374</v>
      </c>
      <c r="Q97" s="12" t="s">
        <v>374</v>
      </c>
      <c r="R97" s="12" t="s">
        <v>374</v>
      </c>
      <c r="S97" s="12" t="s">
        <v>374</v>
      </c>
      <c r="T97" s="12" t="s">
        <v>374</v>
      </c>
      <c r="U97" s="12" t="s">
        <v>374</v>
      </c>
      <c r="V97" s="12" t="s">
        <v>374</v>
      </c>
      <c r="W97" s="12" t="s">
        <v>374</v>
      </c>
      <c r="X97" s="13" t="s">
        <v>374</v>
      </c>
      <c r="Y97" s="13" t="s">
        <v>374</v>
      </c>
      <c r="Z97" s="12" t="s">
        <v>374</v>
      </c>
      <c r="AA97" s="13" t="s">
        <v>374</v>
      </c>
      <c r="AB97" s="13" t="s">
        <v>374</v>
      </c>
      <c r="AC97" s="13" t="s">
        <v>374</v>
      </c>
      <c r="AD97" s="12" t="s">
        <v>374</v>
      </c>
      <c r="AE97" s="13" t="s">
        <v>374</v>
      </c>
      <c r="AF97" s="13" t="s">
        <v>374</v>
      </c>
      <c r="AG97" s="13" t="s">
        <v>374</v>
      </c>
    </row>
    <row x14ac:dyDescent="0.25" r="98" customHeight="1" ht="18.75">
      <c r="A98" s="12" t="s">
        <v>374</v>
      </c>
      <c r="B98" s="12" t="s">
        <v>374</v>
      </c>
      <c r="C98" s="12" t="s">
        <v>374</v>
      </c>
      <c r="D98" s="12" t="s">
        <v>374</v>
      </c>
      <c r="E98" s="12" t="s">
        <v>374</v>
      </c>
      <c r="F98" s="12" t="s">
        <v>374</v>
      </c>
      <c r="G98" s="12" t="s">
        <v>374</v>
      </c>
      <c r="H98" s="12" t="s">
        <v>374</v>
      </c>
      <c r="I98" s="12" t="s">
        <v>374</v>
      </c>
      <c r="J98" s="12" t="s">
        <v>374</v>
      </c>
      <c r="K98" s="12" t="s">
        <v>374</v>
      </c>
      <c r="L98" s="12" t="s">
        <v>374</v>
      </c>
      <c r="M98" s="12" t="s">
        <v>374</v>
      </c>
      <c r="N98" s="12" t="s">
        <v>374</v>
      </c>
      <c r="O98" s="12" t="s">
        <v>374</v>
      </c>
      <c r="P98" s="12" t="s">
        <v>374</v>
      </c>
      <c r="Q98" s="12" t="s">
        <v>374</v>
      </c>
      <c r="R98" s="12" t="s">
        <v>374</v>
      </c>
      <c r="S98" s="12" t="s">
        <v>374</v>
      </c>
      <c r="T98" s="12" t="s">
        <v>374</v>
      </c>
      <c r="U98" s="12" t="s">
        <v>374</v>
      </c>
      <c r="V98" s="12" t="s">
        <v>374</v>
      </c>
      <c r="W98" s="12" t="s">
        <v>374</v>
      </c>
      <c r="X98" s="13" t="s">
        <v>374</v>
      </c>
      <c r="Y98" s="13" t="s">
        <v>374</v>
      </c>
      <c r="Z98" s="12" t="s">
        <v>374</v>
      </c>
      <c r="AA98" s="13" t="s">
        <v>374</v>
      </c>
      <c r="AB98" s="13" t="s">
        <v>374</v>
      </c>
      <c r="AC98" s="13" t="s">
        <v>374</v>
      </c>
      <c r="AD98" s="12" t="s">
        <v>374</v>
      </c>
      <c r="AE98" s="13" t="s">
        <v>374</v>
      </c>
      <c r="AF98" s="13" t="s">
        <v>374</v>
      </c>
      <c r="AG98" s="13" t="s">
        <v>374</v>
      </c>
    </row>
    <row x14ac:dyDescent="0.25" r="99" customHeight="1" ht="18.75">
      <c r="A99" s="12" t="s">
        <v>374</v>
      </c>
      <c r="B99" s="12" t="s">
        <v>374</v>
      </c>
      <c r="C99" s="12" t="s">
        <v>374</v>
      </c>
      <c r="D99" s="12" t="s">
        <v>374</v>
      </c>
      <c r="E99" s="12" t="s">
        <v>374</v>
      </c>
      <c r="F99" s="12" t="s">
        <v>374</v>
      </c>
      <c r="G99" s="12" t="s">
        <v>374</v>
      </c>
      <c r="H99" s="12" t="s">
        <v>374</v>
      </c>
      <c r="I99" s="12" t="s">
        <v>374</v>
      </c>
      <c r="J99" s="12" t="s">
        <v>374</v>
      </c>
      <c r="K99" s="12" t="s">
        <v>374</v>
      </c>
      <c r="L99" s="12" t="s">
        <v>374</v>
      </c>
      <c r="M99" s="12" t="s">
        <v>374</v>
      </c>
      <c r="N99" s="12" t="s">
        <v>374</v>
      </c>
      <c r="O99" s="12" t="s">
        <v>374</v>
      </c>
      <c r="P99" s="12" t="s">
        <v>374</v>
      </c>
      <c r="Q99" s="12" t="s">
        <v>374</v>
      </c>
      <c r="R99" s="12" t="s">
        <v>374</v>
      </c>
      <c r="S99" s="12" t="s">
        <v>374</v>
      </c>
      <c r="T99" s="12" t="s">
        <v>374</v>
      </c>
      <c r="U99" s="12" t="s">
        <v>374</v>
      </c>
      <c r="V99" s="12" t="s">
        <v>374</v>
      </c>
      <c r="W99" s="12" t="s">
        <v>374</v>
      </c>
      <c r="X99" s="13" t="s">
        <v>374</v>
      </c>
      <c r="Y99" s="13" t="s">
        <v>374</v>
      </c>
      <c r="Z99" s="12" t="s">
        <v>374</v>
      </c>
      <c r="AA99" s="13" t="s">
        <v>374</v>
      </c>
      <c r="AB99" s="13" t="s">
        <v>374</v>
      </c>
      <c r="AC99" s="13" t="s">
        <v>374</v>
      </c>
      <c r="AD99" s="12" t="s">
        <v>374</v>
      </c>
      <c r="AE99" s="13" t="s">
        <v>374</v>
      </c>
      <c r="AF99" s="13" t="s">
        <v>374</v>
      </c>
      <c r="AG99" s="13" t="s">
        <v>374</v>
      </c>
    </row>
    <row x14ac:dyDescent="0.25" r="100" customHeight="1" ht="18.75">
      <c r="A100" s="12" t="s">
        <v>374</v>
      </c>
      <c r="B100" s="12" t="s">
        <v>374</v>
      </c>
      <c r="C100" s="12" t="s">
        <v>374</v>
      </c>
      <c r="D100" s="12" t="s">
        <v>374</v>
      </c>
      <c r="E100" s="12" t="s">
        <v>374</v>
      </c>
      <c r="F100" s="12" t="s">
        <v>374</v>
      </c>
      <c r="G100" s="12" t="s">
        <v>374</v>
      </c>
      <c r="H100" s="12" t="s">
        <v>374</v>
      </c>
      <c r="I100" s="12" t="s">
        <v>374</v>
      </c>
      <c r="J100" s="12" t="s">
        <v>374</v>
      </c>
      <c r="K100" s="12" t="s">
        <v>374</v>
      </c>
      <c r="L100" s="12" t="s">
        <v>374</v>
      </c>
      <c r="M100" s="12" t="s">
        <v>374</v>
      </c>
      <c r="N100" s="12" t="s">
        <v>374</v>
      </c>
      <c r="O100" s="12" t="s">
        <v>374</v>
      </c>
      <c r="P100" s="12" t="s">
        <v>374</v>
      </c>
      <c r="Q100" s="12" t="s">
        <v>374</v>
      </c>
      <c r="R100" s="12" t="s">
        <v>374</v>
      </c>
      <c r="S100" s="12" t="s">
        <v>374</v>
      </c>
      <c r="T100" s="12" t="s">
        <v>374</v>
      </c>
      <c r="U100" s="12" t="s">
        <v>374</v>
      </c>
      <c r="V100" s="12" t="s">
        <v>374</v>
      </c>
      <c r="W100" s="12" t="s">
        <v>374</v>
      </c>
      <c r="X100" s="13" t="s">
        <v>374</v>
      </c>
      <c r="Y100" s="13" t="s">
        <v>374</v>
      </c>
      <c r="Z100" s="12" t="s">
        <v>374</v>
      </c>
      <c r="AA100" s="13" t="s">
        <v>374</v>
      </c>
      <c r="AB100" s="13" t="s">
        <v>374</v>
      </c>
      <c r="AC100" s="13" t="s">
        <v>374</v>
      </c>
      <c r="AD100" s="12" t="s">
        <v>374</v>
      </c>
      <c r="AE100" s="13" t="s">
        <v>374</v>
      </c>
      <c r="AF100" s="13" t="s">
        <v>374</v>
      </c>
      <c r="AG100" s="13" t="s">
        <v>374</v>
      </c>
    </row>
    <row x14ac:dyDescent="0.25" r="101" customHeight="1" ht="18.75">
      <c r="A101" s="12" t="s">
        <v>374</v>
      </c>
      <c r="B101" s="12" t="s">
        <v>374</v>
      </c>
      <c r="C101" s="12" t="s">
        <v>374</v>
      </c>
      <c r="D101" s="12" t="s">
        <v>374</v>
      </c>
      <c r="E101" s="12" t="s">
        <v>374</v>
      </c>
      <c r="F101" s="12" t="s">
        <v>374</v>
      </c>
      <c r="G101" s="12" t="s">
        <v>374</v>
      </c>
      <c r="H101" s="12" t="s">
        <v>374</v>
      </c>
      <c r="I101" s="12" t="s">
        <v>374</v>
      </c>
      <c r="J101" s="12" t="s">
        <v>374</v>
      </c>
      <c r="K101" s="12" t="s">
        <v>374</v>
      </c>
      <c r="L101" s="12" t="s">
        <v>374</v>
      </c>
      <c r="M101" s="12" t="s">
        <v>374</v>
      </c>
      <c r="N101" s="12" t="s">
        <v>374</v>
      </c>
      <c r="O101" s="12" t="s">
        <v>374</v>
      </c>
      <c r="P101" s="12" t="s">
        <v>374</v>
      </c>
      <c r="Q101" s="12" t="s">
        <v>374</v>
      </c>
      <c r="R101" s="12" t="s">
        <v>374</v>
      </c>
      <c r="S101" s="12" t="s">
        <v>374</v>
      </c>
      <c r="T101" s="12" t="s">
        <v>374</v>
      </c>
      <c r="U101" s="12" t="s">
        <v>374</v>
      </c>
      <c r="V101" s="12" t="s">
        <v>374</v>
      </c>
      <c r="W101" s="12" t="s">
        <v>374</v>
      </c>
      <c r="X101" s="13" t="s">
        <v>374</v>
      </c>
      <c r="Y101" s="13" t="s">
        <v>374</v>
      </c>
      <c r="Z101" s="12" t="s">
        <v>374</v>
      </c>
      <c r="AA101" s="13" t="s">
        <v>374</v>
      </c>
      <c r="AB101" s="13" t="s">
        <v>374</v>
      </c>
      <c r="AC101" s="13" t="s">
        <v>374</v>
      </c>
      <c r="AD101" s="12" t="s">
        <v>374</v>
      </c>
      <c r="AE101" s="13" t="s">
        <v>374</v>
      </c>
      <c r="AF101" s="13" t="s">
        <v>374</v>
      </c>
      <c r="AG101" s="13" t="s">
        <v>374</v>
      </c>
    </row>
    <row x14ac:dyDescent="0.25" r="102" customHeight="1" ht="18.75">
      <c r="A102" s="12" t="s">
        <v>374</v>
      </c>
      <c r="B102" s="12" t="s">
        <v>374</v>
      </c>
      <c r="C102" s="12" t="s">
        <v>374</v>
      </c>
      <c r="D102" s="12" t="s">
        <v>374</v>
      </c>
      <c r="E102" s="12" t="s">
        <v>374</v>
      </c>
      <c r="F102" s="12" t="s">
        <v>374</v>
      </c>
      <c r="G102" s="12" t="s">
        <v>374</v>
      </c>
      <c r="H102" s="12" t="s">
        <v>374</v>
      </c>
      <c r="I102" s="12" t="s">
        <v>374</v>
      </c>
      <c r="J102" s="12" t="s">
        <v>374</v>
      </c>
      <c r="K102" s="12" t="s">
        <v>374</v>
      </c>
      <c r="L102" s="12" t="s">
        <v>374</v>
      </c>
      <c r="M102" s="12" t="s">
        <v>374</v>
      </c>
      <c r="N102" s="12" t="s">
        <v>374</v>
      </c>
      <c r="O102" s="12" t="s">
        <v>374</v>
      </c>
      <c r="P102" s="12" t="s">
        <v>374</v>
      </c>
      <c r="Q102" s="12" t="s">
        <v>374</v>
      </c>
      <c r="R102" s="12" t="s">
        <v>374</v>
      </c>
      <c r="S102" s="12" t="s">
        <v>374</v>
      </c>
      <c r="T102" s="12" t="s">
        <v>374</v>
      </c>
      <c r="U102" s="12" t="s">
        <v>374</v>
      </c>
      <c r="V102" s="12" t="s">
        <v>374</v>
      </c>
      <c r="W102" s="12" t="s">
        <v>374</v>
      </c>
      <c r="X102" s="13" t="s">
        <v>374</v>
      </c>
      <c r="Y102" s="13" t="s">
        <v>374</v>
      </c>
      <c r="Z102" s="12" t="s">
        <v>374</v>
      </c>
      <c r="AA102" s="13" t="s">
        <v>374</v>
      </c>
      <c r="AB102" s="13" t="s">
        <v>374</v>
      </c>
      <c r="AC102" s="13" t="s">
        <v>374</v>
      </c>
      <c r="AD102" s="12" t="s">
        <v>374</v>
      </c>
      <c r="AE102" s="13" t="s">
        <v>374</v>
      </c>
      <c r="AF102" s="13" t="s">
        <v>374</v>
      </c>
      <c r="AG102" s="13" t="s">
        <v>374</v>
      </c>
    </row>
    <row x14ac:dyDescent="0.25" r="103" customHeight="1" ht="18.75">
      <c r="A103" s="12" t="s">
        <v>374</v>
      </c>
      <c r="B103" s="12" t="s">
        <v>374</v>
      </c>
      <c r="C103" s="12" t="s">
        <v>374</v>
      </c>
      <c r="D103" s="12" t="s">
        <v>374</v>
      </c>
      <c r="E103" s="12" t="s">
        <v>374</v>
      </c>
      <c r="F103" s="12" t="s">
        <v>374</v>
      </c>
      <c r="G103" s="12" t="s">
        <v>374</v>
      </c>
      <c r="H103" s="12" t="s">
        <v>374</v>
      </c>
      <c r="I103" s="12" t="s">
        <v>374</v>
      </c>
      <c r="J103" s="12" t="s">
        <v>374</v>
      </c>
      <c r="K103" s="12" t="s">
        <v>374</v>
      </c>
      <c r="L103" s="12" t="s">
        <v>374</v>
      </c>
      <c r="M103" s="12" t="s">
        <v>374</v>
      </c>
      <c r="N103" s="12" t="s">
        <v>374</v>
      </c>
      <c r="O103" s="12" t="s">
        <v>374</v>
      </c>
      <c r="P103" s="12" t="s">
        <v>374</v>
      </c>
      <c r="Q103" s="12" t="s">
        <v>374</v>
      </c>
      <c r="R103" s="12" t="s">
        <v>374</v>
      </c>
      <c r="S103" s="12" t="s">
        <v>374</v>
      </c>
      <c r="T103" s="12" t="s">
        <v>374</v>
      </c>
      <c r="U103" s="12" t="s">
        <v>374</v>
      </c>
      <c r="V103" s="12" t="s">
        <v>374</v>
      </c>
      <c r="W103" s="12" t="s">
        <v>374</v>
      </c>
      <c r="X103" s="13" t="s">
        <v>374</v>
      </c>
      <c r="Y103" s="13" t="s">
        <v>374</v>
      </c>
      <c r="Z103" s="12" t="s">
        <v>374</v>
      </c>
      <c r="AA103" s="13" t="s">
        <v>374</v>
      </c>
      <c r="AB103" s="13" t="s">
        <v>374</v>
      </c>
      <c r="AC103" s="13" t="s">
        <v>374</v>
      </c>
      <c r="AD103" s="12" t="s">
        <v>374</v>
      </c>
      <c r="AE103" s="13" t="s">
        <v>374</v>
      </c>
      <c r="AF103" s="13" t="s">
        <v>374</v>
      </c>
      <c r="AG103" s="13" t="s">
        <v>374</v>
      </c>
    </row>
    <row x14ac:dyDescent="0.25" r="104" customHeight="1" ht="18.75">
      <c r="A104" s="12" t="s">
        <v>374</v>
      </c>
      <c r="B104" s="12" t="s">
        <v>374</v>
      </c>
      <c r="C104" s="12" t="s">
        <v>374</v>
      </c>
      <c r="D104" s="12" t="s">
        <v>374</v>
      </c>
      <c r="E104" s="12" t="s">
        <v>374</v>
      </c>
      <c r="F104" s="12" t="s">
        <v>374</v>
      </c>
      <c r="G104" s="12" t="s">
        <v>374</v>
      </c>
      <c r="H104" s="12" t="s">
        <v>374</v>
      </c>
      <c r="I104" s="12" t="s">
        <v>374</v>
      </c>
      <c r="J104" s="12" t="s">
        <v>374</v>
      </c>
      <c r="K104" s="12" t="s">
        <v>374</v>
      </c>
      <c r="L104" s="12" t="s">
        <v>374</v>
      </c>
      <c r="M104" s="12" t="s">
        <v>374</v>
      </c>
      <c r="N104" s="12" t="s">
        <v>374</v>
      </c>
      <c r="O104" s="12" t="s">
        <v>374</v>
      </c>
      <c r="P104" s="12" t="s">
        <v>374</v>
      </c>
      <c r="Q104" s="12" t="s">
        <v>374</v>
      </c>
      <c r="R104" s="12" t="s">
        <v>374</v>
      </c>
      <c r="S104" s="12" t="s">
        <v>374</v>
      </c>
      <c r="T104" s="12" t="s">
        <v>374</v>
      </c>
      <c r="U104" s="12" t="s">
        <v>374</v>
      </c>
      <c r="V104" s="12" t="s">
        <v>374</v>
      </c>
      <c r="W104" s="12" t="s">
        <v>374</v>
      </c>
      <c r="X104" s="13" t="s">
        <v>374</v>
      </c>
      <c r="Y104" s="13" t="s">
        <v>374</v>
      </c>
      <c r="Z104" s="12" t="s">
        <v>374</v>
      </c>
      <c r="AA104" s="13" t="s">
        <v>374</v>
      </c>
      <c r="AB104" s="13" t="s">
        <v>374</v>
      </c>
      <c r="AC104" s="13" t="s">
        <v>374</v>
      </c>
      <c r="AD104" s="12" t="s">
        <v>374</v>
      </c>
      <c r="AE104" s="13" t="s">
        <v>374</v>
      </c>
      <c r="AF104" s="13" t="s">
        <v>374</v>
      </c>
      <c r="AG104" s="13" t="s">
        <v>374</v>
      </c>
    </row>
    <row x14ac:dyDescent="0.25" r="105" customHeight="1" ht="18.75">
      <c r="A105" s="12" t="s">
        <v>374</v>
      </c>
      <c r="B105" s="12" t="s">
        <v>374</v>
      </c>
      <c r="C105" s="12" t="s">
        <v>374</v>
      </c>
      <c r="D105" s="12" t="s">
        <v>374</v>
      </c>
      <c r="E105" s="12" t="s">
        <v>374</v>
      </c>
      <c r="F105" s="12" t="s">
        <v>374</v>
      </c>
      <c r="G105" s="12" t="s">
        <v>374</v>
      </c>
      <c r="H105" s="12" t="s">
        <v>374</v>
      </c>
      <c r="I105" s="12" t="s">
        <v>374</v>
      </c>
      <c r="J105" s="12" t="s">
        <v>374</v>
      </c>
      <c r="K105" s="12" t="s">
        <v>374</v>
      </c>
      <c r="L105" s="12" t="s">
        <v>374</v>
      </c>
      <c r="M105" s="12" t="s">
        <v>374</v>
      </c>
      <c r="N105" s="12" t="s">
        <v>374</v>
      </c>
      <c r="O105" s="12" t="s">
        <v>374</v>
      </c>
      <c r="P105" s="12" t="s">
        <v>374</v>
      </c>
      <c r="Q105" s="12" t="s">
        <v>374</v>
      </c>
      <c r="R105" s="12" t="s">
        <v>374</v>
      </c>
      <c r="S105" s="12" t="s">
        <v>374</v>
      </c>
      <c r="T105" s="12" t="s">
        <v>374</v>
      </c>
      <c r="U105" s="12" t="s">
        <v>374</v>
      </c>
      <c r="V105" s="12" t="s">
        <v>374</v>
      </c>
      <c r="W105" s="12" t="s">
        <v>374</v>
      </c>
      <c r="X105" s="13" t="s">
        <v>374</v>
      </c>
      <c r="Y105" s="13" t="s">
        <v>374</v>
      </c>
      <c r="Z105" s="12" t="s">
        <v>374</v>
      </c>
      <c r="AA105" s="13" t="s">
        <v>374</v>
      </c>
      <c r="AB105" s="13" t="s">
        <v>374</v>
      </c>
      <c r="AC105" s="13" t="s">
        <v>374</v>
      </c>
      <c r="AD105" s="12" t="s">
        <v>374</v>
      </c>
      <c r="AE105" s="13" t="s">
        <v>374</v>
      </c>
      <c r="AF105" s="13" t="s">
        <v>374</v>
      </c>
      <c r="AG105" s="13" t="s">
        <v>374</v>
      </c>
    </row>
    <row x14ac:dyDescent="0.25" r="106" customHeight="1" ht="18.75">
      <c r="A106" s="12" t="s">
        <v>374</v>
      </c>
      <c r="B106" s="12" t="s">
        <v>374</v>
      </c>
      <c r="C106" s="12" t="s">
        <v>374</v>
      </c>
      <c r="D106" s="12" t="s">
        <v>374</v>
      </c>
      <c r="E106" s="12" t="s">
        <v>374</v>
      </c>
      <c r="F106" s="12" t="s">
        <v>374</v>
      </c>
      <c r="G106" s="12" t="s">
        <v>374</v>
      </c>
      <c r="H106" s="12" t="s">
        <v>374</v>
      </c>
      <c r="I106" s="12" t="s">
        <v>374</v>
      </c>
      <c r="J106" s="12" t="s">
        <v>374</v>
      </c>
      <c r="K106" s="12" t="s">
        <v>374</v>
      </c>
      <c r="L106" s="12" t="s">
        <v>374</v>
      </c>
      <c r="M106" s="12" t="s">
        <v>374</v>
      </c>
      <c r="N106" s="12" t="s">
        <v>374</v>
      </c>
      <c r="O106" s="12" t="s">
        <v>374</v>
      </c>
      <c r="P106" s="12" t="s">
        <v>374</v>
      </c>
      <c r="Q106" s="12" t="s">
        <v>374</v>
      </c>
      <c r="R106" s="12" t="s">
        <v>374</v>
      </c>
      <c r="S106" s="12" t="s">
        <v>374</v>
      </c>
      <c r="T106" s="12" t="s">
        <v>374</v>
      </c>
      <c r="U106" s="12" t="s">
        <v>374</v>
      </c>
      <c r="V106" s="12" t="s">
        <v>374</v>
      </c>
      <c r="W106" s="12" t="s">
        <v>374</v>
      </c>
      <c r="X106" s="13" t="s">
        <v>374</v>
      </c>
      <c r="Y106" s="13" t="s">
        <v>374</v>
      </c>
      <c r="Z106" s="12" t="s">
        <v>374</v>
      </c>
      <c r="AA106" s="13" t="s">
        <v>374</v>
      </c>
      <c r="AB106" s="13" t="s">
        <v>374</v>
      </c>
      <c r="AC106" s="13" t="s">
        <v>374</v>
      </c>
      <c r="AD106" s="12" t="s">
        <v>374</v>
      </c>
      <c r="AE106" s="13" t="s">
        <v>374</v>
      </c>
      <c r="AF106" s="13" t="s">
        <v>374</v>
      </c>
      <c r="AG106" s="13" t="s">
        <v>374</v>
      </c>
    </row>
    <row x14ac:dyDescent="0.25" r="107" customHeight="1" ht="18.75">
      <c r="A107" s="12" t="s">
        <v>374</v>
      </c>
      <c r="B107" s="12" t="s">
        <v>374</v>
      </c>
      <c r="C107" s="12" t="s">
        <v>374</v>
      </c>
      <c r="D107" s="12" t="s">
        <v>374</v>
      </c>
      <c r="E107" s="12" t="s">
        <v>374</v>
      </c>
      <c r="F107" s="12" t="s">
        <v>374</v>
      </c>
      <c r="G107" s="12" t="s">
        <v>374</v>
      </c>
      <c r="H107" s="12" t="s">
        <v>374</v>
      </c>
      <c r="I107" s="12" t="s">
        <v>374</v>
      </c>
      <c r="J107" s="12" t="s">
        <v>374</v>
      </c>
      <c r="K107" s="12" t="s">
        <v>374</v>
      </c>
      <c r="L107" s="12" t="s">
        <v>374</v>
      </c>
      <c r="M107" s="12" t="s">
        <v>374</v>
      </c>
      <c r="N107" s="12" t="s">
        <v>374</v>
      </c>
      <c r="O107" s="12" t="s">
        <v>374</v>
      </c>
      <c r="P107" s="12" t="s">
        <v>374</v>
      </c>
      <c r="Q107" s="12" t="s">
        <v>374</v>
      </c>
      <c r="R107" s="12" t="s">
        <v>374</v>
      </c>
      <c r="S107" s="12" t="s">
        <v>374</v>
      </c>
      <c r="T107" s="12" t="s">
        <v>374</v>
      </c>
      <c r="U107" s="12" t="s">
        <v>374</v>
      </c>
      <c r="V107" s="12" t="s">
        <v>374</v>
      </c>
      <c r="W107" s="12" t="s">
        <v>374</v>
      </c>
      <c r="X107" s="13" t="s">
        <v>374</v>
      </c>
      <c r="Y107" s="13" t="s">
        <v>374</v>
      </c>
      <c r="Z107" s="12" t="s">
        <v>374</v>
      </c>
      <c r="AA107" s="13" t="s">
        <v>374</v>
      </c>
      <c r="AB107" s="13" t="s">
        <v>374</v>
      </c>
      <c r="AC107" s="13" t="s">
        <v>374</v>
      </c>
      <c r="AD107" s="12" t="s">
        <v>374</v>
      </c>
      <c r="AE107" s="13" t="s">
        <v>374</v>
      </c>
      <c r="AF107" s="13" t="s">
        <v>374</v>
      </c>
      <c r="AG107" s="13" t="s">
        <v>374</v>
      </c>
    </row>
    <row x14ac:dyDescent="0.25" r="108" customHeight="1" ht="18.75">
      <c r="A108" s="12" t="s">
        <v>374</v>
      </c>
      <c r="B108" s="12" t="s">
        <v>374</v>
      </c>
      <c r="C108" s="12" t="s">
        <v>374</v>
      </c>
      <c r="D108" s="12" t="s">
        <v>374</v>
      </c>
      <c r="E108" s="12" t="s">
        <v>374</v>
      </c>
      <c r="F108" s="12" t="s">
        <v>374</v>
      </c>
      <c r="G108" s="12" t="s">
        <v>374</v>
      </c>
      <c r="H108" s="12" t="s">
        <v>374</v>
      </c>
      <c r="I108" s="12" t="s">
        <v>374</v>
      </c>
      <c r="J108" s="12" t="s">
        <v>374</v>
      </c>
      <c r="K108" s="12" t="s">
        <v>374</v>
      </c>
      <c r="L108" s="12" t="s">
        <v>374</v>
      </c>
      <c r="M108" s="12" t="s">
        <v>374</v>
      </c>
      <c r="N108" s="12" t="s">
        <v>374</v>
      </c>
      <c r="O108" s="12" t="s">
        <v>374</v>
      </c>
      <c r="P108" s="12" t="s">
        <v>374</v>
      </c>
      <c r="Q108" s="12" t="s">
        <v>374</v>
      </c>
      <c r="R108" s="12" t="s">
        <v>374</v>
      </c>
      <c r="S108" s="12" t="s">
        <v>374</v>
      </c>
      <c r="T108" s="12" t="s">
        <v>374</v>
      </c>
      <c r="U108" s="12" t="s">
        <v>374</v>
      </c>
      <c r="V108" s="12" t="s">
        <v>374</v>
      </c>
      <c r="W108" s="12" t="s">
        <v>374</v>
      </c>
      <c r="X108" s="13" t="s">
        <v>374</v>
      </c>
      <c r="Y108" s="13" t="s">
        <v>374</v>
      </c>
      <c r="Z108" s="12" t="s">
        <v>374</v>
      </c>
      <c r="AA108" s="13" t="s">
        <v>374</v>
      </c>
      <c r="AB108" s="13" t="s">
        <v>374</v>
      </c>
      <c r="AC108" s="13" t="s">
        <v>374</v>
      </c>
      <c r="AD108" s="12" t="s">
        <v>374</v>
      </c>
      <c r="AE108" s="13" t="s">
        <v>374</v>
      </c>
      <c r="AF108" s="13" t="s">
        <v>374</v>
      </c>
      <c r="AG108" s="13" t="s">
        <v>374</v>
      </c>
    </row>
    <row x14ac:dyDescent="0.25" r="109" customHeight="1" ht="18.75">
      <c r="A109" s="12" t="s">
        <v>374</v>
      </c>
      <c r="B109" s="12" t="s">
        <v>374</v>
      </c>
      <c r="C109" s="12" t="s">
        <v>374</v>
      </c>
      <c r="D109" s="12" t="s">
        <v>374</v>
      </c>
      <c r="E109" s="12" t="s">
        <v>374</v>
      </c>
      <c r="F109" s="12" t="s">
        <v>374</v>
      </c>
      <c r="G109" s="12" t="s">
        <v>374</v>
      </c>
      <c r="H109" s="12" t="s">
        <v>374</v>
      </c>
      <c r="I109" s="12" t="s">
        <v>374</v>
      </c>
      <c r="J109" s="12" t="s">
        <v>374</v>
      </c>
      <c r="K109" s="12" t="s">
        <v>374</v>
      </c>
      <c r="L109" s="12" t="s">
        <v>374</v>
      </c>
      <c r="M109" s="12" t="s">
        <v>374</v>
      </c>
      <c r="N109" s="12" t="s">
        <v>374</v>
      </c>
      <c r="O109" s="12" t="s">
        <v>374</v>
      </c>
      <c r="P109" s="12" t="s">
        <v>374</v>
      </c>
      <c r="Q109" s="12" t="s">
        <v>374</v>
      </c>
      <c r="R109" s="12" t="s">
        <v>374</v>
      </c>
      <c r="S109" s="12" t="s">
        <v>374</v>
      </c>
      <c r="T109" s="12" t="s">
        <v>374</v>
      </c>
      <c r="U109" s="12" t="s">
        <v>374</v>
      </c>
      <c r="V109" s="12" t="s">
        <v>374</v>
      </c>
      <c r="W109" s="12" t="s">
        <v>374</v>
      </c>
      <c r="X109" s="13" t="s">
        <v>374</v>
      </c>
      <c r="Y109" s="13" t="s">
        <v>374</v>
      </c>
      <c r="Z109" s="12" t="s">
        <v>374</v>
      </c>
      <c r="AA109" s="13" t="s">
        <v>374</v>
      </c>
      <c r="AB109" s="13" t="s">
        <v>374</v>
      </c>
      <c r="AC109" s="13" t="s">
        <v>374</v>
      </c>
      <c r="AD109" s="12" t="s">
        <v>374</v>
      </c>
      <c r="AE109" s="13" t="s">
        <v>374</v>
      </c>
      <c r="AF109" s="13" t="s">
        <v>374</v>
      </c>
      <c r="AG109" s="13" t="s">
        <v>374</v>
      </c>
    </row>
    <row x14ac:dyDescent="0.25" r="110" customHeight="1" ht="18.75">
      <c r="A110" s="12" t="s">
        <v>374</v>
      </c>
      <c r="B110" s="12" t="s">
        <v>374</v>
      </c>
      <c r="C110" s="12" t="s">
        <v>374</v>
      </c>
      <c r="D110" s="12" t="s">
        <v>374</v>
      </c>
      <c r="E110" s="12" t="s">
        <v>374</v>
      </c>
      <c r="F110" s="12" t="s">
        <v>374</v>
      </c>
      <c r="G110" s="12" t="s">
        <v>374</v>
      </c>
      <c r="H110" s="12" t="s">
        <v>374</v>
      </c>
      <c r="I110" s="12" t="s">
        <v>374</v>
      </c>
      <c r="J110" s="12" t="s">
        <v>374</v>
      </c>
      <c r="K110" s="12" t="s">
        <v>374</v>
      </c>
      <c r="L110" s="12" t="s">
        <v>374</v>
      </c>
      <c r="M110" s="12" t="s">
        <v>374</v>
      </c>
      <c r="N110" s="12" t="s">
        <v>374</v>
      </c>
      <c r="O110" s="12" t="s">
        <v>374</v>
      </c>
      <c r="P110" s="12" t="s">
        <v>374</v>
      </c>
      <c r="Q110" s="12" t="s">
        <v>374</v>
      </c>
      <c r="R110" s="12" t="s">
        <v>374</v>
      </c>
      <c r="S110" s="12" t="s">
        <v>374</v>
      </c>
      <c r="T110" s="12" t="s">
        <v>374</v>
      </c>
      <c r="U110" s="12" t="s">
        <v>374</v>
      </c>
      <c r="V110" s="12" t="s">
        <v>374</v>
      </c>
      <c r="W110" s="12" t="s">
        <v>374</v>
      </c>
      <c r="X110" s="13" t="s">
        <v>374</v>
      </c>
      <c r="Y110" s="13" t="s">
        <v>374</v>
      </c>
      <c r="Z110" s="12" t="s">
        <v>374</v>
      </c>
      <c r="AA110" s="13" t="s">
        <v>374</v>
      </c>
      <c r="AB110" s="13" t="s">
        <v>374</v>
      </c>
      <c r="AC110" s="13" t="s">
        <v>374</v>
      </c>
      <c r="AD110" s="12" t="s">
        <v>374</v>
      </c>
      <c r="AE110" s="13" t="s">
        <v>374</v>
      </c>
      <c r="AF110" s="13" t="s">
        <v>374</v>
      </c>
      <c r="AG110" s="13" t="s">
        <v>374</v>
      </c>
    </row>
    <row x14ac:dyDescent="0.25" r="111" customHeight="1" ht="18.75">
      <c r="A111" s="12" t="s">
        <v>374</v>
      </c>
      <c r="B111" s="12" t="s">
        <v>374</v>
      </c>
      <c r="C111" s="12" t="s">
        <v>374</v>
      </c>
      <c r="D111" s="12" t="s">
        <v>374</v>
      </c>
      <c r="E111" s="12" t="s">
        <v>374</v>
      </c>
      <c r="F111" s="12" t="s">
        <v>374</v>
      </c>
      <c r="G111" s="12" t="s">
        <v>374</v>
      </c>
      <c r="H111" s="12" t="s">
        <v>374</v>
      </c>
      <c r="I111" s="12" t="s">
        <v>374</v>
      </c>
      <c r="J111" s="12" t="s">
        <v>374</v>
      </c>
      <c r="K111" s="12" t="s">
        <v>374</v>
      </c>
      <c r="L111" s="12" t="s">
        <v>374</v>
      </c>
      <c r="M111" s="12" t="s">
        <v>374</v>
      </c>
      <c r="N111" s="12" t="s">
        <v>374</v>
      </c>
      <c r="O111" s="12" t="s">
        <v>374</v>
      </c>
      <c r="P111" s="12" t="s">
        <v>374</v>
      </c>
      <c r="Q111" s="12" t="s">
        <v>374</v>
      </c>
      <c r="R111" s="12" t="s">
        <v>374</v>
      </c>
      <c r="S111" s="12" t="s">
        <v>374</v>
      </c>
      <c r="T111" s="12" t="s">
        <v>374</v>
      </c>
      <c r="U111" s="12" t="s">
        <v>374</v>
      </c>
      <c r="V111" s="12" t="s">
        <v>374</v>
      </c>
      <c r="W111" s="12" t="s">
        <v>374</v>
      </c>
      <c r="X111" s="13" t="s">
        <v>374</v>
      </c>
      <c r="Y111" s="13" t="s">
        <v>374</v>
      </c>
      <c r="Z111" s="12" t="s">
        <v>374</v>
      </c>
      <c r="AA111" s="13" t="s">
        <v>374</v>
      </c>
      <c r="AB111" s="13" t="s">
        <v>374</v>
      </c>
      <c r="AC111" s="13" t="s">
        <v>374</v>
      </c>
      <c r="AD111" s="12" t="s">
        <v>374</v>
      </c>
      <c r="AE111" s="13" t="s">
        <v>374</v>
      </c>
      <c r="AF111" s="13" t="s">
        <v>374</v>
      </c>
      <c r="AG111" s="13" t="s">
        <v>374</v>
      </c>
    </row>
    <row x14ac:dyDescent="0.25" r="112" customHeight="1" ht="18.75">
      <c r="A112" s="12" t="s">
        <v>374</v>
      </c>
      <c r="B112" s="12" t="s">
        <v>374</v>
      </c>
      <c r="C112" s="12" t="s">
        <v>374</v>
      </c>
      <c r="D112" s="12" t="s">
        <v>374</v>
      </c>
      <c r="E112" s="12" t="s">
        <v>374</v>
      </c>
      <c r="F112" s="12" t="s">
        <v>374</v>
      </c>
      <c r="G112" s="12" t="s">
        <v>374</v>
      </c>
      <c r="H112" s="12" t="s">
        <v>374</v>
      </c>
      <c r="I112" s="12" t="s">
        <v>374</v>
      </c>
      <c r="J112" s="12" t="s">
        <v>374</v>
      </c>
      <c r="K112" s="12" t="s">
        <v>374</v>
      </c>
      <c r="L112" s="12" t="s">
        <v>374</v>
      </c>
      <c r="M112" s="12" t="s">
        <v>374</v>
      </c>
      <c r="N112" s="12" t="s">
        <v>374</v>
      </c>
      <c r="O112" s="12" t="s">
        <v>374</v>
      </c>
      <c r="P112" s="12" t="s">
        <v>374</v>
      </c>
      <c r="Q112" s="12" t="s">
        <v>374</v>
      </c>
      <c r="R112" s="12" t="s">
        <v>374</v>
      </c>
      <c r="S112" s="12" t="s">
        <v>374</v>
      </c>
      <c r="T112" s="12" t="s">
        <v>374</v>
      </c>
      <c r="U112" s="12" t="s">
        <v>374</v>
      </c>
      <c r="V112" s="12" t="s">
        <v>374</v>
      </c>
      <c r="W112" s="12" t="s">
        <v>374</v>
      </c>
      <c r="X112" s="13" t="s">
        <v>374</v>
      </c>
      <c r="Y112" s="13" t="s">
        <v>374</v>
      </c>
      <c r="Z112" s="12" t="s">
        <v>374</v>
      </c>
      <c r="AA112" s="13" t="s">
        <v>374</v>
      </c>
      <c r="AB112" s="13" t="s">
        <v>374</v>
      </c>
      <c r="AC112" s="13" t="s">
        <v>374</v>
      </c>
      <c r="AD112" s="12" t="s">
        <v>374</v>
      </c>
      <c r="AE112" s="13" t="s">
        <v>374</v>
      </c>
      <c r="AF112" s="13" t="s">
        <v>374</v>
      </c>
      <c r="AG112" s="13" t="s">
        <v>374</v>
      </c>
    </row>
    <row x14ac:dyDescent="0.25" r="113" customHeight="1" ht="18.75">
      <c r="A113" s="12" t="s">
        <v>374</v>
      </c>
      <c r="B113" s="12" t="s">
        <v>374</v>
      </c>
      <c r="C113" s="12" t="s">
        <v>374</v>
      </c>
      <c r="D113" s="12" t="s">
        <v>374</v>
      </c>
      <c r="E113" s="12" t="s">
        <v>374</v>
      </c>
      <c r="F113" s="12" t="s">
        <v>374</v>
      </c>
      <c r="G113" s="12" t="s">
        <v>374</v>
      </c>
      <c r="H113" s="12" t="s">
        <v>374</v>
      </c>
      <c r="I113" s="12" t="s">
        <v>374</v>
      </c>
      <c r="J113" s="12" t="s">
        <v>374</v>
      </c>
      <c r="K113" s="12" t="s">
        <v>374</v>
      </c>
      <c r="L113" s="12" t="s">
        <v>374</v>
      </c>
      <c r="M113" s="12" t="s">
        <v>374</v>
      </c>
      <c r="N113" s="12" t="s">
        <v>374</v>
      </c>
      <c r="O113" s="12" t="s">
        <v>374</v>
      </c>
      <c r="P113" s="12" t="s">
        <v>374</v>
      </c>
      <c r="Q113" s="12" t="s">
        <v>374</v>
      </c>
      <c r="R113" s="12" t="s">
        <v>374</v>
      </c>
      <c r="S113" s="12" t="s">
        <v>374</v>
      </c>
      <c r="T113" s="12" t="s">
        <v>374</v>
      </c>
      <c r="U113" s="12" t="s">
        <v>374</v>
      </c>
      <c r="V113" s="12" t="s">
        <v>374</v>
      </c>
      <c r="W113" s="12" t="s">
        <v>374</v>
      </c>
      <c r="X113" s="13" t="s">
        <v>374</v>
      </c>
      <c r="Y113" s="13" t="s">
        <v>374</v>
      </c>
      <c r="Z113" s="12" t="s">
        <v>374</v>
      </c>
      <c r="AA113" s="13" t="s">
        <v>374</v>
      </c>
      <c r="AB113" s="13" t="s">
        <v>374</v>
      </c>
      <c r="AC113" s="13" t="s">
        <v>374</v>
      </c>
      <c r="AD113" s="12" t="s">
        <v>374</v>
      </c>
      <c r="AE113" s="13" t="s">
        <v>374</v>
      </c>
      <c r="AF113" s="13" t="s">
        <v>374</v>
      </c>
      <c r="AG113" s="13" t="s">
        <v>374</v>
      </c>
    </row>
    <row x14ac:dyDescent="0.25" r="114" customHeight="1" ht="18.75">
      <c r="A114" s="12" t="s">
        <v>374</v>
      </c>
      <c r="B114" s="12" t="s">
        <v>374</v>
      </c>
      <c r="C114" s="12" t="s">
        <v>374</v>
      </c>
      <c r="D114" s="12" t="s">
        <v>374</v>
      </c>
      <c r="E114" s="12" t="s">
        <v>374</v>
      </c>
      <c r="F114" s="12" t="s">
        <v>374</v>
      </c>
      <c r="G114" s="12" t="s">
        <v>374</v>
      </c>
      <c r="H114" s="12" t="s">
        <v>374</v>
      </c>
      <c r="I114" s="12" t="s">
        <v>374</v>
      </c>
      <c r="J114" s="12" t="s">
        <v>374</v>
      </c>
      <c r="K114" s="12" t="s">
        <v>374</v>
      </c>
      <c r="L114" s="12" t="s">
        <v>374</v>
      </c>
      <c r="M114" s="12" t="s">
        <v>374</v>
      </c>
      <c r="N114" s="12" t="s">
        <v>374</v>
      </c>
      <c r="O114" s="12" t="s">
        <v>374</v>
      </c>
      <c r="P114" s="12" t="s">
        <v>374</v>
      </c>
      <c r="Q114" s="12" t="s">
        <v>374</v>
      </c>
      <c r="R114" s="12" t="s">
        <v>374</v>
      </c>
      <c r="S114" s="12" t="s">
        <v>374</v>
      </c>
      <c r="T114" s="12" t="s">
        <v>374</v>
      </c>
      <c r="U114" s="12" t="s">
        <v>374</v>
      </c>
      <c r="V114" s="12" t="s">
        <v>374</v>
      </c>
      <c r="W114" s="12" t="s">
        <v>374</v>
      </c>
      <c r="X114" s="13" t="s">
        <v>374</v>
      </c>
      <c r="Y114" s="13" t="s">
        <v>374</v>
      </c>
      <c r="Z114" s="12" t="s">
        <v>374</v>
      </c>
      <c r="AA114" s="13" t="s">
        <v>374</v>
      </c>
      <c r="AB114" s="13" t="s">
        <v>374</v>
      </c>
      <c r="AC114" s="13" t="s">
        <v>374</v>
      </c>
      <c r="AD114" s="12" t="s">
        <v>374</v>
      </c>
      <c r="AE114" s="13" t="s">
        <v>374</v>
      </c>
      <c r="AF114" s="13" t="s">
        <v>374</v>
      </c>
      <c r="AG114" s="13" t="s">
        <v>374</v>
      </c>
    </row>
    <row x14ac:dyDescent="0.25" r="115" customHeight="1" ht="18.75">
      <c r="A115" s="12" t="s">
        <v>374</v>
      </c>
      <c r="B115" s="12" t="s">
        <v>374</v>
      </c>
      <c r="C115" s="12" t="s">
        <v>374</v>
      </c>
      <c r="D115" s="12" t="s">
        <v>374</v>
      </c>
      <c r="E115" s="12" t="s">
        <v>374</v>
      </c>
      <c r="F115" s="12" t="s">
        <v>374</v>
      </c>
      <c r="G115" s="12" t="s">
        <v>374</v>
      </c>
      <c r="H115" s="12" t="s">
        <v>374</v>
      </c>
      <c r="I115" s="12" t="s">
        <v>374</v>
      </c>
      <c r="J115" s="12" t="s">
        <v>374</v>
      </c>
      <c r="K115" s="12" t="s">
        <v>374</v>
      </c>
      <c r="L115" s="12" t="s">
        <v>374</v>
      </c>
      <c r="M115" s="12" t="s">
        <v>374</v>
      </c>
      <c r="N115" s="12" t="s">
        <v>374</v>
      </c>
      <c r="O115" s="12" t="s">
        <v>374</v>
      </c>
      <c r="P115" s="12" t="s">
        <v>374</v>
      </c>
      <c r="Q115" s="12" t="s">
        <v>374</v>
      </c>
      <c r="R115" s="12" t="s">
        <v>374</v>
      </c>
      <c r="S115" s="12" t="s">
        <v>374</v>
      </c>
      <c r="T115" s="12" t="s">
        <v>374</v>
      </c>
      <c r="U115" s="12" t="s">
        <v>374</v>
      </c>
      <c r="V115" s="12" t="s">
        <v>374</v>
      </c>
      <c r="W115" s="12" t="s">
        <v>374</v>
      </c>
      <c r="X115" s="13" t="s">
        <v>374</v>
      </c>
      <c r="Y115" s="13" t="s">
        <v>374</v>
      </c>
      <c r="Z115" s="12" t="s">
        <v>374</v>
      </c>
      <c r="AA115" s="13" t="s">
        <v>374</v>
      </c>
      <c r="AB115" s="13" t="s">
        <v>374</v>
      </c>
      <c r="AC115" s="13" t="s">
        <v>374</v>
      </c>
      <c r="AD115" s="12" t="s">
        <v>374</v>
      </c>
      <c r="AE115" s="13" t="s">
        <v>374</v>
      </c>
      <c r="AF115" s="13" t="s">
        <v>374</v>
      </c>
      <c r="AG115" s="13" t="s">
        <v>374</v>
      </c>
    </row>
    <row x14ac:dyDescent="0.25" r="116" customHeight="1" ht="18.75">
      <c r="A116" s="12" t="s">
        <v>374</v>
      </c>
      <c r="B116" s="12" t="s">
        <v>374</v>
      </c>
      <c r="C116" s="12" t="s">
        <v>374</v>
      </c>
      <c r="D116" s="12" t="s">
        <v>374</v>
      </c>
      <c r="E116" s="12" t="s">
        <v>374</v>
      </c>
      <c r="F116" s="12" t="s">
        <v>374</v>
      </c>
      <c r="G116" s="12" t="s">
        <v>374</v>
      </c>
      <c r="H116" s="12" t="s">
        <v>374</v>
      </c>
      <c r="I116" s="12" t="s">
        <v>374</v>
      </c>
      <c r="J116" s="12" t="s">
        <v>374</v>
      </c>
      <c r="K116" s="12" t="s">
        <v>374</v>
      </c>
      <c r="L116" s="12" t="s">
        <v>374</v>
      </c>
      <c r="M116" s="12" t="s">
        <v>374</v>
      </c>
      <c r="N116" s="12" t="s">
        <v>374</v>
      </c>
      <c r="O116" s="12" t="s">
        <v>374</v>
      </c>
      <c r="P116" s="12" t="s">
        <v>374</v>
      </c>
      <c r="Q116" s="12" t="s">
        <v>374</v>
      </c>
      <c r="R116" s="12" t="s">
        <v>374</v>
      </c>
      <c r="S116" s="12" t="s">
        <v>374</v>
      </c>
      <c r="T116" s="12" t="s">
        <v>374</v>
      </c>
      <c r="U116" s="12" t="s">
        <v>374</v>
      </c>
      <c r="V116" s="12" t="s">
        <v>374</v>
      </c>
      <c r="W116" s="12" t="s">
        <v>374</v>
      </c>
      <c r="X116" s="13" t="s">
        <v>374</v>
      </c>
      <c r="Y116" s="13" t="s">
        <v>374</v>
      </c>
      <c r="Z116" s="12" t="s">
        <v>374</v>
      </c>
      <c r="AA116" s="13" t="s">
        <v>374</v>
      </c>
      <c r="AB116" s="13" t="s">
        <v>374</v>
      </c>
      <c r="AC116" s="13" t="s">
        <v>374</v>
      </c>
      <c r="AD116" s="12" t="s">
        <v>374</v>
      </c>
      <c r="AE116" s="13" t="s">
        <v>374</v>
      </c>
      <c r="AF116" s="13" t="s">
        <v>374</v>
      </c>
      <c r="AG116" s="13" t="s">
        <v>374</v>
      </c>
    </row>
    <row x14ac:dyDescent="0.25" r="117" customHeight="1" ht="18.75">
      <c r="A117" s="12" t="s">
        <v>374</v>
      </c>
      <c r="B117" s="12" t="s">
        <v>374</v>
      </c>
      <c r="C117" s="12" t="s">
        <v>374</v>
      </c>
      <c r="D117" s="12" t="s">
        <v>374</v>
      </c>
      <c r="E117" s="12" t="s">
        <v>374</v>
      </c>
      <c r="F117" s="12" t="s">
        <v>374</v>
      </c>
      <c r="G117" s="12" t="s">
        <v>374</v>
      </c>
      <c r="H117" s="12" t="s">
        <v>374</v>
      </c>
      <c r="I117" s="12" t="s">
        <v>374</v>
      </c>
      <c r="J117" s="12" t="s">
        <v>374</v>
      </c>
      <c r="K117" s="12" t="s">
        <v>374</v>
      </c>
      <c r="L117" s="12" t="s">
        <v>374</v>
      </c>
      <c r="M117" s="12" t="s">
        <v>374</v>
      </c>
      <c r="N117" s="12" t="s">
        <v>374</v>
      </c>
      <c r="O117" s="12" t="s">
        <v>374</v>
      </c>
      <c r="P117" s="12" t="s">
        <v>374</v>
      </c>
      <c r="Q117" s="12" t="s">
        <v>374</v>
      </c>
      <c r="R117" s="12" t="s">
        <v>374</v>
      </c>
      <c r="S117" s="12" t="s">
        <v>374</v>
      </c>
      <c r="T117" s="12" t="s">
        <v>374</v>
      </c>
      <c r="U117" s="12" t="s">
        <v>374</v>
      </c>
      <c r="V117" s="12" t="s">
        <v>374</v>
      </c>
      <c r="W117" s="12" t="s">
        <v>374</v>
      </c>
      <c r="X117" s="13" t="s">
        <v>374</v>
      </c>
      <c r="Y117" s="13" t="s">
        <v>374</v>
      </c>
      <c r="Z117" s="12" t="s">
        <v>374</v>
      </c>
      <c r="AA117" s="13" t="s">
        <v>374</v>
      </c>
      <c r="AB117" s="13" t="s">
        <v>374</v>
      </c>
      <c r="AC117" s="13" t="s">
        <v>374</v>
      </c>
      <c r="AD117" s="12" t="s">
        <v>374</v>
      </c>
      <c r="AE117" s="13" t="s">
        <v>374</v>
      </c>
      <c r="AF117" s="13" t="s">
        <v>374</v>
      </c>
      <c r="AG117" s="13" t="s">
        <v>374</v>
      </c>
    </row>
    <row x14ac:dyDescent="0.25" r="118" customHeight="1" ht="18.75">
      <c r="A118" s="12" t="s">
        <v>374</v>
      </c>
      <c r="B118" s="12" t="s">
        <v>374</v>
      </c>
      <c r="C118" s="12" t="s">
        <v>374</v>
      </c>
      <c r="D118" s="12" t="s">
        <v>374</v>
      </c>
      <c r="E118" s="12" t="s">
        <v>374</v>
      </c>
      <c r="F118" s="12" t="s">
        <v>374</v>
      </c>
      <c r="G118" s="12" t="s">
        <v>374</v>
      </c>
      <c r="H118" s="12" t="s">
        <v>374</v>
      </c>
      <c r="I118" s="12" t="s">
        <v>374</v>
      </c>
      <c r="J118" s="12" t="s">
        <v>374</v>
      </c>
      <c r="K118" s="12" t="s">
        <v>374</v>
      </c>
      <c r="L118" s="12" t="s">
        <v>374</v>
      </c>
      <c r="M118" s="12" t="s">
        <v>374</v>
      </c>
      <c r="N118" s="12" t="s">
        <v>374</v>
      </c>
      <c r="O118" s="12" t="s">
        <v>374</v>
      </c>
      <c r="P118" s="12" t="s">
        <v>374</v>
      </c>
      <c r="Q118" s="12" t="s">
        <v>374</v>
      </c>
      <c r="R118" s="12" t="s">
        <v>374</v>
      </c>
      <c r="S118" s="12" t="s">
        <v>374</v>
      </c>
      <c r="T118" s="12" t="s">
        <v>374</v>
      </c>
      <c r="U118" s="12" t="s">
        <v>374</v>
      </c>
      <c r="V118" s="12" t="s">
        <v>374</v>
      </c>
      <c r="W118" s="12" t="s">
        <v>374</v>
      </c>
      <c r="X118" s="13" t="s">
        <v>374</v>
      </c>
      <c r="Y118" s="13" t="s">
        <v>374</v>
      </c>
      <c r="Z118" s="12" t="s">
        <v>374</v>
      </c>
      <c r="AA118" s="13" t="s">
        <v>374</v>
      </c>
      <c r="AB118" s="13" t="s">
        <v>374</v>
      </c>
      <c r="AC118" s="13" t="s">
        <v>374</v>
      </c>
      <c r="AD118" s="12" t="s">
        <v>374</v>
      </c>
      <c r="AE118" s="13" t="s">
        <v>374</v>
      </c>
      <c r="AF118" s="13" t="s">
        <v>374</v>
      </c>
      <c r="AG118" s="13" t="s">
        <v>374</v>
      </c>
    </row>
    <row x14ac:dyDescent="0.25" r="119" customHeight="1" ht="18.75">
      <c r="A119" s="12" t="s">
        <v>374</v>
      </c>
      <c r="B119" s="12" t="s">
        <v>374</v>
      </c>
      <c r="C119" s="12" t="s">
        <v>374</v>
      </c>
      <c r="D119" s="12" t="s">
        <v>374</v>
      </c>
      <c r="E119" s="12" t="s">
        <v>374</v>
      </c>
      <c r="F119" s="12" t="s">
        <v>374</v>
      </c>
      <c r="G119" s="12" t="s">
        <v>374</v>
      </c>
      <c r="H119" s="12" t="s">
        <v>374</v>
      </c>
      <c r="I119" s="12" t="s">
        <v>374</v>
      </c>
      <c r="J119" s="12" t="s">
        <v>374</v>
      </c>
      <c r="K119" s="12" t="s">
        <v>374</v>
      </c>
      <c r="L119" s="12" t="s">
        <v>374</v>
      </c>
      <c r="M119" s="12" t="s">
        <v>374</v>
      </c>
      <c r="N119" s="12" t="s">
        <v>374</v>
      </c>
      <c r="O119" s="12" t="s">
        <v>374</v>
      </c>
      <c r="P119" s="12" t="s">
        <v>374</v>
      </c>
      <c r="Q119" s="12" t="s">
        <v>374</v>
      </c>
      <c r="R119" s="12" t="s">
        <v>374</v>
      </c>
      <c r="S119" s="12" t="s">
        <v>374</v>
      </c>
      <c r="T119" s="12" t="s">
        <v>374</v>
      </c>
      <c r="U119" s="12" t="s">
        <v>374</v>
      </c>
      <c r="V119" s="12" t="s">
        <v>374</v>
      </c>
      <c r="W119" s="12" t="s">
        <v>374</v>
      </c>
      <c r="X119" s="13" t="s">
        <v>374</v>
      </c>
      <c r="Y119" s="13" t="s">
        <v>374</v>
      </c>
      <c r="Z119" s="12" t="s">
        <v>374</v>
      </c>
      <c r="AA119" s="13" t="s">
        <v>374</v>
      </c>
      <c r="AB119" s="13" t="s">
        <v>374</v>
      </c>
      <c r="AC119" s="13" t="s">
        <v>374</v>
      </c>
      <c r="AD119" s="12" t="s">
        <v>374</v>
      </c>
      <c r="AE119" s="13" t="s">
        <v>374</v>
      </c>
      <c r="AF119" s="13" t="s">
        <v>374</v>
      </c>
      <c r="AG119" s="13" t="s">
        <v>374</v>
      </c>
    </row>
    <row x14ac:dyDescent="0.25" r="120" customHeight="1" ht="18.75">
      <c r="A120" s="12" t="s">
        <v>374</v>
      </c>
      <c r="B120" s="12" t="s">
        <v>374</v>
      </c>
      <c r="C120" s="12" t="s">
        <v>374</v>
      </c>
      <c r="D120" s="12" t="s">
        <v>374</v>
      </c>
      <c r="E120" s="12" t="s">
        <v>374</v>
      </c>
      <c r="F120" s="12" t="s">
        <v>374</v>
      </c>
      <c r="G120" s="12" t="s">
        <v>374</v>
      </c>
      <c r="H120" s="12" t="s">
        <v>374</v>
      </c>
      <c r="I120" s="12" t="s">
        <v>374</v>
      </c>
      <c r="J120" s="12" t="s">
        <v>374</v>
      </c>
      <c r="K120" s="12" t="s">
        <v>374</v>
      </c>
      <c r="L120" s="12" t="s">
        <v>374</v>
      </c>
      <c r="M120" s="12" t="s">
        <v>374</v>
      </c>
      <c r="N120" s="12" t="s">
        <v>374</v>
      </c>
      <c r="O120" s="12" t="s">
        <v>374</v>
      </c>
      <c r="P120" s="12" t="s">
        <v>374</v>
      </c>
      <c r="Q120" s="12" t="s">
        <v>374</v>
      </c>
      <c r="R120" s="12" t="s">
        <v>374</v>
      </c>
      <c r="S120" s="12" t="s">
        <v>374</v>
      </c>
      <c r="T120" s="12" t="s">
        <v>374</v>
      </c>
      <c r="U120" s="12" t="s">
        <v>374</v>
      </c>
      <c r="V120" s="12" t="s">
        <v>374</v>
      </c>
      <c r="W120" s="12" t="s">
        <v>374</v>
      </c>
      <c r="X120" s="13" t="s">
        <v>374</v>
      </c>
      <c r="Y120" s="13" t="s">
        <v>374</v>
      </c>
      <c r="Z120" s="12" t="s">
        <v>374</v>
      </c>
      <c r="AA120" s="13" t="s">
        <v>374</v>
      </c>
      <c r="AB120" s="13" t="s">
        <v>374</v>
      </c>
      <c r="AC120" s="13" t="s">
        <v>374</v>
      </c>
      <c r="AD120" s="12" t="s">
        <v>374</v>
      </c>
      <c r="AE120" s="13" t="s">
        <v>374</v>
      </c>
      <c r="AF120" s="13" t="s">
        <v>374</v>
      </c>
      <c r="AG120" s="13" t="s">
        <v>374</v>
      </c>
    </row>
    <row x14ac:dyDescent="0.25" r="121" customHeight="1" ht="18.75">
      <c r="A121" s="12" t="s">
        <v>374</v>
      </c>
      <c r="B121" s="12" t="s">
        <v>374</v>
      </c>
      <c r="C121" s="12" t="s">
        <v>374</v>
      </c>
      <c r="D121" s="12" t="s">
        <v>374</v>
      </c>
      <c r="E121" s="12" t="s">
        <v>374</v>
      </c>
      <c r="F121" s="12" t="s">
        <v>374</v>
      </c>
      <c r="G121" s="12" t="s">
        <v>374</v>
      </c>
      <c r="H121" s="12" t="s">
        <v>374</v>
      </c>
      <c r="I121" s="12" t="s">
        <v>374</v>
      </c>
      <c r="J121" s="12" t="s">
        <v>374</v>
      </c>
      <c r="K121" s="12" t="s">
        <v>374</v>
      </c>
      <c r="L121" s="12" t="s">
        <v>374</v>
      </c>
      <c r="M121" s="12" t="s">
        <v>374</v>
      </c>
      <c r="N121" s="12" t="s">
        <v>374</v>
      </c>
      <c r="O121" s="12" t="s">
        <v>374</v>
      </c>
      <c r="P121" s="12" t="s">
        <v>374</v>
      </c>
      <c r="Q121" s="12" t="s">
        <v>374</v>
      </c>
      <c r="R121" s="12" t="s">
        <v>374</v>
      </c>
      <c r="S121" s="12" t="s">
        <v>374</v>
      </c>
      <c r="T121" s="12" t="s">
        <v>374</v>
      </c>
      <c r="U121" s="12" t="s">
        <v>374</v>
      </c>
      <c r="V121" s="12" t="s">
        <v>374</v>
      </c>
      <c r="W121" s="12" t="s">
        <v>374</v>
      </c>
      <c r="X121" s="13" t="s">
        <v>374</v>
      </c>
      <c r="Y121" s="13" t="s">
        <v>374</v>
      </c>
      <c r="Z121" s="12" t="s">
        <v>374</v>
      </c>
      <c r="AA121" s="13" t="s">
        <v>374</v>
      </c>
      <c r="AB121" s="13" t="s">
        <v>374</v>
      </c>
      <c r="AC121" s="13" t="s">
        <v>374</v>
      </c>
      <c r="AD121" s="12" t="s">
        <v>374</v>
      </c>
      <c r="AE121" s="13" t="s">
        <v>374</v>
      </c>
      <c r="AF121" s="13" t="s">
        <v>374</v>
      </c>
      <c r="AG121" s="13" t="s">
        <v>374</v>
      </c>
    </row>
    <row x14ac:dyDescent="0.25" r="122" customHeight="1" ht="18.75">
      <c r="A122" s="12" t="s">
        <v>374</v>
      </c>
      <c r="B122" s="12" t="s">
        <v>374</v>
      </c>
      <c r="C122" s="12" t="s">
        <v>374</v>
      </c>
      <c r="D122" s="12" t="s">
        <v>374</v>
      </c>
      <c r="E122" s="12" t="s">
        <v>374</v>
      </c>
      <c r="F122" s="12" t="s">
        <v>374</v>
      </c>
      <c r="G122" s="12" t="s">
        <v>374</v>
      </c>
      <c r="H122" s="12" t="s">
        <v>374</v>
      </c>
      <c r="I122" s="12" t="s">
        <v>374</v>
      </c>
      <c r="J122" s="12" t="s">
        <v>374</v>
      </c>
      <c r="K122" s="12" t="s">
        <v>374</v>
      </c>
      <c r="L122" s="12" t="s">
        <v>374</v>
      </c>
      <c r="M122" s="12" t="s">
        <v>374</v>
      </c>
      <c r="N122" s="12" t="s">
        <v>374</v>
      </c>
      <c r="O122" s="12" t="s">
        <v>374</v>
      </c>
      <c r="P122" s="12" t="s">
        <v>374</v>
      </c>
      <c r="Q122" s="12" t="s">
        <v>374</v>
      </c>
      <c r="R122" s="12" t="s">
        <v>374</v>
      </c>
      <c r="S122" s="12" t="s">
        <v>374</v>
      </c>
      <c r="T122" s="12" t="s">
        <v>374</v>
      </c>
      <c r="U122" s="12" t="s">
        <v>374</v>
      </c>
      <c r="V122" s="12" t="s">
        <v>374</v>
      </c>
      <c r="W122" s="12" t="s">
        <v>374</v>
      </c>
      <c r="X122" s="13" t="s">
        <v>374</v>
      </c>
      <c r="Y122" s="13" t="s">
        <v>374</v>
      </c>
      <c r="Z122" s="12" t="s">
        <v>374</v>
      </c>
      <c r="AA122" s="13" t="s">
        <v>374</v>
      </c>
      <c r="AB122" s="13" t="s">
        <v>374</v>
      </c>
      <c r="AC122" s="13" t="s">
        <v>374</v>
      </c>
      <c r="AD122" s="12" t="s">
        <v>374</v>
      </c>
      <c r="AE122" s="13" t="s">
        <v>374</v>
      </c>
      <c r="AF122" s="13" t="s">
        <v>374</v>
      </c>
      <c r="AG122" s="13" t="s">
        <v>374</v>
      </c>
    </row>
    <row x14ac:dyDescent="0.25" r="123" customHeight="1" ht="18.75">
      <c r="A123" s="12" t="s">
        <v>374</v>
      </c>
      <c r="B123" s="12" t="s">
        <v>374</v>
      </c>
      <c r="C123" s="12" t="s">
        <v>374</v>
      </c>
      <c r="D123" s="12" t="s">
        <v>374</v>
      </c>
      <c r="E123" s="12" t="s">
        <v>374</v>
      </c>
      <c r="F123" s="12" t="s">
        <v>374</v>
      </c>
      <c r="G123" s="12" t="s">
        <v>374</v>
      </c>
      <c r="H123" s="12" t="s">
        <v>374</v>
      </c>
      <c r="I123" s="12" t="s">
        <v>374</v>
      </c>
      <c r="J123" s="12" t="s">
        <v>374</v>
      </c>
      <c r="K123" s="12" t="s">
        <v>374</v>
      </c>
      <c r="L123" s="12" t="s">
        <v>374</v>
      </c>
      <c r="M123" s="12" t="s">
        <v>374</v>
      </c>
      <c r="N123" s="12" t="s">
        <v>374</v>
      </c>
      <c r="O123" s="12" t="s">
        <v>374</v>
      </c>
      <c r="P123" s="12" t="s">
        <v>374</v>
      </c>
      <c r="Q123" s="12" t="s">
        <v>374</v>
      </c>
      <c r="R123" s="12" t="s">
        <v>374</v>
      </c>
      <c r="S123" s="12" t="s">
        <v>374</v>
      </c>
      <c r="T123" s="12" t="s">
        <v>374</v>
      </c>
      <c r="U123" s="12" t="s">
        <v>374</v>
      </c>
      <c r="V123" s="12" t="s">
        <v>374</v>
      </c>
      <c r="W123" s="12" t="s">
        <v>374</v>
      </c>
      <c r="X123" s="13" t="s">
        <v>374</v>
      </c>
      <c r="Y123" s="13" t="s">
        <v>374</v>
      </c>
      <c r="Z123" s="12" t="s">
        <v>374</v>
      </c>
      <c r="AA123" s="13" t="s">
        <v>374</v>
      </c>
      <c r="AB123" s="13" t="s">
        <v>374</v>
      </c>
      <c r="AC123" s="13" t="s">
        <v>374</v>
      </c>
      <c r="AD123" s="12" t="s">
        <v>374</v>
      </c>
      <c r="AE123" s="13" t="s">
        <v>374</v>
      </c>
      <c r="AF123" s="13" t="s">
        <v>374</v>
      </c>
      <c r="AG123" s="13" t="s">
        <v>374</v>
      </c>
    </row>
    <row x14ac:dyDescent="0.25" r="124" customHeight="1" ht="18.75">
      <c r="A124" s="12" t="s">
        <v>374</v>
      </c>
      <c r="B124" s="12" t="s">
        <v>374</v>
      </c>
      <c r="C124" s="12" t="s">
        <v>374</v>
      </c>
      <c r="D124" s="12" t="s">
        <v>374</v>
      </c>
      <c r="E124" s="12" t="s">
        <v>374</v>
      </c>
      <c r="F124" s="12" t="s">
        <v>374</v>
      </c>
      <c r="G124" s="12" t="s">
        <v>374</v>
      </c>
      <c r="H124" s="12" t="s">
        <v>374</v>
      </c>
      <c r="I124" s="12" t="s">
        <v>374</v>
      </c>
      <c r="J124" s="12" t="s">
        <v>374</v>
      </c>
      <c r="K124" s="12" t="s">
        <v>374</v>
      </c>
      <c r="L124" s="12" t="s">
        <v>374</v>
      </c>
      <c r="M124" s="12" t="s">
        <v>374</v>
      </c>
      <c r="N124" s="12" t="s">
        <v>374</v>
      </c>
      <c r="O124" s="12" t="s">
        <v>374</v>
      </c>
      <c r="P124" s="12" t="s">
        <v>374</v>
      </c>
      <c r="Q124" s="12" t="s">
        <v>374</v>
      </c>
      <c r="R124" s="12" t="s">
        <v>374</v>
      </c>
      <c r="S124" s="12" t="s">
        <v>374</v>
      </c>
      <c r="T124" s="12" t="s">
        <v>374</v>
      </c>
      <c r="U124" s="12" t="s">
        <v>374</v>
      </c>
      <c r="V124" s="12" t="s">
        <v>374</v>
      </c>
      <c r="W124" s="12" t="s">
        <v>374</v>
      </c>
      <c r="X124" s="13" t="s">
        <v>374</v>
      </c>
      <c r="Y124" s="13" t="s">
        <v>374</v>
      </c>
      <c r="Z124" s="12" t="s">
        <v>374</v>
      </c>
      <c r="AA124" s="13" t="s">
        <v>374</v>
      </c>
      <c r="AB124" s="13" t="s">
        <v>374</v>
      </c>
      <c r="AC124" s="13" t="s">
        <v>374</v>
      </c>
      <c r="AD124" s="12" t="s">
        <v>374</v>
      </c>
      <c r="AE124" s="13" t="s">
        <v>374</v>
      </c>
      <c r="AF124" s="13" t="s">
        <v>374</v>
      </c>
      <c r="AG124" s="13" t="s">
        <v>374</v>
      </c>
    </row>
    <row x14ac:dyDescent="0.25" r="125" customHeight="1" ht="18.75">
      <c r="A125" s="12" t="s">
        <v>374</v>
      </c>
      <c r="B125" s="12" t="s">
        <v>374</v>
      </c>
      <c r="C125" s="12" t="s">
        <v>374</v>
      </c>
      <c r="D125" s="12" t="s">
        <v>374</v>
      </c>
      <c r="E125" s="12" t="s">
        <v>374</v>
      </c>
      <c r="F125" s="12" t="s">
        <v>374</v>
      </c>
      <c r="G125" s="12" t="s">
        <v>374</v>
      </c>
      <c r="H125" s="12" t="s">
        <v>374</v>
      </c>
      <c r="I125" s="12" t="s">
        <v>374</v>
      </c>
      <c r="J125" s="12" t="s">
        <v>374</v>
      </c>
      <c r="K125" s="12" t="s">
        <v>374</v>
      </c>
      <c r="L125" s="12" t="s">
        <v>374</v>
      </c>
      <c r="M125" s="12" t="s">
        <v>374</v>
      </c>
      <c r="N125" s="12" t="s">
        <v>374</v>
      </c>
      <c r="O125" s="12" t="s">
        <v>374</v>
      </c>
      <c r="P125" s="12" t="s">
        <v>374</v>
      </c>
      <c r="Q125" s="12" t="s">
        <v>374</v>
      </c>
      <c r="R125" s="12" t="s">
        <v>374</v>
      </c>
      <c r="S125" s="12" t="s">
        <v>374</v>
      </c>
      <c r="T125" s="12" t="s">
        <v>374</v>
      </c>
      <c r="U125" s="12" t="s">
        <v>374</v>
      </c>
      <c r="V125" s="12" t="s">
        <v>374</v>
      </c>
      <c r="W125" s="12" t="s">
        <v>374</v>
      </c>
      <c r="X125" s="13" t="s">
        <v>374</v>
      </c>
      <c r="Y125" s="13" t="s">
        <v>374</v>
      </c>
      <c r="Z125" s="12" t="s">
        <v>374</v>
      </c>
      <c r="AA125" s="13" t="s">
        <v>374</v>
      </c>
      <c r="AB125" s="13" t="s">
        <v>374</v>
      </c>
      <c r="AC125" s="13" t="s">
        <v>374</v>
      </c>
      <c r="AD125" s="12" t="s">
        <v>374</v>
      </c>
      <c r="AE125" s="13" t="s">
        <v>374</v>
      </c>
      <c r="AF125" s="13" t="s">
        <v>374</v>
      </c>
      <c r="AG125" s="13" t="s">
        <v>374</v>
      </c>
    </row>
    <row x14ac:dyDescent="0.25" r="126" customHeight="1" ht="18.75">
      <c r="A126" s="12" t="s">
        <v>374</v>
      </c>
      <c r="B126" s="12" t="s">
        <v>374</v>
      </c>
      <c r="C126" s="12" t="s">
        <v>374</v>
      </c>
      <c r="D126" s="12" t="s">
        <v>374</v>
      </c>
      <c r="E126" s="12" t="s">
        <v>374</v>
      </c>
      <c r="F126" s="12" t="s">
        <v>374</v>
      </c>
      <c r="G126" s="12" t="s">
        <v>374</v>
      </c>
      <c r="H126" s="12" t="s">
        <v>374</v>
      </c>
      <c r="I126" s="12" t="s">
        <v>374</v>
      </c>
      <c r="J126" s="12" t="s">
        <v>374</v>
      </c>
      <c r="K126" s="12" t="s">
        <v>374</v>
      </c>
      <c r="L126" s="12" t="s">
        <v>374</v>
      </c>
      <c r="M126" s="12" t="s">
        <v>374</v>
      </c>
      <c r="N126" s="12" t="s">
        <v>374</v>
      </c>
      <c r="O126" s="12" t="s">
        <v>374</v>
      </c>
      <c r="P126" s="12" t="s">
        <v>374</v>
      </c>
      <c r="Q126" s="12" t="s">
        <v>374</v>
      </c>
      <c r="R126" s="12" t="s">
        <v>374</v>
      </c>
      <c r="S126" s="12" t="s">
        <v>374</v>
      </c>
      <c r="T126" s="12" t="s">
        <v>374</v>
      </c>
      <c r="U126" s="12" t="s">
        <v>374</v>
      </c>
      <c r="V126" s="12" t="s">
        <v>374</v>
      </c>
      <c r="W126" s="12" t="s">
        <v>374</v>
      </c>
      <c r="X126" s="13" t="s">
        <v>374</v>
      </c>
      <c r="Y126" s="13" t="s">
        <v>374</v>
      </c>
      <c r="Z126" s="12" t="s">
        <v>374</v>
      </c>
      <c r="AA126" s="13" t="s">
        <v>374</v>
      </c>
      <c r="AB126" s="13" t="s">
        <v>374</v>
      </c>
      <c r="AC126" s="13" t="s">
        <v>374</v>
      </c>
      <c r="AD126" s="12" t="s">
        <v>374</v>
      </c>
      <c r="AE126" s="13" t="s">
        <v>374</v>
      </c>
      <c r="AF126" s="13" t="s">
        <v>374</v>
      </c>
      <c r="AG126" s="13" t="s">
        <v>374</v>
      </c>
    </row>
    <row x14ac:dyDescent="0.25" r="127" customHeight="1" ht="18.75">
      <c r="A127" s="12" t="s">
        <v>374</v>
      </c>
      <c r="B127" s="12" t="s">
        <v>374</v>
      </c>
      <c r="C127" s="12" t="s">
        <v>374</v>
      </c>
      <c r="D127" s="12" t="s">
        <v>374</v>
      </c>
      <c r="E127" s="12" t="s">
        <v>374</v>
      </c>
      <c r="F127" s="12" t="s">
        <v>374</v>
      </c>
      <c r="G127" s="12" t="s">
        <v>374</v>
      </c>
      <c r="H127" s="12" t="s">
        <v>374</v>
      </c>
      <c r="I127" s="12" t="s">
        <v>374</v>
      </c>
      <c r="J127" s="12" t="s">
        <v>374</v>
      </c>
      <c r="K127" s="12" t="s">
        <v>374</v>
      </c>
      <c r="L127" s="12" t="s">
        <v>374</v>
      </c>
      <c r="M127" s="12" t="s">
        <v>374</v>
      </c>
      <c r="N127" s="12" t="s">
        <v>374</v>
      </c>
      <c r="O127" s="12" t="s">
        <v>374</v>
      </c>
      <c r="P127" s="12" t="s">
        <v>374</v>
      </c>
      <c r="Q127" s="12" t="s">
        <v>374</v>
      </c>
      <c r="R127" s="12" t="s">
        <v>374</v>
      </c>
      <c r="S127" s="12" t="s">
        <v>374</v>
      </c>
      <c r="T127" s="12" t="s">
        <v>374</v>
      </c>
      <c r="U127" s="12" t="s">
        <v>374</v>
      </c>
      <c r="V127" s="12" t="s">
        <v>374</v>
      </c>
      <c r="W127" s="12" t="s">
        <v>374</v>
      </c>
      <c r="X127" s="13" t="s">
        <v>374</v>
      </c>
      <c r="Y127" s="13" t="s">
        <v>374</v>
      </c>
      <c r="Z127" s="12" t="s">
        <v>374</v>
      </c>
      <c r="AA127" s="13" t="s">
        <v>374</v>
      </c>
      <c r="AB127" s="13" t="s">
        <v>374</v>
      </c>
      <c r="AC127" s="13" t="s">
        <v>374</v>
      </c>
      <c r="AD127" s="12" t="s">
        <v>374</v>
      </c>
      <c r="AE127" s="13" t="s">
        <v>374</v>
      </c>
      <c r="AF127" s="13" t="s">
        <v>374</v>
      </c>
      <c r="AG127" s="13" t="s">
        <v>374</v>
      </c>
    </row>
    <row x14ac:dyDescent="0.25" r="128" customHeight="1" ht="18.75">
      <c r="A128" s="12" t="s">
        <v>374</v>
      </c>
      <c r="B128" s="12" t="s">
        <v>374</v>
      </c>
      <c r="C128" s="12" t="s">
        <v>374</v>
      </c>
      <c r="D128" s="12" t="s">
        <v>374</v>
      </c>
      <c r="E128" s="12" t="s">
        <v>374</v>
      </c>
      <c r="F128" s="12" t="s">
        <v>374</v>
      </c>
      <c r="G128" s="12" t="s">
        <v>374</v>
      </c>
      <c r="H128" s="12" t="s">
        <v>374</v>
      </c>
      <c r="I128" s="12" t="s">
        <v>374</v>
      </c>
      <c r="J128" s="12" t="s">
        <v>374</v>
      </c>
      <c r="K128" s="12" t="s">
        <v>374</v>
      </c>
      <c r="L128" s="12" t="s">
        <v>374</v>
      </c>
      <c r="M128" s="12" t="s">
        <v>374</v>
      </c>
      <c r="N128" s="12" t="s">
        <v>374</v>
      </c>
      <c r="O128" s="12" t="s">
        <v>374</v>
      </c>
      <c r="P128" s="12" t="s">
        <v>374</v>
      </c>
      <c r="Q128" s="12" t="s">
        <v>374</v>
      </c>
      <c r="R128" s="12" t="s">
        <v>374</v>
      </c>
      <c r="S128" s="12" t="s">
        <v>374</v>
      </c>
      <c r="T128" s="12" t="s">
        <v>374</v>
      </c>
      <c r="U128" s="12" t="s">
        <v>374</v>
      </c>
      <c r="V128" s="12" t="s">
        <v>374</v>
      </c>
      <c r="W128" s="12" t="s">
        <v>374</v>
      </c>
      <c r="X128" s="13" t="s">
        <v>374</v>
      </c>
      <c r="Y128" s="13" t="s">
        <v>374</v>
      </c>
      <c r="Z128" s="12" t="s">
        <v>374</v>
      </c>
      <c r="AA128" s="13" t="s">
        <v>374</v>
      </c>
      <c r="AB128" s="13" t="s">
        <v>374</v>
      </c>
      <c r="AC128" s="13" t="s">
        <v>374</v>
      </c>
      <c r="AD128" s="12" t="s">
        <v>374</v>
      </c>
      <c r="AE128" s="13" t="s">
        <v>374</v>
      </c>
      <c r="AF128" s="13" t="s">
        <v>374</v>
      </c>
      <c r="AG128" s="13" t="s">
        <v>374</v>
      </c>
    </row>
    <row x14ac:dyDescent="0.25" r="129" customHeight="1" ht="18.75">
      <c r="A129" s="12" t="s">
        <v>374</v>
      </c>
      <c r="B129" s="12" t="s">
        <v>374</v>
      </c>
      <c r="C129" s="12" t="s">
        <v>374</v>
      </c>
      <c r="D129" s="12" t="s">
        <v>374</v>
      </c>
      <c r="E129" s="12" t="s">
        <v>374</v>
      </c>
      <c r="F129" s="12" t="s">
        <v>374</v>
      </c>
      <c r="G129" s="12" t="s">
        <v>374</v>
      </c>
      <c r="H129" s="12" t="s">
        <v>374</v>
      </c>
      <c r="I129" s="12" t="s">
        <v>374</v>
      </c>
      <c r="J129" s="12" t="s">
        <v>374</v>
      </c>
      <c r="K129" s="12" t="s">
        <v>374</v>
      </c>
      <c r="L129" s="12" t="s">
        <v>374</v>
      </c>
      <c r="M129" s="12" t="s">
        <v>374</v>
      </c>
      <c r="N129" s="12" t="s">
        <v>374</v>
      </c>
      <c r="O129" s="12" t="s">
        <v>374</v>
      </c>
      <c r="P129" s="12" t="s">
        <v>374</v>
      </c>
      <c r="Q129" s="12" t="s">
        <v>374</v>
      </c>
      <c r="R129" s="12" t="s">
        <v>374</v>
      </c>
      <c r="S129" s="12" t="s">
        <v>374</v>
      </c>
      <c r="T129" s="12" t="s">
        <v>374</v>
      </c>
      <c r="U129" s="12" t="s">
        <v>374</v>
      </c>
      <c r="V129" s="12" t="s">
        <v>374</v>
      </c>
      <c r="W129" s="12" t="s">
        <v>374</v>
      </c>
      <c r="X129" s="13" t="s">
        <v>374</v>
      </c>
      <c r="Y129" s="13" t="s">
        <v>374</v>
      </c>
      <c r="Z129" s="12" t="s">
        <v>374</v>
      </c>
      <c r="AA129" s="13" t="s">
        <v>374</v>
      </c>
      <c r="AB129" s="13" t="s">
        <v>374</v>
      </c>
      <c r="AC129" s="13" t="s">
        <v>374</v>
      </c>
      <c r="AD129" s="12" t="s">
        <v>374</v>
      </c>
      <c r="AE129" s="13" t="s">
        <v>374</v>
      </c>
      <c r="AF129" s="13" t="s">
        <v>374</v>
      </c>
      <c r="AG129" s="13" t="s">
        <v>374</v>
      </c>
    </row>
    <row x14ac:dyDescent="0.25" r="130" customHeight="1" ht="18.75">
      <c r="A130" s="12" t="s">
        <v>374</v>
      </c>
      <c r="B130" s="12" t="s">
        <v>374</v>
      </c>
      <c r="C130" s="12" t="s">
        <v>374</v>
      </c>
      <c r="D130" s="12" t="s">
        <v>374</v>
      </c>
      <c r="E130" s="12" t="s">
        <v>374</v>
      </c>
      <c r="F130" s="12" t="s">
        <v>374</v>
      </c>
      <c r="G130" s="12" t="s">
        <v>374</v>
      </c>
      <c r="H130" s="12" t="s">
        <v>374</v>
      </c>
      <c r="I130" s="12" t="s">
        <v>374</v>
      </c>
      <c r="J130" s="12" t="s">
        <v>374</v>
      </c>
      <c r="K130" s="12" t="s">
        <v>374</v>
      </c>
      <c r="L130" s="12" t="s">
        <v>374</v>
      </c>
      <c r="M130" s="12" t="s">
        <v>374</v>
      </c>
      <c r="N130" s="12" t="s">
        <v>374</v>
      </c>
      <c r="O130" s="12" t="s">
        <v>374</v>
      </c>
      <c r="P130" s="12" t="s">
        <v>374</v>
      </c>
      <c r="Q130" s="12" t="s">
        <v>374</v>
      </c>
      <c r="R130" s="12" t="s">
        <v>374</v>
      </c>
      <c r="S130" s="12" t="s">
        <v>374</v>
      </c>
      <c r="T130" s="12" t="s">
        <v>374</v>
      </c>
      <c r="U130" s="12" t="s">
        <v>374</v>
      </c>
      <c r="V130" s="12" t="s">
        <v>374</v>
      </c>
      <c r="W130" s="12" t="s">
        <v>374</v>
      </c>
      <c r="X130" s="13" t="s">
        <v>374</v>
      </c>
      <c r="Y130" s="13" t="s">
        <v>374</v>
      </c>
      <c r="Z130" s="12" t="s">
        <v>374</v>
      </c>
      <c r="AA130" s="13" t="s">
        <v>374</v>
      </c>
      <c r="AB130" s="13" t="s">
        <v>374</v>
      </c>
      <c r="AC130" s="13" t="s">
        <v>374</v>
      </c>
      <c r="AD130" s="12" t="s">
        <v>374</v>
      </c>
      <c r="AE130" s="13" t="s">
        <v>374</v>
      </c>
      <c r="AF130" s="13" t="s">
        <v>374</v>
      </c>
      <c r="AG130" s="13" t="s">
        <v>374</v>
      </c>
    </row>
    <row x14ac:dyDescent="0.25" r="131" customHeight="1" ht="18.75">
      <c r="A131" s="12" t="s">
        <v>374</v>
      </c>
      <c r="B131" s="12" t="s">
        <v>374</v>
      </c>
      <c r="C131" s="12" t="s">
        <v>374</v>
      </c>
      <c r="D131" s="12" t="s">
        <v>374</v>
      </c>
      <c r="E131" s="12" t="s">
        <v>374</v>
      </c>
      <c r="F131" s="12" t="s">
        <v>374</v>
      </c>
      <c r="G131" s="12" t="s">
        <v>374</v>
      </c>
      <c r="H131" s="12" t="s">
        <v>374</v>
      </c>
      <c r="I131" s="12" t="s">
        <v>374</v>
      </c>
      <c r="J131" s="12" t="s">
        <v>374</v>
      </c>
      <c r="K131" s="12" t="s">
        <v>374</v>
      </c>
      <c r="L131" s="12" t="s">
        <v>374</v>
      </c>
      <c r="M131" s="12" t="s">
        <v>374</v>
      </c>
      <c r="N131" s="12" t="s">
        <v>374</v>
      </c>
      <c r="O131" s="12" t="s">
        <v>374</v>
      </c>
      <c r="P131" s="12" t="s">
        <v>374</v>
      </c>
      <c r="Q131" s="12" t="s">
        <v>374</v>
      </c>
      <c r="R131" s="12" t="s">
        <v>374</v>
      </c>
      <c r="S131" s="12" t="s">
        <v>374</v>
      </c>
      <c r="T131" s="12" t="s">
        <v>374</v>
      </c>
      <c r="U131" s="12" t="s">
        <v>374</v>
      </c>
      <c r="V131" s="12" t="s">
        <v>374</v>
      </c>
      <c r="W131" s="12" t="s">
        <v>374</v>
      </c>
      <c r="X131" s="13" t="s">
        <v>374</v>
      </c>
      <c r="Y131" s="13" t="s">
        <v>374</v>
      </c>
      <c r="Z131" s="12" t="s">
        <v>374</v>
      </c>
      <c r="AA131" s="13" t="s">
        <v>374</v>
      </c>
      <c r="AB131" s="13" t="s">
        <v>374</v>
      </c>
      <c r="AC131" s="13" t="s">
        <v>374</v>
      </c>
      <c r="AD131" s="12" t="s">
        <v>374</v>
      </c>
      <c r="AE131" s="13" t="s">
        <v>374</v>
      </c>
      <c r="AF131" s="13" t="s">
        <v>374</v>
      </c>
      <c r="AG131" s="13" t="s">
        <v>374</v>
      </c>
    </row>
    <row x14ac:dyDescent="0.25" r="132" customHeight="1" ht="18.75">
      <c r="A132" s="12" t="s">
        <v>374</v>
      </c>
      <c r="B132" s="12" t="s">
        <v>374</v>
      </c>
      <c r="C132" s="12" t="s">
        <v>374</v>
      </c>
      <c r="D132" s="12" t="s">
        <v>374</v>
      </c>
      <c r="E132" s="12" t="s">
        <v>374</v>
      </c>
      <c r="F132" s="12" t="s">
        <v>374</v>
      </c>
      <c r="G132" s="12" t="s">
        <v>374</v>
      </c>
      <c r="H132" s="12" t="s">
        <v>374</v>
      </c>
      <c r="I132" s="12" t="s">
        <v>374</v>
      </c>
      <c r="J132" s="12" t="s">
        <v>374</v>
      </c>
      <c r="K132" s="12" t="s">
        <v>374</v>
      </c>
      <c r="L132" s="12" t="s">
        <v>374</v>
      </c>
      <c r="M132" s="12" t="s">
        <v>374</v>
      </c>
      <c r="N132" s="12" t="s">
        <v>374</v>
      </c>
      <c r="O132" s="12" t="s">
        <v>374</v>
      </c>
      <c r="P132" s="12" t="s">
        <v>374</v>
      </c>
      <c r="Q132" s="12" t="s">
        <v>374</v>
      </c>
      <c r="R132" s="12" t="s">
        <v>374</v>
      </c>
      <c r="S132" s="12" t="s">
        <v>374</v>
      </c>
      <c r="T132" s="12" t="s">
        <v>374</v>
      </c>
      <c r="U132" s="12" t="s">
        <v>374</v>
      </c>
      <c r="V132" s="12" t="s">
        <v>374</v>
      </c>
      <c r="W132" s="12" t="s">
        <v>374</v>
      </c>
      <c r="X132" s="13" t="s">
        <v>374</v>
      </c>
      <c r="Y132" s="13" t="s">
        <v>374</v>
      </c>
      <c r="Z132" s="12" t="s">
        <v>374</v>
      </c>
      <c r="AA132" s="13" t="s">
        <v>374</v>
      </c>
      <c r="AB132" s="13" t="s">
        <v>374</v>
      </c>
      <c r="AC132" s="13" t="s">
        <v>374</v>
      </c>
      <c r="AD132" s="12" t="s">
        <v>374</v>
      </c>
      <c r="AE132" s="13" t="s">
        <v>374</v>
      </c>
      <c r="AF132" s="13" t="s">
        <v>374</v>
      </c>
      <c r="AG132" s="13" t="s">
        <v>374</v>
      </c>
    </row>
    <row x14ac:dyDescent="0.25" r="133" customHeight="1" ht="18.75">
      <c r="A133" s="12" t="s">
        <v>374</v>
      </c>
      <c r="B133" s="12" t="s">
        <v>374</v>
      </c>
      <c r="C133" s="12" t="s">
        <v>374</v>
      </c>
      <c r="D133" s="12" t="s">
        <v>374</v>
      </c>
      <c r="E133" s="12" t="s">
        <v>374</v>
      </c>
      <c r="F133" s="12" t="s">
        <v>374</v>
      </c>
      <c r="G133" s="12" t="s">
        <v>374</v>
      </c>
      <c r="H133" s="12" t="s">
        <v>374</v>
      </c>
      <c r="I133" s="12" t="s">
        <v>374</v>
      </c>
      <c r="J133" s="12" t="s">
        <v>374</v>
      </c>
      <c r="K133" s="12" t="s">
        <v>374</v>
      </c>
      <c r="L133" s="12" t="s">
        <v>374</v>
      </c>
      <c r="M133" s="12" t="s">
        <v>374</v>
      </c>
      <c r="N133" s="12" t="s">
        <v>374</v>
      </c>
      <c r="O133" s="12" t="s">
        <v>374</v>
      </c>
      <c r="P133" s="12" t="s">
        <v>374</v>
      </c>
      <c r="Q133" s="12" t="s">
        <v>374</v>
      </c>
      <c r="R133" s="12" t="s">
        <v>374</v>
      </c>
      <c r="S133" s="12" t="s">
        <v>374</v>
      </c>
      <c r="T133" s="12" t="s">
        <v>374</v>
      </c>
      <c r="U133" s="12" t="s">
        <v>374</v>
      </c>
      <c r="V133" s="12" t="s">
        <v>374</v>
      </c>
      <c r="W133" s="12" t="s">
        <v>374</v>
      </c>
      <c r="X133" s="13" t="s">
        <v>374</v>
      </c>
      <c r="Y133" s="13" t="s">
        <v>374</v>
      </c>
      <c r="Z133" s="12" t="s">
        <v>374</v>
      </c>
      <c r="AA133" s="13" t="s">
        <v>374</v>
      </c>
      <c r="AB133" s="13" t="s">
        <v>374</v>
      </c>
      <c r="AC133" s="13" t="s">
        <v>374</v>
      </c>
      <c r="AD133" s="12" t="s">
        <v>374</v>
      </c>
      <c r="AE133" s="13" t="s">
        <v>374</v>
      </c>
      <c r="AF133" s="13" t="s">
        <v>374</v>
      </c>
      <c r="AG133" s="13" t="s">
        <v>374</v>
      </c>
    </row>
    <row x14ac:dyDescent="0.25" r="134" customHeight="1" ht="18.75">
      <c r="A134" s="12" t="s">
        <v>374</v>
      </c>
      <c r="B134" s="12" t="s">
        <v>374</v>
      </c>
      <c r="C134" s="12" t="s">
        <v>374</v>
      </c>
      <c r="D134" s="12" t="s">
        <v>374</v>
      </c>
      <c r="E134" s="12" t="s">
        <v>374</v>
      </c>
      <c r="F134" s="12" t="s">
        <v>374</v>
      </c>
      <c r="G134" s="12" t="s">
        <v>374</v>
      </c>
      <c r="H134" s="12" t="s">
        <v>374</v>
      </c>
      <c r="I134" s="12" t="s">
        <v>374</v>
      </c>
      <c r="J134" s="12" t="s">
        <v>374</v>
      </c>
      <c r="K134" s="12" t="s">
        <v>374</v>
      </c>
      <c r="L134" s="12" t="s">
        <v>374</v>
      </c>
      <c r="M134" s="12" t="s">
        <v>374</v>
      </c>
      <c r="N134" s="12" t="s">
        <v>374</v>
      </c>
      <c r="O134" s="12" t="s">
        <v>374</v>
      </c>
      <c r="P134" s="12" t="s">
        <v>374</v>
      </c>
      <c r="Q134" s="12" t="s">
        <v>374</v>
      </c>
      <c r="R134" s="12" t="s">
        <v>374</v>
      </c>
      <c r="S134" s="12" t="s">
        <v>374</v>
      </c>
      <c r="T134" s="12" t="s">
        <v>374</v>
      </c>
      <c r="U134" s="12" t="s">
        <v>374</v>
      </c>
      <c r="V134" s="12" t="s">
        <v>374</v>
      </c>
      <c r="W134" s="12" t="s">
        <v>374</v>
      </c>
      <c r="X134" s="13" t="s">
        <v>374</v>
      </c>
      <c r="Y134" s="13" t="s">
        <v>374</v>
      </c>
      <c r="Z134" s="12" t="s">
        <v>374</v>
      </c>
      <c r="AA134" s="13" t="s">
        <v>374</v>
      </c>
      <c r="AB134" s="13" t="s">
        <v>374</v>
      </c>
      <c r="AC134" s="13" t="s">
        <v>374</v>
      </c>
      <c r="AD134" s="12" t="s">
        <v>374</v>
      </c>
      <c r="AE134" s="13" t="s">
        <v>374</v>
      </c>
      <c r="AF134" s="13" t="s">
        <v>374</v>
      </c>
      <c r="AG134" s="13" t="s">
        <v>374</v>
      </c>
    </row>
    <row x14ac:dyDescent="0.25" r="135" customHeight="1" ht="18.75">
      <c r="A135" s="12" t="s">
        <v>374</v>
      </c>
      <c r="B135" s="12" t="s">
        <v>374</v>
      </c>
      <c r="C135" s="12" t="s">
        <v>374</v>
      </c>
      <c r="D135" s="12" t="s">
        <v>374</v>
      </c>
      <c r="E135" s="12" t="s">
        <v>374</v>
      </c>
      <c r="F135" s="12" t="s">
        <v>374</v>
      </c>
      <c r="G135" s="12" t="s">
        <v>374</v>
      </c>
      <c r="H135" s="12" t="s">
        <v>374</v>
      </c>
      <c r="I135" s="12" t="s">
        <v>374</v>
      </c>
      <c r="J135" s="12" t="s">
        <v>374</v>
      </c>
      <c r="K135" s="12" t="s">
        <v>374</v>
      </c>
      <c r="L135" s="12" t="s">
        <v>374</v>
      </c>
      <c r="M135" s="12" t="s">
        <v>374</v>
      </c>
      <c r="N135" s="12" t="s">
        <v>374</v>
      </c>
      <c r="O135" s="12" t="s">
        <v>374</v>
      </c>
      <c r="P135" s="12" t="s">
        <v>374</v>
      </c>
      <c r="Q135" s="12" t="s">
        <v>374</v>
      </c>
      <c r="R135" s="12" t="s">
        <v>374</v>
      </c>
      <c r="S135" s="12" t="s">
        <v>374</v>
      </c>
      <c r="T135" s="12" t="s">
        <v>374</v>
      </c>
      <c r="U135" s="12" t="s">
        <v>374</v>
      </c>
      <c r="V135" s="12" t="s">
        <v>374</v>
      </c>
      <c r="W135" s="12" t="s">
        <v>374</v>
      </c>
      <c r="X135" s="13" t="s">
        <v>374</v>
      </c>
      <c r="Y135" s="13" t="s">
        <v>374</v>
      </c>
      <c r="Z135" s="12" t="s">
        <v>374</v>
      </c>
      <c r="AA135" s="13" t="s">
        <v>374</v>
      </c>
      <c r="AB135" s="13" t="s">
        <v>374</v>
      </c>
      <c r="AC135" s="13" t="s">
        <v>374</v>
      </c>
      <c r="AD135" s="12" t="s">
        <v>374</v>
      </c>
      <c r="AE135" s="13" t="s">
        <v>374</v>
      </c>
      <c r="AF135" s="13" t="s">
        <v>374</v>
      </c>
      <c r="AG135" s="13" t="s">
        <v>374</v>
      </c>
    </row>
    <row x14ac:dyDescent="0.25" r="136" customHeight="1" ht="18.75">
      <c r="A136" s="12" t="s">
        <v>374</v>
      </c>
      <c r="B136" s="12" t="s">
        <v>374</v>
      </c>
      <c r="C136" s="12" t="s">
        <v>374</v>
      </c>
      <c r="D136" s="12" t="s">
        <v>374</v>
      </c>
      <c r="E136" s="12" t="s">
        <v>374</v>
      </c>
      <c r="F136" s="12" t="s">
        <v>374</v>
      </c>
      <c r="G136" s="12" t="s">
        <v>374</v>
      </c>
      <c r="H136" s="12" t="s">
        <v>374</v>
      </c>
      <c r="I136" s="12" t="s">
        <v>374</v>
      </c>
      <c r="J136" s="12" t="s">
        <v>374</v>
      </c>
      <c r="K136" s="12" t="s">
        <v>374</v>
      </c>
      <c r="L136" s="12" t="s">
        <v>374</v>
      </c>
      <c r="M136" s="12" t="s">
        <v>374</v>
      </c>
      <c r="N136" s="12" t="s">
        <v>374</v>
      </c>
      <c r="O136" s="12" t="s">
        <v>374</v>
      </c>
      <c r="P136" s="12" t="s">
        <v>374</v>
      </c>
      <c r="Q136" s="12" t="s">
        <v>374</v>
      </c>
      <c r="R136" s="12" t="s">
        <v>374</v>
      </c>
      <c r="S136" s="12" t="s">
        <v>374</v>
      </c>
      <c r="T136" s="12" t="s">
        <v>374</v>
      </c>
      <c r="U136" s="12" t="s">
        <v>374</v>
      </c>
      <c r="V136" s="12" t="s">
        <v>374</v>
      </c>
      <c r="W136" s="12" t="s">
        <v>374</v>
      </c>
      <c r="X136" s="13" t="s">
        <v>374</v>
      </c>
      <c r="Y136" s="13" t="s">
        <v>374</v>
      </c>
      <c r="Z136" s="12" t="s">
        <v>374</v>
      </c>
      <c r="AA136" s="13" t="s">
        <v>374</v>
      </c>
      <c r="AB136" s="13" t="s">
        <v>374</v>
      </c>
      <c r="AC136" s="13" t="s">
        <v>374</v>
      </c>
      <c r="AD136" s="12" t="s">
        <v>374</v>
      </c>
      <c r="AE136" s="13" t="s">
        <v>374</v>
      </c>
      <c r="AF136" s="13" t="s">
        <v>374</v>
      </c>
      <c r="AG136" s="13" t="s">
        <v>374</v>
      </c>
    </row>
    <row x14ac:dyDescent="0.25" r="137" customHeight="1" ht="18.75">
      <c r="A137" s="12" t="s">
        <v>374</v>
      </c>
      <c r="B137" s="12" t="s">
        <v>374</v>
      </c>
      <c r="C137" s="12" t="s">
        <v>374</v>
      </c>
      <c r="D137" s="12" t="s">
        <v>374</v>
      </c>
      <c r="E137" s="12" t="s">
        <v>374</v>
      </c>
      <c r="F137" s="12" t="s">
        <v>374</v>
      </c>
      <c r="G137" s="12" t="s">
        <v>374</v>
      </c>
      <c r="H137" s="12" t="s">
        <v>374</v>
      </c>
      <c r="I137" s="12" t="s">
        <v>374</v>
      </c>
      <c r="J137" s="12" t="s">
        <v>374</v>
      </c>
      <c r="K137" s="12" t="s">
        <v>374</v>
      </c>
      <c r="L137" s="12" t="s">
        <v>374</v>
      </c>
      <c r="M137" s="12" t="s">
        <v>374</v>
      </c>
      <c r="N137" s="12" t="s">
        <v>374</v>
      </c>
      <c r="O137" s="12" t="s">
        <v>374</v>
      </c>
      <c r="P137" s="12" t="s">
        <v>374</v>
      </c>
      <c r="Q137" s="12" t="s">
        <v>374</v>
      </c>
      <c r="R137" s="12" t="s">
        <v>374</v>
      </c>
      <c r="S137" s="12" t="s">
        <v>374</v>
      </c>
      <c r="T137" s="12" t="s">
        <v>374</v>
      </c>
      <c r="U137" s="12" t="s">
        <v>374</v>
      </c>
      <c r="V137" s="12" t="s">
        <v>374</v>
      </c>
      <c r="W137" s="12" t="s">
        <v>374</v>
      </c>
      <c r="X137" s="13" t="s">
        <v>374</v>
      </c>
      <c r="Y137" s="13" t="s">
        <v>374</v>
      </c>
      <c r="Z137" s="12" t="s">
        <v>374</v>
      </c>
      <c r="AA137" s="13" t="s">
        <v>374</v>
      </c>
      <c r="AB137" s="13" t="s">
        <v>374</v>
      </c>
      <c r="AC137" s="13" t="s">
        <v>374</v>
      </c>
      <c r="AD137" s="12" t="s">
        <v>374</v>
      </c>
      <c r="AE137" s="13" t="s">
        <v>374</v>
      </c>
      <c r="AF137" s="13" t="s">
        <v>374</v>
      </c>
      <c r="AG137" s="13" t="s">
        <v>374</v>
      </c>
    </row>
    <row x14ac:dyDescent="0.25" r="138" customHeight="1" ht="18.75">
      <c r="A138" s="12" t="s">
        <v>374</v>
      </c>
      <c r="B138" s="12" t="s">
        <v>374</v>
      </c>
      <c r="C138" s="12" t="s">
        <v>374</v>
      </c>
      <c r="D138" s="12" t="s">
        <v>374</v>
      </c>
      <c r="E138" s="12" t="s">
        <v>374</v>
      </c>
      <c r="F138" s="12" t="s">
        <v>374</v>
      </c>
      <c r="G138" s="12" t="s">
        <v>374</v>
      </c>
      <c r="H138" s="12" t="s">
        <v>374</v>
      </c>
      <c r="I138" s="12" t="s">
        <v>374</v>
      </c>
      <c r="J138" s="12" t="s">
        <v>374</v>
      </c>
      <c r="K138" s="12" t="s">
        <v>374</v>
      </c>
      <c r="L138" s="12" t="s">
        <v>374</v>
      </c>
      <c r="M138" s="12" t="s">
        <v>374</v>
      </c>
      <c r="N138" s="12" t="s">
        <v>374</v>
      </c>
      <c r="O138" s="12" t="s">
        <v>374</v>
      </c>
      <c r="P138" s="12" t="s">
        <v>374</v>
      </c>
      <c r="Q138" s="12" t="s">
        <v>374</v>
      </c>
      <c r="R138" s="12" t="s">
        <v>374</v>
      </c>
      <c r="S138" s="12" t="s">
        <v>374</v>
      </c>
      <c r="T138" s="12" t="s">
        <v>374</v>
      </c>
      <c r="U138" s="12" t="s">
        <v>374</v>
      </c>
      <c r="V138" s="12" t="s">
        <v>374</v>
      </c>
      <c r="W138" s="12" t="s">
        <v>374</v>
      </c>
      <c r="X138" s="13" t="s">
        <v>374</v>
      </c>
      <c r="Y138" s="13" t="s">
        <v>374</v>
      </c>
      <c r="Z138" s="12" t="s">
        <v>374</v>
      </c>
      <c r="AA138" s="13" t="s">
        <v>374</v>
      </c>
      <c r="AB138" s="13" t="s">
        <v>374</v>
      </c>
      <c r="AC138" s="13" t="s">
        <v>374</v>
      </c>
      <c r="AD138" s="12" t="s">
        <v>374</v>
      </c>
      <c r="AE138" s="13" t="s">
        <v>374</v>
      </c>
      <c r="AF138" s="13" t="s">
        <v>374</v>
      </c>
      <c r="AG138" s="13" t="s">
        <v>374</v>
      </c>
    </row>
    <row x14ac:dyDescent="0.25" r="139" customHeight="1" ht="18.75">
      <c r="A139" s="12" t="s">
        <v>374</v>
      </c>
      <c r="B139" s="12" t="s">
        <v>374</v>
      </c>
      <c r="C139" s="12" t="s">
        <v>374</v>
      </c>
      <c r="D139" s="12" t="s">
        <v>374</v>
      </c>
      <c r="E139" s="12" t="s">
        <v>374</v>
      </c>
      <c r="F139" s="12" t="s">
        <v>374</v>
      </c>
      <c r="G139" s="12" t="s">
        <v>374</v>
      </c>
      <c r="H139" s="12" t="s">
        <v>374</v>
      </c>
      <c r="I139" s="12" t="s">
        <v>374</v>
      </c>
      <c r="J139" s="12" t="s">
        <v>374</v>
      </c>
      <c r="K139" s="12" t="s">
        <v>374</v>
      </c>
      <c r="L139" s="12" t="s">
        <v>374</v>
      </c>
      <c r="M139" s="12" t="s">
        <v>374</v>
      </c>
      <c r="N139" s="12" t="s">
        <v>374</v>
      </c>
      <c r="O139" s="12" t="s">
        <v>374</v>
      </c>
      <c r="P139" s="12" t="s">
        <v>374</v>
      </c>
      <c r="Q139" s="12" t="s">
        <v>374</v>
      </c>
      <c r="R139" s="12" t="s">
        <v>374</v>
      </c>
      <c r="S139" s="12" t="s">
        <v>374</v>
      </c>
      <c r="T139" s="12" t="s">
        <v>374</v>
      </c>
      <c r="U139" s="12" t="s">
        <v>374</v>
      </c>
      <c r="V139" s="12" t="s">
        <v>374</v>
      </c>
      <c r="W139" s="12" t="s">
        <v>374</v>
      </c>
      <c r="X139" s="13" t="s">
        <v>374</v>
      </c>
      <c r="Y139" s="13" t="s">
        <v>374</v>
      </c>
      <c r="Z139" s="12" t="s">
        <v>374</v>
      </c>
      <c r="AA139" s="13" t="s">
        <v>374</v>
      </c>
      <c r="AB139" s="13" t="s">
        <v>374</v>
      </c>
      <c r="AC139" s="13" t="s">
        <v>374</v>
      </c>
      <c r="AD139" s="12" t="s">
        <v>374</v>
      </c>
      <c r="AE139" s="13" t="s">
        <v>374</v>
      </c>
      <c r="AF139" s="13" t="s">
        <v>374</v>
      </c>
      <c r="AG139" s="13" t="s">
        <v>374</v>
      </c>
    </row>
    <row x14ac:dyDescent="0.25" r="140" customHeight="1" ht="18.75">
      <c r="A140" s="12" t="s">
        <v>374</v>
      </c>
      <c r="B140" s="12" t="s">
        <v>374</v>
      </c>
      <c r="C140" s="12" t="s">
        <v>374</v>
      </c>
      <c r="D140" s="12" t="s">
        <v>374</v>
      </c>
      <c r="E140" s="12" t="s">
        <v>374</v>
      </c>
      <c r="F140" s="12" t="s">
        <v>374</v>
      </c>
      <c r="G140" s="12" t="s">
        <v>374</v>
      </c>
      <c r="H140" s="12" t="s">
        <v>374</v>
      </c>
      <c r="I140" s="12" t="s">
        <v>374</v>
      </c>
      <c r="J140" s="12" t="s">
        <v>374</v>
      </c>
      <c r="K140" s="12" t="s">
        <v>374</v>
      </c>
      <c r="L140" s="12" t="s">
        <v>374</v>
      </c>
      <c r="M140" s="12" t="s">
        <v>374</v>
      </c>
      <c r="N140" s="12" t="s">
        <v>374</v>
      </c>
      <c r="O140" s="12" t="s">
        <v>374</v>
      </c>
      <c r="P140" s="12" t="s">
        <v>374</v>
      </c>
      <c r="Q140" s="12" t="s">
        <v>374</v>
      </c>
      <c r="R140" s="12" t="s">
        <v>374</v>
      </c>
      <c r="S140" s="12" t="s">
        <v>374</v>
      </c>
      <c r="T140" s="12" t="s">
        <v>374</v>
      </c>
      <c r="U140" s="12" t="s">
        <v>374</v>
      </c>
      <c r="V140" s="12" t="s">
        <v>374</v>
      </c>
      <c r="W140" s="12" t="s">
        <v>374</v>
      </c>
      <c r="X140" s="13" t="s">
        <v>374</v>
      </c>
      <c r="Y140" s="13" t="s">
        <v>374</v>
      </c>
      <c r="Z140" s="12" t="s">
        <v>374</v>
      </c>
      <c r="AA140" s="13" t="s">
        <v>374</v>
      </c>
      <c r="AB140" s="13" t="s">
        <v>374</v>
      </c>
      <c r="AC140" s="13" t="s">
        <v>374</v>
      </c>
      <c r="AD140" s="12" t="s">
        <v>374</v>
      </c>
      <c r="AE140" s="13" t="s">
        <v>374</v>
      </c>
      <c r="AF140" s="13" t="s">
        <v>374</v>
      </c>
      <c r="AG140" s="13" t="s">
        <v>374</v>
      </c>
    </row>
    <row x14ac:dyDescent="0.25" r="141" customHeight="1" ht="18.75">
      <c r="A141" s="12" t="s">
        <v>374</v>
      </c>
      <c r="B141" s="12" t="s">
        <v>374</v>
      </c>
      <c r="C141" s="12" t="s">
        <v>374</v>
      </c>
      <c r="D141" s="12" t="s">
        <v>374</v>
      </c>
      <c r="E141" s="12" t="s">
        <v>374</v>
      </c>
      <c r="F141" s="12" t="s">
        <v>374</v>
      </c>
      <c r="G141" s="12" t="s">
        <v>374</v>
      </c>
      <c r="H141" s="12" t="s">
        <v>374</v>
      </c>
      <c r="I141" s="12" t="s">
        <v>374</v>
      </c>
      <c r="J141" s="12" t="s">
        <v>374</v>
      </c>
      <c r="K141" s="12" t="s">
        <v>374</v>
      </c>
      <c r="L141" s="12" t="s">
        <v>374</v>
      </c>
      <c r="M141" s="12" t="s">
        <v>374</v>
      </c>
      <c r="N141" s="12" t="s">
        <v>374</v>
      </c>
      <c r="O141" s="12" t="s">
        <v>374</v>
      </c>
      <c r="P141" s="12" t="s">
        <v>374</v>
      </c>
      <c r="Q141" s="12" t="s">
        <v>374</v>
      </c>
      <c r="R141" s="12" t="s">
        <v>374</v>
      </c>
      <c r="S141" s="12" t="s">
        <v>374</v>
      </c>
      <c r="T141" s="12" t="s">
        <v>374</v>
      </c>
      <c r="U141" s="12" t="s">
        <v>374</v>
      </c>
      <c r="V141" s="12" t="s">
        <v>374</v>
      </c>
      <c r="W141" s="12" t="s">
        <v>374</v>
      </c>
      <c r="X141" s="13" t="s">
        <v>374</v>
      </c>
      <c r="Y141" s="13" t="s">
        <v>374</v>
      </c>
      <c r="Z141" s="12" t="s">
        <v>374</v>
      </c>
      <c r="AA141" s="13" t="s">
        <v>374</v>
      </c>
      <c r="AB141" s="13" t="s">
        <v>374</v>
      </c>
      <c r="AC141" s="13" t="s">
        <v>374</v>
      </c>
      <c r="AD141" s="12" t="s">
        <v>374</v>
      </c>
      <c r="AE141" s="13" t="s">
        <v>374</v>
      </c>
      <c r="AF141" s="13" t="s">
        <v>374</v>
      </c>
      <c r="AG141" s="13" t="s">
        <v>374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A368"/>
  <sheetViews>
    <sheetView workbookViewId="0"/>
  </sheetViews>
  <sheetFormatPr defaultRowHeight="15" x14ac:dyDescent="0.25"/>
  <cols>
    <col min="1" max="1" style="9" width="13.576428571428572" customWidth="1" bestFit="1"/>
    <col min="2" max="2" style="10" width="13.576428571428572" customWidth="1" bestFit="1"/>
    <col min="3" max="3" style="10" width="12.005" customWidth="1" bestFit="1"/>
    <col min="4" max="4" style="10" width="13.576428571428572" customWidth="1" bestFit="1"/>
    <col min="5" max="5" style="10" width="13.576428571428572" customWidth="1" bestFit="1"/>
    <col min="6" max="6" style="10" width="13.576428571428572" customWidth="1" bestFit="1"/>
    <col min="7" max="7" style="11" width="13.576428571428572" customWidth="1" bestFit="1"/>
    <col min="8" max="8" style="9" width="13.576428571428572" customWidth="1" bestFit="1"/>
    <col min="9" max="9" style="10" width="6.2907142857142855" customWidth="1" bestFit="1"/>
    <col min="10" max="10" style="10" width="13.576428571428572" customWidth="1" bestFit="1"/>
    <col min="11" max="11" style="10" width="13.576428571428572" customWidth="1" bestFit="1"/>
    <col min="12" max="12" style="10" width="13.576428571428572" customWidth="1" bestFit="1"/>
    <col min="13" max="13" style="9" width="13.576428571428572" customWidth="1" bestFit="1"/>
    <col min="14" max="14" style="11" width="13.576428571428572" customWidth="1" bestFit="1"/>
    <col min="15" max="15" style="9" width="13.576428571428572" customWidth="1" bestFit="1"/>
    <col min="16" max="16" style="10" width="13.576428571428572" customWidth="1" bestFit="1"/>
    <col min="17" max="17" style="10" width="13.576428571428572" customWidth="1" bestFit="1"/>
    <col min="18" max="18" style="10" width="13.576428571428572" customWidth="1" bestFit="1"/>
    <col min="19" max="19" style="10" width="13.576428571428572" customWidth="1" bestFit="1"/>
    <col min="20" max="20" style="10" width="13.576428571428572" customWidth="1" bestFit="1"/>
    <col min="21" max="21" style="11" width="13.576428571428572" customWidth="1" bestFit="1"/>
    <col min="22" max="22" style="11" width="13.576428571428572" customWidth="1" bestFit="1"/>
    <col min="23" max="23" style="11" width="13.576428571428572" customWidth="1" bestFit="1"/>
    <col min="24" max="24" style="11" width="13.576428571428572" customWidth="1" bestFit="1"/>
    <col min="25" max="25" style="11" width="13.576428571428572" customWidth="1" bestFit="1"/>
    <col min="26" max="26" style="11" width="13.576428571428572" customWidth="1" bestFit="1"/>
    <col min="27" max="27" style="11" width="13.576428571428572" customWidth="1" bestFit="1"/>
  </cols>
  <sheetData>
    <row x14ac:dyDescent="0.25" r="1" customHeight="1" ht="18.75">
      <c r="A1" s="1" t="s">
        <v>0</v>
      </c>
      <c r="B1" s="2"/>
      <c r="C1" s="2"/>
      <c r="D1" s="2"/>
      <c r="E1" s="2"/>
      <c r="F1" s="2"/>
      <c r="G1" s="3"/>
      <c r="H1" s="1" t="s">
        <v>1</v>
      </c>
      <c r="I1" s="2"/>
      <c r="J1" s="2"/>
      <c r="K1" s="2"/>
      <c r="L1" s="2"/>
      <c r="M1" s="1"/>
      <c r="N1" s="3"/>
      <c r="O1" s="1" t="s">
        <v>2</v>
      </c>
      <c r="P1" s="2"/>
      <c r="Q1" s="2"/>
      <c r="R1" s="2"/>
      <c r="S1" s="2"/>
      <c r="T1" s="2"/>
      <c r="U1" s="3"/>
      <c r="V1" s="4"/>
      <c r="W1" s="4"/>
      <c r="X1" s="4"/>
      <c r="Y1" s="4"/>
      <c r="Z1" s="4"/>
      <c r="AA1" s="4"/>
    </row>
    <row x14ac:dyDescent="0.25" r="2" customHeight="1" ht="18.75">
      <c r="A2" s="5" t="s">
        <v>3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8</v>
      </c>
      <c r="G2" s="3"/>
      <c r="H2" s="5" t="s">
        <v>3</v>
      </c>
      <c r="I2" s="6" t="s">
        <v>4</v>
      </c>
      <c r="J2" s="6" t="s">
        <v>5</v>
      </c>
      <c r="K2" s="6" t="s">
        <v>6</v>
      </c>
      <c r="L2" s="6" t="s">
        <v>7</v>
      </c>
      <c r="M2" s="5" t="s">
        <v>8</v>
      </c>
      <c r="N2" s="3"/>
      <c r="O2" s="5" t="s">
        <v>3</v>
      </c>
      <c r="P2" s="6" t="s">
        <v>4</v>
      </c>
      <c r="Q2" s="6" t="s">
        <v>5</v>
      </c>
      <c r="R2" s="6" t="s">
        <v>6</v>
      </c>
      <c r="S2" s="6" t="s">
        <v>7</v>
      </c>
      <c r="T2" s="6" t="s">
        <v>8</v>
      </c>
      <c r="U2" s="3"/>
      <c r="V2" s="3"/>
      <c r="W2" s="3"/>
      <c r="X2" s="3"/>
      <c r="Y2" s="3"/>
      <c r="Z2" s="3"/>
      <c r="AA2" s="3"/>
    </row>
    <row x14ac:dyDescent="0.25" r="3" customHeight="1" ht="18.75">
      <c r="A3" s="7">
        <v>1</v>
      </c>
      <c r="B3" s="8">
        <v>16.1794117647058</v>
      </c>
      <c r="C3" s="8">
        <v>17.6396551724137</v>
      </c>
      <c r="D3" s="8">
        <v>17.1568181818181</v>
      </c>
      <c r="E3" s="8">
        <v>14.48</v>
      </c>
      <c r="F3" s="8">
        <v>17.9083333333333</v>
      </c>
      <c r="G3" s="3"/>
      <c r="H3" s="7">
        <v>1</v>
      </c>
      <c r="I3" s="8">
        <v>0.694117647058823</v>
      </c>
      <c r="J3" s="8">
        <v>2.98620689655172</v>
      </c>
      <c r="K3" s="8">
        <v>0.818181818181818</v>
      </c>
      <c r="L3" s="8">
        <v>2.144</v>
      </c>
      <c r="M3" s="8">
        <v>2.55</v>
      </c>
      <c r="N3" s="3"/>
      <c r="O3" s="7">
        <v>1</v>
      </c>
      <c r="P3" s="8">
        <v>5.66709114052152</v>
      </c>
      <c r="Q3" s="8">
        <v>4.73143050481111</v>
      </c>
      <c r="R3" s="8">
        <v>5.3002895815377</v>
      </c>
      <c r="S3" s="8">
        <v>5.11566952104884</v>
      </c>
      <c r="T3" s="8">
        <v>3.65452635065537</v>
      </c>
      <c r="U3" s="3"/>
      <c r="V3" s="3"/>
      <c r="W3" s="3"/>
      <c r="X3" s="3"/>
      <c r="Y3" s="3"/>
      <c r="Z3" s="3"/>
      <c r="AA3" s="3"/>
    </row>
    <row x14ac:dyDescent="0.25" r="4" customHeight="1" ht="18.75">
      <c r="A4" s="7">
        <v>2</v>
      </c>
      <c r="B4" s="8">
        <v>17.160294117647</v>
      </c>
      <c r="C4" s="8">
        <v>18.0137931034482</v>
      </c>
      <c r="D4" s="8">
        <v>17.6204545454545</v>
      </c>
      <c r="E4" s="8">
        <v>14.1261904761904</v>
      </c>
      <c r="F4" s="8">
        <v>18.4541666666666</v>
      </c>
      <c r="G4" s="3"/>
      <c r="H4" s="7">
        <v>2</v>
      </c>
      <c r="I4" s="8">
        <v>1.5735294117647</v>
      </c>
      <c r="J4" s="8">
        <v>1.45172413793103</v>
      </c>
      <c r="K4" s="8">
        <v>0.522727272727272</v>
      </c>
      <c r="L4" s="8">
        <v>5.1</v>
      </c>
      <c r="M4" s="8">
        <v>2.31666666666666</v>
      </c>
      <c r="N4" s="3"/>
      <c r="O4" s="7">
        <v>2</v>
      </c>
      <c r="P4" s="8">
        <v>5.47016136211003</v>
      </c>
      <c r="Q4" s="8">
        <v>4.71847330015052</v>
      </c>
      <c r="R4" s="8">
        <v>5.04432535158417</v>
      </c>
      <c r="S4" s="8">
        <v>4.17348402197783</v>
      </c>
      <c r="T4" s="8">
        <v>3.03745786617882</v>
      </c>
      <c r="U4" s="3"/>
      <c r="V4" s="3"/>
      <c r="W4" s="3"/>
      <c r="X4" s="3"/>
      <c r="Y4" s="3"/>
      <c r="Z4" s="3"/>
      <c r="AA4" s="3"/>
    </row>
    <row x14ac:dyDescent="0.25" r="5" customHeight="1" ht="18.75">
      <c r="A5" s="7">
        <v>3</v>
      </c>
      <c r="B5" s="8">
        <v>16.8117647058823</v>
      </c>
      <c r="C5" s="8">
        <v>17.8275862068965</v>
      </c>
      <c r="D5" s="8">
        <v>18.015909090909</v>
      </c>
      <c r="E5" s="8">
        <v>14.1125</v>
      </c>
      <c r="F5" s="8">
        <v>18.4916666666666</v>
      </c>
      <c r="G5" s="3"/>
      <c r="H5" s="7">
        <v>3</v>
      </c>
      <c r="I5" s="8">
        <v>2.35294117647058</v>
      </c>
      <c r="J5" s="8">
        <v>1.27241379310344</v>
      </c>
      <c r="K5" s="8">
        <v>0.904545454545454</v>
      </c>
      <c r="L5" s="8">
        <v>3.712</v>
      </c>
      <c r="M5" s="8">
        <v>6.63333333333333</v>
      </c>
      <c r="N5" s="3"/>
      <c r="O5" s="7">
        <v>3</v>
      </c>
      <c r="P5" s="8">
        <v>5.50604117524217</v>
      </c>
      <c r="Q5" s="8">
        <v>4.51538335635933</v>
      </c>
      <c r="R5" s="8">
        <v>5.44380801215497</v>
      </c>
      <c r="S5" s="8">
        <v>4.54259514326967</v>
      </c>
      <c r="T5" s="8">
        <v>3.54246608335647</v>
      </c>
      <c r="U5" s="3"/>
      <c r="V5" s="3"/>
      <c r="W5" s="3"/>
      <c r="X5" s="3"/>
      <c r="Y5" s="3"/>
      <c r="Z5" s="3"/>
      <c r="AA5" s="3"/>
    </row>
    <row x14ac:dyDescent="0.25" r="6" customHeight="1" ht="18.75">
      <c r="A6" s="7">
        <v>4</v>
      </c>
      <c r="B6" s="8">
        <v>15.7720588235294</v>
      </c>
      <c r="C6" s="8">
        <v>18.0689655172413</v>
      </c>
      <c r="D6" s="8">
        <v>16.890909090909</v>
      </c>
      <c r="E6" s="8">
        <v>14.4875</v>
      </c>
      <c r="F6" s="7">
        <v>17</v>
      </c>
      <c r="G6" s="3"/>
      <c r="H6" s="7">
        <v>4</v>
      </c>
      <c r="I6" s="8">
        <v>1.96470588235294</v>
      </c>
      <c r="J6" s="8">
        <v>1.32068965517241</v>
      </c>
      <c r="K6" s="8">
        <v>1.37727272727272</v>
      </c>
      <c r="L6" s="8">
        <v>4.168</v>
      </c>
      <c r="M6" s="8">
        <v>1.93333333333333</v>
      </c>
      <c r="N6" s="3"/>
      <c r="O6" s="7">
        <v>4</v>
      </c>
      <c r="P6" s="8">
        <v>4.99726244332895</v>
      </c>
      <c r="Q6" s="8">
        <v>4.62669711727149</v>
      </c>
      <c r="R6" s="8">
        <v>5.58073382650876</v>
      </c>
      <c r="S6" s="8">
        <v>4.46324806491583</v>
      </c>
      <c r="T6" s="8">
        <v>4.68933096554586</v>
      </c>
      <c r="U6" s="3"/>
      <c r="V6" s="3"/>
      <c r="W6" s="3"/>
      <c r="X6" s="3"/>
      <c r="Y6" s="3"/>
      <c r="Z6" s="3"/>
      <c r="AA6" s="3"/>
    </row>
    <row x14ac:dyDescent="0.25" r="7" customHeight="1" ht="18.75">
      <c r="A7" s="7">
        <v>5</v>
      </c>
      <c r="B7" s="8">
        <v>16.0455882352941</v>
      </c>
      <c r="C7" s="8">
        <v>17.6586206896551</v>
      </c>
      <c r="D7" s="8">
        <v>16.95</v>
      </c>
      <c r="E7" s="8">
        <v>14.975</v>
      </c>
      <c r="F7" s="8">
        <v>16.4166666666666</v>
      </c>
      <c r="G7" s="3"/>
      <c r="H7" s="7">
        <v>5</v>
      </c>
      <c r="I7" s="8">
        <v>1.55882352941176</v>
      </c>
      <c r="J7" s="8">
        <v>1.64137931034482</v>
      </c>
      <c r="K7" s="8">
        <v>0.513636363636363</v>
      </c>
      <c r="L7" s="8">
        <v>2.152</v>
      </c>
      <c r="M7" s="8">
        <v>2.98333333333333</v>
      </c>
      <c r="N7" s="3"/>
      <c r="O7" s="7">
        <v>5</v>
      </c>
      <c r="P7" s="8">
        <v>5.14810161656064</v>
      </c>
      <c r="Q7" s="8">
        <v>4.75247358324461</v>
      </c>
      <c r="R7" s="8">
        <v>5.51386962866609</v>
      </c>
      <c r="S7" s="8">
        <v>4.94040664971448</v>
      </c>
      <c r="T7" s="8">
        <v>4.09578619611121</v>
      </c>
      <c r="U7" s="3"/>
      <c r="V7" s="3"/>
      <c r="W7" s="3"/>
      <c r="X7" s="3"/>
      <c r="Y7" s="3"/>
      <c r="Z7" s="3"/>
      <c r="AA7" s="3"/>
    </row>
    <row x14ac:dyDescent="0.25" r="8" customHeight="1" ht="18.75">
      <c r="A8" s="7">
        <v>6</v>
      </c>
      <c r="B8" s="8">
        <v>16.1955882352941</v>
      </c>
      <c r="C8" s="8">
        <v>17.7431034482758</v>
      </c>
      <c r="D8" s="8">
        <v>17.2431818181818</v>
      </c>
      <c r="E8" s="8">
        <v>14.8261904761904</v>
      </c>
      <c r="F8" s="8">
        <v>17.6291666666666</v>
      </c>
      <c r="G8" s="3"/>
      <c r="H8" s="7">
        <v>6</v>
      </c>
      <c r="I8" s="8">
        <v>0.438235294117647</v>
      </c>
      <c r="J8" s="8">
        <v>1.82068965517241</v>
      </c>
      <c r="K8" s="8">
        <v>0.263636363636363</v>
      </c>
      <c r="L8" s="8">
        <v>3.01538461538461</v>
      </c>
      <c r="M8" s="8">
        <v>0.433333333333333</v>
      </c>
      <c r="N8" s="3"/>
      <c r="O8" s="7">
        <v>6</v>
      </c>
      <c r="P8" s="8">
        <v>5.13354745771476</v>
      </c>
      <c r="Q8" s="8">
        <v>4.56752777761131</v>
      </c>
      <c r="R8" s="8">
        <v>5.54571522040755</v>
      </c>
      <c r="S8" s="8">
        <v>4.37567145570782</v>
      </c>
      <c r="T8" s="8">
        <v>4.0765351917681</v>
      </c>
      <c r="U8" s="3"/>
      <c r="V8" s="3"/>
      <c r="W8" s="3"/>
      <c r="X8" s="3"/>
      <c r="Y8" s="3"/>
      <c r="Z8" s="3"/>
      <c r="AA8" s="3"/>
    </row>
    <row x14ac:dyDescent="0.25" r="9" customHeight="1" ht="18.75">
      <c r="A9" s="7">
        <v>7</v>
      </c>
      <c r="B9" s="8">
        <v>17.3955882352941</v>
      </c>
      <c r="C9" s="8">
        <v>18.1810344827586</v>
      </c>
      <c r="D9" s="8">
        <v>18.2318181818181</v>
      </c>
      <c r="E9" s="8">
        <v>14.3428571428571</v>
      </c>
      <c r="F9" s="8">
        <v>17.0041666666666</v>
      </c>
      <c r="G9" s="3"/>
      <c r="H9" s="7">
        <v>7</v>
      </c>
      <c r="I9" s="8">
        <v>0.926470588235294</v>
      </c>
      <c r="J9" s="8">
        <v>1.48965517241379</v>
      </c>
      <c r="K9" s="8">
        <v>0.454545454545454</v>
      </c>
      <c r="L9" s="8">
        <v>4.31538461538461</v>
      </c>
      <c r="M9" s="8">
        <v>2.78333333333333</v>
      </c>
      <c r="N9" s="3"/>
      <c r="O9" s="7">
        <v>7</v>
      </c>
      <c r="P9" s="8">
        <v>5.45326437934899</v>
      </c>
      <c r="Q9" s="8">
        <v>4.09455235958884</v>
      </c>
      <c r="R9" s="8">
        <v>5.27399916558652</v>
      </c>
      <c r="S9" s="8">
        <v>4.17640036808132</v>
      </c>
      <c r="T9" s="8">
        <v>3.5869881049731</v>
      </c>
      <c r="U9" s="3"/>
      <c r="V9" s="3"/>
      <c r="W9" s="3"/>
      <c r="X9" s="3"/>
      <c r="Y9" s="3"/>
      <c r="Z9" s="3"/>
      <c r="AA9" s="3"/>
    </row>
    <row x14ac:dyDescent="0.25" r="10" customHeight="1" ht="18.75">
      <c r="A10" s="7">
        <v>8</v>
      </c>
      <c r="B10" s="8">
        <v>17.102249134948</v>
      </c>
      <c r="C10" s="8">
        <v>18.3931034482758</v>
      </c>
      <c r="D10" s="8">
        <v>18.6272727272727</v>
      </c>
      <c r="E10" s="8">
        <v>13.8761904761904</v>
      </c>
      <c r="F10" s="8">
        <v>17.4333333333333</v>
      </c>
      <c r="G10" s="3"/>
      <c r="H10" s="7">
        <v>8</v>
      </c>
      <c r="I10" s="8">
        <v>2.31764705882352</v>
      </c>
      <c r="J10" s="8">
        <v>2.69655172413793</v>
      </c>
      <c r="K10" s="8">
        <v>2.66363636363636</v>
      </c>
      <c r="L10" s="8">
        <v>4.27407407407407</v>
      </c>
      <c r="M10" s="8">
        <v>2.38333333333333</v>
      </c>
      <c r="N10" s="3"/>
      <c r="O10" s="7">
        <v>8</v>
      </c>
      <c r="P10" s="8">
        <v>5.57690448669634</v>
      </c>
      <c r="Q10" s="8">
        <v>4.03603926029523</v>
      </c>
      <c r="R10" s="8">
        <v>5.67327728058136</v>
      </c>
      <c r="S10" s="8">
        <v>4.47511844379082</v>
      </c>
      <c r="T10" s="8">
        <v>4.26058074212899</v>
      </c>
      <c r="U10" s="3"/>
      <c r="V10" s="3"/>
      <c r="W10" s="3"/>
      <c r="X10" s="3"/>
      <c r="Y10" s="3"/>
      <c r="Z10" s="3"/>
      <c r="AA10" s="3"/>
    </row>
    <row x14ac:dyDescent="0.25" r="11" customHeight="1" ht="18.75">
      <c r="A11" s="7">
        <v>9</v>
      </c>
      <c r="B11" s="8">
        <v>16.2132352941176</v>
      </c>
      <c r="C11" s="8">
        <v>18.6103448275862</v>
      </c>
      <c r="D11" s="8">
        <v>17.6295454545454</v>
      </c>
      <c r="E11" s="8">
        <v>13.595238095238</v>
      </c>
      <c r="F11" s="8">
        <v>17.0208333333333</v>
      </c>
      <c r="G11" s="3"/>
      <c r="H11" s="7">
        <v>9</v>
      </c>
      <c r="I11" s="8">
        <v>0.908823529411764</v>
      </c>
      <c r="J11" s="8">
        <v>3.0103448275862</v>
      </c>
      <c r="K11" s="8">
        <v>0.627272727272727</v>
      </c>
      <c r="L11" s="8">
        <v>6.84444444444444</v>
      </c>
      <c r="M11" s="8">
        <v>0.3</v>
      </c>
      <c r="N11" s="3"/>
      <c r="O11" s="7">
        <v>9</v>
      </c>
      <c r="P11" s="8">
        <v>5.14581424029529</v>
      </c>
      <c r="Q11" s="8">
        <v>4.1608753956651</v>
      </c>
      <c r="R11" s="8">
        <v>4.90625391178797</v>
      </c>
      <c r="S11" s="8">
        <v>4.5434725233334</v>
      </c>
      <c r="T11" s="8">
        <v>4.14669035003873</v>
      </c>
      <c r="U11" s="3"/>
      <c r="V11" s="3"/>
      <c r="W11" s="3"/>
      <c r="X11" s="3"/>
      <c r="Y11" s="3"/>
      <c r="Z11" s="3"/>
      <c r="AA11" s="3"/>
    </row>
    <row x14ac:dyDescent="0.25" r="12" customHeight="1" ht="18.75">
      <c r="A12" s="7">
        <v>10</v>
      </c>
      <c r="B12" s="8">
        <v>15.8947058823529</v>
      </c>
      <c r="C12" s="8">
        <v>18.453448275862</v>
      </c>
      <c r="D12" s="8">
        <v>17.9477272727272</v>
      </c>
      <c r="E12" s="8">
        <v>13.5295454545454</v>
      </c>
      <c r="F12" s="8">
        <v>17.6041666666666</v>
      </c>
      <c r="G12" s="3"/>
      <c r="H12" s="7">
        <v>10</v>
      </c>
      <c r="I12" s="8">
        <v>2.69999999999999</v>
      </c>
      <c r="J12" s="8">
        <v>1.26896551724137</v>
      </c>
      <c r="K12" s="8">
        <v>2.44090909090909</v>
      </c>
      <c r="L12" s="8">
        <v>3.29629629629629</v>
      </c>
      <c r="M12" s="8">
        <v>0.883333333333333</v>
      </c>
      <c r="N12" s="3"/>
      <c r="O12" s="7">
        <v>10</v>
      </c>
      <c r="P12" s="8">
        <v>4.74116756394549</v>
      </c>
      <c r="Q12" s="8">
        <v>4.51791867857145</v>
      </c>
      <c r="R12" s="8">
        <v>5.23054295109398</v>
      </c>
      <c r="S12" s="8">
        <v>4.34060358274463</v>
      </c>
      <c r="T12" s="8">
        <v>3.48155159365668</v>
      </c>
      <c r="U12" s="3"/>
      <c r="V12" s="3"/>
      <c r="W12" s="3"/>
      <c r="X12" s="3"/>
      <c r="Y12" s="3"/>
      <c r="Z12" s="3"/>
      <c r="AA12" s="3"/>
    </row>
    <row x14ac:dyDescent="0.25" r="13" customHeight="1" ht="18.75">
      <c r="A13" s="7">
        <v>11</v>
      </c>
      <c r="B13" s="8">
        <v>16.2505882352941</v>
      </c>
      <c r="C13" s="8">
        <v>18.1862068965517</v>
      </c>
      <c r="D13" s="8">
        <v>17.4590909090909</v>
      </c>
      <c r="E13" s="8">
        <v>14.2217391304347</v>
      </c>
      <c r="F13" s="8">
        <v>17.6541666666666</v>
      </c>
      <c r="G13" s="3"/>
      <c r="H13" s="7">
        <v>11</v>
      </c>
      <c r="I13" s="8">
        <v>2.35294117647058</v>
      </c>
      <c r="J13" s="8">
        <v>1.34137931034482</v>
      </c>
      <c r="K13" s="8">
        <v>0.727272727272727</v>
      </c>
      <c r="L13" s="8">
        <v>2.83571428571428</v>
      </c>
      <c r="M13" s="8">
        <v>0.333333333333333</v>
      </c>
      <c r="N13" s="3"/>
      <c r="O13" s="7">
        <v>11</v>
      </c>
      <c r="P13" s="8">
        <v>4.64900519274096</v>
      </c>
      <c r="Q13" s="8">
        <v>4.5303746944186</v>
      </c>
      <c r="R13" s="8">
        <v>5.0873053364071</v>
      </c>
      <c r="S13" s="8">
        <v>4.29479664402342</v>
      </c>
      <c r="T13" s="8">
        <v>4.10357189100612</v>
      </c>
      <c r="U13" s="3"/>
      <c r="V13" s="3"/>
      <c r="W13" s="3"/>
      <c r="X13" s="3"/>
      <c r="Y13" s="3"/>
      <c r="Z13" s="3"/>
      <c r="AA13" s="3"/>
    </row>
    <row x14ac:dyDescent="0.25" r="14" customHeight="1" ht="18.75">
      <c r="A14" s="7">
        <v>12</v>
      </c>
      <c r="B14" s="8">
        <v>16.6623529411764</v>
      </c>
      <c r="C14" s="8">
        <v>18.3149999999999</v>
      </c>
      <c r="D14" s="8">
        <v>17.8045454545454</v>
      </c>
      <c r="E14" s="8">
        <v>14.3282608695652</v>
      </c>
      <c r="F14" s="8">
        <v>18.175</v>
      </c>
      <c r="G14" s="3"/>
      <c r="H14" s="7">
        <v>12</v>
      </c>
      <c r="I14" s="8">
        <v>2.74705882352941</v>
      </c>
      <c r="J14" s="8">
        <v>0.95</v>
      </c>
      <c r="K14" s="8">
        <v>2.24090909090909</v>
      </c>
      <c r="L14" s="8">
        <v>3.24285714285714</v>
      </c>
      <c r="M14" s="8">
        <v>0.966666666666666</v>
      </c>
      <c r="N14" s="3"/>
      <c r="O14" s="7">
        <v>12</v>
      </c>
      <c r="P14" s="8">
        <v>4.87196803500148</v>
      </c>
      <c r="Q14" s="8">
        <v>4.10212791441407</v>
      </c>
      <c r="R14" s="8">
        <v>4.67944414252992</v>
      </c>
      <c r="S14" s="8">
        <v>4.2502938829452</v>
      </c>
      <c r="T14" s="8">
        <v>3.79420046694949</v>
      </c>
      <c r="U14" s="3"/>
      <c r="V14" s="3"/>
      <c r="W14" s="3"/>
      <c r="X14" s="3"/>
      <c r="Y14" s="3"/>
      <c r="Z14" s="3"/>
      <c r="AA14" s="3"/>
    </row>
    <row x14ac:dyDescent="0.25" r="15" customHeight="1" ht="18.75">
      <c r="A15" s="7">
        <v>13</v>
      </c>
      <c r="B15" s="8">
        <v>16.8308823529411</v>
      </c>
      <c r="C15" s="8">
        <v>18.4733333333333</v>
      </c>
      <c r="D15" s="8">
        <v>17.6613636363636</v>
      </c>
      <c r="E15" s="8">
        <v>14.091304347826</v>
      </c>
      <c r="F15" s="8">
        <v>17.8833333333333</v>
      </c>
      <c r="G15" s="3"/>
      <c r="H15" s="7">
        <v>13</v>
      </c>
      <c r="I15" s="8">
        <v>1.29411764705882</v>
      </c>
      <c r="J15" s="8">
        <v>3.72333333333333</v>
      </c>
      <c r="K15" s="8">
        <v>0.386363636363636</v>
      </c>
      <c r="L15" s="8">
        <v>4.07142857142857</v>
      </c>
      <c r="M15" s="8">
        <v>3.03333333333333</v>
      </c>
      <c r="N15" s="3"/>
      <c r="O15" s="7">
        <v>13</v>
      </c>
      <c r="P15" s="8">
        <v>5.15626863085839</v>
      </c>
      <c r="Q15" s="8">
        <v>4.36138609133885</v>
      </c>
      <c r="R15" s="8">
        <v>5.13013293195321</v>
      </c>
      <c r="S15" s="8">
        <v>4.17084612379109</v>
      </c>
      <c r="T15" s="8">
        <v>3.99412597205207</v>
      </c>
      <c r="U15" s="3"/>
      <c r="V15" s="3"/>
      <c r="W15" s="3"/>
      <c r="X15" s="3"/>
      <c r="Y15" s="3"/>
      <c r="Z15" s="3"/>
      <c r="AA15" s="3"/>
    </row>
    <row x14ac:dyDescent="0.25" r="16" customHeight="1" ht="18.75">
      <c r="A16" s="7">
        <v>14</v>
      </c>
      <c r="B16" s="8">
        <v>16.835294117647</v>
      </c>
      <c r="C16" s="8">
        <v>18.685</v>
      </c>
      <c r="D16" s="8">
        <v>17.6272727272727</v>
      </c>
      <c r="E16" s="8">
        <v>14.1065217391304</v>
      </c>
      <c r="F16" s="8">
        <v>17.2791666666666</v>
      </c>
      <c r="G16" s="3"/>
      <c r="H16" s="7">
        <v>14</v>
      </c>
      <c r="I16" s="8">
        <v>0.938235294117647</v>
      </c>
      <c r="J16" s="8">
        <v>2.24666666666666</v>
      </c>
      <c r="K16" s="8">
        <v>0.554545454545454</v>
      </c>
      <c r="L16" s="8">
        <v>3.86428571428571</v>
      </c>
      <c r="M16" s="8">
        <v>2.88333333333333</v>
      </c>
      <c r="N16" s="3"/>
      <c r="O16" s="7">
        <v>14</v>
      </c>
      <c r="P16" s="8">
        <v>5.38751436348538</v>
      </c>
      <c r="Q16" s="8">
        <v>4.50290292291698</v>
      </c>
      <c r="R16" s="8">
        <v>5.19744133974074</v>
      </c>
      <c r="S16" s="8">
        <v>4.26107698473916</v>
      </c>
      <c r="T16" s="8">
        <v>4.39195465646942</v>
      </c>
      <c r="U16" s="3"/>
      <c r="V16" s="3"/>
      <c r="W16" s="3"/>
      <c r="X16" s="3"/>
      <c r="Y16" s="3"/>
      <c r="Z16" s="3"/>
      <c r="AA16" s="3"/>
    </row>
    <row x14ac:dyDescent="0.25" r="17" customHeight="1" ht="18.75">
      <c r="A17" s="7">
        <v>15</v>
      </c>
      <c r="B17" s="8">
        <v>17.335294117647</v>
      </c>
      <c r="C17" s="8">
        <v>18.6616666666666</v>
      </c>
      <c r="D17" s="8">
        <v>18.465909090909</v>
      </c>
      <c r="E17" s="8">
        <v>13.9608695652173</v>
      </c>
      <c r="F17" s="8">
        <v>17.5208333333333</v>
      </c>
      <c r="G17" s="3"/>
      <c r="H17" s="7">
        <v>15</v>
      </c>
      <c r="I17" s="8">
        <v>1.09117647058823</v>
      </c>
      <c r="J17" s="8">
        <v>1.33333333333333</v>
      </c>
      <c r="K17" s="8">
        <v>1.23181818181818</v>
      </c>
      <c r="L17" s="8">
        <v>3.12142857142857</v>
      </c>
      <c r="M17" s="8">
        <v>2.58333333333333</v>
      </c>
      <c r="N17" s="3"/>
      <c r="O17" s="7">
        <v>15</v>
      </c>
      <c r="P17" s="8">
        <v>5.8399033494253</v>
      </c>
      <c r="Q17" s="8">
        <v>4.63687625576362</v>
      </c>
      <c r="R17" s="8">
        <v>5.26718311214254</v>
      </c>
      <c r="S17" s="8">
        <v>5.06768128899982</v>
      </c>
      <c r="T17" s="8">
        <v>4.21287182225084</v>
      </c>
      <c r="U17" s="3"/>
      <c r="V17" s="3"/>
      <c r="W17" s="3"/>
      <c r="X17" s="3"/>
      <c r="Y17" s="3"/>
      <c r="Z17" s="3"/>
      <c r="AA17" s="3"/>
    </row>
    <row x14ac:dyDescent="0.25" r="18" customHeight="1" ht="18.75">
      <c r="A18" s="7">
        <v>16</v>
      </c>
      <c r="B18" s="8">
        <v>16.8279411764705</v>
      </c>
      <c r="C18" s="8">
        <v>18.6366666666666</v>
      </c>
      <c r="D18" s="8">
        <v>18.0477272727272</v>
      </c>
      <c r="E18" s="8">
        <v>13.7833333333333</v>
      </c>
      <c r="F18" s="8">
        <v>17.9708333333333</v>
      </c>
      <c r="G18" s="3"/>
      <c r="H18" s="7">
        <v>16</v>
      </c>
      <c r="I18" s="8">
        <v>0.776470588235294</v>
      </c>
      <c r="J18" s="8">
        <v>3.01333333333333</v>
      </c>
      <c r="K18" s="8">
        <v>3.55454545454545</v>
      </c>
      <c r="L18" s="8">
        <v>2.62068965517241</v>
      </c>
      <c r="M18" s="8">
        <v>0.266666666666666</v>
      </c>
      <c r="N18" s="3"/>
      <c r="O18" s="7">
        <v>16</v>
      </c>
      <c r="P18" s="8">
        <v>5.65875903062199</v>
      </c>
      <c r="Q18" s="8">
        <v>4.43860603955458</v>
      </c>
      <c r="R18" s="8">
        <v>5.35878162845927</v>
      </c>
      <c r="S18" s="8">
        <v>4.70856974730651</v>
      </c>
      <c r="T18" s="8">
        <v>4.02522861804373</v>
      </c>
      <c r="U18" s="3"/>
      <c r="V18" s="3"/>
      <c r="W18" s="3"/>
      <c r="X18" s="3"/>
      <c r="Y18" s="3"/>
      <c r="Z18" s="3"/>
      <c r="AA18" s="3"/>
    </row>
    <row x14ac:dyDescent="0.25" r="19" customHeight="1" ht="18.75">
      <c r="A19" s="7">
        <v>17</v>
      </c>
      <c r="B19" s="8">
        <v>16.7220588235294</v>
      </c>
      <c r="C19" s="8">
        <v>18.4233333333333</v>
      </c>
      <c r="D19" s="8">
        <v>17.5886363636363</v>
      </c>
      <c r="E19" s="8">
        <v>14.20625</v>
      </c>
      <c r="F19" s="8">
        <v>18.2708333333333</v>
      </c>
      <c r="G19" s="3"/>
      <c r="H19" s="7">
        <v>17</v>
      </c>
      <c r="I19" s="8">
        <v>0.570588235294117</v>
      </c>
      <c r="J19" s="8">
        <v>2.78333333333333</v>
      </c>
      <c r="K19" s="8">
        <v>3.2090909090909</v>
      </c>
      <c r="L19" s="8">
        <v>5.88965517241379</v>
      </c>
      <c r="M19" s="8">
        <v>1.81666666666666</v>
      </c>
      <c r="N19" s="3"/>
      <c r="O19" s="7">
        <v>17</v>
      </c>
      <c r="P19" s="8">
        <v>5.32704315610745</v>
      </c>
      <c r="Q19" s="8">
        <v>4.10260332014568</v>
      </c>
      <c r="R19" s="8">
        <v>5.26828521551279</v>
      </c>
      <c r="S19" s="8">
        <v>4.4798656963229</v>
      </c>
      <c r="T19" s="8">
        <v>4.31254102400989</v>
      </c>
      <c r="U19" s="3"/>
      <c r="V19" s="3"/>
      <c r="W19" s="3"/>
      <c r="X19" s="3"/>
      <c r="Y19" s="3"/>
      <c r="Z19" s="3"/>
      <c r="AA19" s="3"/>
    </row>
    <row x14ac:dyDescent="0.25" r="20" customHeight="1" ht="18.75">
      <c r="A20" s="7">
        <v>18</v>
      </c>
      <c r="B20" s="8">
        <v>17.3014705882352</v>
      </c>
      <c r="C20" s="8">
        <v>18.4666666666666</v>
      </c>
      <c r="D20" s="8">
        <v>17.8227272727272</v>
      </c>
      <c r="E20" s="8">
        <v>14.5291666666666</v>
      </c>
      <c r="F20" s="8">
        <v>17.9541666666666</v>
      </c>
      <c r="G20" s="3"/>
      <c r="H20" s="7">
        <v>18</v>
      </c>
      <c r="I20" s="8">
        <v>3.48529411764705</v>
      </c>
      <c r="J20" s="8">
        <v>2.15666666666666</v>
      </c>
      <c r="K20" s="8">
        <v>2.75454545454545</v>
      </c>
      <c r="L20" s="8">
        <v>1.84827586206896</v>
      </c>
      <c r="M20" s="8">
        <v>4.14999999999999</v>
      </c>
      <c r="N20" s="3"/>
      <c r="O20" s="7">
        <v>18</v>
      </c>
      <c r="P20" s="8">
        <v>5.02039206345417</v>
      </c>
      <c r="Q20" s="8">
        <v>4.39763759317122</v>
      </c>
      <c r="R20" s="8">
        <v>4.83376282106649</v>
      </c>
      <c r="S20" s="8">
        <v>4.64018022483409</v>
      </c>
      <c r="T20" s="8">
        <v>3.90460741954903</v>
      </c>
      <c r="U20" s="3"/>
      <c r="V20" s="3"/>
      <c r="W20" s="3"/>
      <c r="X20" s="3"/>
      <c r="Y20" s="3"/>
      <c r="Z20" s="3"/>
      <c r="AA20" s="3"/>
    </row>
    <row x14ac:dyDescent="0.25" r="21" customHeight="1" ht="18.75">
      <c r="A21" s="7">
        <v>19</v>
      </c>
      <c r="B21" s="8">
        <v>17.0529411764705</v>
      </c>
      <c r="C21" s="8">
        <v>18.755</v>
      </c>
      <c r="D21" s="8">
        <v>18.4022727272727</v>
      </c>
      <c r="E21" s="8">
        <v>13.35</v>
      </c>
      <c r="F21" s="8">
        <v>18.4541666666666</v>
      </c>
      <c r="G21" s="3"/>
      <c r="H21" s="7">
        <v>19</v>
      </c>
      <c r="I21" s="8">
        <v>0.991176470588235</v>
      </c>
      <c r="J21" s="8">
        <v>2.23333333333333</v>
      </c>
      <c r="K21" s="8">
        <v>2.79545454545454</v>
      </c>
      <c r="L21" s="8">
        <v>4.52413793103448</v>
      </c>
      <c r="M21" s="8">
        <v>2.51666666666666</v>
      </c>
      <c r="N21" s="3"/>
      <c r="O21" s="7">
        <v>19</v>
      </c>
      <c r="P21" s="8">
        <v>5.37072116109085</v>
      </c>
      <c r="Q21" s="8">
        <v>4.58117897563422</v>
      </c>
      <c r="R21" s="8">
        <v>5.08973813517</v>
      </c>
      <c r="S21" s="8">
        <v>4.08487804870652</v>
      </c>
      <c r="T21" s="8">
        <v>4.08946275525949</v>
      </c>
      <c r="U21" s="3"/>
      <c r="V21" s="3"/>
      <c r="W21" s="3"/>
      <c r="X21" s="3"/>
      <c r="Y21" s="3"/>
      <c r="Z21" s="3"/>
      <c r="AA21" s="3"/>
    </row>
    <row x14ac:dyDescent="0.25" r="22" customHeight="1" ht="18.75">
      <c r="A22" s="7">
        <v>20</v>
      </c>
      <c r="B22" s="8">
        <v>15.9367647058823</v>
      </c>
      <c r="C22" s="8">
        <v>18.6933333333333</v>
      </c>
      <c r="D22" s="8">
        <v>17.2954545454545</v>
      </c>
      <c r="E22" s="8">
        <v>14.01875</v>
      </c>
      <c r="F22" s="8">
        <v>18.125</v>
      </c>
      <c r="G22" s="3"/>
      <c r="H22" s="7">
        <v>20</v>
      </c>
      <c r="I22" s="8">
        <v>0.255882352941176</v>
      </c>
      <c r="J22" s="8">
        <v>1.02666666666666</v>
      </c>
      <c r="K22" s="8">
        <v>1.71363636363636</v>
      </c>
      <c r="L22" s="8">
        <v>0.524137931034482</v>
      </c>
      <c r="M22" s="8">
        <v>3.33333333333333</v>
      </c>
      <c r="N22" s="3"/>
      <c r="O22" s="7">
        <v>20</v>
      </c>
      <c r="P22" s="8">
        <v>5.35478826210275</v>
      </c>
      <c r="Q22" s="8">
        <v>4.23484882575071</v>
      </c>
      <c r="R22" s="8">
        <v>4.59152087110969</v>
      </c>
      <c r="S22" s="8">
        <v>4.67710753861656</v>
      </c>
      <c r="T22" s="8">
        <v>4.46277476169838</v>
      </c>
      <c r="U22" s="3"/>
      <c r="V22" s="3"/>
      <c r="W22" s="3"/>
      <c r="X22" s="3"/>
      <c r="Y22" s="3"/>
      <c r="Z22" s="3"/>
      <c r="AA22" s="3"/>
    </row>
    <row x14ac:dyDescent="0.25" r="23" customHeight="1" ht="18.75">
      <c r="A23" s="7">
        <v>21</v>
      </c>
      <c r="B23" s="8">
        <v>17.475</v>
      </c>
      <c r="C23" s="8">
        <v>18.915</v>
      </c>
      <c r="D23" s="8">
        <v>17.9454545454545</v>
      </c>
      <c r="E23" s="8">
        <v>15.262</v>
      </c>
      <c r="F23" s="8">
        <v>17.6791666666666</v>
      </c>
      <c r="G23" s="3"/>
      <c r="H23" s="7">
        <v>21</v>
      </c>
      <c r="I23" s="8">
        <v>0.358823529411764</v>
      </c>
      <c r="J23" s="8">
        <v>8.40666666666666</v>
      </c>
      <c r="K23" s="8">
        <v>2.53181818181818</v>
      </c>
      <c r="L23" s="8">
        <v>1.41333333333333</v>
      </c>
      <c r="M23" s="8">
        <v>2.4</v>
      </c>
      <c r="N23" s="3"/>
      <c r="O23" s="7">
        <v>21</v>
      </c>
      <c r="P23" s="8">
        <v>5.39304874382303</v>
      </c>
      <c r="Q23" s="8">
        <v>4.23586842762472</v>
      </c>
      <c r="R23" s="8">
        <v>4.68671511114937</v>
      </c>
      <c r="S23" s="8">
        <v>5.01789449444704</v>
      </c>
      <c r="T23" s="8">
        <v>3.8954755691344</v>
      </c>
      <c r="U23" s="3"/>
      <c r="V23" s="3"/>
      <c r="W23" s="3"/>
      <c r="X23" s="3"/>
      <c r="Y23" s="3"/>
      <c r="Z23" s="3"/>
      <c r="AA23" s="3"/>
    </row>
    <row x14ac:dyDescent="0.25" r="24" customHeight="1" ht="18.75">
      <c r="A24" s="7">
        <v>22</v>
      </c>
      <c r="B24" s="8">
        <v>18.2514705882352</v>
      </c>
      <c r="C24" s="8">
        <v>19.0133333333333</v>
      </c>
      <c r="D24" s="8">
        <v>18.5272727272727</v>
      </c>
      <c r="E24" s="8">
        <v>14.724</v>
      </c>
      <c r="F24" s="8">
        <v>17.35</v>
      </c>
      <c r="G24" s="3"/>
      <c r="H24" s="7">
        <v>22</v>
      </c>
      <c r="I24" s="8">
        <v>1.94705882352941</v>
      </c>
      <c r="J24" s="8">
        <v>3.73666666666666</v>
      </c>
      <c r="K24" s="8">
        <v>2.39545454545454</v>
      </c>
      <c r="L24" s="8">
        <v>3.92666666666666</v>
      </c>
      <c r="M24" s="8">
        <v>2.63333333333333</v>
      </c>
      <c r="N24" s="3"/>
      <c r="O24" s="7">
        <v>22</v>
      </c>
      <c r="P24" s="8">
        <v>5.51522869309176</v>
      </c>
      <c r="Q24" s="8">
        <v>4.03762134510367</v>
      </c>
      <c r="R24" s="8">
        <v>5.28807109841289</v>
      </c>
      <c r="S24" s="8">
        <v>4.17382653997967</v>
      </c>
      <c r="T24" s="8">
        <v>3.29977117793981</v>
      </c>
      <c r="U24" s="3"/>
      <c r="V24" s="3"/>
      <c r="W24" s="3"/>
      <c r="X24" s="3"/>
      <c r="Y24" s="3"/>
      <c r="Z24" s="3"/>
      <c r="AA24" s="3"/>
    </row>
    <row x14ac:dyDescent="0.25" r="25" customHeight="1" ht="18.75">
      <c r="A25" s="7">
        <v>23</v>
      </c>
      <c r="B25" s="8">
        <v>17.1764705882352</v>
      </c>
      <c r="C25" s="8">
        <v>19.03</v>
      </c>
      <c r="D25" s="8">
        <v>18.1886363636363</v>
      </c>
      <c r="E25" s="8">
        <v>14.076</v>
      </c>
      <c r="F25" s="8">
        <v>17.5041666666666</v>
      </c>
      <c r="G25" s="3"/>
      <c r="H25" s="7">
        <v>23</v>
      </c>
      <c r="I25" s="8">
        <v>0.744117647058823</v>
      </c>
      <c r="J25" s="8">
        <v>2.42666666666666</v>
      </c>
      <c r="K25" s="8">
        <v>3.4090909090909</v>
      </c>
      <c r="L25" s="8">
        <v>3.05333333333333</v>
      </c>
      <c r="M25" s="8">
        <v>5.51666666666666</v>
      </c>
      <c r="N25" s="3"/>
      <c r="O25" s="7">
        <v>23</v>
      </c>
      <c r="P25" s="8">
        <v>5.20650698696913</v>
      </c>
      <c r="Q25" s="8">
        <v>4.37255200995724</v>
      </c>
      <c r="R25" s="8">
        <v>5.29924707329977</v>
      </c>
      <c r="S25" s="8">
        <v>3.69481729139908</v>
      </c>
      <c r="T25" s="8">
        <v>3.46570930270954</v>
      </c>
      <c r="U25" s="3"/>
      <c r="V25" s="3"/>
      <c r="W25" s="3"/>
      <c r="X25" s="3"/>
      <c r="Y25" s="3"/>
      <c r="Z25" s="3"/>
      <c r="AA25" s="3"/>
    </row>
    <row x14ac:dyDescent="0.25" r="26" customHeight="1" ht="18.75">
      <c r="A26" s="7">
        <v>24</v>
      </c>
      <c r="B26" s="8">
        <v>16.835294117647</v>
      </c>
      <c r="C26" s="8">
        <v>19.07</v>
      </c>
      <c r="D26" s="8">
        <v>18.2772727272727</v>
      </c>
      <c r="E26" s="8">
        <v>14.128</v>
      </c>
      <c r="F26" s="8">
        <v>17.7136363636363</v>
      </c>
      <c r="G26" s="3"/>
      <c r="H26" s="7">
        <v>24</v>
      </c>
      <c r="I26" s="8">
        <v>1.41176470588235</v>
      </c>
      <c r="J26" s="8">
        <v>3.41666666666666</v>
      </c>
      <c r="K26" s="8">
        <v>0.342857142857142</v>
      </c>
      <c r="L26" s="8">
        <v>2.19333333333333</v>
      </c>
      <c r="M26" s="8">
        <v>1.38181818181818</v>
      </c>
      <c r="N26" s="3"/>
      <c r="O26" s="7">
        <v>24</v>
      </c>
      <c r="P26" s="8">
        <v>4.71332521710525</v>
      </c>
      <c r="Q26" s="8">
        <v>4.19340465226154</v>
      </c>
      <c r="R26" s="8">
        <v>4.75946619282634</v>
      </c>
      <c r="S26" s="8">
        <v>4.30567132604453</v>
      </c>
      <c r="T26" s="8">
        <v>4.01868762393462</v>
      </c>
      <c r="U26" s="3"/>
      <c r="V26" s="3"/>
      <c r="W26" s="3"/>
      <c r="X26" s="3"/>
      <c r="Y26" s="3"/>
      <c r="Z26" s="3"/>
      <c r="AA26" s="3"/>
    </row>
    <row x14ac:dyDescent="0.25" r="27" customHeight="1" ht="18.75">
      <c r="A27" s="7">
        <v>25</v>
      </c>
      <c r="B27" s="8">
        <v>16.6941176470588</v>
      </c>
      <c r="C27" s="8">
        <v>19.3</v>
      </c>
      <c r="D27" s="8">
        <v>18.5727272727272</v>
      </c>
      <c r="E27" s="8">
        <v>13.9439999999999</v>
      </c>
      <c r="F27" s="8">
        <v>17.8541666666666</v>
      </c>
      <c r="G27" s="3"/>
      <c r="H27" s="7">
        <v>25</v>
      </c>
      <c r="I27" s="8">
        <v>1.25588235294117</v>
      </c>
      <c r="J27" s="8">
        <v>3.70333333333333</v>
      </c>
      <c r="K27" s="8">
        <v>2.13809523809523</v>
      </c>
      <c r="L27" s="8">
        <v>1.84</v>
      </c>
      <c r="M27" s="8">
        <v>0.466666666666666</v>
      </c>
      <c r="N27" s="3"/>
      <c r="O27" s="7">
        <v>25</v>
      </c>
      <c r="P27" s="8">
        <v>4.33250506508974</v>
      </c>
      <c r="Q27" s="8">
        <v>4.61194581816284</v>
      </c>
      <c r="R27" s="8">
        <v>4.80624859628879</v>
      </c>
      <c r="S27" s="8">
        <v>3.69510156094707</v>
      </c>
      <c r="T27" s="8">
        <v>4.1496250953294</v>
      </c>
      <c r="U27" s="3"/>
      <c r="V27" s="3"/>
      <c r="W27" s="3"/>
      <c r="X27" s="3"/>
      <c r="Y27" s="3"/>
      <c r="Z27" s="3"/>
      <c r="AA27" s="3"/>
    </row>
    <row x14ac:dyDescent="0.25" r="28" customHeight="1" ht="18.75">
      <c r="A28" s="7">
        <v>26</v>
      </c>
      <c r="B28" s="8">
        <v>16.4338235294117</v>
      </c>
      <c r="C28" s="8">
        <v>19.4183333333333</v>
      </c>
      <c r="D28" s="8">
        <v>17.8136363636363</v>
      </c>
      <c r="E28" s="8">
        <v>14.082</v>
      </c>
      <c r="F28" s="8">
        <v>18.9333333333333</v>
      </c>
      <c r="G28" s="3"/>
      <c r="H28" s="7">
        <v>26</v>
      </c>
      <c r="I28" s="8">
        <v>0.914705882352941</v>
      </c>
      <c r="J28" s="8">
        <v>1.25666666666666</v>
      </c>
      <c r="K28" s="8">
        <v>1.41428571428571</v>
      </c>
      <c r="L28" s="8">
        <v>3.53333333333333</v>
      </c>
      <c r="M28" s="8">
        <v>1.8</v>
      </c>
      <c r="N28" s="3"/>
      <c r="O28" s="7">
        <v>26</v>
      </c>
      <c r="P28" s="8">
        <v>4.73352885213358</v>
      </c>
      <c r="Q28" s="8">
        <v>4.44867269410549</v>
      </c>
      <c r="R28" s="8">
        <v>4.59007859055123</v>
      </c>
      <c r="S28" s="8">
        <v>4.01086757972927</v>
      </c>
      <c r="T28" s="8">
        <v>4.10348328885316</v>
      </c>
      <c r="U28" s="3"/>
      <c r="V28" s="3"/>
      <c r="W28" s="3"/>
      <c r="X28" s="3"/>
      <c r="Y28" s="3"/>
      <c r="Z28" s="3"/>
      <c r="AA28" s="3"/>
    </row>
    <row x14ac:dyDescent="0.25" r="29" customHeight="1" ht="18.75">
      <c r="A29" s="7">
        <v>27</v>
      </c>
      <c r="B29" s="8">
        <v>16.3323529411764</v>
      </c>
      <c r="C29" s="8">
        <v>19.0866666666666</v>
      </c>
      <c r="D29" s="8">
        <v>17.5386363636363</v>
      </c>
      <c r="E29" s="8">
        <v>14.062</v>
      </c>
      <c r="F29" s="8">
        <v>18.525</v>
      </c>
      <c r="G29" s="3"/>
      <c r="H29" s="7">
        <v>27</v>
      </c>
      <c r="I29" s="8">
        <v>2.34411764705882</v>
      </c>
      <c r="J29" s="8">
        <v>2.65</v>
      </c>
      <c r="K29" s="8">
        <v>1.29523809523809</v>
      </c>
      <c r="L29" s="8">
        <v>1.74666666666666</v>
      </c>
      <c r="M29" s="8">
        <v>4.21666666666666</v>
      </c>
      <c r="N29" s="3"/>
      <c r="O29" s="7">
        <v>27</v>
      </c>
      <c r="P29" s="8">
        <v>4.92375694808094</v>
      </c>
      <c r="Q29" s="8">
        <v>4.69256837228455</v>
      </c>
      <c r="R29" s="8">
        <v>4.29005087678353</v>
      </c>
      <c r="S29" s="8">
        <v>4.10480465339811</v>
      </c>
      <c r="T29" s="8">
        <v>3.29204807953678</v>
      </c>
      <c r="U29" s="3"/>
      <c r="V29" s="3"/>
      <c r="W29" s="3"/>
      <c r="X29" s="3"/>
      <c r="Y29" s="3"/>
      <c r="Z29" s="3"/>
      <c r="AA29" s="3"/>
    </row>
    <row x14ac:dyDescent="0.25" r="30" customHeight="1" ht="18.75">
      <c r="A30" s="7">
        <v>28</v>
      </c>
      <c r="B30" s="8">
        <v>17.0441176470588</v>
      </c>
      <c r="C30" s="8">
        <v>19.2483333333333</v>
      </c>
      <c r="D30" s="8">
        <v>17.2931818181818</v>
      </c>
      <c r="E30" s="8">
        <v>14.754</v>
      </c>
      <c r="F30" s="8">
        <v>18.2833333333333</v>
      </c>
      <c r="G30" s="3"/>
      <c r="H30" s="7">
        <v>28</v>
      </c>
      <c r="I30" s="8">
        <v>1.02941176470588</v>
      </c>
      <c r="J30" s="8">
        <v>1.81</v>
      </c>
      <c r="K30" s="8">
        <v>0.7</v>
      </c>
      <c r="L30" s="8">
        <v>0.766666666666666</v>
      </c>
      <c r="M30" s="8">
        <v>0.966666666666666</v>
      </c>
      <c r="N30" s="3"/>
      <c r="O30" s="7">
        <v>28</v>
      </c>
      <c r="P30" s="8">
        <v>4.99641153289756</v>
      </c>
      <c r="Q30" s="8">
        <v>4.8021312602016</v>
      </c>
      <c r="R30" s="8">
        <v>4.76003032514504</v>
      </c>
      <c r="S30" s="8">
        <v>4.01666235152604</v>
      </c>
      <c r="T30" s="8">
        <v>3.75803153285769</v>
      </c>
      <c r="U30" s="3"/>
      <c r="V30" s="3"/>
      <c r="W30" s="3"/>
      <c r="X30" s="3"/>
      <c r="Y30" s="3"/>
      <c r="Z30" s="3"/>
      <c r="AA30" s="3"/>
    </row>
    <row x14ac:dyDescent="0.25" r="31" customHeight="1" ht="18.75">
      <c r="A31" s="7">
        <v>29</v>
      </c>
      <c r="B31" s="8">
        <v>17.4808823529411</v>
      </c>
      <c r="C31" s="8">
        <v>19.4866666666666</v>
      </c>
      <c r="D31" s="8">
        <v>18.3977272727272</v>
      </c>
      <c r="E31" s="8">
        <v>15.248</v>
      </c>
      <c r="F31" s="8">
        <v>18.95</v>
      </c>
      <c r="G31" s="3"/>
      <c r="H31" s="7">
        <v>29</v>
      </c>
      <c r="I31" s="8">
        <v>0.0647058823529411</v>
      </c>
      <c r="J31" s="8">
        <v>2.10666666666666</v>
      </c>
      <c r="K31" s="8">
        <v>0.0761904761904762</v>
      </c>
      <c r="L31" s="8">
        <v>1.23333333333333</v>
      </c>
      <c r="M31" s="8">
        <v>0.233333333333333</v>
      </c>
      <c r="N31" s="3"/>
      <c r="O31" s="7">
        <v>29</v>
      </c>
      <c r="P31" s="8">
        <v>5.19563668339761</v>
      </c>
      <c r="Q31" s="8">
        <v>4.81456570354226</v>
      </c>
      <c r="R31" s="8">
        <v>4.91752118511415</v>
      </c>
      <c r="S31" s="8">
        <v>4.5477935392619</v>
      </c>
      <c r="T31" s="8">
        <v>4.48257123988561</v>
      </c>
      <c r="U31" s="3"/>
      <c r="V31" s="3"/>
      <c r="W31" s="3"/>
      <c r="X31" s="3"/>
      <c r="Y31" s="3"/>
      <c r="Z31" s="3"/>
      <c r="AA31" s="3"/>
    </row>
    <row x14ac:dyDescent="0.25" r="32" customHeight="1" ht="18.75">
      <c r="A32" s="7">
        <v>30</v>
      </c>
      <c r="B32" s="8">
        <v>18.010294117647</v>
      </c>
      <c r="C32" s="8">
        <v>19.725</v>
      </c>
      <c r="D32" s="8">
        <v>18.840909090909</v>
      </c>
      <c r="E32" s="8">
        <v>15.3479999999999</v>
      </c>
      <c r="F32" s="8">
        <v>19.0708333333333</v>
      </c>
      <c r="G32" s="3"/>
      <c r="H32" s="7">
        <v>30</v>
      </c>
      <c r="I32" s="8">
        <v>0.611764705882353</v>
      </c>
      <c r="J32" s="8">
        <v>3.10333333333333</v>
      </c>
      <c r="K32" s="8">
        <v>0.128571428571428</v>
      </c>
      <c r="L32" s="8">
        <v>2.59333333333333</v>
      </c>
      <c r="M32" s="8">
        <v>1.45</v>
      </c>
      <c r="N32" s="3"/>
      <c r="O32" s="7">
        <v>30</v>
      </c>
      <c r="P32" s="8">
        <v>5.2986070991409</v>
      </c>
      <c r="Q32" s="8">
        <v>4.4640725934925</v>
      </c>
      <c r="R32" s="8">
        <v>5.07656374704042</v>
      </c>
      <c r="S32" s="8">
        <v>4.33611729703574</v>
      </c>
      <c r="T32" s="8">
        <v>4.14853953228457</v>
      </c>
      <c r="U32" s="3"/>
      <c r="V32" s="3"/>
      <c r="W32" s="3"/>
      <c r="X32" s="3"/>
      <c r="Y32" s="3"/>
      <c r="Z32" s="3"/>
      <c r="AA32" s="3"/>
    </row>
    <row x14ac:dyDescent="0.25" r="33" customHeight="1" ht="18.75">
      <c r="A33" s="7">
        <v>31</v>
      </c>
      <c r="B33" s="8">
        <v>18.1264705882352</v>
      </c>
      <c r="C33" s="8">
        <v>19.67</v>
      </c>
      <c r="D33" s="8">
        <v>19.3363636363636</v>
      </c>
      <c r="E33" s="8">
        <v>14.858</v>
      </c>
      <c r="F33" s="8">
        <v>18.7166666666666</v>
      </c>
      <c r="G33" s="3"/>
      <c r="H33" s="7">
        <v>31</v>
      </c>
      <c r="I33" s="8">
        <v>1.01176470588235</v>
      </c>
      <c r="J33" s="8">
        <v>2.74666666666666</v>
      </c>
      <c r="K33" s="8">
        <v>2.86190476190476</v>
      </c>
      <c r="L33" s="8">
        <v>3.10666666666666</v>
      </c>
      <c r="M33" s="8">
        <v>0.0166666666666666</v>
      </c>
      <c r="N33" s="3"/>
      <c r="O33" s="7">
        <v>31</v>
      </c>
      <c r="P33" s="8">
        <v>5.62878133618023</v>
      </c>
      <c r="Q33" s="8">
        <v>4.17994377394279</v>
      </c>
      <c r="R33" s="8">
        <v>4.76637004490371</v>
      </c>
      <c r="S33" s="8">
        <v>4.58177580467259</v>
      </c>
      <c r="T33" s="8">
        <v>3.90026277784389</v>
      </c>
      <c r="U33" s="3"/>
      <c r="V33" s="3"/>
      <c r="W33" s="3"/>
      <c r="X33" s="3"/>
      <c r="Y33" s="3"/>
      <c r="Z33" s="3"/>
      <c r="AA33" s="3"/>
    </row>
    <row x14ac:dyDescent="0.25" r="34" customHeight="1" ht="18.75">
      <c r="A34" s="7">
        <v>32</v>
      </c>
      <c r="B34" s="8">
        <v>17.5632352941176</v>
      </c>
      <c r="C34" s="8">
        <v>19.7706896551724</v>
      </c>
      <c r="D34" s="8">
        <v>19.1632231404958</v>
      </c>
      <c r="E34" s="8">
        <v>14.672</v>
      </c>
      <c r="F34" s="8">
        <v>18.7208333333333</v>
      </c>
      <c r="G34" s="3"/>
      <c r="H34" s="7">
        <v>32</v>
      </c>
      <c r="I34" s="8">
        <v>0.267647058823529</v>
      </c>
      <c r="J34" s="8">
        <v>1.1103448275862</v>
      </c>
      <c r="K34" s="8">
        <v>1.68181818181818</v>
      </c>
      <c r="L34" s="8">
        <v>2.74666666666666</v>
      </c>
      <c r="M34" s="8">
        <v>5.13333333333333</v>
      </c>
      <c r="N34" s="3"/>
      <c r="O34" s="7">
        <v>32</v>
      </c>
      <c r="P34" s="8">
        <v>5.57338985173273</v>
      </c>
      <c r="Q34" s="8">
        <v>4.58674140575874</v>
      </c>
      <c r="R34" s="8">
        <v>4.65290256626277</v>
      </c>
      <c r="S34" s="8">
        <v>4.33195491878019</v>
      </c>
      <c r="T34" s="8">
        <v>3.34255334647657</v>
      </c>
      <c r="U34" s="3"/>
      <c r="V34" s="3"/>
      <c r="W34" s="3"/>
      <c r="X34" s="3"/>
      <c r="Y34" s="3"/>
      <c r="Z34" s="3"/>
      <c r="AA34" s="3"/>
    </row>
    <row x14ac:dyDescent="0.25" r="35" customHeight="1" ht="18.75">
      <c r="A35" s="7">
        <v>33</v>
      </c>
      <c r="B35" s="8">
        <v>16.5308823529411</v>
      </c>
      <c r="C35" s="8">
        <v>19.5482758620689</v>
      </c>
      <c r="D35" s="8">
        <v>18.2636363636363</v>
      </c>
      <c r="E35" s="8">
        <v>14.042</v>
      </c>
      <c r="F35" s="8">
        <v>18.5583333333333</v>
      </c>
      <c r="G35" s="3"/>
      <c r="H35" s="7">
        <v>33</v>
      </c>
      <c r="I35" s="8">
        <v>1.22058823529411</v>
      </c>
      <c r="J35" s="8">
        <v>4.06206896551724</v>
      </c>
      <c r="K35" s="8">
        <v>1.3090909090909</v>
      </c>
      <c r="L35" s="8">
        <v>2.04</v>
      </c>
      <c r="M35" s="8">
        <v>5.16666666666666</v>
      </c>
      <c r="N35" s="3"/>
      <c r="O35" s="7">
        <v>33</v>
      </c>
      <c r="P35" s="8">
        <v>4.8866884380741</v>
      </c>
      <c r="Q35" s="8">
        <v>4.65070177511826</v>
      </c>
      <c r="R35" s="8">
        <v>3.89648401828743</v>
      </c>
      <c r="S35" s="8">
        <v>3.97768660676212</v>
      </c>
      <c r="T35" s="8">
        <v>3.37031285883524</v>
      </c>
      <c r="U35" s="3"/>
      <c r="V35" s="3"/>
      <c r="W35" s="3"/>
      <c r="X35" s="3"/>
      <c r="Y35" s="3"/>
      <c r="Z35" s="3"/>
      <c r="AA35" s="3"/>
    </row>
    <row x14ac:dyDescent="0.25" r="36" customHeight="1" ht="18.75">
      <c r="A36" s="7">
        <v>34</v>
      </c>
      <c r="B36" s="8">
        <v>16.3397058823529</v>
      </c>
      <c r="C36" s="8">
        <v>19.3258620689655</v>
      </c>
      <c r="D36" s="8">
        <v>18.3022727272727</v>
      </c>
      <c r="E36" s="8">
        <v>14.7019999999999</v>
      </c>
      <c r="F36" s="8">
        <v>18.8416666666666</v>
      </c>
      <c r="G36" s="3"/>
      <c r="H36" s="7">
        <v>34</v>
      </c>
      <c r="I36" s="8">
        <v>0.723529411764705</v>
      </c>
      <c r="J36" s="8">
        <v>1.00344827586206</v>
      </c>
      <c r="K36" s="8">
        <v>0.427272727272727</v>
      </c>
      <c r="L36" s="8">
        <v>2.09333333333333</v>
      </c>
      <c r="M36" s="8">
        <v>0.483333333333333</v>
      </c>
      <c r="N36" s="3"/>
      <c r="O36" s="7">
        <v>34</v>
      </c>
      <c r="P36" s="8">
        <v>4.6016509460585</v>
      </c>
      <c r="Q36" s="8">
        <v>4.25682833206772</v>
      </c>
      <c r="R36" s="8">
        <v>5.01813350196242</v>
      </c>
      <c r="S36" s="8">
        <v>4.02727149032743</v>
      </c>
      <c r="T36" s="8">
        <v>4.53737459669077</v>
      </c>
      <c r="U36" s="3"/>
      <c r="V36" s="3"/>
      <c r="W36" s="3"/>
      <c r="X36" s="3"/>
      <c r="Y36" s="3"/>
      <c r="Z36" s="3"/>
      <c r="AA36" s="3"/>
    </row>
    <row x14ac:dyDescent="0.25" r="37" customHeight="1" ht="18.75">
      <c r="A37" s="7">
        <v>35</v>
      </c>
      <c r="B37" s="8">
        <v>17.9205882352941</v>
      </c>
      <c r="C37" s="8">
        <v>18.7120689655172</v>
      </c>
      <c r="D37" s="8">
        <v>17.9113636363636</v>
      </c>
      <c r="E37" s="8">
        <v>14.68</v>
      </c>
      <c r="F37" s="8">
        <v>18.4416666666666</v>
      </c>
      <c r="G37" s="3"/>
      <c r="H37" s="7">
        <v>35</v>
      </c>
      <c r="I37" s="8">
        <v>1.75294117647058</v>
      </c>
      <c r="J37" s="8">
        <v>4.75862068965517</v>
      </c>
      <c r="K37" s="8">
        <v>1.63636363636363</v>
      </c>
      <c r="L37" s="8">
        <v>3.44</v>
      </c>
      <c r="M37" s="8">
        <v>4.8</v>
      </c>
      <c r="N37" s="3"/>
      <c r="O37" s="7">
        <v>35</v>
      </c>
      <c r="P37" s="8">
        <v>5.27708602484756</v>
      </c>
      <c r="Q37" s="8">
        <v>3.67263509907359</v>
      </c>
      <c r="R37" s="8">
        <v>4.2368011111501</v>
      </c>
      <c r="S37" s="8">
        <v>4.01554630035147</v>
      </c>
      <c r="T37" s="8">
        <v>3.5125215918157</v>
      </c>
      <c r="U37" s="3"/>
      <c r="V37" s="3"/>
      <c r="W37" s="3"/>
      <c r="X37" s="3"/>
      <c r="Y37" s="3"/>
      <c r="Z37" s="3"/>
      <c r="AA37" s="3"/>
    </row>
    <row x14ac:dyDescent="0.25" r="38" customHeight="1" ht="18.75">
      <c r="A38" s="7">
        <v>36</v>
      </c>
      <c r="B38" s="8">
        <v>16.0838235294117</v>
      </c>
      <c r="C38" s="8">
        <v>19.1783333333333</v>
      </c>
      <c r="D38" s="8">
        <v>18.540909090909</v>
      </c>
      <c r="E38" s="8">
        <v>13.2779999999999</v>
      </c>
      <c r="F38" s="8">
        <v>17.975</v>
      </c>
      <c r="G38" s="3"/>
      <c r="H38" s="7">
        <v>36</v>
      </c>
      <c r="I38" s="8">
        <v>2.20882352941176</v>
      </c>
      <c r="J38" s="8">
        <v>2.28333333333333</v>
      </c>
      <c r="K38" s="8">
        <v>0.927272727272727</v>
      </c>
      <c r="L38" s="8">
        <v>1.26666666666666</v>
      </c>
      <c r="M38" s="8">
        <v>2.01666666666666</v>
      </c>
      <c r="N38" s="3"/>
      <c r="O38" s="7">
        <v>36</v>
      </c>
      <c r="P38" s="8">
        <v>4.27430593476155</v>
      </c>
      <c r="Q38" s="8">
        <v>4.03559226429479</v>
      </c>
      <c r="R38" s="8">
        <v>4.95246132066816</v>
      </c>
      <c r="S38" s="8">
        <v>3.71616485861889</v>
      </c>
      <c r="T38" s="8">
        <v>3.79228894295325</v>
      </c>
      <c r="U38" s="3"/>
      <c r="V38" s="3"/>
      <c r="W38" s="3"/>
      <c r="X38" s="3"/>
      <c r="Y38" s="3"/>
      <c r="Z38" s="3"/>
      <c r="AA38" s="3"/>
    </row>
    <row x14ac:dyDescent="0.25" r="39" customHeight="1" ht="18.75">
      <c r="A39" s="7">
        <v>37</v>
      </c>
      <c r="B39" s="8">
        <v>16.5397058823529</v>
      </c>
      <c r="C39" s="8">
        <v>19.0633333333333</v>
      </c>
      <c r="D39" s="8">
        <v>18.0071428571428</v>
      </c>
      <c r="E39" s="8">
        <v>14.288</v>
      </c>
      <c r="F39" s="8">
        <v>17.3833333333333</v>
      </c>
      <c r="G39" s="3"/>
      <c r="H39" s="7">
        <v>37</v>
      </c>
      <c r="I39" s="8">
        <v>0.491176470588235</v>
      </c>
      <c r="J39" s="8">
        <v>0.35</v>
      </c>
      <c r="K39" s="8">
        <v>0.545454545454545</v>
      </c>
      <c r="L39" s="8">
        <v>4.43333333333333</v>
      </c>
      <c r="M39" s="8">
        <v>0.15</v>
      </c>
      <c r="N39" s="3"/>
      <c r="O39" s="7">
        <v>37</v>
      </c>
      <c r="P39" s="8">
        <v>4.96013704262971</v>
      </c>
      <c r="Q39" s="8">
        <v>4.58360314138533</v>
      </c>
      <c r="R39" s="8">
        <v>4.65455297630242</v>
      </c>
      <c r="S39" s="8">
        <v>4.12359338409645</v>
      </c>
      <c r="T39" s="8">
        <v>3.67022287265541</v>
      </c>
      <c r="U39" s="3"/>
      <c r="V39" s="3"/>
      <c r="W39" s="3"/>
      <c r="X39" s="3"/>
      <c r="Y39" s="3"/>
      <c r="Z39" s="3"/>
      <c r="AA39" s="3"/>
    </row>
    <row x14ac:dyDescent="0.25" r="40" customHeight="1" ht="18.75">
      <c r="A40" s="7">
        <v>38</v>
      </c>
      <c r="B40" s="8">
        <v>16.5279411764705</v>
      </c>
      <c r="C40" s="8">
        <v>19.165</v>
      </c>
      <c r="D40" s="8">
        <v>17.8523809523809</v>
      </c>
      <c r="E40" s="8">
        <v>13.712</v>
      </c>
      <c r="F40" s="8">
        <v>17.0416666666666</v>
      </c>
      <c r="G40" s="3"/>
      <c r="H40" s="7">
        <v>38</v>
      </c>
      <c r="I40" s="8">
        <v>1.98235294117647</v>
      </c>
      <c r="J40" s="8">
        <v>0.806666666666666</v>
      </c>
      <c r="K40" s="8">
        <v>1.76818181818181</v>
      </c>
      <c r="L40" s="8">
        <v>3.26</v>
      </c>
      <c r="M40" s="8">
        <v>3.01666666666666</v>
      </c>
      <c r="N40" s="3"/>
      <c r="O40" s="7">
        <v>38</v>
      </c>
      <c r="P40" s="8">
        <v>4.69463702042718</v>
      </c>
      <c r="Q40" s="8">
        <v>4.28441645849522</v>
      </c>
      <c r="R40" s="8">
        <v>4.69441134490946</v>
      </c>
      <c r="S40" s="8">
        <v>3.86373888835338</v>
      </c>
      <c r="T40" s="8">
        <v>3.87543574288094</v>
      </c>
      <c r="U40" s="3"/>
      <c r="V40" s="3"/>
      <c r="W40" s="3"/>
      <c r="X40" s="3"/>
      <c r="Y40" s="3"/>
      <c r="Z40" s="3"/>
      <c r="AA40" s="3"/>
    </row>
    <row x14ac:dyDescent="0.25" r="41" customHeight="1" ht="18.75">
      <c r="A41" s="7">
        <v>39</v>
      </c>
      <c r="B41" s="8">
        <v>16.8558823529411</v>
      </c>
      <c r="C41" s="8">
        <v>19.145</v>
      </c>
      <c r="D41" s="8">
        <v>17.6571428571428</v>
      </c>
      <c r="E41" s="8">
        <v>14.7919999999999</v>
      </c>
      <c r="F41" s="8">
        <v>17.4833333333333</v>
      </c>
      <c r="G41" s="3"/>
      <c r="H41" s="7">
        <v>39</v>
      </c>
      <c r="I41" s="8">
        <v>0.794117647058823</v>
      </c>
      <c r="J41" s="8">
        <v>2.10666666666666</v>
      </c>
      <c r="K41" s="8">
        <v>2.87727272727272</v>
      </c>
      <c r="L41" s="8">
        <v>2.12666666666666</v>
      </c>
      <c r="M41" s="8">
        <v>2.69999999999999</v>
      </c>
      <c r="N41" s="3"/>
      <c r="O41" s="7">
        <v>39</v>
      </c>
      <c r="P41" s="8">
        <v>5.02207086982786</v>
      </c>
      <c r="Q41" s="8">
        <v>4.08197513441293</v>
      </c>
      <c r="R41" s="8">
        <v>4.07954071369292</v>
      </c>
      <c r="S41" s="8">
        <v>4.42349316042393</v>
      </c>
      <c r="T41" s="8">
        <v>3.80248661543722</v>
      </c>
      <c r="U41" s="3"/>
      <c r="V41" s="3"/>
      <c r="W41" s="3"/>
      <c r="X41" s="3"/>
      <c r="Y41" s="3"/>
      <c r="Z41" s="3"/>
      <c r="AA41" s="3"/>
    </row>
    <row x14ac:dyDescent="0.25" r="42" customHeight="1" ht="18.75">
      <c r="A42" s="7">
        <v>40</v>
      </c>
      <c r="B42" s="8">
        <v>16.9573529411764</v>
      </c>
      <c r="C42" s="8">
        <v>19.28</v>
      </c>
      <c r="D42" s="8">
        <v>17.9380952380952</v>
      </c>
      <c r="E42" s="8">
        <v>14.8708333333333</v>
      </c>
      <c r="F42" s="8">
        <v>17.5625</v>
      </c>
      <c r="G42" s="3"/>
      <c r="H42" s="7">
        <v>40</v>
      </c>
      <c r="I42" s="8">
        <v>1.13529411764705</v>
      </c>
      <c r="J42" s="8">
        <v>1.12</v>
      </c>
      <c r="K42" s="8">
        <v>1.02272727272727</v>
      </c>
      <c r="L42" s="8">
        <v>3.61379310344827</v>
      </c>
      <c r="M42" s="8">
        <v>0.516666666666666</v>
      </c>
      <c r="N42" s="3"/>
      <c r="O42" s="7">
        <v>40</v>
      </c>
      <c r="P42" s="8">
        <v>4.61421103176027</v>
      </c>
      <c r="Q42" s="8">
        <v>4.260490854165</v>
      </c>
      <c r="R42" s="8">
        <v>4.82413520014539</v>
      </c>
      <c r="S42" s="8">
        <v>4.08296438503446</v>
      </c>
      <c r="T42" s="8">
        <v>3.92262529376257</v>
      </c>
      <c r="U42" s="3"/>
      <c r="V42" s="3"/>
      <c r="W42" s="3"/>
      <c r="X42" s="3"/>
      <c r="Y42" s="3"/>
      <c r="Z42" s="3"/>
      <c r="AA42" s="3"/>
    </row>
    <row x14ac:dyDescent="0.25" r="43" customHeight="1" ht="18.75">
      <c r="A43" s="7">
        <v>41</v>
      </c>
      <c r="B43" s="8">
        <v>16.8661764705882</v>
      </c>
      <c r="C43" s="8">
        <v>19.6533333333333</v>
      </c>
      <c r="D43" s="8">
        <v>18.5785714285714</v>
      </c>
      <c r="E43" s="8">
        <v>14.7916666666666</v>
      </c>
      <c r="F43" s="8">
        <v>17.7083333333333</v>
      </c>
      <c r="G43" s="3"/>
      <c r="H43" s="7">
        <v>41</v>
      </c>
      <c r="I43" s="8">
        <v>0.776470588235294</v>
      </c>
      <c r="J43" s="8">
        <v>1.48666666666666</v>
      </c>
      <c r="K43" s="8">
        <v>1.28636363636363</v>
      </c>
      <c r="L43" s="8">
        <v>1.37241379310344</v>
      </c>
      <c r="M43" s="8">
        <v>2.73333333333333</v>
      </c>
      <c r="N43" s="3"/>
      <c r="O43" s="7">
        <v>41</v>
      </c>
      <c r="P43" s="8">
        <v>4.40551625163656</v>
      </c>
      <c r="Q43" s="8">
        <v>3.78330979877889</v>
      </c>
      <c r="R43" s="8">
        <v>4.12708059843669</v>
      </c>
      <c r="S43" s="8">
        <v>3.85409386466636</v>
      </c>
      <c r="T43" s="8">
        <v>3.63129258339693</v>
      </c>
      <c r="U43" s="3"/>
      <c r="V43" s="3"/>
      <c r="W43" s="3"/>
      <c r="X43" s="3"/>
      <c r="Y43" s="3"/>
      <c r="Z43" s="3"/>
      <c r="AA43" s="3"/>
    </row>
    <row x14ac:dyDescent="0.25" r="44" customHeight="1" ht="18.75">
      <c r="A44" s="7">
        <v>42</v>
      </c>
      <c r="B44" s="8">
        <v>17.485294117647</v>
      </c>
      <c r="C44" s="8">
        <v>19.8433333333333</v>
      </c>
      <c r="D44" s="8">
        <v>18.9023809523809</v>
      </c>
      <c r="E44" s="8">
        <v>15.446</v>
      </c>
      <c r="F44" s="8">
        <v>17.6541666666666</v>
      </c>
      <c r="G44" s="3"/>
      <c r="H44" s="7">
        <v>42</v>
      </c>
      <c r="I44" s="8">
        <v>1.05294117647058</v>
      </c>
      <c r="J44" s="8">
        <v>2.32</v>
      </c>
      <c r="K44" s="8">
        <v>3.27272727272727</v>
      </c>
      <c r="L44" s="8">
        <v>2.18</v>
      </c>
      <c r="M44" s="8">
        <v>5.31666666666666</v>
      </c>
      <c r="N44" s="3"/>
      <c r="O44" s="7">
        <v>42</v>
      </c>
      <c r="P44" s="8">
        <v>4.46856402252421</v>
      </c>
      <c r="Q44" s="8">
        <v>3.63960001915538</v>
      </c>
      <c r="R44" s="8">
        <v>3.62479226319034</v>
      </c>
      <c r="S44" s="8">
        <v>3.97156965673769</v>
      </c>
      <c r="T44" s="8">
        <v>3.78250962714992</v>
      </c>
      <c r="U44" s="3"/>
      <c r="V44" s="3"/>
      <c r="W44" s="3"/>
      <c r="X44" s="3"/>
      <c r="Y44" s="3"/>
      <c r="Z44" s="3"/>
      <c r="AA44" s="3"/>
    </row>
    <row x14ac:dyDescent="0.25" r="45" customHeight="1" ht="18.75">
      <c r="A45" s="7">
        <v>43</v>
      </c>
      <c r="B45" s="8">
        <v>17.9808823529411</v>
      </c>
      <c r="C45" s="8">
        <v>19.7672413793103</v>
      </c>
      <c r="D45" s="8">
        <v>19.2428571428571</v>
      </c>
      <c r="E45" s="8">
        <v>14.54</v>
      </c>
      <c r="F45" s="8">
        <v>18.2458333333333</v>
      </c>
      <c r="G45" s="3"/>
      <c r="H45" s="7">
        <v>43</v>
      </c>
      <c r="I45" s="8">
        <v>2.1735294117647</v>
      </c>
      <c r="J45" s="8">
        <v>2.60666666666666</v>
      </c>
      <c r="K45" s="8">
        <v>3.23636363636363</v>
      </c>
      <c r="L45" s="8">
        <v>2.39333333333333</v>
      </c>
      <c r="M45" s="8">
        <v>1.8</v>
      </c>
      <c r="N45" s="3"/>
      <c r="O45" s="7">
        <v>43</v>
      </c>
      <c r="P45" s="8">
        <v>4.35711161453321</v>
      </c>
      <c r="Q45" s="8">
        <v>3.70262305339519</v>
      </c>
      <c r="R45" s="8">
        <v>4.66450230099422</v>
      </c>
      <c r="S45" s="8">
        <v>3.3699681861202</v>
      </c>
      <c r="T45" s="8">
        <v>3.53450893976796</v>
      </c>
      <c r="U45" s="3"/>
      <c r="V45" s="3"/>
      <c r="W45" s="3"/>
      <c r="X45" s="3"/>
      <c r="Y45" s="3"/>
      <c r="Z45" s="3"/>
      <c r="AA45" s="3"/>
    </row>
    <row x14ac:dyDescent="0.25" r="46" customHeight="1" ht="18.75">
      <c r="A46" s="7">
        <v>44</v>
      </c>
      <c r="B46" s="8">
        <v>16.4014705882352</v>
      </c>
      <c r="C46" s="8">
        <v>19.5672413793103</v>
      </c>
      <c r="D46" s="8">
        <v>18.5023809523809</v>
      </c>
      <c r="E46" s="8">
        <v>14.0819999999999</v>
      </c>
      <c r="F46" s="8">
        <v>18.6749999999999</v>
      </c>
      <c r="G46" s="3"/>
      <c r="H46" s="7">
        <v>44</v>
      </c>
      <c r="I46" s="8">
        <v>1.78235294117647</v>
      </c>
      <c r="J46" s="8">
        <v>0.59</v>
      </c>
      <c r="K46" s="8">
        <v>3.76818181818181</v>
      </c>
      <c r="L46" s="8">
        <v>4.08666666666666</v>
      </c>
      <c r="M46" s="8">
        <v>0.449999999999999</v>
      </c>
      <c r="N46" s="3"/>
      <c r="O46" s="7">
        <v>44</v>
      </c>
      <c r="P46" s="8">
        <v>3.9824902366084</v>
      </c>
      <c r="Q46" s="8">
        <v>4.0784584132758</v>
      </c>
      <c r="R46" s="8">
        <v>4.66209006206865</v>
      </c>
      <c r="S46" s="8">
        <v>3.59008744873661</v>
      </c>
      <c r="T46" s="8">
        <v>3.2860966338214</v>
      </c>
      <c r="U46" s="3"/>
      <c r="V46" s="3"/>
      <c r="W46" s="3"/>
      <c r="X46" s="3"/>
      <c r="Y46" s="3"/>
      <c r="Z46" s="3"/>
      <c r="AA46" s="3"/>
    </row>
    <row x14ac:dyDescent="0.25" r="47" customHeight="1" ht="18.75">
      <c r="A47" s="7">
        <v>45</v>
      </c>
      <c r="B47" s="8">
        <v>15.8867647058823</v>
      </c>
      <c r="C47" s="8">
        <v>19.5910714285714</v>
      </c>
      <c r="D47" s="8">
        <v>19.1738095238095</v>
      </c>
      <c r="E47" s="8">
        <v>13.542</v>
      </c>
      <c r="F47" s="8">
        <v>18.6708333333333</v>
      </c>
      <c r="G47" s="3"/>
      <c r="H47" s="7">
        <v>45</v>
      </c>
      <c r="I47" s="8">
        <v>2.56470588235294</v>
      </c>
      <c r="J47" s="8">
        <v>1.87241379310344</v>
      </c>
      <c r="K47" s="8">
        <v>0.881818181818181</v>
      </c>
      <c r="L47" s="8">
        <v>4.16666666666666</v>
      </c>
      <c r="M47" s="8">
        <v>1.13333333333333</v>
      </c>
      <c r="N47" s="3"/>
      <c r="O47" s="7">
        <v>45</v>
      </c>
      <c r="P47" s="8">
        <v>3.66999430495532</v>
      </c>
      <c r="Q47" s="8">
        <v>4.07751565045287</v>
      </c>
      <c r="R47" s="8">
        <v>4.67630771332468</v>
      </c>
      <c r="S47" s="8">
        <v>3.54002146631594</v>
      </c>
      <c r="T47" s="8">
        <v>3.89329085271164</v>
      </c>
      <c r="U47" s="3"/>
      <c r="V47" s="3"/>
      <c r="W47" s="3"/>
      <c r="X47" s="3"/>
      <c r="Y47" s="3"/>
      <c r="Z47" s="3"/>
      <c r="AA47" s="3"/>
    </row>
    <row x14ac:dyDescent="0.25" r="48" customHeight="1" ht="18.75">
      <c r="A48" s="7">
        <v>46</v>
      </c>
      <c r="B48" s="8">
        <v>15.4705882352941</v>
      </c>
      <c r="C48" s="8">
        <v>19.3553571428571</v>
      </c>
      <c r="D48" s="8">
        <v>17.7119047619047</v>
      </c>
      <c r="E48" s="8">
        <v>13.7139999999999</v>
      </c>
      <c r="F48" s="8">
        <v>18.1666666666666</v>
      </c>
      <c r="G48" s="3"/>
      <c r="H48" s="7">
        <v>46</v>
      </c>
      <c r="I48" s="8">
        <v>2.25588235294117</v>
      </c>
      <c r="J48" s="8">
        <v>2.82068965517241</v>
      </c>
      <c r="K48" s="8">
        <v>1.57727272727272</v>
      </c>
      <c r="L48" s="8">
        <v>2.26666666666666</v>
      </c>
      <c r="M48" s="8">
        <v>1.73333333333333</v>
      </c>
      <c r="N48" s="3"/>
      <c r="O48" s="7">
        <v>46</v>
      </c>
      <c r="P48" s="8">
        <v>4.01086031577223</v>
      </c>
      <c r="Q48" s="8">
        <v>4.17964674005081</v>
      </c>
      <c r="R48" s="8">
        <v>4.31468390031251</v>
      </c>
      <c r="S48" s="8">
        <v>3.33179897219249</v>
      </c>
      <c r="T48" s="8">
        <v>3.7918051722381</v>
      </c>
      <c r="U48" s="3"/>
      <c r="V48" s="3"/>
      <c r="W48" s="3"/>
      <c r="X48" s="3"/>
      <c r="Y48" s="3"/>
      <c r="Z48" s="3"/>
      <c r="AA48" s="3"/>
    </row>
    <row x14ac:dyDescent="0.25" r="49" customHeight="1" ht="18.75">
      <c r="A49" s="7">
        <v>47</v>
      </c>
      <c r="B49" s="8">
        <v>16.035294117647</v>
      </c>
      <c r="C49" s="8">
        <v>19.2589285714285</v>
      </c>
      <c r="D49" s="8">
        <v>17.5404761904761</v>
      </c>
      <c r="E49" s="8">
        <v>14.608</v>
      </c>
      <c r="F49" s="8">
        <v>17.8791666666666</v>
      </c>
      <c r="G49" s="3"/>
      <c r="H49" s="7">
        <v>47</v>
      </c>
      <c r="I49" s="8">
        <v>1.35294117647058</v>
      </c>
      <c r="J49" s="8">
        <v>1.80344827586206</v>
      </c>
      <c r="K49" s="8">
        <v>1.96363636363636</v>
      </c>
      <c r="L49" s="8">
        <v>2.10666666666666</v>
      </c>
      <c r="M49" s="8">
        <v>0.733333333333333</v>
      </c>
      <c r="N49" s="3"/>
      <c r="O49" s="7">
        <v>47</v>
      </c>
      <c r="P49" s="8">
        <v>4.21594349782613</v>
      </c>
      <c r="Q49" s="8">
        <v>3.84907038160405</v>
      </c>
      <c r="R49" s="8">
        <v>3.7637816856066</v>
      </c>
      <c r="S49" s="8">
        <v>3.602357399456</v>
      </c>
      <c r="T49" s="8">
        <v>3.8813294167316</v>
      </c>
      <c r="U49" s="3"/>
      <c r="V49" s="3"/>
      <c r="W49" s="3"/>
      <c r="X49" s="3"/>
      <c r="Y49" s="3"/>
      <c r="Z49" s="3"/>
      <c r="AA49" s="3"/>
    </row>
    <row x14ac:dyDescent="0.25" r="50" customHeight="1" ht="18.75">
      <c r="A50" s="7">
        <v>48</v>
      </c>
      <c r="B50" s="8">
        <v>17.1558823529411</v>
      </c>
      <c r="C50" s="8">
        <v>19.2844827586206</v>
      </c>
      <c r="D50" s="8">
        <v>17.4809523809523</v>
      </c>
      <c r="E50" s="8">
        <v>15.504</v>
      </c>
      <c r="F50" s="8">
        <v>18.2083333333333</v>
      </c>
      <c r="G50" s="3"/>
      <c r="H50" s="7">
        <v>48</v>
      </c>
      <c r="I50" s="8">
        <v>1.37941176470588</v>
      </c>
      <c r="J50" s="8">
        <v>4.5</v>
      </c>
      <c r="K50" s="8">
        <v>2.00454545454545</v>
      </c>
      <c r="L50" s="8">
        <v>3.78</v>
      </c>
      <c r="M50" s="8">
        <v>2.88333333333333</v>
      </c>
      <c r="N50" s="3"/>
      <c r="O50" s="7">
        <v>48</v>
      </c>
      <c r="P50" s="8">
        <v>4.47421528905159</v>
      </c>
      <c r="Q50" s="8">
        <v>3.74814122437194</v>
      </c>
      <c r="R50" s="8">
        <v>3.82610019989582</v>
      </c>
      <c r="S50" s="8">
        <v>3.68423693729699</v>
      </c>
      <c r="T50" s="8">
        <v>3.50621214787894</v>
      </c>
      <c r="U50" s="3"/>
      <c r="V50" s="3"/>
      <c r="W50" s="3"/>
      <c r="X50" s="3"/>
      <c r="Y50" s="3"/>
      <c r="Z50" s="3"/>
      <c r="AA50" s="3"/>
    </row>
    <row x14ac:dyDescent="0.25" r="51" customHeight="1" ht="18.75">
      <c r="A51" s="7">
        <v>49</v>
      </c>
      <c r="B51" s="8">
        <v>17.5720588235294</v>
      </c>
      <c r="C51" s="8">
        <v>19.4155172413793</v>
      </c>
      <c r="D51" s="8">
        <v>18.1809523809523</v>
      </c>
      <c r="E51" s="8">
        <v>14.836</v>
      </c>
      <c r="F51" s="8">
        <v>18.5291666666666</v>
      </c>
      <c r="G51" s="3"/>
      <c r="H51" s="7">
        <v>49</v>
      </c>
      <c r="I51" s="8">
        <v>2.15</v>
      </c>
      <c r="J51" s="8">
        <v>1.4</v>
      </c>
      <c r="K51" s="8">
        <v>1.4090909090909</v>
      </c>
      <c r="L51" s="8">
        <v>4.38</v>
      </c>
      <c r="M51" s="8">
        <v>2.85</v>
      </c>
      <c r="N51" s="3"/>
      <c r="O51" s="7">
        <v>49</v>
      </c>
      <c r="P51" s="8">
        <v>4.89520107837513</v>
      </c>
      <c r="Q51" s="8">
        <v>3.86825299874215</v>
      </c>
      <c r="R51" s="8">
        <v>4.19147320898554</v>
      </c>
      <c r="S51" s="8">
        <v>3.59707050808628</v>
      </c>
      <c r="T51" s="8">
        <v>3.53422350164052</v>
      </c>
      <c r="U51" s="3"/>
      <c r="V51" s="3"/>
      <c r="W51" s="3"/>
      <c r="X51" s="3"/>
      <c r="Y51" s="3"/>
      <c r="Z51" s="3"/>
      <c r="AA51" s="3"/>
    </row>
    <row x14ac:dyDescent="0.25" r="52" customHeight="1" ht="18.75">
      <c r="A52" s="7">
        <v>50</v>
      </c>
      <c r="B52" s="8">
        <v>16.9911764705882</v>
      </c>
      <c r="C52" s="8">
        <v>19.4189655172413</v>
      </c>
      <c r="D52" s="8">
        <v>18.0525</v>
      </c>
      <c r="E52" s="8">
        <v>14.3679999999999</v>
      </c>
      <c r="F52" s="8">
        <v>18.925</v>
      </c>
      <c r="G52" s="3"/>
      <c r="H52" s="7">
        <v>50</v>
      </c>
      <c r="I52" s="8">
        <v>0.641176470588235</v>
      </c>
      <c r="J52" s="8">
        <v>1.46551724137931</v>
      </c>
      <c r="K52" s="8">
        <v>0.0136363636363636</v>
      </c>
      <c r="L52" s="8">
        <v>3.26</v>
      </c>
      <c r="M52" s="8">
        <v>3.86666666666666</v>
      </c>
      <c r="N52" s="3"/>
      <c r="O52" s="7">
        <v>50</v>
      </c>
      <c r="P52" s="8">
        <v>4.36683873366186</v>
      </c>
      <c r="Q52" s="8">
        <v>3.6105345286952</v>
      </c>
      <c r="R52" s="8">
        <v>4.41132043003912</v>
      </c>
      <c r="S52" s="8">
        <v>3.96929070378051</v>
      </c>
      <c r="T52" s="8">
        <v>3.63381165639587</v>
      </c>
      <c r="U52" s="3"/>
      <c r="V52" s="3"/>
      <c r="W52" s="3"/>
      <c r="X52" s="3"/>
      <c r="Y52" s="3"/>
      <c r="Z52" s="3"/>
      <c r="AA52" s="3"/>
    </row>
    <row x14ac:dyDescent="0.25" r="53" customHeight="1" ht="18.75">
      <c r="A53" s="7">
        <v>51</v>
      </c>
      <c r="B53" s="8">
        <v>16.6558823529411</v>
      </c>
      <c r="C53" s="8">
        <v>19.5068965517241</v>
      </c>
      <c r="D53" s="8">
        <v>18.1325</v>
      </c>
      <c r="E53" s="8">
        <v>14.052</v>
      </c>
      <c r="F53" s="8">
        <v>19.1958333333333</v>
      </c>
      <c r="G53" s="3"/>
      <c r="H53" s="7">
        <v>51</v>
      </c>
      <c r="I53" s="8">
        <v>2.57058823529411</v>
      </c>
      <c r="J53" s="8">
        <v>3.85172413793103</v>
      </c>
      <c r="K53" s="8">
        <v>1.02272727272727</v>
      </c>
      <c r="L53" s="8">
        <v>2.88666666666666</v>
      </c>
      <c r="M53" s="8">
        <v>1.18333333333333</v>
      </c>
      <c r="N53" s="3"/>
      <c r="O53" s="7">
        <v>51</v>
      </c>
      <c r="P53" s="8">
        <v>4.65558807277808</v>
      </c>
      <c r="Q53" s="8">
        <v>3.62404530595985</v>
      </c>
      <c r="R53" s="8">
        <v>4.38413765543558</v>
      </c>
      <c r="S53" s="8">
        <v>3.73946860322968</v>
      </c>
      <c r="T53" s="8">
        <v>3.74770539169303</v>
      </c>
      <c r="U53" s="3"/>
      <c r="V53" s="3"/>
      <c r="W53" s="3"/>
      <c r="X53" s="3"/>
      <c r="Y53" s="3"/>
      <c r="Z53" s="3"/>
      <c r="AA53" s="3"/>
    </row>
    <row x14ac:dyDescent="0.25" r="54" customHeight="1" ht="18.75">
      <c r="A54" s="7">
        <v>52</v>
      </c>
      <c r="B54" s="8">
        <v>16.6955882352941</v>
      </c>
      <c r="C54" s="8">
        <v>19.4416666666666</v>
      </c>
      <c r="D54" s="8">
        <v>18.647619047619</v>
      </c>
      <c r="E54" s="8">
        <v>14.202</v>
      </c>
      <c r="F54" s="8">
        <v>18.9458333333333</v>
      </c>
      <c r="G54" s="3"/>
      <c r="H54" s="7">
        <v>52</v>
      </c>
      <c r="I54" s="8">
        <v>0.764705882352941</v>
      </c>
      <c r="J54" s="7">
        <v>3</v>
      </c>
      <c r="K54" s="8">
        <v>0.0863636363636363</v>
      </c>
      <c r="L54" s="8">
        <v>2.18</v>
      </c>
      <c r="M54" s="8">
        <v>1.33333333333333</v>
      </c>
      <c r="N54" s="3"/>
      <c r="O54" s="7">
        <v>52</v>
      </c>
      <c r="P54" s="8">
        <v>4.46937460417998</v>
      </c>
      <c r="Q54" s="8">
        <v>3.73403385362748</v>
      </c>
      <c r="R54" s="8">
        <v>4.96932594379087</v>
      </c>
      <c r="S54" s="8">
        <v>3.97566344793936</v>
      </c>
      <c r="T54" s="8">
        <v>3.73956815941028</v>
      </c>
      <c r="U54" s="3"/>
      <c r="V54" s="3"/>
      <c r="W54" s="3"/>
      <c r="X54" s="3"/>
      <c r="Y54" s="3"/>
      <c r="Z54" s="3"/>
      <c r="AA54" s="3"/>
    </row>
    <row x14ac:dyDescent="0.25" r="55" customHeight="1" ht="18.75">
      <c r="A55" s="7">
        <v>53</v>
      </c>
      <c r="B55" s="8">
        <v>16.3941176470588</v>
      </c>
      <c r="C55" s="8">
        <v>19.2316666666666</v>
      </c>
      <c r="D55" s="8">
        <v>17.9363636363636</v>
      </c>
      <c r="E55" s="8">
        <v>14.04375</v>
      </c>
      <c r="F55" s="8">
        <v>18.9124999999999</v>
      </c>
      <c r="G55" s="3"/>
      <c r="H55" s="7">
        <v>53</v>
      </c>
      <c r="I55" s="8">
        <v>1.52647058823529</v>
      </c>
      <c r="J55" s="8">
        <v>1.53333333333333</v>
      </c>
      <c r="K55" s="8">
        <v>0.336363636363636</v>
      </c>
      <c r="L55" s="8">
        <v>2.28275862068965</v>
      </c>
      <c r="M55" s="8">
        <v>6.18333333333333</v>
      </c>
      <c r="N55" s="3"/>
      <c r="O55" s="7">
        <v>53</v>
      </c>
      <c r="P55" s="8">
        <v>4.41137802720888</v>
      </c>
      <c r="Q55" s="8">
        <v>3.6261565374235</v>
      </c>
      <c r="R55" s="8">
        <v>4.78788610751284</v>
      </c>
      <c r="S55" s="8">
        <v>3.40930347498516</v>
      </c>
      <c r="T55" s="8">
        <v>3.06294440336182</v>
      </c>
      <c r="U55" s="3"/>
      <c r="V55" s="3"/>
      <c r="W55" s="3"/>
      <c r="X55" s="3"/>
      <c r="Y55" s="3"/>
      <c r="Z55" s="3"/>
      <c r="AA55" s="3"/>
    </row>
    <row x14ac:dyDescent="0.25" r="56" customHeight="1" ht="18.75">
      <c r="A56" s="7">
        <v>54</v>
      </c>
      <c r="B56" s="8">
        <v>16.0882352941176</v>
      </c>
      <c r="C56" s="8">
        <v>19.22</v>
      </c>
      <c r="D56" s="8">
        <v>17.6454545454545</v>
      </c>
      <c r="E56" s="8">
        <v>13.1826086956521</v>
      </c>
      <c r="F56" s="8">
        <v>17.7458333333333</v>
      </c>
      <c r="G56" s="3"/>
      <c r="H56" s="7">
        <v>54</v>
      </c>
      <c r="I56" s="8">
        <v>1.78529411764705</v>
      </c>
      <c r="J56" s="8">
        <v>3.06</v>
      </c>
      <c r="K56" s="8">
        <v>1.01818181818181</v>
      </c>
      <c r="L56" s="8">
        <v>6.81428571428571</v>
      </c>
      <c r="M56" s="8">
        <v>0.7</v>
      </c>
      <c r="N56" s="3"/>
      <c r="O56" s="7">
        <v>54</v>
      </c>
      <c r="P56" s="8">
        <v>3.90521602797724</v>
      </c>
      <c r="Q56" s="8">
        <v>3.60959742277692</v>
      </c>
      <c r="R56" s="8">
        <v>4.02222795044581</v>
      </c>
      <c r="S56" s="8">
        <v>3.38659987206467</v>
      </c>
      <c r="T56" s="8">
        <v>3.73972280588933</v>
      </c>
      <c r="U56" s="3"/>
      <c r="V56" s="3"/>
      <c r="W56" s="3"/>
      <c r="X56" s="3"/>
      <c r="Y56" s="3"/>
      <c r="Z56" s="3"/>
      <c r="AA56" s="3"/>
    </row>
    <row x14ac:dyDescent="0.25" r="57" customHeight="1" ht="18.75">
      <c r="A57" s="7">
        <v>55</v>
      </c>
      <c r="B57" s="8">
        <v>16.7823529411764</v>
      </c>
      <c r="C57" s="8">
        <v>18.7933333333333</v>
      </c>
      <c r="D57" s="8">
        <v>16.7136363636363</v>
      </c>
      <c r="E57" s="8">
        <v>13.1217391304347</v>
      </c>
      <c r="F57" s="8">
        <v>16.9458333333333</v>
      </c>
      <c r="G57" s="3"/>
      <c r="H57" s="7">
        <v>55</v>
      </c>
      <c r="I57" s="8">
        <v>1.67941176470588</v>
      </c>
      <c r="J57" s="8">
        <v>1.73</v>
      </c>
      <c r="K57" s="8">
        <v>2.4</v>
      </c>
      <c r="L57" s="8">
        <v>1.60714285714285</v>
      </c>
      <c r="M57" s="8">
        <v>1.59999999999999</v>
      </c>
      <c r="N57" s="3"/>
      <c r="O57" s="7">
        <v>55</v>
      </c>
      <c r="P57" s="8">
        <v>4.82810009173382</v>
      </c>
      <c r="Q57" s="8">
        <v>3.98653231056588</v>
      </c>
      <c r="R57" s="8">
        <v>4.22805325493533</v>
      </c>
      <c r="S57" s="8">
        <v>3.78718169581227</v>
      </c>
      <c r="T57" s="8">
        <v>3.56835943864227</v>
      </c>
      <c r="U57" s="3"/>
      <c r="V57" s="3"/>
      <c r="W57" s="3"/>
      <c r="X57" s="3"/>
      <c r="Y57" s="3"/>
      <c r="Z57" s="3"/>
      <c r="AA57" s="3"/>
    </row>
    <row x14ac:dyDescent="0.25" r="58" customHeight="1" ht="18.75">
      <c r="A58" s="7">
        <v>56</v>
      </c>
      <c r="B58" s="8">
        <v>16.1897058823529</v>
      </c>
      <c r="C58" s="8">
        <v>18.3</v>
      </c>
      <c r="D58" s="8">
        <v>16.6136363636363</v>
      </c>
      <c r="E58" s="8">
        <v>12.8999999999999</v>
      </c>
      <c r="F58" s="8">
        <v>17.4958333333333</v>
      </c>
      <c r="G58" s="3"/>
      <c r="H58" s="7">
        <v>56</v>
      </c>
      <c r="I58" s="8">
        <v>0.594117647058823</v>
      </c>
      <c r="J58" s="8">
        <v>1.17666666666666</v>
      </c>
      <c r="K58" s="8">
        <v>0.654545454545454</v>
      </c>
      <c r="L58" s="8">
        <v>2.87142857142857</v>
      </c>
      <c r="M58" s="8">
        <v>0.866666666666666</v>
      </c>
      <c r="N58" s="3"/>
      <c r="O58" s="7">
        <v>56</v>
      </c>
      <c r="P58" s="8">
        <v>4.48191720900865</v>
      </c>
      <c r="Q58" s="8">
        <v>3.88204927928038</v>
      </c>
      <c r="R58" s="8">
        <v>4.19725668374631</v>
      </c>
      <c r="S58" s="8">
        <v>3.54903530160136</v>
      </c>
      <c r="T58" s="8">
        <v>3.55568103668865</v>
      </c>
      <c r="U58" s="3"/>
      <c r="V58" s="3"/>
      <c r="W58" s="3"/>
      <c r="X58" s="3"/>
      <c r="Y58" s="3"/>
      <c r="Z58" s="3"/>
      <c r="AA58" s="3"/>
    </row>
    <row x14ac:dyDescent="0.25" r="59" customHeight="1" ht="18.75">
      <c r="A59" s="7">
        <v>57</v>
      </c>
      <c r="B59" s="8">
        <v>16.1941176470588</v>
      </c>
      <c r="C59" s="8">
        <v>18.41</v>
      </c>
      <c r="D59" s="8">
        <v>17.1363636363636</v>
      </c>
      <c r="E59" s="8">
        <v>13.9729166666666</v>
      </c>
      <c r="F59" s="8">
        <v>16.9541666666666</v>
      </c>
      <c r="G59" s="3"/>
      <c r="H59" s="7">
        <v>57</v>
      </c>
      <c r="I59" s="8">
        <v>1.93333333333333</v>
      </c>
      <c r="J59" s="8">
        <v>2.02333333333333</v>
      </c>
      <c r="K59" s="8">
        <v>0.177272727272727</v>
      </c>
      <c r="L59" s="8">
        <v>1.46896551724137</v>
      </c>
      <c r="M59" s="8">
        <v>0.933333333333333</v>
      </c>
      <c r="N59" s="3"/>
      <c r="O59" s="7">
        <v>57</v>
      </c>
      <c r="P59" s="8">
        <v>4.3896941334324</v>
      </c>
      <c r="Q59" s="8">
        <v>4.05937925457948</v>
      </c>
      <c r="R59" s="8">
        <v>3.71805030433868</v>
      </c>
      <c r="S59" s="8">
        <v>3.99216315220564</v>
      </c>
      <c r="T59" s="8">
        <v>3.61026379765986</v>
      </c>
      <c r="U59" s="3"/>
      <c r="V59" s="3"/>
      <c r="W59" s="3"/>
      <c r="X59" s="3"/>
      <c r="Y59" s="3"/>
      <c r="Z59" s="3"/>
      <c r="AA59" s="3"/>
    </row>
    <row x14ac:dyDescent="0.25" r="60" customHeight="1" ht="18.75">
      <c r="A60" s="7">
        <v>58</v>
      </c>
      <c r="B60" s="8">
        <v>16.2088235294117</v>
      </c>
      <c r="C60" s="8">
        <v>18.5166666666666</v>
      </c>
      <c r="D60" s="8">
        <v>17.4295454545454</v>
      </c>
      <c r="E60" s="8">
        <v>13.6916666666666</v>
      </c>
      <c r="F60" s="8">
        <v>16.8291666666666</v>
      </c>
      <c r="G60" s="3"/>
      <c r="H60" s="7">
        <v>58</v>
      </c>
      <c r="I60" s="8">
        <v>1.16764705882352</v>
      </c>
      <c r="J60" s="8">
        <v>1.54999999999999</v>
      </c>
      <c r="K60" s="8">
        <v>0.45</v>
      </c>
      <c r="L60" s="7">
        <v>4</v>
      </c>
      <c r="M60" s="8">
        <v>0.416666666666666</v>
      </c>
      <c r="N60" s="3"/>
      <c r="O60" s="7">
        <v>58</v>
      </c>
      <c r="P60" s="8">
        <v>4.09647299597163</v>
      </c>
      <c r="Q60" s="8">
        <v>3.82692830021166</v>
      </c>
      <c r="R60" s="8">
        <v>4.19783610356296</v>
      </c>
      <c r="S60" s="8">
        <v>3.29037932648615</v>
      </c>
      <c r="T60" s="8">
        <v>3.67527409975873</v>
      </c>
      <c r="U60" s="3"/>
      <c r="V60" s="3"/>
      <c r="W60" s="3"/>
      <c r="X60" s="3"/>
      <c r="Y60" s="3"/>
      <c r="Z60" s="3"/>
      <c r="AA60" s="3"/>
    </row>
    <row x14ac:dyDescent="0.25" r="61" customHeight="1" ht="18.75">
      <c r="A61" s="7">
        <v>59</v>
      </c>
      <c r="B61" s="8">
        <v>16.075</v>
      </c>
      <c r="C61" s="8">
        <v>18.2535714285714</v>
      </c>
      <c r="D61" s="8">
        <v>17.275</v>
      </c>
      <c r="E61" s="8">
        <v>14.0562499999999</v>
      </c>
      <c r="F61" s="8">
        <v>17.5125</v>
      </c>
      <c r="G61" s="3"/>
      <c r="H61" s="7">
        <v>59</v>
      </c>
      <c r="I61" s="8">
        <v>1.33529411764705</v>
      </c>
      <c r="J61" s="8">
        <v>3.47931034482758</v>
      </c>
      <c r="K61" s="8">
        <v>3.45454545454545</v>
      </c>
      <c r="L61" s="8">
        <v>1.97241379310344</v>
      </c>
      <c r="M61" s="8">
        <v>0.383333333333333</v>
      </c>
      <c r="N61" s="3"/>
      <c r="O61" s="7">
        <v>59</v>
      </c>
      <c r="P61" s="8">
        <v>4.12118404629263</v>
      </c>
      <c r="Q61" s="8">
        <v>3.48289624629293</v>
      </c>
      <c r="R61" s="8">
        <v>3.79698283258236</v>
      </c>
      <c r="S61" s="8">
        <v>4.18336712511834</v>
      </c>
      <c r="T61" s="8">
        <v>3.69733284942113</v>
      </c>
      <c r="U61" s="3"/>
      <c r="V61" s="3"/>
      <c r="W61" s="3"/>
      <c r="X61" s="3"/>
      <c r="Y61" s="3"/>
      <c r="Z61" s="3"/>
      <c r="AA61" s="3"/>
    </row>
    <row x14ac:dyDescent="0.25" r="62" customHeight="1" ht="18.75">
      <c r="A62" s="7">
        <v>60</v>
      </c>
      <c r="B62" s="8">
        <v>16.2647058823529</v>
      </c>
      <c r="C62" s="8">
        <v>18.3137931034482</v>
      </c>
      <c r="D62" s="8">
        <v>17.365909090909</v>
      </c>
      <c r="E62" s="8">
        <v>13.168</v>
      </c>
      <c r="F62" s="8">
        <v>17.1166666666666</v>
      </c>
      <c r="G62" s="3"/>
      <c r="H62" s="7">
        <v>60</v>
      </c>
      <c r="I62" s="8">
        <v>0.48235294117647</v>
      </c>
      <c r="J62" s="8">
        <v>4.17586206896551</v>
      </c>
      <c r="K62" s="8">
        <v>0.131818181818181</v>
      </c>
      <c r="L62" s="8">
        <v>3.6551724137931</v>
      </c>
      <c r="M62" s="8">
        <v>2.31666666666666</v>
      </c>
      <c r="N62" s="3"/>
      <c r="O62" s="7">
        <v>60</v>
      </c>
      <c r="P62" s="8">
        <v>4.48354302159061</v>
      </c>
      <c r="Q62" s="8">
        <v>3.69052266872715</v>
      </c>
      <c r="R62" s="8">
        <v>4.19086819506524</v>
      </c>
      <c r="S62" s="8">
        <v>2.97016139819808</v>
      </c>
      <c r="T62" s="8">
        <v>3.53650526422724</v>
      </c>
      <c r="U62" s="3"/>
      <c r="V62" s="3"/>
      <c r="W62" s="3"/>
      <c r="X62" s="3"/>
      <c r="Y62" s="3"/>
      <c r="Z62" s="3"/>
      <c r="AA62" s="3"/>
    </row>
    <row x14ac:dyDescent="0.25" r="63" customHeight="1" ht="18.75">
      <c r="A63" s="7">
        <v>61</v>
      </c>
      <c r="B63" s="8">
        <v>15.9727272727272</v>
      </c>
      <c r="C63" s="8">
        <v>18.701724137931</v>
      </c>
      <c r="D63" s="8">
        <v>17.965909090909</v>
      </c>
      <c r="E63" s="8">
        <v>12.925</v>
      </c>
      <c r="F63" s="8">
        <v>17.0375</v>
      </c>
      <c r="G63" s="3"/>
      <c r="H63" s="7">
        <v>61</v>
      </c>
      <c r="I63" s="8">
        <v>1.65151515151515</v>
      </c>
      <c r="J63" s="8">
        <v>2.43793103448275</v>
      </c>
      <c r="K63" s="8">
        <v>0.422727272727272</v>
      </c>
      <c r="L63" s="8">
        <v>3.32857142857142</v>
      </c>
      <c r="M63" s="8">
        <v>2.18333333333333</v>
      </c>
      <c r="N63" s="3"/>
      <c r="O63" s="7">
        <v>61</v>
      </c>
      <c r="P63" s="8">
        <v>4.32516742697259</v>
      </c>
      <c r="Q63" s="8">
        <v>3.76505925823284</v>
      </c>
      <c r="R63" s="8">
        <v>4.21960488813499</v>
      </c>
      <c r="S63" s="8">
        <v>3.42403119558774</v>
      </c>
      <c r="T63" s="8">
        <v>3.06800637531672</v>
      </c>
      <c r="U63" s="3"/>
      <c r="V63" s="3"/>
      <c r="W63" s="3"/>
      <c r="X63" s="3"/>
      <c r="Y63" s="3"/>
      <c r="Z63" s="3"/>
      <c r="AA63" s="3"/>
    </row>
    <row x14ac:dyDescent="0.25" r="64" customHeight="1" ht="18.75">
      <c r="A64" s="7">
        <v>62</v>
      </c>
      <c r="B64" s="8">
        <v>15.2166666666666</v>
      </c>
      <c r="C64" s="8">
        <v>18.7599999999999</v>
      </c>
      <c r="D64" s="8">
        <v>17.6522727272727</v>
      </c>
      <c r="E64" s="8">
        <v>12.2208333333333</v>
      </c>
      <c r="F64" s="8">
        <v>17.2041666666666</v>
      </c>
      <c r="G64" s="3"/>
      <c r="H64" s="7">
        <v>62</v>
      </c>
      <c r="I64" s="8">
        <v>3.52727272727272</v>
      </c>
      <c r="J64" s="8">
        <v>3.53666666666666</v>
      </c>
      <c r="K64" s="8">
        <v>1.31818181818181</v>
      </c>
      <c r="L64" s="8">
        <v>2.31724137931034</v>
      </c>
      <c r="M64" s="8">
        <v>0.616666666666666</v>
      </c>
      <c r="N64" s="3"/>
      <c r="O64" s="7">
        <v>62</v>
      </c>
      <c r="P64" s="8">
        <v>3.81498651292669</v>
      </c>
      <c r="Q64" s="8">
        <v>3.64934570959977</v>
      </c>
      <c r="R64" s="8">
        <v>3.83437050703642</v>
      </c>
      <c r="S64" s="8">
        <v>3.28476188447638</v>
      </c>
      <c r="T64" s="8">
        <v>3.21617444673788</v>
      </c>
      <c r="U64" s="3"/>
      <c r="V64" s="3"/>
      <c r="W64" s="3"/>
      <c r="X64" s="3"/>
      <c r="Y64" s="3"/>
      <c r="Z64" s="3"/>
      <c r="AA64" s="3"/>
    </row>
    <row x14ac:dyDescent="0.25" r="65" customHeight="1" ht="18.75">
      <c r="A65" s="7">
        <v>63</v>
      </c>
      <c r="B65" s="8">
        <v>14.6121212121212</v>
      </c>
      <c r="C65" s="8">
        <v>18.0322580645161</v>
      </c>
      <c r="D65" s="8">
        <v>16.1431818181818</v>
      </c>
      <c r="E65" s="8">
        <v>12.49375</v>
      </c>
      <c r="F65" s="8">
        <v>16.7208333333333</v>
      </c>
      <c r="G65" s="3"/>
      <c r="H65" s="7">
        <v>63</v>
      </c>
      <c r="I65" s="8">
        <v>2.12121212121212</v>
      </c>
      <c r="J65" s="8">
        <v>5.36129032258064</v>
      </c>
      <c r="K65" s="8">
        <v>0.895454545454545</v>
      </c>
      <c r="L65" s="8">
        <v>0.744827586206896</v>
      </c>
      <c r="M65" s="8">
        <v>2.93333333333333</v>
      </c>
      <c r="N65" s="3"/>
      <c r="O65" s="7">
        <v>63</v>
      </c>
      <c r="P65" s="8">
        <v>3.88919052603277</v>
      </c>
      <c r="Q65" s="8">
        <v>3.68583061639755</v>
      </c>
      <c r="R65" s="8">
        <v>4.25913223381391</v>
      </c>
      <c r="S65" s="8">
        <v>3.58033363326364</v>
      </c>
      <c r="T65" s="8">
        <v>2.84765801725685</v>
      </c>
      <c r="U65" s="3"/>
      <c r="V65" s="3"/>
      <c r="W65" s="3"/>
      <c r="X65" s="3"/>
      <c r="Y65" s="3"/>
      <c r="Z65" s="3"/>
      <c r="AA65" s="3"/>
    </row>
    <row x14ac:dyDescent="0.25" r="66" customHeight="1" ht="18.75">
      <c r="A66" s="7">
        <v>64</v>
      </c>
      <c r="B66" s="8">
        <v>15.7681818181818</v>
      </c>
      <c r="C66" s="8">
        <v>17.95</v>
      </c>
      <c r="D66" s="8">
        <v>15.940909090909</v>
      </c>
      <c r="E66" s="8">
        <v>13.4270833333333</v>
      </c>
      <c r="F66" s="8">
        <v>17.05</v>
      </c>
      <c r="G66" s="3"/>
      <c r="H66" s="7">
        <v>64</v>
      </c>
      <c r="I66" s="8">
        <v>2.56060606060606</v>
      </c>
      <c r="J66" s="8">
        <v>2.55806451612903</v>
      </c>
      <c r="K66" s="8">
        <v>1.51363636363636</v>
      </c>
      <c r="L66" s="7">
        <v>1</v>
      </c>
      <c r="M66" s="8">
        <v>3.5</v>
      </c>
      <c r="N66" s="3"/>
      <c r="O66" s="7">
        <v>64</v>
      </c>
      <c r="P66" s="8">
        <v>4.10786263681889</v>
      </c>
      <c r="Q66" s="8">
        <v>3.66171761022278</v>
      </c>
      <c r="R66" s="8">
        <v>3.89300774543688</v>
      </c>
      <c r="S66" s="8">
        <v>3.4371457147158</v>
      </c>
      <c r="T66" s="8">
        <v>3.08564006129756</v>
      </c>
      <c r="U66" s="3"/>
      <c r="V66" s="3"/>
      <c r="W66" s="3"/>
      <c r="X66" s="3"/>
      <c r="Y66" s="3"/>
      <c r="Z66" s="3"/>
      <c r="AA66" s="3"/>
    </row>
    <row x14ac:dyDescent="0.25" r="67" customHeight="1" ht="18.75">
      <c r="A67" s="7">
        <v>65</v>
      </c>
      <c r="B67" s="8">
        <v>15.9954545454545</v>
      </c>
      <c r="C67" s="8">
        <v>18.3612903225806</v>
      </c>
      <c r="D67" s="8">
        <v>17.0931818181818</v>
      </c>
      <c r="E67" s="8">
        <v>13.10625</v>
      </c>
      <c r="F67" s="8">
        <v>16.5625</v>
      </c>
      <c r="G67" s="3"/>
      <c r="H67" s="7">
        <v>65</v>
      </c>
      <c r="I67" s="8">
        <v>0.503030303030303</v>
      </c>
      <c r="J67" s="8">
        <v>2.31290322580645</v>
      </c>
      <c r="K67" s="8">
        <v>1.59090909090909</v>
      </c>
      <c r="L67" s="8">
        <v>2.63571428571428</v>
      </c>
      <c r="M67" s="8">
        <v>1.91666666666666</v>
      </c>
      <c r="N67" s="3"/>
      <c r="O67" s="7">
        <v>65</v>
      </c>
      <c r="P67" s="8">
        <v>4.07668893074486</v>
      </c>
      <c r="Q67" s="8">
        <v>3.85482139266821</v>
      </c>
      <c r="R67" s="8">
        <v>3.79195345193494</v>
      </c>
      <c r="S67" s="8">
        <v>3.22427246002459</v>
      </c>
      <c r="T67" s="8">
        <v>2.44770075852827</v>
      </c>
      <c r="U67" s="3"/>
      <c r="V67" s="3"/>
      <c r="W67" s="3"/>
      <c r="X67" s="3"/>
      <c r="Y67" s="3"/>
      <c r="Z67" s="3"/>
      <c r="AA67" s="3"/>
    </row>
    <row x14ac:dyDescent="0.25" r="68" customHeight="1" ht="18.75">
      <c r="A68" s="7">
        <v>66</v>
      </c>
      <c r="B68" s="8">
        <v>15.0166666666666</v>
      </c>
      <c r="C68" s="8">
        <v>17.7903225806451</v>
      </c>
      <c r="D68" s="8">
        <v>17.2386363636363</v>
      </c>
      <c r="E68" s="8">
        <v>12.6652173913043</v>
      </c>
      <c r="F68" s="8">
        <v>16.3499999999999</v>
      </c>
      <c r="G68" s="3"/>
      <c r="H68" s="7">
        <v>66</v>
      </c>
      <c r="I68" s="8">
        <v>0.884848484848484</v>
      </c>
      <c r="J68" s="8">
        <v>2.88709677419354</v>
      </c>
      <c r="K68" s="8">
        <v>1.8590909090909</v>
      </c>
      <c r="L68" s="8">
        <v>4.22857142857142</v>
      </c>
      <c r="M68" s="8">
        <v>5.4</v>
      </c>
      <c r="N68" s="3"/>
      <c r="O68" s="7">
        <v>66</v>
      </c>
      <c r="P68" s="8">
        <v>3.88555437814923</v>
      </c>
      <c r="Q68" s="8">
        <v>3.49093936015422</v>
      </c>
      <c r="R68" s="8">
        <v>3.96599815249603</v>
      </c>
      <c r="S68" s="8">
        <v>2.98287300071556</v>
      </c>
      <c r="T68" s="8">
        <v>3.2051572713163</v>
      </c>
      <c r="U68" s="3"/>
      <c r="V68" s="3"/>
      <c r="W68" s="3"/>
      <c r="X68" s="3"/>
      <c r="Y68" s="3"/>
      <c r="Z68" s="3"/>
      <c r="AA68" s="3"/>
    </row>
    <row x14ac:dyDescent="0.25" r="69" customHeight="1" ht="18.75">
      <c r="A69" s="7">
        <v>67</v>
      </c>
      <c r="B69" s="8">
        <v>15.3257575757575</v>
      </c>
      <c r="C69" s="8">
        <v>18.1413793103448</v>
      </c>
      <c r="D69" s="8">
        <v>17.1931818181818</v>
      </c>
      <c r="E69" s="8">
        <v>13.0065217391304</v>
      </c>
      <c r="F69" s="8">
        <v>16.4041666666666</v>
      </c>
      <c r="G69" s="3"/>
      <c r="H69" s="7">
        <v>67</v>
      </c>
      <c r="I69" s="8">
        <v>0.987878787878787</v>
      </c>
      <c r="J69" s="8">
        <v>1.03793103448275</v>
      </c>
      <c r="K69" s="8">
        <v>3.69545454545454</v>
      </c>
      <c r="L69" s="8">
        <v>3.78571428571428</v>
      </c>
      <c r="M69" s="8">
        <v>1.76666666666666</v>
      </c>
      <c r="N69" s="3"/>
      <c r="O69" s="7">
        <v>67</v>
      </c>
      <c r="P69" s="8">
        <v>3.69050193600862</v>
      </c>
      <c r="Q69" s="8">
        <v>3.80846492992226</v>
      </c>
      <c r="R69" s="8">
        <v>3.92910557968362</v>
      </c>
      <c r="S69" s="8">
        <v>2.96989998845122</v>
      </c>
      <c r="T69" s="8">
        <v>3.34736889754149</v>
      </c>
      <c r="U69" s="3"/>
      <c r="V69" s="3"/>
      <c r="W69" s="3"/>
      <c r="X69" s="3"/>
      <c r="Y69" s="3"/>
      <c r="Z69" s="3"/>
      <c r="AA69" s="3"/>
    </row>
    <row x14ac:dyDescent="0.25" r="70" customHeight="1" ht="18.75">
      <c r="A70" s="7">
        <v>68</v>
      </c>
      <c r="B70" s="8">
        <v>14.630303030303</v>
      </c>
      <c r="C70" s="8">
        <v>18.3816666666666</v>
      </c>
      <c r="D70" s="8">
        <v>16.5886363636363</v>
      </c>
      <c r="E70" s="8">
        <v>12.5934782608695</v>
      </c>
      <c r="F70" s="8">
        <v>16.1749999999999</v>
      </c>
      <c r="G70" s="3"/>
      <c r="H70" s="7">
        <v>68</v>
      </c>
      <c r="I70" s="8">
        <v>0.821212121212121</v>
      </c>
      <c r="J70" s="8">
        <v>3.27666666666666</v>
      </c>
      <c r="K70" s="8">
        <v>1.3090909090909</v>
      </c>
      <c r="L70" s="8">
        <v>2.24285714285714</v>
      </c>
      <c r="M70" s="8">
        <v>0.549999999999999</v>
      </c>
      <c r="N70" s="3"/>
      <c r="O70" s="7">
        <v>68</v>
      </c>
      <c r="P70" s="8">
        <v>3.55285373871634</v>
      </c>
      <c r="Q70" s="8">
        <v>3.61615331559387</v>
      </c>
      <c r="R70" s="8">
        <v>3.378805860581</v>
      </c>
      <c r="S70" s="8">
        <v>2.648187193332</v>
      </c>
      <c r="T70" s="8">
        <v>3.35529206029161</v>
      </c>
      <c r="U70" s="3"/>
      <c r="V70" s="3"/>
      <c r="W70" s="3"/>
      <c r="X70" s="3"/>
      <c r="Y70" s="3"/>
      <c r="Z70" s="3"/>
      <c r="AA70" s="3"/>
    </row>
    <row x14ac:dyDescent="0.25" r="71" customHeight="1" ht="18.75">
      <c r="A71" s="7">
        <v>69</v>
      </c>
      <c r="B71" s="8">
        <v>15.7924242424242</v>
      </c>
      <c r="C71" s="8">
        <v>18.1</v>
      </c>
      <c r="D71" s="8">
        <v>16.6071428571428</v>
      </c>
      <c r="E71" s="8">
        <v>13.7108695652173</v>
      </c>
      <c r="F71" s="8">
        <v>16.625</v>
      </c>
      <c r="G71" s="3"/>
      <c r="H71" s="7">
        <v>69</v>
      </c>
      <c r="I71" s="8">
        <v>1.49090909090909</v>
      </c>
      <c r="J71" s="8">
        <v>1.75</v>
      </c>
      <c r="K71" s="8">
        <v>0.25</v>
      </c>
      <c r="L71" s="8">
        <v>3.3</v>
      </c>
      <c r="M71" s="8">
        <v>2.06666666666666</v>
      </c>
      <c r="N71" s="3"/>
      <c r="O71" s="7">
        <v>69</v>
      </c>
      <c r="P71" s="8">
        <v>3.72456736155282</v>
      </c>
      <c r="Q71" s="8">
        <v>3.92220112560352</v>
      </c>
      <c r="R71" s="8">
        <v>3.84661147076762</v>
      </c>
      <c r="S71" s="8">
        <v>2.94013464824648</v>
      </c>
      <c r="T71" s="8">
        <v>3.2920876744511</v>
      </c>
      <c r="U71" s="3"/>
      <c r="V71" s="3"/>
      <c r="W71" s="3"/>
      <c r="X71" s="3"/>
      <c r="Y71" s="3"/>
      <c r="Z71" s="3"/>
      <c r="AA71" s="3"/>
    </row>
    <row x14ac:dyDescent="0.25" r="72" customHeight="1" ht="18.75">
      <c r="A72" s="7">
        <v>70</v>
      </c>
      <c r="B72" s="8">
        <v>15.0558823529411</v>
      </c>
      <c r="C72" s="8">
        <v>17.9316666666666</v>
      </c>
      <c r="D72" s="8">
        <v>16.8714285714285</v>
      </c>
      <c r="E72" s="8">
        <v>12.6847826086956</v>
      </c>
      <c r="F72" s="8">
        <v>16.2666666666666</v>
      </c>
      <c r="G72" s="3"/>
      <c r="H72" s="7">
        <v>70</v>
      </c>
      <c r="I72" s="8">
        <v>1.93823529411764</v>
      </c>
      <c r="J72" s="8">
        <v>6.94999999999999</v>
      </c>
      <c r="K72" s="8">
        <v>2.51818181818181</v>
      </c>
      <c r="L72" s="8">
        <v>3.77857142857142</v>
      </c>
      <c r="M72" s="8">
        <v>3.44999999999999</v>
      </c>
      <c r="N72" s="3"/>
      <c r="O72" s="7">
        <v>70</v>
      </c>
      <c r="P72" s="8">
        <v>3.25457521028866</v>
      </c>
      <c r="Q72" s="8">
        <v>3.46611098171685</v>
      </c>
      <c r="R72" s="8">
        <v>3.41836412969806</v>
      </c>
      <c r="S72" s="8">
        <v>2.55222084751135</v>
      </c>
      <c r="T72" s="8">
        <v>2.55921776409935</v>
      </c>
      <c r="U72" s="3"/>
      <c r="V72" s="3"/>
      <c r="W72" s="3"/>
      <c r="X72" s="3"/>
      <c r="Y72" s="3"/>
      <c r="Z72" s="3"/>
      <c r="AA72" s="3"/>
    </row>
    <row x14ac:dyDescent="0.25" r="73" customHeight="1" ht="18.75">
      <c r="A73" s="7">
        <v>71</v>
      </c>
      <c r="B73" s="8">
        <v>14.9588235294117</v>
      </c>
      <c r="C73" s="8">
        <v>18.11</v>
      </c>
      <c r="D73" s="8">
        <v>16.2047619047619</v>
      </c>
      <c r="E73" s="8">
        <v>13.6187499999999</v>
      </c>
      <c r="F73" s="8">
        <v>16.4041666666666</v>
      </c>
      <c r="G73" s="3"/>
      <c r="H73" s="7">
        <v>71</v>
      </c>
      <c r="I73" s="8">
        <v>3.24705882352941</v>
      </c>
      <c r="J73" s="8">
        <v>3.05333333333333</v>
      </c>
      <c r="K73" s="8">
        <v>1.39090909090909</v>
      </c>
      <c r="L73" s="8">
        <v>2.57931034482758</v>
      </c>
      <c r="M73" s="8">
        <v>1.58333333333333</v>
      </c>
      <c r="N73" s="3"/>
      <c r="O73" s="7">
        <v>71</v>
      </c>
      <c r="P73" s="8">
        <v>3.17975180664317</v>
      </c>
      <c r="Q73" s="8">
        <v>3.54178935257598</v>
      </c>
      <c r="R73" s="8">
        <v>3.3942883486787</v>
      </c>
      <c r="S73" s="8">
        <v>3.20860667383237</v>
      </c>
      <c r="T73" s="8">
        <v>2.85115032224514</v>
      </c>
      <c r="U73" s="3"/>
      <c r="V73" s="3"/>
      <c r="W73" s="3"/>
      <c r="X73" s="3"/>
      <c r="Y73" s="3"/>
      <c r="Z73" s="3"/>
      <c r="AA73" s="3"/>
    </row>
    <row x14ac:dyDescent="0.25" r="74" customHeight="1" ht="18.75">
      <c r="A74" s="7">
        <v>72</v>
      </c>
      <c r="B74" s="8">
        <v>15.2058823529411</v>
      </c>
      <c r="C74" s="8">
        <v>17.7392857142857</v>
      </c>
      <c r="D74" s="8">
        <v>16.1406926406926</v>
      </c>
      <c r="E74" s="8">
        <v>13.9608695652173</v>
      </c>
      <c r="F74" s="8">
        <v>15.325</v>
      </c>
      <c r="G74" s="3"/>
      <c r="H74" s="7">
        <v>72</v>
      </c>
      <c r="I74" s="8">
        <v>2.90882352941176</v>
      </c>
      <c r="J74" s="8">
        <v>1.68928571428571</v>
      </c>
      <c r="K74" s="8">
        <v>1.64090909090909</v>
      </c>
      <c r="L74" s="8">
        <v>2.42142857142857</v>
      </c>
      <c r="M74" s="8">
        <v>1.38333333333333</v>
      </c>
      <c r="N74" s="3"/>
      <c r="O74" s="7">
        <v>72</v>
      </c>
      <c r="P74" s="8">
        <v>3.31466681865996</v>
      </c>
      <c r="Q74" s="8">
        <v>3.35913053912281</v>
      </c>
      <c r="R74" s="8">
        <v>3.42770692204683</v>
      </c>
      <c r="S74" s="8">
        <v>3.12323738862228</v>
      </c>
      <c r="T74" s="8">
        <v>2.75455750544381</v>
      </c>
      <c r="U74" s="3"/>
      <c r="V74" s="3"/>
      <c r="W74" s="3"/>
      <c r="X74" s="3"/>
      <c r="Y74" s="3"/>
      <c r="Z74" s="3"/>
      <c r="AA74" s="3"/>
    </row>
    <row x14ac:dyDescent="0.25" r="75" customHeight="1" ht="18.75">
      <c r="A75" s="7">
        <v>73</v>
      </c>
      <c r="B75" s="8">
        <v>14.8882352941176</v>
      </c>
      <c r="C75" s="8">
        <v>17.7431034482758</v>
      </c>
      <c r="D75" s="8">
        <v>15.6681818181818</v>
      </c>
      <c r="E75" s="8">
        <v>13.0104166666666</v>
      </c>
      <c r="F75" s="8">
        <v>15.8333333333333</v>
      </c>
      <c r="G75" s="3"/>
      <c r="H75" s="7">
        <v>73</v>
      </c>
      <c r="I75" s="8">
        <v>2.3</v>
      </c>
      <c r="J75" s="8">
        <v>1.84</v>
      </c>
      <c r="K75" s="8">
        <v>1.29090909090909</v>
      </c>
      <c r="L75" s="8">
        <v>2.48275862068965</v>
      </c>
      <c r="M75" s="8">
        <v>0.483333333333333</v>
      </c>
      <c r="N75" s="3"/>
      <c r="O75" s="7">
        <v>73</v>
      </c>
      <c r="P75" s="8">
        <v>3.33121576373553</v>
      </c>
      <c r="Q75" s="8">
        <v>3.37236322021164</v>
      </c>
      <c r="R75" s="8">
        <v>3.1165170781021</v>
      </c>
      <c r="S75" s="8">
        <v>3.21700716289685</v>
      </c>
      <c r="T75" s="8">
        <v>2.99258412513467</v>
      </c>
      <c r="U75" s="3"/>
      <c r="V75" s="3"/>
      <c r="W75" s="3"/>
      <c r="X75" s="3"/>
      <c r="Y75" s="3"/>
      <c r="Z75" s="3"/>
      <c r="AA75" s="3"/>
    </row>
    <row x14ac:dyDescent="0.25" r="76" customHeight="1" ht="18.75">
      <c r="A76" s="7">
        <v>74</v>
      </c>
      <c r="B76" s="8">
        <v>14.9794117647058</v>
      </c>
      <c r="C76" s="8">
        <v>17.5827586206896</v>
      </c>
      <c r="D76" s="8">
        <v>15.9727272727272</v>
      </c>
      <c r="E76" s="8">
        <v>12.2166666666666</v>
      </c>
      <c r="F76" s="8">
        <v>16.9666666666666</v>
      </c>
      <c r="G76" s="3"/>
      <c r="H76" s="7">
        <v>74</v>
      </c>
      <c r="I76" s="8">
        <v>0.344117647058823</v>
      </c>
      <c r="J76" s="8">
        <v>3.18620689655172</v>
      </c>
      <c r="K76" s="8">
        <v>3.11363636363636</v>
      </c>
      <c r="L76" s="8">
        <v>3.2</v>
      </c>
      <c r="M76" s="8">
        <v>0.316666666666666</v>
      </c>
      <c r="N76" s="3"/>
      <c r="O76" s="7">
        <v>74</v>
      </c>
      <c r="P76" s="8">
        <v>3.92911460604834</v>
      </c>
      <c r="Q76" s="8">
        <v>3.19682692950824</v>
      </c>
      <c r="R76" s="8">
        <v>3.36988527583393</v>
      </c>
      <c r="S76" s="8">
        <v>3.03926873621292</v>
      </c>
      <c r="T76" s="8">
        <v>2.9125814341448</v>
      </c>
      <c r="U76" s="3"/>
      <c r="V76" s="3"/>
      <c r="W76" s="3"/>
      <c r="X76" s="3"/>
      <c r="Y76" s="3"/>
      <c r="Z76" s="3"/>
      <c r="AA76" s="3"/>
    </row>
    <row x14ac:dyDescent="0.25" r="77" customHeight="1" ht="18.75">
      <c r="A77" s="7">
        <v>75</v>
      </c>
      <c r="B77" s="7">
        <v>15</v>
      </c>
      <c r="C77" s="8">
        <v>17.7241379310344</v>
      </c>
      <c r="D77" s="8">
        <v>17.0704545454545</v>
      </c>
      <c r="E77" s="8">
        <v>11.9347826086956</v>
      </c>
      <c r="F77" s="8">
        <v>17.7666666666666</v>
      </c>
      <c r="G77" s="3"/>
      <c r="H77" s="7">
        <v>75</v>
      </c>
      <c r="I77" s="8">
        <v>1.34999999999999</v>
      </c>
      <c r="J77" s="8">
        <v>2.96333333333333</v>
      </c>
      <c r="K77" s="8">
        <v>1.25</v>
      </c>
      <c r="L77" s="8">
        <v>3.24827586206896</v>
      </c>
      <c r="M77" s="8">
        <v>2.25</v>
      </c>
      <c r="N77" s="3"/>
      <c r="O77" s="7">
        <v>75</v>
      </c>
      <c r="P77" s="8">
        <v>3.46493436618142</v>
      </c>
      <c r="Q77" s="8">
        <v>3.15313078143424</v>
      </c>
      <c r="R77" s="8">
        <v>3.55841394880444</v>
      </c>
      <c r="S77" s="8">
        <v>2.8693274271571</v>
      </c>
      <c r="T77" s="8">
        <v>2.36856356599396</v>
      </c>
      <c r="U77" s="3"/>
      <c r="V77" s="3"/>
      <c r="W77" s="3"/>
      <c r="X77" s="3"/>
      <c r="Y77" s="3"/>
      <c r="Z77" s="3"/>
      <c r="AA77" s="3"/>
    </row>
    <row x14ac:dyDescent="0.25" r="78" customHeight="1" ht="18.75">
      <c r="A78" s="7">
        <v>76</v>
      </c>
      <c r="B78" s="8">
        <v>14.8191176470588</v>
      </c>
      <c r="C78" s="8">
        <v>17.6983333333333</v>
      </c>
      <c r="D78" s="8">
        <v>16.2227272727272</v>
      </c>
      <c r="E78" s="8">
        <v>11.064</v>
      </c>
      <c r="F78" s="8">
        <v>16.1</v>
      </c>
      <c r="G78" s="3"/>
      <c r="H78" s="7">
        <v>76</v>
      </c>
      <c r="I78" s="8">
        <v>1.49117647058823</v>
      </c>
      <c r="J78" s="8">
        <v>2.61666666666666</v>
      </c>
      <c r="K78" s="8">
        <v>3.50454545454545</v>
      </c>
      <c r="L78" s="8">
        <v>4.28666666666666</v>
      </c>
      <c r="M78" s="8">
        <v>1.4</v>
      </c>
      <c r="N78" s="3"/>
      <c r="O78" s="7">
        <v>76</v>
      </c>
      <c r="P78" s="8">
        <v>3.64811500318455</v>
      </c>
      <c r="Q78" s="8">
        <v>3.40685725687458</v>
      </c>
      <c r="R78" s="8">
        <v>3.18857314125921</v>
      </c>
      <c r="S78" s="8">
        <v>2.59895782100294</v>
      </c>
      <c r="T78" s="8">
        <v>2.77592806740149</v>
      </c>
      <c r="U78" s="3"/>
      <c r="V78" s="3"/>
      <c r="W78" s="3"/>
      <c r="X78" s="3"/>
      <c r="Y78" s="3"/>
      <c r="Z78" s="3"/>
      <c r="AA78" s="3"/>
    </row>
    <row x14ac:dyDescent="0.25" r="79" customHeight="1" ht="18.75">
      <c r="A79" s="7">
        <v>77</v>
      </c>
      <c r="B79" s="8">
        <v>13.7426470588235</v>
      </c>
      <c r="C79" s="8">
        <v>17.62</v>
      </c>
      <c r="D79" s="8">
        <v>16.5454545454545</v>
      </c>
      <c r="E79" s="8">
        <v>10.734</v>
      </c>
      <c r="F79" s="8">
        <v>15.3791666666666</v>
      </c>
      <c r="G79" s="3"/>
      <c r="H79" s="7">
        <v>77</v>
      </c>
      <c r="I79" s="8">
        <v>1.84705882352941</v>
      </c>
      <c r="J79" s="8">
        <v>1.69</v>
      </c>
      <c r="K79" s="8">
        <v>1.07727272727272</v>
      </c>
      <c r="L79" s="8">
        <v>2.48666666666666</v>
      </c>
      <c r="M79" s="8">
        <v>3.68333333333333</v>
      </c>
      <c r="N79" s="3"/>
      <c r="O79" s="7">
        <v>77</v>
      </c>
      <c r="P79" s="8">
        <v>3.23711449028497</v>
      </c>
      <c r="Q79" s="8">
        <v>3.17632774581707</v>
      </c>
      <c r="R79" s="8">
        <v>3.42101193014266</v>
      </c>
      <c r="S79" s="8">
        <v>2.85175855291166</v>
      </c>
      <c r="T79" s="8">
        <v>2.7162290778952</v>
      </c>
      <c r="U79" s="3"/>
      <c r="V79" s="3"/>
      <c r="W79" s="3"/>
      <c r="X79" s="3"/>
      <c r="Y79" s="3"/>
      <c r="Z79" s="3"/>
      <c r="AA79" s="3"/>
    </row>
    <row x14ac:dyDescent="0.25" r="80" customHeight="1" ht="18.75">
      <c r="A80" s="7">
        <v>78</v>
      </c>
      <c r="B80" s="8">
        <v>14.5911764705882</v>
      </c>
      <c r="C80" s="8">
        <v>17.17</v>
      </c>
      <c r="D80" s="8">
        <v>15.9863636363636</v>
      </c>
      <c r="E80" s="8">
        <v>11.872</v>
      </c>
      <c r="F80" s="8">
        <v>15.8583333333333</v>
      </c>
      <c r="G80" s="3"/>
      <c r="H80" s="7">
        <v>78</v>
      </c>
      <c r="I80" s="8">
        <v>1.16176470588235</v>
      </c>
      <c r="J80" s="8">
        <v>1.51666666666666</v>
      </c>
      <c r="K80" s="8">
        <v>0.795454545454545</v>
      </c>
      <c r="L80" s="8">
        <v>1.94</v>
      </c>
      <c r="M80" s="8">
        <v>0.85</v>
      </c>
      <c r="N80" s="3"/>
      <c r="O80" s="7">
        <v>78</v>
      </c>
      <c r="P80" s="8">
        <v>3.54971734852211</v>
      </c>
      <c r="Q80" s="8">
        <v>3.38121466442426</v>
      </c>
      <c r="R80" s="8">
        <v>3.79269498125822</v>
      </c>
      <c r="S80" s="8">
        <v>3.00605814814351</v>
      </c>
      <c r="T80" s="8">
        <v>2.82160633127219</v>
      </c>
      <c r="U80" s="3"/>
      <c r="V80" s="3"/>
      <c r="W80" s="3"/>
      <c r="X80" s="3"/>
      <c r="Y80" s="3"/>
      <c r="Z80" s="3"/>
      <c r="AA80" s="3"/>
    </row>
    <row x14ac:dyDescent="0.25" r="81" customHeight="1" ht="18.75">
      <c r="A81" s="7">
        <v>79</v>
      </c>
      <c r="B81" s="8">
        <v>15.3588235294117</v>
      </c>
      <c r="C81" s="8">
        <v>17.2233333333333</v>
      </c>
      <c r="D81" s="8">
        <v>15.9792207792207</v>
      </c>
      <c r="E81" s="8">
        <v>12.266</v>
      </c>
      <c r="F81" s="8">
        <v>16.2166666666666</v>
      </c>
      <c r="G81" s="3"/>
      <c r="H81" s="7">
        <v>79</v>
      </c>
      <c r="I81" s="8">
        <v>0.661764705882352</v>
      </c>
      <c r="J81" s="8">
        <v>3.56451612903225</v>
      </c>
      <c r="K81" s="8">
        <v>1.93636363636363</v>
      </c>
      <c r="L81" s="8">
        <v>2.50666666666666</v>
      </c>
      <c r="M81" s="8">
        <v>0.0833333333333333</v>
      </c>
      <c r="N81" s="3"/>
      <c r="O81" s="7">
        <v>79</v>
      </c>
      <c r="P81" s="8">
        <v>3.67353779173604</v>
      </c>
      <c r="Q81" s="8">
        <v>3.20357695608038</v>
      </c>
      <c r="R81" s="8">
        <v>3.40542882215871</v>
      </c>
      <c r="S81" s="8">
        <v>2.9219821631104</v>
      </c>
      <c r="T81" s="8">
        <v>2.75004815936862</v>
      </c>
      <c r="U81" s="3"/>
      <c r="V81" s="3"/>
      <c r="W81" s="3"/>
      <c r="X81" s="3"/>
      <c r="Y81" s="3"/>
      <c r="Z81" s="3"/>
      <c r="AA81" s="3"/>
    </row>
    <row x14ac:dyDescent="0.25" r="82" customHeight="1" ht="18.75">
      <c r="A82" s="7">
        <v>80</v>
      </c>
      <c r="B82" s="8">
        <v>14.9544117647058</v>
      </c>
      <c r="C82" s="8">
        <v>17.4983333333333</v>
      </c>
      <c r="D82" s="8">
        <v>16.5023809523809</v>
      </c>
      <c r="E82" s="8">
        <v>12.572</v>
      </c>
      <c r="F82" s="8">
        <v>16.4833333333333</v>
      </c>
      <c r="G82" s="3"/>
      <c r="H82" s="7">
        <v>80</v>
      </c>
      <c r="I82" s="8">
        <v>0.955882352941176</v>
      </c>
      <c r="J82" s="8">
        <v>0.806451612903225</v>
      </c>
      <c r="K82" s="8">
        <v>3.24090909090909</v>
      </c>
      <c r="L82" s="8">
        <v>1.78666666666666</v>
      </c>
      <c r="M82" s="8">
        <v>1.11666666666666</v>
      </c>
      <c r="N82" s="3"/>
      <c r="O82" s="7">
        <v>80</v>
      </c>
      <c r="P82" s="8">
        <v>3.27643701043712</v>
      </c>
      <c r="Q82" s="8">
        <v>3.31927458571925</v>
      </c>
      <c r="R82" s="8">
        <v>3.35712665889734</v>
      </c>
      <c r="S82" s="8">
        <v>2.76713444835747</v>
      </c>
      <c r="T82" s="8">
        <v>2.62927530410975</v>
      </c>
      <c r="U82" s="3"/>
      <c r="V82" s="3"/>
      <c r="W82" s="3"/>
      <c r="X82" s="3"/>
      <c r="Y82" s="3"/>
      <c r="Z82" s="3"/>
      <c r="AA82" s="3"/>
    </row>
    <row x14ac:dyDescent="0.25" r="83" customHeight="1" ht="18.75">
      <c r="A83" s="7">
        <v>81</v>
      </c>
      <c r="B83" s="8">
        <v>14.5426470588235</v>
      </c>
      <c r="C83" s="8">
        <v>17.3903225806451</v>
      </c>
      <c r="D83" s="8">
        <v>16.8</v>
      </c>
      <c r="E83" s="8">
        <v>12.03125</v>
      </c>
      <c r="F83" s="8">
        <v>16.6791666666666</v>
      </c>
      <c r="G83" s="3"/>
      <c r="H83" s="7">
        <v>81</v>
      </c>
      <c r="I83" s="8">
        <v>1.08235294117647</v>
      </c>
      <c r="J83" s="8">
        <v>2.8516129032258</v>
      </c>
      <c r="K83" s="8">
        <v>2.90454545454545</v>
      </c>
      <c r="L83" s="8">
        <v>2.03448275862068</v>
      </c>
      <c r="M83" s="8">
        <v>1.63333333333333</v>
      </c>
      <c r="N83" s="3"/>
      <c r="O83" s="7">
        <v>81</v>
      </c>
      <c r="P83" s="8">
        <v>3.20632734986411</v>
      </c>
      <c r="Q83" s="8">
        <v>3.32845024489264</v>
      </c>
      <c r="R83" s="8">
        <v>3.23219576285375</v>
      </c>
      <c r="S83" s="8">
        <v>2.6678979676134</v>
      </c>
      <c r="T83" s="8">
        <v>2.34136731296256</v>
      </c>
      <c r="U83" s="3"/>
      <c r="V83" s="3"/>
      <c r="W83" s="3"/>
      <c r="X83" s="3"/>
      <c r="Y83" s="3"/>
      <c r="Z83" s="3"/>
      <c r="AA83" s="3"/>
    </row>
    <row x14ac:dyDescent="0.25" r="84" customHeight="1" ht="18.75">
      <c r="A84" s="7">
        <v>82</v>
      </c>
      <c r="B84" s="8">
        <v>13.9808823529411</v>
      </c>
      <c r="C84" s="8">
        <v>17.0533333333333</v>
      </c>
      <c r="D84" s="8">
        <v>16.2690476190476</v>
      </c>
      <c r="E84" s="8">
        <v>12.4333333333333</v>
      </c>
      <c r="F84" s="8">
        <v>16.8</v>
      </c>
      <c r="G84" s="3"/>
      <c r="H84" s="7">
        <v>82</v>
      </c>
      <c r="I84" s="8">
        <v>2.19117647058823</v>
      </c>
      <c r="J84" s="8">
        <v>2.99333333333333</v>
      </c>
      <c r="K84" s="8">
        <v>2.94545454545454</v>
      </c>
      <c r="L84" s="8">
        <v>2.67586206896551</v>
      </c>
      <c r="M84" s="8">
        <v>2.28333333333333</v>
      </c>
      <c r="N84" s="3"/>
      <c r="O84" s="7">
        <v>82</v>
      </c>
      <c r="P84" s="8">
        <v>2.96551456667287</v>
      </c>
      <c r="Q84" s="8">
        <v>3.16767331336473</v>
      </c>
      <c r="R84" s="8">
        <v>3.26097968193033</v>
      </c>
      <c r="S84" s="8">
        <v>2.93202570910306</v>
      </c>
      <c r="T84" s="8">
        <v>2.7038604411955</v>
      </c>
      <c r="U84" s="3"/>
      <c r="V84" s="3"/>
      <c r="W84" s="3"/>
      <c r="X84" s="3"/>
      <c r="Y84" s="3"/>
      <c r="Z84" s="3"/>
      <c r="AA84" s="3"/>
    </row>
    <row x14ac:dyDescent="0.25" r="85" customHeight="1" ht="18.75">
      <c r="A85" s="7">
        <v>83</v>
      </c>
      <c r="B85" s="8">
        <v>14.1040998217468</v>
      </c>
      <c r="C85" s="8">
        <v>16.9733333333333</v>
      </c>
      <c r="D85" s="8">
        <v>15.6261904761904</v>
      </c>
      <c r="E85" s="8">
        <v>12.0391304347826</v>
      </c>
      <c r="F85" s="8">
        <v>16.2375</v>
      </c>
      <c r="G85" s="3"/>
      <c r="H85" s="7">
        <v>83</v>
      </c>
      <c r="I85" s="8">
        <v>1.0235294117647</v>
      </c>
      <c r="J85" s="8">
        <v>1.83666666666666</v>
      </c>
      <c r="K85" s="8">
        <v>0.709090909090909</v>
      </c>
      <c r="L85" s="8">
        <v>1.87857142857142</v>
      </c>
      <c r="M85" s="8">
        <v>3.78333333333333</v>
      </c>
      <c r="N85" s="3"/>
      <c r="O85" s="7">
        <v>83</v>
      </c>
      <c r="P85" s="8">
        <v>3.16698734109873</v>
      </c>
      <c r="Q85" s="8">
        <v>3.13076941021646</v>
      </c>
      <c r="R85" s="8">
        <v>2.92138938940926</v>
      </c>
      <c r="S85" s="8">
        <v>2.61690769526421</v>
      </c>
      <c r="T85" s="8">
        <v>2.13871315387148</v>
      </c>
      <c r="U85" s="3"/>
      <c r="V85" s="3"/>
      <c r="W85" s="3"/>
      <c r="X85" s="3"/>
      <c r="Y85" s="3"/>
      <c r="Z85" s="3"/>
      <c r="AA85" s="3"/>
    </row>
    <row x14ac:dyDescent="0.25" r="86" customHeight="1" ht="18.75">
      <c r="A86" s="7">
        <v>84</v>
      </c>
      <c r="B86" s="8">
        <v>14.3970588235294</v>
      </c>
      <c r="C86" s="8">
        <v>16.985</v>
      </c>
      <c r="D86" s="8">
        <v>16.1238095238095</v>
      </c>
      <c r="E86" s="8">
        <v>11.65</v>
      </c>
      <c r="F86" s="8">
        <v>16.875</v>
      </c>
      <c r="G86" s="3"/>
      <c r="H86" s="7">
        <v>84</v>
      </c>
      <c r="I86" s="8">
        <v>2.08529411764705</v>
      </c>
      <c r="J86" s="8">
        <v>1.76666666666666</v>
      </c>
      <c r="K86" s="8">
        <v>1.64090909090909</v>
      </c>
      <c r="L86" s="8">
        <v>4.69333333333333</v>
      </c>
      <c r="M86" s="8">
        <v>2.9</v>
      </c>
      <c r="N86" s="3"/>
      <c r="O86" s="7">
        <v>84</v>
      </c>
      <c r="P86" s="8">
        <v>3.15831903524233</v>
      </c>
      <c r="Q86" s="8">
        <v>2.99719277497295</v>
      </c>
      <c r="R86" s="8">
        <v>3.24240513272995</v>
      </c>
      <c r="S86" s="8">
        <v>2.43594627189045</v>
      </c>
      <c r="T86" s="8">
        <v>2.4308063740099</v>
      </c>
      <c r="U86" s="3"/>
      <c r="V86" s="3"/>
      <c r="W86" s="3"/>
      <c r="X86" s="3"/>
      <c r="Y86" s="3"/>
      <c r="Z86" s="3"/>
      <c r="AA86" s="3"/>
    </row>
    <row x14ac:dyDescent="0.25" r="87" customHeight="1" ht="18.75">
      <c r="A87" s="7">
        <v>85</v>
      </c>
      <c r="B87" s="8">
        <v>13.6132352941176</v>
      </c>
      <c r="C87" s="8">
        <v>17.0645161290322</v>
      </c>
      <c r="D87" s="8">
        <v>15.8095238095238</v>
      </c>
      <c r="E87" s="8">
        <v>12.1</v>
      </c>
      <c r="F87" s="8">
        <v>17.025</v>
      </c>
      <c r="G87" s="3"/>
      <c r="H87" s="7">
        <v>85</v>
      </c>
      <c r="I87" s="8">
        <v>0.367647058823529</v>
      </c>
      <c r="J87" s="8">
        <v>3.43548387096774</v>
      </c>
      <c r="K87" s="8">
        <v>2.88181818181818</v>
      </c>
      <c r="L87" s="8">
        <v>1.28666666666666</v>
      </c>
      <c r="M87" s="8">
        <v>3.73333333333333</v>
      </c>
      <c r="N87" s="3"/>
      <c r="O87" s="7">
        <v>85</v>
      </c>
      <c r="P87" s="8">
        <v>2.98346536012253</v>
      </c>
      <c r="Q87" s="8">
        <v>3.14053083270997</v>
      </c>
      <c r="R87" s="8">
        <v>2.94561586637454</v>
      </c>
      <c r="S87" s="8">
        <v>2.67920230740301</v>
      </c>
      <c r="T87" s="8">
        <v>2.38665253779637</v>
      </c>
      <c r="U87" s="3"/>
      <c r="V87" s="3"/>
      <c r="W87" s="3"/>
      <c r="X87" s="3"/>
      <c r="Y87" s="3"/>
      <c r="Z87" s="3"/>
      <c r="AA87" s="3"/>
    </row>
    <row x14ac:dyDescent="0.25" r="88" customHeight="1" ht="18.75">
      <c r="A88" s="7">
        <v>86</v>
      </c>
      <c r="B88" s="8">
        <v>14.4676470588235</v>
      </c>
      <c r="C88" s="8">
        <v>17.208064516129</v>
      </c>
      <c r="D88" s="8">
        <v>16.5428571428571</v>
      </c>
      <c r="E88" s="8">
        <v>13.328</v>
      </c>
      <c r="F88" s="8">
        <v>17.3</v>
      </c>
      <c r="G88" s="3"/>
      <c r="H88" s="7">
        <v>86</v>
      </c>
      <c r="I88" s="8">
        <v>1.08235294117647</v>
      </c>
      <c r="J88" s="8">
        <v>0.974193548387096</v>
      </c>
      <c r="K88" s="8">
        <v>1.95</v>
      </c>
      <c r="L88" s="8">
        <v>1.33333333333333</v>
      </c>
      <c r="M88" s="8">
        <v>1.93333333333333</v>
      </c>
      <c r="N88" s="3"/>
      <c r="O88" s="7">
        <v>86</v>
      </c>
      <c r="P88" s="8">
        <v>2.83330920439644</v>
      </c>
      <c r="Q88" s="8">
        <v>3.12950185550196</v>
      </c>
      <c r="R88" s="8">
        <v>2.99661872462436</v>
      </c>
      <c r="S88" s="8">
        <v>3.30116595774364</v>
      </c>
      <c r="T88" s="8">
        <v>2.65017799618244</v>
      </c>
      <c r="U88" s="3"/>
      <c r="V88" s="3"/>
      <c r="W88" s="3"/>
      <c r="X88" s="3"/>
      <c r="Y88" s="3"/>
      <c r="Z88" s="3"/>
      <c r="AA88" s="3"/>
    </row>
    <row x14ac:dyDescent="0.25" r="89" customHeight="1" ht="18.75">
      <c r="A89" s="7">
        <v>87</v>
      </c>
      <c r="B89" s="8">
        <v>14.9264705882352</v>
      </c>
      <c r="C89" s="8">
        <v>17.1416666666666</v>
      </c>
      <c r="D89" s="8">
        <v>16.4522727272727</v>
      </c>
      <c r="E89" s="8">
        <v>12.5395833333333</v>
      </c>
      <c r="F89" s="8">
        <v>15.9833333333333</v>
      </c>
      <c r="G89" s="3"/>
      <c r="H89" s="7">
        <v>87</v>
      </c>
      <c r="I89" s="8">
        <v>0.947058823529411</v>
      </c>
      <c r="J89" s="8">
        <v>2.43225806451612</v>
      </c>
      <c r="K89" s="8">
        <v>0.372727272727272</v>
      </c>
      <c r="L89" s="8">
        <v>2.61379310344827</v>
      </c>
      <c r="M89" s="8">
        <v>1.21666666666666</v>
      </c>
      <c r="N89" s="3"/>
      <c r="O89" s="7">
        <v>87</v>
      </c>
      <c r="P89" s="8">
        <v>3.21972745270357</v>
      </c>
      <c r="Q89" s="8">
        <v>2.66006384057475</v>
      </c>
      <c r="R89" s="8">
        <v>2.82954831658865</v>
      </c>
      <c r="S89" s="8">
        <v>2.87708093530105</v>
      </c>
      <c r="T89" s="8">
        <v>2.235273507447</v>
      </c>
      <c r="U89" s="3"/>
      <c r="V89" s="3"/>
      <c r="W89" s="3"/>
      <c r="X89" s="3"/>
      <c r="Y89" s="3"/>
      <c r="Z89" s="3"/>
      <c r="AA89" s="3"/>
    </row>
    <row x14ac:dyDescent="0.25" r="90" customHeight="1" ht="18.75">
      <c r="A90" s="7">
        <v>88</v>
      </c>
      <c r="B90" s="8">
        <v>14.8691176470588</v>
      </c>
      <c r="C90" s="8">
        <v>17.3383333333333</v>
      </c>
      <c r="D90" s="8">
        <v>16.6727272727272</v>
      </c>
      <c r="E90" s="8">
        <v>12.6895833333333</v>
      </c>
      <c r="F90" s="8">
        <v>16.4041666666666</v>
      </c>
      <c r="G90" s="3"/>
      <c r="H90" s="7">
        <v>88</v>
      </c>
      <c r="I90" s="8">
        <v>1.05588235294117</v>
      </c>
      <c r="J90" s="8">
        <v>2.81935483870967</v>
      </c>
      <c r="K90" s="8">
        <v>1.17272727272727</v>
      </c>
      <c r="L90" s="8">
        <v>2.4</v>
      </c>
      <c r="M90" s="8">
        <v>2.33333333333333</v>
      </c>
      <c r="N90" s="3"/>
      <c r="O90" s="7">
        <v>88</v>
      </c>
      <c r="P90" s="8">
        <v>3.24667359559101</v>
      </c>
      <c r="Q90" s="8">
        <v>2.78161840843589</v>
      </c>
      <c r="R90" s="8">
        <v>3.36118952985504</v>
      </c>
      <c r="S90" s="8">
        <v>2.990758864645</v>
      </c>
      <c r="T90" s="8">
        <v>2.34619690456989</v>
      </c>
      <c r="U90" s="3"/>
      <c r="V90" s="3"/>
      <c r="W90" s="3"/>
      <c r="X90" s="3"/>
      <c r="Y90" s="3"/>
      <c r="Z90" s="3"/>
      <c r="AA90" s="3"/>
    </row>
    <row x14ac:dyDescent="0.25" r="91" customHeight="1" ht="18.75">
      <c r="A91" s="7">
        <v>89</v>
      </c>
      <c r="B91" s="8">
        <v>14.9382352941176</v>
      </c>
      <c r="C91" s="8">
        <v>17.1362068965517</v>
      </c>
      <c r="D91" s="8">
        <v>16.1977272727272</v>
      </c>
      <c r="E91" s="8">
        <v>12.312</v>
      </c>
      <c r="F91" s="8">
        <v>16.6291666666666</v>
      </c>
      <c r="G91" s="3"/>
      <c r="H91" s="7">
        <v>89</v>
      </c>
      <c r="I91" s="8">
        <v>2.78529411764705</v>
      </c>
      <c r="J91" s="8">
        <v>1.15333333333333</v>
      </c>
      <c r="K91" s="8">
        <v>0.35</v>
      </c>
      <c r="L91" s="8">
        <v>2.76666666666666</v>
      </c>
      <c r="M91" s="8">
        <v>2.23333333333333</v>
      </c>
      <c r="N91" s="3"/>
      <c r="O91" s="7">
        <v>89</v>
      </c>
      <c r="P91" s="8">
        <v>3.40720374201003</v>
      </c>
      <c r="Q91" s="8">
        <v>3.16549451986696</v>
      </c>
      <c r="R91" s="8">
        <v>3.37042335958796</v>
      </c>
      <c r="S91" s="8">
        <v>2.69104012664188</v>
      </c>
      <c r="T91" s="8">
        <v>2.53304583147558</v>
      </c>
      <c r="U91" s="3"/>
      <c r="V91" s="3"/>
      <c r="W91" s="3"/>
      <c r="X91" s="3"/>
      <c r="Y91" s="3"/>
      <c r="Z91" s="3"/>
      <c r="AA91" s="3"/>
    </row>
    <row x14ac:dyDescent="0.25" r="92" customHeight="1" ht="18.75">
      <c r="A92" s="7">
        <v>90</v>
      </c>
      <c r="B92" s="8">
        <v>14.0308823529411</v>
      </c>
      <c r="C92" s="8">
        <v>16.9224137931034</v>
      </c>
      <c r="D92" s="8">
        <v>15.6590909090909</v>
      </c>
      <c r="E92" s="8">
        <v>11.952</v>
      </c>
      <c r="F92" s="8">
        <v>16.1124999999999</v>
      </c>
      <c r="G92" s="3"/>
      <c r="H92" s="7">
        <v>90</v>
      </c>
      <c r="I92" s="8">
        <v>1.87941176470588</v>
      </c>
      <c r="J92" s="8">
        <v>2.97333333333333</v>
      </c>
      <c r="K92" s="8">
        <v>0.654545454545454</v>
      </c>
      <c r="L92" s="8">
        <v>1.63333333333333</v>
      </c>
      <c r="M92" s="8">
        <v>2.08333333333333</v>
      </c>
      <c r="N92" s="3"/>
      <c r="O92" s="7">
        <v>90</v>
      </c>
      <c r="P92" s="8">
        <v>3.05528129235052</v>
      </c>
      <c r="Q92" s="8">
        <v>2.84233525233393</v>
      </c>
      <c r="R92" s="8">
        <v>3.02110954676741</v>
      </c>
      <c r="S92" s="8">
        <v>2.48344448486807</v>
      </c>
      <c r="T92" s="8">
        <v>2.46611617159065</v>
      </c>
      <c r="U92" s="3"/>
      <c r="V92" s="3"/>
      <c r="W92" s="3"/>
      <c r="X92" s="3"/>
      <c r="Y92" s="3"/>
      <c r="Z92" s="3"/>
      <c r="AA92" s="3"/>
    </row>
    <row x14ac:dyDescent="0.25" r="93" customHeight="1" ht="18.75">
      <c r="A93" s="7">
        <v>91</v>
      </c>
      <c r="B93" s="8">
        <v>13.4647058823529</v>
      </c>
      <c r="C93" s="8">
        <v>16.63</v>
      </c>
      <c r="D93" s="8">
        <v>15.4340909090909</v>
      </c>
      <c r="E93" s="8">
        <v>11.666</v>
      </c>
      <c r="F93" s="8">
        <v>15.8625</v>
      </c>
      <c r="G93" s="3"/>
      <c r="H93" s="7">
        <v>91</v>
      </c>
      <c r="I93" s="8">
        <v>1.08529411764705</v>
      </c>
      <c r="J93" s="8">
        <v>1.76451612903225</v>
      </c>
      <c r="K93" s="8">
        <v>0.59090909090909</v>
      </c>
      <c r="L93" s="8">
        <v>2.33333333333333</v>
      </c>
      <c r="M93" s="8">
        <v>1.33333333333333</v>
      </c>
      <c r="N93" s="3"/>
      <c r="O93" s="7">
        <v>91</v>
      </c>
      <c r="P93" s="8">
        <v>3.01312511683413</v>
      </c>
      <c r="Q93" s="8">
        <v>2.87489723992915</v>
      </c>
      <c r="R93" s="8">
        <v>2.92861241716354</v>
      </c>
      <c r="S93" s="8">
        <v>2.64394305336521</v>
      </c>
      <c r="T93" s="8">
        <v>2.31739786200845</v>
      </c>
      <c r="U93" s="3"/>
      <c r="V93" s="3"/>
      <c r="W93" s="3"/>
      <c r="X93" s="3"/>
      <c r="Y93" s="3"/>
      <c r="Z93" s="3"/>
      <c r="AA93" s="3"/>
    </row>
    <row x14ac:dyDescent="0.25" r="94" customHeight="1" ht="18.75">
      <c r="A94" s="7">
        <v>92</v>
      </c>
      <c r="B94" s="8">
        <v>14.0176470588235</v>
      </c>
      <c r="C94" s="8">
        <v>16.5379310344827</v>
      </c>
      <c r="D94" s="8">
        <v>14.9068181818181</v>
      </c>
      <c r="E94" s="8">
        <v>11.8020833333333</v>
      </c>
      <c r="F94" s="8">
        <v>15.2999999999999</v>
      </c>
      <c r="G94" s="3"/>
      <c r="H94" s="7">
        <v>92</v>
      </c>
      <c r="I94" s="8">
        <v>0.941176470588235</v>
      </c>
      <c r="J94" s="8">
        <v>3.32258064516129</v>
      </c>
      <c r="K94" s="8">
        <v>0.509090909090909</v>
      </c>
      <c r="L94" s="8">
        <v>1.6</v>
      </c>
      <c r="M94" s="8">
        <v>0.366666666666666</v>
      </c>
      <c r="N94" s="3"/>
      <c r="O94" s="7">
        <v>92</v>
      </c>
      <c r="P94" s="8">
        <v>3.21860938622292</v>
      </c>
      <c r="Q94" s="8">
        <v>2.54692619161124</v>
      </c>
      <c r="R94" s="8">
        <v>2.63572116518728</v>
      </c>
      <c r="S94" s="8">
        <v>2.80204355654957</v>
      </c>
      <c r="T94" s="8">
        <v>2.13112758500357</v>
      </c>
      <c r="U94" s="3"/>
      <c r="V94" s="3"/>
      <c r="W94" s="3"/>
      <c r="X94" s="3"/>
      <c r="Y94" s="3"/>
      <c r="Z94" s="3"/>
      <c r="AA94" s="3"/>
    </row>
    <row x14ac:dyDescent="0.25" r="95" customHeight="1" ht="18.75">
      <c r="A95" s="7">
        <v>93</v>
      </c>
      <c r="B95" s="8">
        <v>13.6090909090909</v>
      </c>
      <c r="C95" s="8">
        <v>16.6931034482758</v>
      </c>
      <c r="D95" s="8">
        <v>15.745238095238</v>
      </c>
      <c r="E95" s="8">
        <v>11.684</v>
      </c>
      <c r="F95" s="8">
        <v>16.2666666666666</v>
      </c>
      <c r="G95" s="3"/>
      <c r="H95" s="7">
        <v>93</v>
      </c>
      <c r="I95" s="8">
        <v>1.49117647058823</v>
      </c>
      <c r="J95" s="8">
        <v>2.80645161290322</v>
      </c>
      <c r="K95" s="8">
        <v>1.37727272727272</v>
      </c>
      <c r="L95" s="8">
        <v>3.84</v>
      </c>
      <c r="M95" s="8">
        <v>4.36666666666666</v>
      </c>
      <c r="N95" s="3"/>
      <c r="O95" s="7">
        <v>93</v>
      </c>
      <c r="P95" s="8">
        <v>3.07176916757397</v>
      </c>
      <c r="Q95" s="8">
        <v>2.84934667455179</v>
      </c>
      <c r="R95" s="8">
        <v>3.0848116914344</v>
      </c>
      <c r="S95" s="8">
        <v>2.72791101829026</v>
      </c>
      <c r="T95" s="8">
        <v>2.19424155428042</v>
      </c>
      <c r="U95" s="3"/>
      <c r="V95" s="3"/>
      <c r="W95" s="3"/>
      <c r="X95" s="3"/>
      <c r="Y95" s="3"/>
      <c r="Z95" s="3"/>
      <c r="AA95" s="3"/>
    </row>
    <row x14ac:dyDescent="0.25" r="96" customHeight="1" ht="18.75">
      <c r="A96" s="7">
        <v>94</v>
      </c>
      <c r="B96" s="8">
        <v>13.085294117647</v>
      </c>
      <c r="C96" s="8">
        <v>16.29</v>
      </c>
      <c r="D96" s="8">
        <v>15.7068181818181</v>
      </c>
      <c r="E96" s="8">
        <v>10.448</v>
      </c>
      <c r="F96" s="8">
        <v>16.0083333333333</v>
      </c>
      <c r="G96" s="3"/>
      <c r="H96" s="7">
        <v>94</v>
      </c>
      <c r="I96" s="8">
        <v>1.72941176470588</v>
      </c>
      <c r="J96" s="8">
        <v>1.44838709677419</v>
      </c>
      <c r="K96" s="8">
        <v>2.9590909090909</v>
      </c>
      <c r="L96" s="8">
        <v>3.46666666666666</v>
      </c>
      <c r="M96" s="8">
        <v>5.58333333333333</v>
      </c>
      <c r="N96" s="3"/>
      <c r="O96" s="7">
        <v>94</v>
      </c>
      <c r="P96" s="8">
        <v>2.77842320534388</v>
      </c>
      <c r="Q96" s="8">
        <v>3.04847392107171</v>
      </c>
      <c r="R96" s="8">
        <v>3.1643365321727</v>
      </c>
      <c r="S96" s="8">
        <v>2.44367883193786</v>
      </c>
      <c r="T96" s="8">
        <v>2.18875214188912</v>
      </c>
      <c r="U96" s="3"/>
      <c r="V96" s="3"/>
      <c r="W96" s="3"/>
      <c r="X96" s="3"/>
      <c r="Y96" s="3"/>
      <c r="Z96" s="3"/>
      <c r="AA96" s="3"/>
    </row>
    <row x14ac:dyDescent="0.25" r="97" customHeight="1" ht="18.75">
      <c r="A97" s="7">
        <v>95</v>
      </c>
      <c r="B97" s="8">
        <v>12.85</v>
      </c>
      <c r="C97" s="8">
        <v>16.28</v>
      </c>
      <c r="D97" s="8">
        <v>14.5727272727272</v>
      </c>
      <c r="E97" s="8">
        <v>10.462</v>
      </c>
      <c r="F97" s="8">
        <v>14.8083333333333</v>
      </c>
      <c r="G97" s="3"/>
      <c r="H97" s="7">
        <v>95</v>
      </c>
      <c r="I97" s="8">
        <v>1.34411764705882</v>
      </c>
      <c r="J97" s="8">
        <v>1.68387096774193</v>
      </c>
      <c r="K97" s="8">
        <v>4.32272727272727</v>
      </c>
      <c r="L97" s="8">
        <v>3.90666666666666</v>
      </c>
      <c r="M97" s="8">
        <v>3.93333333333333</v>
      </c>
      <c r="N97" s="3"/>
      <c r="O97" s="7">
        <v>95</v>
      </c>
      <c r="P97" s="8">
        <v>2.61431180626996</v>
      </c>
      <c r="Q97" s="8">
        <v>2.96313571048451</v>
      </c>
      <c r="R97" s="8">
        <v>2.51177424210639</v>
      </c>
      <c r="S97" s="8">
        <v>2.44019776773146</v>
      </c>
      <c r="T97" s="8">
        <v>2.25899576438928</v>
      </c>
      <c r="U97" s="3"/>
      <c r="V97" s="3"/>
      <c r="W97" s="3"/>
      <c r="X97" s="3"/>
      <c r="Y97" s="3"/>
      <c r="Z97" s="3"/>
      <c r="AA97" s="3"/>
    </row>
    <row x14ac:dyDescent="0.25" r="98" customHeight="1" ht="18.75">
      <c r="A98" s="7">
        <v>96</v>
      </c>
      <c r="B98" s="8">
        <v>12.9941176470588</v>
      </c>
      <c r="C98" s="8">
        <v>16.2883333333333</v>
      </c>
      <c r="D98" s="8">
        <v>14.770238095238</v>
      </c>
      <c r="E98" s="8">
        <v>10.786</v>
      </c>
      <c r="F98" s="8">
        <v>14.2833333333333</v>
      </c>
      <c r="G98" s="3"/>
      <c r="H98" s="7">
        <v>96</v>
      </c>
      <c r="I98" s="8">
        <v>2.29117647058823</v>
      </c>
      <c r="J98" s="8">
        <v>3.10666666666666</v>
      </c>
      <c r="K98" s="8">
        <v>3.11363636363636</v>
      </c>
      <c r="L98" s="8">
        <v>1.91333333333333</v>
      </c>
      <c r="M98" s="8">
        <v>1.26666666666666</v>
      </c>
      <c r="N98" s="3"/>
      <c r="O98" s="7">
        <v>96</v>
      </c>
      <c r="P98" s="8">
        <v>2.55102036350638</v>
      </c>
      <c r="Q98" s="8">
        <v>2.83640942282667</v>
      </c>
      <c r="R98" s="8">
        <v>2.65674760600472</v>
      </c>
      <c r="S98" s="8">
        <v>2.48493592911516</v>
      </c>
      <c r="T98" s="8">
        <v>2.29522232006039</v>
      </c>
      <c r="U98" s="3"/>
      <c r="V98" s="3"/>
      <c r="W98" s="3"/>
      <c r="X98" s="3"/>
      <c r="Y98" s="3"/>
      <c r="Z98" s="3"/>
      <c r="AA98" s="3"/>
    </row>
    <row x14ac:dyDescent="0.25" r="99" customHeight="1" ht="18.75">
      <c r="A99" s="7">
        <v>97</v>
      </c>
      <c r="B99" s="8">
        <v>12.8911764705882</v>
      </c>
      <c r="C99" s="8">
        <v>16.2475026014568</v>
      </c>
      <c r="D99" s="8">
        <v>14.7797619047619</v>
      </c>
      <c r="E99" s="8">
        <v>11.13125</v>
      </c>
      <c r="F99" s="8">
        <v>13.2583333333333</v>
      </c>
      <c r="G99" s="3"/>
      <c r="H99" s="7">
        <v>97</v>
      </c>
      <c r="I99" s="8">
        <v>3.50588235294117</v>
      </c>
      <c r="J99" s="8">
        <v>2.30333333333333</v>
      </c>
      <c r="K99" s="8">
        <v>1.89090909090909</v>
      </c>
      <c r="L99" s="8">
        <v>1.76551724137931</v>
      </c>
      <c r="M99" s="8">
        <v>1.18333333333333</v>
      </c>
      <c r="N99" s="3"/>
      <c r="O99" s="7">
        <v>97</v>
      </c>
      <c r="P99" s="8">
        <v>2.59009772747702</v>
      </c>
      <c r="Q99" s="8">
        <v>2.77332485681865</v>
      </c>
      <c r="R99" s="8">
        <v>2.71208964442289</v>
      </c>
      <c r="S99" s="8">
        <v>2.05797228981641</v>
      </c>
      <c r="T99" s="8">
        <v>1.94562323949851</v>
      </c>
      <c r="U99" s="3"/>
      <c r="V99" s="3"/>
      <c r="W99" s="3"/>
      <c r="X99" s="3"/>
      <c r="Y99" s="3"/>
      <c r="Z99" s="3"/>
      <c r="AA99" s="3"/>
    </row>
    <row x14ac:dyDescent="0.25" r="100" customHeight="1" ht="18.75">
      <c r="A100" s="7">
        <v>98</v>
      </c>
      <c r="B100" s="8">
        <v>12.9249999999999</v>
      </c>
      <c r="C100" s="8">
        <v>15.9919354838709</v>
      </c>
      <c r="D100" s="8">
        <v>14.0238095238095</v>
      </c>
      <c r="E100" s="8">
        <v>10.8695652173913</v>
      </c>
      <c r="F100" s="8">
        <v>13.8666666666666</v>
      </c>
      <c r="G100" s="3"/>
      <c r="H100" s="7">
        <v>98</v>
      </c>
      <c r="I100" s="8">
        <v>2.10294117647058</v>
      </c>
      <c r="J100" s="8">
        <v>3.04</v>
      </c>
      <c r="K100" s="8">
        <v>2.9</v>
      </c>
      <c r="L100" s="8">
        <v>2.77857142857142</v>
      </c>
      <c r="M100" s="8">
        <v>4.73333333333333</v>
      </c>
      <c r="N100" s="3"/>
      <c r="O100" s="7">
        <v>98</v>
      </c>
      <c r="P100" s="8">
        <v>2.69449355817847</v>
      </c>
      <c r="Q100" s="8">
        <v>2.49283034912888</v>
      </c>
      <c r="R100" s="8">
        <v>2.24115834934723</v>
      </c>
      <c r="S100" s="8">
        <v>2.10070410997052</v>
      </c>
      <c r="T100" s="8">
        <v>1.65226329552866</v>
      </c>
      <c r="U100" s="3"/>
      <c r="V100" s="3"/>
      <c r="W100" s="3"/>
      <c r="X100" s="3"/>
      <c r="Y100" s="3"/>
      <c r="Z100" s="3"/>
      <c r="AA100" s="3"/>
    </row>
    <row x14ac:dyDescent="0.25" r="101" customHeight="1" ht="18.75">
      <c r="A101" s="7">
        <v>99</v>
      </c>
      <c r="B101" s="8">
        <v>12.3632352941176</v>
      </c>
      <c r="C101" s="8">
        <v>15.7</v>
      </c>
      <c r="D101" s="8">
        <v>13.8895021645021</v>
      </c>
      <c r="E101" s="8">
        <v>9.50434782608695</v>
      </c>
      <c r="F101" s="8">
        <v>14.4041666666666</v>
      </c>
      <c r="G101" s="3"/>
      <c r="H101" s="7">
        <v>99</v>
      </c>
      <c r="I101" s="8">
        <v>2.81176470588235</v>
      </c>
      <c r="J101" s="8">
        <v>4.67</v>
      </c>
      <c r="K101" s="8">
        <v>3.44090909090909</v>
      </c>
      <c r="L101" s="8">
        <v>2.34814814814814</v>
      </c>
      <c r="M101" s="8">
        <v>4.31666666666666</v>
      </c>
      <c r="N101" s="3"/>
      <c r="O101" s="7">
        <v>99</v>
      </c>
      <c r="P101" s="8">
        <v>2.27410330215878</v>
      </c>
      <c r="Q101" s="8">
        <v>2.46452442564252</v>
      </c>
      <c r="R101" s="8">
        <v>2.09771894386041</v>
      </c>
      <c r="S101" s="8">
        <v>1.84284559654252</v>
      </c>
      <c r="T101" s="8">
        <v>1.86682522347658</v>
      </c>
      <c r="U101" s="3"/>
      <c r="V101" s="3"/>
      <c r="W101" s="3"/>
      <c r="X101" s="3"/>
      <c r="Y101" s="3"/>
      <c r="Z101" s="3"/>
      <c r="AA101" s="3"/>
    </row>
    <row x14ac:dyDescent="0.25" r="102" customHeight="1" ht="18.75">
      <c r="A102" s="7">
        <v>100</v>
      </c>
      <c r="B102" s="8">
        <v>11.3573529411764</v>
      </c>
      <c r="C102" s="8">
        <v>15.6066666666666</v>
      </c>
      <c r="D102" s="8">
        <v>13.7568181818181</v>
      </c>
      <c r="E102" s="8">
        <v>9.87727272727272</v>
      </c>
      <c r="F102" s="8">
        <v>14.5416666666666</v>
      </c>
      <c r="G102" s="3"/>
      <c r="H102" s="7">
        <v>100</v>
      </c>
      <c r="I102" s="8">
        <v>2.06764705882352</v>
      </c>
      <c r="J102" s="8">
        <v>2.90999999999999</v>
      </c>
      <c r="K102" s="8">
        <v>3.15454545454545</v>
      </c>
      <c r="L102" s="8">
        <v>1.83846153846153</v>
      </c>
      <c r="M102" s="8">
        <v>4.43333333333333</v>
      </c>
      <c r="N102" s="3"/>
      <c r="O102" s="7">
        <v>100</v>
      </c>
      <c r="P102" s="8">
        <v>2.42845739075634</v>
      </c>
      <c r="Q102" s="8">
        <v>2.60850328521963</v>
      </c>
      <c r="R102" s="8">
        <v>2.35176594302343</v>
      </c>
      <c r="S102" s="8">
        <v>2.04482952041843</v>
      </c>
      <c r="T102" s="8">
        <v>1.97301093095216</v>
      </c>
      <c r="U102" s="3"/>
      <c r="V102" s="3"/>
      <c r="W102" s="3"/>
      <c r="X102" s="3"/>
      <c r="Y102" s="3"/>
      <c r="Z102" s="3"/>
      <c r="AA102" s="3"/>
    </row>
    <row x14ac:dyDescent="0.25" r="103" customHeight="1" ht="18.75">
      <c r="A103" s="7">
        <v>101</v>
      </c>
      <c r="B103" s="8">
        <v>11.6044117647058</v>
      </c>
      <c r="C103" s="8">
        <v>15.335</v>
      </c>
      <c r="D103" s="8">
        <v>13.3296536796536</v>
      </c>
      <c r="E103" s="8">
        <v>10.3785714285714</v>
      </c>
      <c r="F103" s="8">
        <v>14.2791666666666</v>
      </c>
      <c r="G103" s="3"/>
      <c r="H103" s="7">
        <v>101</v>
      </c>
      <c r="I103" s="8">
        <v>1.37941176470588</v>
      </c>
      <c r="J103" s="8">
        <v>2.68333333333333</v>
      </c>
      <c r="K103" s="8">
        <v>3.97272727272727</v>
      </c>
      <c r="L103" s="8">
        <v>1.472</v>
      </c>
      <c r="M103" s="8">
        <v>1.33333333333333</v>
      </c>
      <c r="N103" s="3"/>
      <c r="O103" s="7">
        <v>101</v>
      </c>
      <c r="P103" s="8">
        <v>2.30587050945396</v>
      </c>
      <c r="Q103" s="8">
        <v>2.45140037536581</v>
      </c>
      <c r="R103" s="8">
        <v>2.25882121212522</v>
      </c>
      <c r="S103" s="8">
        <v>2.20580624084586</v>
      </c>
      <c r="T103" s="8">
        <v>1.63836682585681</v>
      </c>
      <c r="U103" s="3"/>
      <c r="V103" s="3"/>
      <c r="W103" s="3"/>
      <c r="X103" s="3"/>
      <c r="Y103" s="3"/>
      <c r="Z103" s="3"/>
      <c r="AA103" s="3"/>
    </row>
    <row x14ac:dyDescent="0.25" r="104" customHeight="1" ht="18.75">
      <c r="A104" s="7">
        <v>102</v>
      </c>
      <c r="B104" s="8">
        <v>11.4454545454545</v>
      </c>
      <c r="C104" s="8">
        <v>15.3916666666666</v>
      </c>
      <c r="D104" s="8">
        <v>13.8667857142857</v>
      </c>
      <c r="E104" s="8">
        <v>10.0674999999999</v>
      </c>
      <c r="F104" s="8">
        <v>15.1666666666666</v>
      </c>
      <c r="G104" s="3"/>
      <c r="H104" s="7">
        <v>102</v>
      </c>
      <c r="I104" s="8">
        <v>1.81176470588235</v>
      </c>
      <c r="J104" s="8">
        <v>4.07</v>
      </c>
      <c r="K104" s="8">
        <v>2.07727272727272</v>
      </c>
      <c r="L104" s="8">
        <v>2.56</v>
      </c>
      <c r="M104" s="8">
        <v>3.78333333333333</v>
      </c>
      <c r="N104" s="3"/>
      <c r="O104" s="7">
        <v>102</v>
      </c>
      <c r="P104" s="8">
        <v>2.12582591557457</v>
      </c>
      <c r="Q104" s="8">
        <v>2.54129590695179</v>
      </c>
      <c r="R104" s="8">
        <v>2.39791494580256</v>
      </c>
      <c r="S104" s="8">
        <v>1.74963192967944</v>
      </c>
      <c r="T104" s="8">
        <v>1.89368323019321</v>
      </c>
      <c r="U104" s="3"/>
      <c r="V104" s="3"/>
      <c r="W104" s="3"/>
      <c r="X104" s="3"/>
      <c r="Y104" s="3"/>
      <c r="Z104" s="3"/>
      <c r="AA104" s="3"/>
    </row>
    <row x14ac:dyDescent="0.25" r="105" customHeight="1" ht="18.75">
      <c r="A105" s="7">
        <v>103</v>
      </c>
      <c r="B105" s="8">
        <v>11.8970588235294</v>
      </c>
      <c r="C105" s="8">
        <v>15.6451612903225</v>
      </c>
      <c r="D105" s="8">
        <v>13.8204545454545</v>
      </c>
      <c r="E105" s="8">
        <v>9.46590909090909</v>
      </c>
      <c r="F105" s="8">
        <v>14.675</v>
      </c>
      <c r="G105" s="3"/>
      <c r="H105" s="7">
        <v>103</v>
      </c>
      <c r="I105" s="8">
        <v>1.41176470588235</v>
      </c>
      <c r="J105" s="8">
        <v>2.43333333333333</v>
      </c>
      <c r="K105" s="8">
        <v>2.42272727272727</v>
      </c>
      <c r="L105" s="8">
        <v>2.09629629629629</v>
      </c>
      <c r="M105" s="8">
        <v>4.51666666666666</v>
      </c>
      <c r="N105" s="3"/>
      <c r="O105" s="7">
        <v>103</v>
      </c>
      <c r="P105" s="8">
        <v>2.28554602992386</v>
      </c>
      <c r="Q105" s="8">
        <v>2.50748686707868</v>
      </c>
      <c r="R105" s="8">
        <v>2.27091546999819</v>
      </c>
      <c r="S105" s="8">
        <v>1.98630147001137</v>
      </c>
      <c r="T105" s="8">
        <v>1.6971366028359</v>
      </c>
      <c r="U105" s="3"/>
      <c r="V105" s="3"/>
      <c r="W105" s="3"/>
      <c r="X105" s="3"/>
      <c r="Y105" s="3"/>
      <c r="Z105" s="3"/>
      <c r="AA105" s="3"/>
    </row>
    <row x14ac:dyDescent="0.25" r="106" customHeight="1" ht="18.75">
      <c r="A106" s="7">
        <v>104</v>
      </c>
      <c r="B106" s="8">
        <v>11.5014705882352</v>
      </c>
      <c r="C106" s="8">
        <v>15.3435483870967</v>
      </c>
      <c r="D106" s="8">
        <v>13.2340909090909</v>
      </c>
      <c r="E106" s="8">
        <v>10.4</v>
      </c>
      <c r="F106" s="8">
        <v>13.5041666666666</v>
      </c>
      <c r="G106" s="3"/>
      <c r="H106" s="7">
        <v>104</v>
      </c>
      <c r="I106" s="8">
        <v>1.26470588235294</v>
      </c>
      <c r="J106" s="8">
        <v>3.55333333333333</v>
      </c>
      <c r="K106" s="8">
        <v>0.6</v>
      </c>
      <c r="L106" s="8">
        <v>1.5</v>
      </c>
      <c r="M106" s="8">
        <v>4.5</v>
      </c>
      <c r="N106" s="3"/>
      <c r="O106" s="7">
        <v>104</v>
      </c>
      <c r="P106" s="8">
        <v>2.1675311808749</v>
      </c>
      <c r="Q106" s="8">
        <v>2.53164431510397</v>
      </c>
      <c r="R106" s="8">
        <v>2.50646706691615</v>
      </c>
      <c r="S106" s="8">
        <v>2.1272661269223</v>
      </c>
      <c r="T106" s="8">
        <v>1.69706859044103</v>
      </c>
      <c r="U106" s="3"/>
      <c r="V106" s="3"/>
      <c r="W106" s="3"/>
      <c r="X106" s="3"/>
      <c r="Y106" s="3"/>
      <c r="Z106" s="3"/>
      <c r="AA106" s="3"/>
    </row>
    <row x14ac:dyDescent="0.25" r="107" customHeight="1" ht="18.75">
      <c r="A107" s="7">
        <v>105</v>
      </c>
      <c r="B107" s="8">
        <v>12.4617647058823</v>
      </c>
      <c r="C107" s="8">
        <v>15.1612903225806</v>
      </c>
      <c r="D107" s="8">
        <v>13.2066017316017</v>
      </c>
      <c r="E107" s="8">
        <v>10.73125</v>
      </c>
      <c r="F107" s="8">
        <v>13.7791666666666</v>
      </c>
      <c r="G107" s="3"/>
      <c r="H107" s="7">
        <v>105</v>
      </c>
      <c r="I107" s="8">
        <v>0.485294117647058</v>
      </c>
      <c r="J107" s="8">
        <v>2.74516129032258</v>
      </c>
      <c r="K107" s="8">
        <v>0.54090909090909</v>
      </c>
      <c r="L107" s="8">
        <v>1.13103448275862</v>
      </c>
      <c r="M107" s="8">
        <v>0.9</v>
      </c>
      <c r="N107" s="3"/>
      <c r="O107" s="7">
        <v>105</v>
      </c>
      <c r="P107" s="8">
        <v>2.64801710403827</v>
      </c>
      <c r="Q107" s="8">
        <v>2.24623155907912</v>
      </c>
      <c r="R107" s="8">
        <v>2.51620306542597</v>
      </c>
      <c r="S107" s="8">
        <v>2.09338426053539</v>
      </c>
      <c r="T107" s="8">
        <v>2.06493913376317</v>
      </c>
      <c r="U107" s="3"/>
      <c r="V107" s="3"/>
      <c r="W107" s="3"/>
      <c r="X107" s="3"/>
      <c r="Y107" s="3"/>
      <c r="Z107" s="3"/>
      <c r="AA107" s="3"/>
    </row>
    <row x14ac:dyDescent="0.25" r="108" customHeight="1" ht="18.75">
      <c r="A108" s="7">
        <v>106</v>
      </c>
      <c r="B108" s="8">
        <v>12.0838235294117</v>
      </c>
      <c r="C108" s="8">
        <v>15.658064516129</v>
      </c>
      <c r="D108" s="8">
        <v>13.5619047619047</v>
      </c>
      <c r="E108" s="8">
        <v>10.7145833333333</v>
      </c>
      <c r="F108" s="8">
        <v>13.9208333333333</v>
      </c>
      <c r="G108" s="3"/>
      <c r="H108" s="7">
        <v>106</v>
      </c>
      <c r="I108" s="8">
        <v>1.15588235294117</v>
      </c>
      <c r="J108" s="8">
        <v>3.76774193548387</v>
      </c>
      <c r="K108" s="8">
        <v>3.0590909090909</v>
      </c>
      <c r="L108" s="8">
        <v>2.31724137931034</v>
      </c>
      <c r="M108" s="8">
        <v>7.6</v>
      </c>
      <c r="N108" s="3"/>
      <c r="O108" s="7">
        <v>106</v>
      </c>
      <c r="P108" s="8">
        <v>2.17744230343336</v>
      </c>
      <c r="Q108" s="8">
        <v>2.34414195408998</v>
      </c>
      <c r="R108" s="8">
        <v>2.19476983281527</v>
      </c>
      <c r="S108" s="8">
        <v>2.2171041919747</v>
      </c>
      <c r="T108" s="8">
        <v>1.70842124440202</v>
      </c>
      <c r="U108" s="3"/>
      <c r="V108" s="3"/>
      <c r="W108" s="3"/>
      <c r="X108" s="3"/>
      <c r="Y108" s="3"/>
      <c r="Z108" s="3"/>
      <c r="AA108" s="3"/>
    </row>
    <row x14ac:dyDescent="0.25" r="109" customHeight="1" ht="18.75">
      <c r="A109" s="7">
        <v>107</v>
      </c>
      <c r="B109" s="8">
        <v>12.3073529411764</v>
      </c>
      <c r="C109" s="8">
        <v>15.408064516129</v>
      </c>
      <c r="D109" s="8">
        <v>13.6272727272727</v>
      </c>
      <c r="E109" s="8">
        <v>10.14375</v>
      </c>
      <c r="F109" s="8">
        <v>13.6416666666666</v>
      </c>
      <c r="G109" s="3"/>
      <c r="H109" s="7">
        <v>107</v>
      </c>
      <c r="I109" s="8">
        <v>1.68823529411764</v>
      </c>
      <c r="J109" s="8">
        <v>2.68709677419354</v>
      </c>
      <c r="K109" s="8">
        <v>3.86363636363636</v>
      </c>
      <c r="L109" s="8">
        <v>4.60689655172413</v>
      </c>
      <c r="M109" s="8">
        <v>3.44999999999999</v>
      </c>
      <c r="N109" s="3"/>
      <c r="O109" s="7">
        <v>107</v>
      </c>
      <c r="P109" s="8">
        <v>2.08259622314686</v>
      </c>
      <c r="Q109" s="8">
        <v>2.08713562854486</v>
      </c>
      <c r="R109" s="8">
        <v>2.34491602590957</v>
      </c>
      <c r="S109" s="8">
        <v>1.75011813065705</v>
      </c>
      <c r="T109" s="8">
        <v>1.46996077972592</v>
      </c>
      <c r="U109" s="3"/>
      <c r="V109" s="3"/>
      <c r="W109" s="3"/>
      <c r="X109" s="3"/>
      <c r="Y109" s="3"/>
      <c r="Z109" s="3"/>
      <c r="AA109" s="3"/>
    </row>
    <row x14ac:dyDescent="0.25" r="110" customHeight="1" ht="18.75">
      <c r="A110" s="7">
        <v>108</v>
      </c>
      <c r="B110" s="8">
        <v>11.5970588235294</v>
      </c>
      <c r="C110" s="8">
        <v>15.4209677419354</v>
      </c>
      <c r="D110" s="8">
        <v>13.2590909090909</v>
      </c>
      <c r="E110" s="8">
        <v>9.84565217391304</v>
      </c>
      <c r="F110" s="8">
        <v>13.6833333333333</v>
      </c>
      <c r="G110" s="3"/>
      <c r="H110" s="7">
        <v>108</v>
      </c>
      <c r="I110" s="8">
        <v>1.19117647058823</v>
      </c>
      <c r="J110" s="8">
        <v>2.8516129032258</v>
      </c>
      <c r="K110" s="8">
        <v>1.37272727272727</v>
      </c>
      <c r="L110" s="8">
        <v>3.26428571428571</v>
      </c>
      <c r="M110" s="8">
        <v>2.41666666666666</v>
      </c>
      <c r="N110" s="3"/>
      <c r="O110" s="7">
        <v>108</v>
      </c>
      <c r="P110" s="8">
        <v>1.83123332157564</v>
      </c>
      <c r="Q110" s="8">
        <v>2.1715863377271</v>
      </c>
      <c r="R110" s="8">
        <v>2.1220514695154</v>
      </c>
      <c r="S110" s="8">
        <v>1.74361076085543</v>
      </c>
      <c r="T110" s="8">
        <v>1.64274717869015</v>
      </c>
      <c r="U110" s="3"/>
      <c r="V110" s="3"/>
      <c r="W110" s="3"/>
      <c r="X110" s="3"/>
      <c r="Y110" s="3"/>
      <c r="Z110" s="3"/>
      <c r="AA110" s="3"/>
    </row>
    <row x14ac:dyDescent="0.25" r="111" customHeight="1" ht="18.75">
      <c r="A111" s="7">
        <v>109</v>
      </c>
      <c r="B111" s="8">
        <v>11.710294117647</v>
      </c>
      <c r="C111" s="8">
        <v>15.1935483870967</v>
      </c>
      <c r="D111" s="8">
        <v>12.815909090909</v>
      </c>
      <c r="E111" s="8">
        <v>9.98125</v>
      </c>
      <c r="F111" s="8">
        <v>12.9458333333333</v>
      </c>
      <c r="G111" s="3"/>
      <c r="H111" s="7">
        <v>109</v>
      </c>
      <c r="I111" s="8">
        <v>0.876470588235294</v>
      </c>
      <c r="J111" s="8">
        <v>2.4258064516129</v>
      </c>
      <c r="K111" s="8">
        <v>0.222727272727272</v>
      </c>
      <c r="L111" s="8">
        <v>1.86206896551724</v>
      </c>
      <c r="M111" s="8">
        <v>1.59999999999999</v>
      </c>
      <c r="N111" s="3"/>
      <c r="O111" s="7">
        <v>109</v>
      </c>
      <c r="P111" s="8">
        <v>1.99183243831277</v>
      </c>
      <c r="Q111" s="8">
        <v>2.29791393633538</v>
      </c>
      <c r="R111" s="8">
        <v>2.36973632406472</v>
      </c>
      <c r="S111" s="8">
        <v>1.94114548314883</v>
      </c>
      <c r="T111" s="8">
        <v>1.70342846945819</v>
      </c>
      <c r="U111" s="3"/>
      <c r="V111" s="3"/>
      <c r="W111" s="3"/>
      <c r="X111" s="3"/>
      <c r="Y111" s="3"/>
      <c r="Z111" s="3"/>
      <c r="AA111" s="3"/>
    </row>
    <row x14ac:dyDescent="0.25" r="112" customHeight="1" ht="18.75">
      <c r="A112" s="7">
        <v>110</v>
      </c>
      <c r="B112" s="8">
        <v>12.0897058823529</v>
      </c>
      <c r="C112" s="8">
        <v>15.4096774193548</v>
      </c>
      <c r="D112" s="8">
        <v>12.6386363636363</v>
      </c>
      <c r="E112" s="8">
        <v>9.77916666666666</v>
      </c>
      <c r="F112" s="8">
        <v>14.2875</v>
      </c>
      <c r="G112" s="3"/>
      <c r="H112" s="7">
        <v>110</v>
      </c>
      <c r="I112" s="8">
        <v>1.61470588235294</v>
      </c>
      <c r="J112" s="8">
        <v>1.73225806451612</v>
      </c>
      <c r="K112" s="8">
        <v>1.12272727272727</v>
      </c>
      <c r="L112" s="8">
        <v>2.72413793103448</v>
      </c>
      <c r="M112" s="8">
        <v>1.15</v>
      </c>
      <c r="N112" s="3"/>
      <c r="O112" s="7">
        <v>110</v>
      </c>
      <c r="P112" s="8">
        <v>2.32142679056083</v>
      </c>
      <c r="Q112" s="8">
        <v>2.3194627801488</v>
      </c>
      <c r="R112" s="8">
        <v>2.26014666866187</v>
      </c>
      <c r="S112" s="8">
        <v>1.83787261724365</v>
      </c>
      <c r="T112" s="8">
        <v>1.68674688590323</v>
      </c>
      <c r="U112" s="3"/>
      <c r="V112" s="3"/>
      <c r="W112" s="3"/>
      <c r="X112" s="3"/>
      <c r="Y112" s="3"/>
      <c r="Z112" s="3"/>
      <c r="AA112" s="3"/>
    </row>
    <row x14ac:dyDescent="0.25" r="113" customHeight="1" ht="18.75">
      <c r="A113" s="7">
        <v>111</v>
      </c>
      <c r="B113" s="8">
        <v>11.1882352941176</v>
      </c>
      <c r="C113" s="8">
        <v>15.2616666666666</v>
      </c>
      <c r="D113" s="8">
        <v>13.0931818181818</v>
      </c>
      <c r="E113" s="8">
        <v>8.9375</v>
      </c>
      <c r="F113" s="8">
        <v>14.275</v>
      </c>
      <c r="G113" s="3"/>
      <c r="H113" s="7">
        <v>111</v>
      </c>
      <c r="I113" s="8">
        <v>1.63529411764705</v>
      </c>
      <c r="J113" s="8">
        <v>4.01612903225806</v>
      </c>
      <c r="K113" s="8">
        <v>1.09545454545454</v>
      </c>
      <c r="L113" s="8">
        <v>2.26896551724137</v>
      </c>
      <c r="M113" s="8">
        <v>2.08333333333333</v>
      </c>
      <c r="N113" s="3"/>
      <c r="O113" s="7">
        <v>111</v>
      </c>
      <c r="P113" s="8">
        <v>1.88439420500637</v>
      </c>
      <c r="Q113" s="8">
        <v>2.3321304827068</v>
      </c>
      <c r="R113" s="8">
        <v>2.2442512042574</v>
      </c>
      <c r="S113" s="8">
        <v>1.55870166802999</v>
      </c>
      <c r="T113" s="8">
        <v>1.51524193224589</v>
      </c>
      <c r="U113" s="3"/>
      <c r="V113" s="3"/>
      <c r="W113" s="3"/>
      <c r="X113" s="3"/>
      <c r="Y113" s="3"/>
      <c r="Z113" s="3"/>
      <c r="AA113" s="3"/>
    </row>
    <row x14ac:dyDescent="0.25" r="114" customHeight="1" ht="18.75">
      <c r="A114" s="7">
        <v>112</v>
      </c>
      <c r="B114" s="8">
        <v>11.0044117647058</v>
      </c>
      <c r="C114" s="8">
        <v>14.5283333333333</v>
      </c>
      <c r="D114" s="8">
        <v>12.9380952380952</v>
      </c>
      <c r="E114" s="8">
        <v>9.22083333333333</v>
      </c>
      <c r="F114" s="8">
        <v>13.5958333333333</v>
      </c>
      <c r="G114" s="3"/>
      <c r="H114" s="7">
        <v>112</v>
      </c>
      <c r="I114" s="8">
        <v>0.811764705882352</v>
      </c>
      <c r="J114" s="8">
        <v>3.5258064516129</v>
      </c>
      <c r="K114" s="8">
        <v>2.79090909090909</v>
      </c>
      <c r="L114" s="8">
        <v>1.17241379310344</v>
      </c>
      <c r="M114" s="8">
        <v>0.766666666666666</v>
      </c>
      <c r="N114" s="3"/>
      <c r="O114" s="7">
        <v>112</v>
      </c>
      <c r="P114" s="8">
        <v>1.91795715662019</v>
      </c>
      <c r="Q114" s="8">
        <v>2.2184505421646</v>
      </c>
      <c r="R114" s="8">
        <v>1.965816704885</v>
      </c>
      <c r="S114" s="8">
        <v>1.6548621732231</v>
      </c>
      <c r="T114" s="8">
        <v>1.65518894118648</v>
      </c>
      <c r="U114" s="3"/>
      <c r="V114" s="3"/>
      <c r="W114" s="3"/>
      <c r="X114" s="3"/>
      <c r="Y114" s="3"/>
      <c r="Z114" s="3"/>
      <c r="AA114" s="3"/>
    </row>
    <row x14ac:dyDescent="0.25" r="115" customHeight="1" ht="18.75">
      <c r="A115" s="7">
        <v>113</v>
      </c>
      <c r="B115" s="8">
        <v>11.5867647058823</v>
      </c>
      <c r="C115" s="8">
        <v>14.68</v>
      </c>
      <c r="D115" s="8">
        <v>12.8654761904761</v>
      </c>
      <c r="E115" s="8">
        <v>9.42916666666666</v>
      </c>
      <c r="F115" s="8">
        <v>13.9125</v>
      </c>
      <c r="G115" s="3"/>
      <c r="H115" s="7">
        <v>113</v>
      </c>
      <c r="I115" s="8">
        <v>0.773529411764705</v>
      </c>
      <c r="J115" s="8">
        <v>2.28709677419354</v>
      </c>
      <c r="K115" s="8">
        <v>2.99090909090909</v>
      </c>
      <c r="L115" s="8">
        <v>2.77931034482758</v>
      </c>
      <c r="M115" s="8">
        <v>0.3</v>
      </c>
      <c r="N115" s="3"/>
      <c r="O115" s="7">
        <v>113</v>
      </c>
      <c r="P115" s="8">
        <v>2.11158085734585</v>
      </c>
      <c r="Q115" s="8">
        <v>2.25403636886046</v>
      </c>
      <c r="R115" s="8">
        <v>2.05676056204476</v>
      </c>
      <c r="S115" s="8">
        <v>1.56744343700384</v>
      </c>
      <c r="T115" s="8">
        <v>1.66585763602601</v>
      </c>
      <c r="U115" s="3"/>
      <c r="V115" s="3"/>
      <c r="W115" s="3"/>
      <c r="X115" s="3"/>
      <c r="Y115" s="3"/>
      <c r="Z115" s="3"/>
      <c r="AA115" s="3"/>
    </row>
    <row x14ac:dyDescent="0.25" r="116" customHeight="1" ht="18.75">
      <c r="A116" s="7">
        <v>114</v>
      </c>
      <c r="B116" s="8">
        <v>10.9985294117647</v>
      </c>
      <c r="C116" s="8">
        <v>14.4933333333333</v>
      </c>
      <c r="D116" s="8">
        <v>13.6977272727272</v>
      </c>
      <c r="E116" s="8">
        <v>9.68958333333333</v>
      </c>
      <c r="F116" s="8">
        <v>14.8208333333333</v>
      </c>
      <c r="G116" s="3"/>
      <c r="H116" s="7">
        <v>114</v>
      </c>
      <c r="I116" s="8">
        <v>1.75294117647058</v>
      </c>
      <c r="J116" s="8">
        <v>4.33870967741935</v>
      </c>
      <c r="K116" s="8">
        <v>1.36363636363636</v>
      </c>
      <c r="L116" s="8">
        <v>2.08965517241379</v>
      </c>
      <c r="M116" s="8">
        <v>2.53333333333333</v>
      </c>
      <c r="N116" s="3"/>
      <c r="O116" s="7">
        <v>114</v>
      </c>
      <c r="P116" s="8">
        <v>1.81614923585608</v>
      </c>
      <c r="Q116" s="8">
        <v>2.23963471524</v>
      </c>
      <c r="R116" s="8">
        <v>2.24949574238006</v>
      </c>
      <c r="S116" s="8">
        <v>1.61335756462753</v>
      </c>
      <c r="T116" s="8">
        <v>1.57543796383269</v>
      </c>
      <c r="U116" s="3"/>
      <c r="V116" s="3"/>
      <c r="W116" s="3"/>
      <c r="X116" s="3"/>
      <c r="Y116" s="3"/>
      <c r="Z116" s="3"/>
      <c r="AA116" s="3"/>
    </row>
    <row x14ac:dyDescent="0.25" r="117" customHeight="1" ht="18.75">
      <c r="A117" s="7">
        <v>115</v>
      </c>
      <c r="B117" s="8">
        <v>11.5470588235294</v>
      </c>
      <c r="C117" s="8">
        <v>14.7733333333333</v>
      </c>
      <c r="D117" s="8">
        <v>13.3666666666666</v>
      </c>
      <c r="E117" s="8">
        <v>9.625</v>
      </c>
      <c r="F117" s="8">
        <v>14.4166666666666</v>
      </c>
      <c r="G117" s="3"/>
      <c r="H117" s="7">
        <v>115</v>
      </c>
      <c r="I117" s="8">
        <v>1.70294117647058</v>
      </c>
      <c r="J117" s="8">
        <v>6.45806451612903</v>
      </c>
      <c r="K117" s="8">
        <v>2.1590909090909</v>
      </c>
      <c r="L117" s="8">
        <v>2.88275862068965</v>
      </c>
      <c r="M117" s="8">
        <v>7.38333333333333</v>
      </c>
      <c r="N117" s="3"/>
      <c r="O117" s="7">
        <v>115</v>
      </c>
      <c r="P117" s="8">
        <v>1.87986087413969</v>
      </c>
      <c r="Q117" s="8">
        <v>2.01101852542699</v>
      </c>
      <c r="R117" s="8">
        <v>2.06379378316448</v>
      </c>
      <c r="S117" s="8">
        <v>1.5027011278143</v>
      </c>
      <c r="T117" s="8">
        <v>1.4622003711312</v>
      </c>
      <c r="U117" s="3"/>
      <c r="V117" s="3"/>
      <c r="W117" s="3"/>
      <c r="X117" s="3"/>
      <c r="Y117" s="3"/>
      <c r="Z117" s="3"/>
      <c r="AA117" s="3"/>
    </row>
    <row x14ac:dyDescent="0.25" r="118" customHeight="1" ht="18.75">
      <c r="A118" s="7">
        <v>116</v>
      </c>
      <c r="B118" s="8">
        <v>11.6955882352941</v>
      </c>
      <c r="C118" s="8">
        <v>14.9983333333333</v>
      </c>
      <c r="D118" s="8">
        <v>12.5585497835497</v>
      </c>
      <c r="E118" s="8">
        <v>9.63125</v>
      </c>
      <c r="F118" s="8">
        <v>13.9375</v>
      </c>
      <c r="G118" s="3"/>
      <c r="H118" s="7">
        <v>116</v>
      </c>
      <c r="I118" s="8">
        <v>0.411764705882352</v>
      </c>
      <c r="J118" s="8">
        <v>3.19032258064516</v>
      </c>
      <c r="K118" s="8">
        <v>4.1090909090909</v>
      </c>
      <c r="L118" s="8">
        <v>2.61379310344827</v>
      </c>
      <c r="M118" s="8">
        <v>0.7</v>
      </c>
      <c r="N118" s="3"/>
      <c r="O118" s="7">
        <v>116</v>
      </c>
      <c r="P118" s="8">
        <v>1.88699621875139</v>
      </c>
      <c r="Q118" s="8">
        <v>2.12949442588917</v>
      </c>
      <c r="R118" s="8">
        <v>2.11936504973288</v>
      </c>
      <c r="S118" s="8">
        <v>1.69066110021306</v>
      </c>
      <c r="T118" s="8">
        <v>1.49653226217586</v>
      </c>
      <c r="U118" s="3"/>
      <c r="V118" s="3"/>
      <c r="W118" s="3"/>
      <c r="X118" s="3"/>
      <c r="Y118" s="3"/>
      <c r="Z118" s="3"/>
      <c r="AA118" s="3"/>
    </row>
    <row x14ac:dyDescent="0.25" r="119" customHeight="1" ht="18.75">
      <c r="A119" s="7">
        <v>117</v>
      </c>
      <c r="B119" s="8">
        <v>11.8338235294117</v>
      </c>
      <c r="C119" s="8">
        <v>15.395</v>
      </c>
      <c r="D119" s="8">
        <v>13.5295454545454</v>
      </c>
      <c r="E119" s="8">
        <v>9.98958333333333</v>
      </c>
      <c r="F119" s="8">
        <v>14.8045454545454</v>
      </c>
      <c r="G119" s="3"/>
      <c r="H119" s="7">
        <v>117</v>
      </c>
      <c r="I119" s="8">
        <v>1.79705882352941</v>
      </c>
      <c r="J119" s="8">
        <v>2.8516129032258</v>
      </c>
      <c r="K119" s="8">
        <v>3.53636363636363</v>
      </c>
      <c r="L119" s="8">
        <v>2.04137931034482</v>
      </c>
      <c r="M119" s="8">
        <v>4.58181818181818</v>
      </c>
      <c r="N119" s="3"/>
      <c r="O119" s="7">
        <v>117</v>
      </c>
      <c r="P119" s="8">
        <v>1.76466679700699</v>
      </c>
      <c r="Q119" s="8">
        <v>2.13362700251859</v>
      </c>
      <c r="R119" s="8">
        <v>2.20921457635744</v>
      </c>
      <c r="S119" s="8">
        <v>1.68723575343912</v>
      </c>
      <c r="T119" s="8">
        <v>1.57025817535127</v>
      </c>
      <c r="U119" s="3"/>
      <c r="V119" s="3"/>
      <c r="W119" s="3"/>
      <c r="X119" s="3"/>
      <c r="Y119" s="3"/>
      <c r="Z119" s="3"/>
      <c r="AA119" s="3"/>
    </row>
    <row x14ac:dyDescent="0.25" r="120" customHeight="1" ht="18.75">
      <c r="A120" s="7">
        <v>118</v>
      </c>
      <c r="B120" s="8">
        <v>12.1279411764705</v>
      </c>
      <c r="C120" s="8">
        <v>15.6413793103448</v>
      </c>
      <c r="D120" s="8">
        <v>14.0386363636363</v>
      </c>
      <c r="E120" s="8">
        <v>10.15</v>
      </c>
      <c r="F120" s="8">
        <v>14.1090909090909</v>
      </c>
      <c r="G120" s="3"/>
      <c r="H120" s="7">
        <v>118</v>
      </c>
      <c r="I120" s="8">
        <v>2.15882352941176</v>
      </c>
      <c r="J120" s="8">
        <v>3.74193548387096</v>
      </c>
      <c r="K120" s="8">
        <v>2.37272727272727</v>
      </c>
      <c r="L120" s="8">
        <v>2.57931034482758</v>
      </c>
      <c r="M120" s="8">
        <v>5.54545454545454</v>
      </c>
      <c r="N120" s="3"/>
      <c r="O120" s="7">
        <v>118</v>
      </c>
      <c r="P120" s="8">
        <v>1.95217239254561</v>
      </c>
      <c r="Q120" s="8">
        <v>2.03657686687254</v>
      </c>
      <c r="R120" s="8">
        <v>2.02211214626732</v>
      </c>
      <c r="S120" s="8">
        <v>1.81032938559161</v>
      </c>
      <c r="T120" s="8">
        <v>1.27231342308323</v>
      </c>
      <c r="U120" s="3"/>
      <c r="V120" s="3"/>
      <c r="W120" s="3"/>
      <c r="X120" s="3"/>
      <c r="Y120" s="3"/>
      <c r="Z120" s="3"/>
      <c r="AA120" s="3"/>
    </row>
    <row x14ac:dyDescent="0.25" r="121" customHeight="1" ht="18.75">
      <c r="A121" s="7">
        <v>119</v>
      </c>
      <c r="B121" s="8">
        <v>10.825</v>
      </c>
      <c r="C121" s="8">
        <v>14.7327586206896</v>
      </c>
      <c r="D121" s="8">
        <v>13.5954545454545</v>
      </c>
      <c r="E121" s="8">
        <v>9.65</v>
      </c>
      <c r="F121" s="8">
        <v>13.8375</v>
      </c>
      <c r="G121" s="3"/>
      <c r="H121" s="7">
        <v>119</v>
      </c>
      <c r="I121" s="8">
        <v>5.43529411764705</v>
      </c>
      <c r="J121" s="8">
        <v>3.31290322580645</v>
      </c>
      <c r="K121" s="8">
        <v>3.13181818181818</v>
      </c>
      <c r="L121" s="8">
        <v>2.47586206896551</v>
      </c>
      <c r="M121" s="8">
        <v>4.68333333333333</v>
      </c>
      <c r="N121" s="3"/>
      <c r="O121" s="7">
        <v>119</v>
      </c>
      <c r="P121" s="8">
        <v>1.63843294620097</v>
      </c>
      <c r="Q121" s="8">
        <v>2.1199579861729</v>
      </c>
      <c r="R121" s="8">
        <v>2.03987131962398</v>
      </c>
      <c r="S121" s="8">
        <v>1.68168776593434</v>
      </c>
      <c r="T121" s="8">
        <v>1.50779320556524</v>
      </c>
      <c r="U121" s="3"/>
      <c r="V121" s="3"/>
      <c r="W121" s="3"/>
      <c r="X121" s="3"/>
      <c r="Y121" s="3"/>
      <c r="Z121" s="3"/>
      <c r="AA121" s="3"/>
    </row>
    <row x14ac:dyDescent="0.25" r="122" customHeight="1" ht="18.75">
      <c r="A122" s="7">
        <v>120</v>
      </c>
      <c r="B122" s="8">
        <v>10.5544117647058</v>
      </c>
      <c r="C122" s="8">
        <v>14.3327586206896</v>
      </c>
      <c r="D122" s="8">
        <v>13.0499999999999</v>
      </c>
      <c r="E122" s="8">
        <v>8.77499999999999</v>
      </c>
      <c r="F122" s="8">
        <v>13.6458333333333</v>
      </c>
      <c r="G122" s="3"/>
      <c r="H122" s="7">
        <v>120</v>
      </c>
      <c r="I122" s="8">
        <v>2.58529411764705</v>
      </c>
      <c r="J122" s="8">
        <v>4.43225806451612</v>
      </c>
      <c r="K122" s="8">
        <v>3.74545454545454</v>
      </c>
      <c r="L122" s="8">
        <v>1.24827586206896</v>
      </c>
      <c r="M122" s="8">
        <v>5.39999999999999</v>
      </c>
      <c r="N122" s="3"/>
      <c r="O122" s="7">
        <v>120</v>
      </c>
      <c r="P122" s="8">
        <v>1.64626207115342</v>
      </c>
      <c r="Q122" s="8">
        <v>1.72701130914027</v>
      </c>
      <c r="R122" s="8">
        <v>1.96924916616884</v>
      </c>
      <c r="S122" s="8">
        <v>1.6696155313271</v>
      </c>
      <c r="T122" s="8">
        <v>1.60300410285803</v>
      </c>
      <c r="U122" s="3"/>
      <c r="V122" s="3"/>
      <c r="W122" s="3"/>
      <c r="X122" s="3"/>
      <c r="Y122" s="3"/>
      <c r="Z122" s="3"/>
      <c r="AA122" s="3"/>
    </row>
    <row x14ac:dyDescent="0.25" r="123" customHeight="1" ht="18.75">
      <c r="A123" s="7">
        <v>121</v>
      </c>
      <c r="B123" s="8">
        <v>10.2014705882352</v>
      </c>
      <c r="C123" s="8">
        <v>14.3982758620689</v>
      </c>
      <c r="D123" s="8">
        <v>12.7333333333333</v>
      </c>
      <c r="E123" s="8">
        <v>8.28125</v>
      </c>
      <c r="F123" s="8">
        <v>11.8833333333333</v>
      </c>
      <c r="G123" s="3"/>
      <c r="H123" s="7">
        <v>121</v>
      </c>
      <c r="I123" s="8">
        <v>1.01176470588235</v>
      </c>
      <c r="J123" s="8">
        <v>3.18387096774193</v>
      </c>
      <c r="K123" s="8">
        <v>2.47272727272727</v>
      </c>
      <c r="L123" s="8">
        <v>3.16551724137931</v>
      </c>
      <c r="M123" s="8">
        <v>0.25</v>
      </c>
      <c r="N123" s="3"/>
      <c r="O123" s="7">
        <v>121</v>
      </c>
      <c r="P123" s="8">
        <v>1.5886994013641</v>
      </c>
      <c r="Q123" s="8">
        <v>1.93510583623638</v>
      </c>
      <c r="R123" s="8">
        <v>2.09210527230203</v>
      </c>
      <c r="S123" s="8">
        <v>1.66970422509512</v>
      </c>
      <c r="T123" s="8">
        <v>1.67837953393642</v>
      </c>
      <c r="U123" s="3"/>
      <c r="V123" s="3"/>
      <c r="W123" s="3"/>
      <c r="X123" s="3"/>
      <c r="Y123" s="3"/>
      <c r="Z123" s="3"/>
      <c r="AA123" s="3"/>
    </row>
    <row x14ac:dyDescent="0.25" r="124" customHeight="1" ht="18.75">
      <c r="A124" s="7">
        <v>122</v>
      </c>
      <c r="B124" s="8">
        <v>10.3191176470588</v>
      </c>
      <c r="C124" s="8">
        <v>14.2966666666666</v>
      </c>
      <c r="D124" s="8">
        <v>12.1863636363636</v>
      </c>
      <c r="E124" s="8">
        <v>8.68541666666666</v>
      </c>
      <c r="F124" s="8">
        <v>11.8541666666666</v>
      </c>
      <c r="G124" s="3"/>
      <c r="H124" s="7">
        <v>122</v>
      </c>
      <c r="I124" s="8">
        <v>0.914705882352941</v>
      </c>
      <c r="J124" s="8">
        <v>6.47096774193548</v>
      </c>
      <c r="K124" s="8">
        <v>2.51363636363636</v>
      </c>
      <c r="L124" s="8">
        <v>2.67586206896551</v>
      </c>
      <c r="M124" s="8">
        <v>0.133333333333333</v>
      </c>
      <c r="N124" s="3"/>
      <c r="O124" s="7">
        <v>122</v>
      </c>
      <c r="P124" s="8">
        <v>1.52724346363737</v>
      </c>
      <c r="Q124" s="8">
        <v>1.84994231207221</v>
      </c>
      <c r="R124" s="8">
        <v>1.87402399448046</v>
      </c>
      <c r="S124" s="8">
        <v>1.56591133355906</v>
      </c>
      <c r="T124" s="8">
        <v>1.44561782365903</v>
      </c>
      <c r="U124" s="3"/>
      <c r="V124" s="3"/>
      <c r="W124" s="3"/>
      <c r="X124" s="3"/>
      <c r="Y124" s="3"/>
      <c r="Z124" s="3"/>
      <c r="AA124" s="3"/>
    </row>
    <row x14ac:dyDescent="0.25" r="125" customHeight="1" ht="18.75">
      <c r="A125" s="7">
        <v>123</v>
      </c>
      <c r="B125" s="8">
        <v>10.2676470588235</v>
      </c>
      <c r="C125" s="8">
        <v>14.1866666666666</v>
      </c>
      <c r="D125" s="8">
        <v>12.2068181818181</v>
      </c>
      <c r="E125" s="8">
        <v>9.70624999999999</v>
      </c>
      <c r="F125" s="8">
        <v>13.0875</v>
      </c>
      <c r="G125" s="3"/>
      <c r="H125" s="7">
        <v>123</v>
      </c>
      <c r="I125" s="8">
        <v>0.917647058823529</v>
      </c>
      <c r="J125" s="8">
        <v>2.59032258064516</v>
      </c>
      <c r="K125" s="8">
        <v>3.82727272727272</v>
      </c>
      <c r="L125" s="8">
        <v>2.84827586206896</v>
      </c>
      <c r="M125" s="8">
        <v>2.13333333333333</v>
      </c>
      <c r="N125" s="3"/>
      <c r="O125" s="7">
        <v>123</v>
      </c>
      <c r="P125" s="8">
        <v>1.7604236957874</v>
      </c>
      <c r="Q125" s="8">
        <v>1.8652259443705</v>
      </c>
      <c r="R125" s="8">
        <v>1.91768219321378</v>
      </c>
      <c r="S125" s="8">
        <v>1.81536050669964</v>
      </c>
      <c r="T125" s="8">
        <v>1.43197829571409</v>
      </c>
      <c r="U125" s="3"/>
      <c r="V125" s="3"/>
      <c r="W125" s="3"/>
      <c r="X125" s="3"/>
      <c r="Y125" s="3"/>
      <c r="Z125" s="3"/>
      <c r="AA125" s="3"/>
    </row>
    <row x14ac:dyDescent="0.25" r="126" customHeight="1" ht="18.75">
      <c r="A126" s="7">
        <v>124</v>
      </c>
      <c r="B126" s="8">
        <v>10.8073529411764</v>
      </c>
      <c r="C126" s="8">
        <v>13.9112903225806</v>
      </c>
      <c r="D126" s="8">
        <v>12.7727272727272</v>
      </c>
      <c r="E126" s="8">
        <v>9.30625</v>
      </c>
      <c r="F126" s="8">
        <v>13.1375</v>
      </c>
      <c r="G126" s="3"/>
      <c r="H126" s="7">
        <v>124</v>
      </c>
      <c r="I126" s="8">
        <v>1.78529411764705</v>
      </c>
      <c r="J126" s="8">
        <v>2.27419354838709</v>
      </c>
      <c r="K126" s="8">
        <v>1.54090909090909</v>
      </c>
      <c r="L126" s="8">
        <v>2.62142857142857</v>
      </c>
      <c r="M126" s="7">
        <v>3</v>
      </c>
      <c r="N126" s="3"/>
      <c r="O126" s="7">
        <v>124</v>
      </c>
      <c r="P126" s="8">
        <v>1.87410891042832</v>
      </c>
      <c r="Q126" s="8">
        <v>1.88347487361168</v>
      </c>
      <c r="R126" s="8">
        <v>2.32085982023313</v>
      </c>
      <c r="S126" s="8">
        <v>1.4246680557348</v>
      </c>
      <c r="T126" s="8">
        <v>1.16413167388704</v>
      </c>
      <c r="U126" s="3"/>
      <c r="V126" s="3"/>
      <c r="W126" s="3"/>
      <c r="X126" s="3"/>
      <c r="Y126" s="3"/>
      <c r="Z126" s="3"/>
      <c r="AA126" s="3"/>
    </row>
    <row x14ac:dyDescent="0.25" r="127" customHeight="1" ht="18.75">
      <c r="A127" s="7">
        <v>125</v>
      </c>
      <c r="B127" s="8">
        <v>10.7742424242424</v>
      </c>
      <c r="C127" s="8">
        <v>13.9966666666666</v>
      </c>
      <c r="D127" s="8">
        <v>11.6095238095238</v>
      </c>
      <c r="E127" s="8">
        <v>9.42083333333333</v>
      </c>
      <c r="F127" s="8">
        <v>13.5916666666666</v>
      </c>
      <c r="G127" s="3"/>
      <c r="H127" s="7">
        <v>125</v>
      </c>
      <c r="I127" s="8">
        <v>1.09411764705882</v>
      </c>
      <c r="J127" s="8">
        <v>3.25483870967741</v>
      </c>
      <c r="K127" s="8">
        <v>1.08636363636363</v>
      </c>
      <c r="L127" s="8">
        <v>2.7103448275862</v>
      </c>
      <c r="M127" s="8">
        <v>4.85</v>
      </c>
      <c r="N127" s="3"/>
      <c r="O127" s="7">
        <v>125</v>
      </c>
      <c r="P127" s="8">
        <v>1.58377133818577</v>
      </c>
      <c r="Q127" s="8">
        <v>1.98137377180905</v>
      </c>
      <c r="R127" s="8">
        <v>1.95033638626987</v>
      </c>
      <c r="S127" s="8">
        <v>1.39686817987717</v>
      </c>
      <c r="T127" s="8">
        <v>1.304901614475</v>
      </c>
      <c r="U127" s="3"/>
      <c r="V127" s="3"/>
      <c r="W127" s="3"/>
      <c r="X127" s="3"/>
      <c r="Y127" s="3"/>
      <c r="Z127" s="3"/>
      <c r="AA127" s="3"/>
    </row>
    <row x14ac:dyDescent="0.25" r="128" customHeight="1" ht="18.75">
      <c r="A128" s="7">
        <v>126</v>
      </c>
      <c r="B128" s="8">
        <v>11.5838235294117</v>
      </c>
      <c r="C128" s="8">
        <v>14.1596774193548</v>
      </c>
      <c r="D128" s="8">
        <v>12.3136363636363</v>
      </c>
      <c r="E128" s="8">
        <v>9.34166666666666</v>
      </c>
      <c r="F128" s="8">
        <v>13.2708333333333</v>
      </c>
      <c r="G128" s="3"/>
      <c r="H128" s="7">
        <v>126</v>
      </c>
      <c r="I128" s="8">
        <v>3.26176470588235</v>
      </c>
      <c r="J128" s="8">
        <v>3.44838709677419</v>
      </c>
      <c r="K128" s="8">
        <v>1.79545454545454</v>
      </c>
      <c r="L128" s="8">
        <v>2.18620689655172</v>
      </c>
      <c r="M128" s="8">
        <v>2.36666666666666</v>
      </c>
      <c r="N128" s="3"/>
      <c r="O128" s="7">
        <v>126</v>
      </c>
      <c r="P128" s="8">
        <v>1.92854745172018</v>
      </c>
      <c r="Q128" s="8">
        <v>1.78778032014411</v>
      </c>
      <c r="R128" s="8">
        <v>2.00881961382021</v>
      </c>
      <c r="S128" s="8">
        <v>1.46409646474203</v>
      </c>
      <c r="T128" s="8">
        <v>1.29751787384439</v>
      </c>
      <c r="U128" s="3"/>
      <c r="V128" s="3"/>
      <c r="W128" s="3"/>
      <c r="X128" s="3"/>
      <c r="Y128" s="3"/>
      <c r="Z128" s="3"/>
      <c r="AA128" s="3"/>
    </row>
    <row x14ac:dyDescent="0.25" r="129" customHeight="1" ht="18.75">
      <c r="A129" s="7">
        <v>127</v>
      </c>
      <c r="B129" s="8">
        <v>11.1382352941176</v>
      </c>
      <c r="C129" s="8">
        <v>13.8403225806451</v>
      </c>
      <c r="D129" s="8">
        <v>12.2613636363636</v>
      </c>
      <c r="E129" s="8">
        <v>9.00625</v>
      </c>
      <c r="F129" s="8">
        <v>12.6791666666666</v>
      </c>
      <c r="G129" s="3"/>
      <c r="H129" s="7">
        <v>127</v>
      </c>
      <c r="I129" s="8">
        <v>1.11764705882352</v>
      </c>
      <c r="J129" s="8">
        <v>1.83870967741935</v>
      </c>
      <c r="K129" s="8">
        <v>1.72272727272727</v>
      </c>
      <c r="L129" s="8">
        <v>2.53103448275862</v>
      </c>
      <c r="M129" s="8">
        <v>5.41666666666666</v>
      </c>
      <c r="N129" s="3"/>
      <c r="O129" s="7">
        <v>127</v>
      </c>
      <c r="P129" s="8">
        <v>1.69465579062546</v>
      </c>
      <c r="Q129" s="8">
        <v>1.87782016455675</v>
      </c>
      <c r="R129" s="8">
        <v>1.94260799792165</v>
      </c>
      <c r="S129" s="8">
        <v>1.43455215835082</v>
      </c>
      <c r="T129" s="8">
        <v>1.30719166117186</v>
      </c>
      <c r="U129" s="3"/>
      <c r="V129" s="3"/>
      <c r="W129" s="3"/>
      <c r="X129" s="3"/>
      <c r="Y129" s="3"/>
      <c r="Z129" s="3"/>
      <c r="AA129" s="3"/>
    </row>
    <row x14ac:dyDescent="0.25" r="130" customHeight="1" ht="18.75">
      <c r="A130" s="7">
        <v>128</v>
      </c>
      <c r="B130" s="8">
        <v>10.0794117647058</v>
      </c>
      <c r="C130" s="8">
        <v>13.5774193548387</v>
      </c>
      <c r="D130" s="8">
        <v>11.9340909090909</v>
      </c>
      <c r="E130" s="8">
        <v>9.01875</v>
      </c>
      <c r="F130" s="8">
        <v>12.7999999999999</v>
      </c>
      <c r="G130" s="3"/>
      <c r="H130" s="7">
        <v>128</v>
      </c>
      <c r="I130" s="8">
        <v>3.05882352941176</v>
      </c>
      <c r="J130" s="8">
        <v>3.40645161290322</v>
      </c>
      <c r="K130" s="8">
        <v>0.104545454545454</v>
      </c>
      <c r="L130" s="8">
        <v>2.01379310344827</v>
      </c>
      <c r="M130" s="8">
        <v>2.16666666666666</v>
      </c>
      <c r="N130" s="3"/>
      <c r="O130" s="7">
        <v>128</v>
      </c>
      <c r="P130" s="8">
        <v>1.69989445557391</v>
      </c>
      <c r="Q130" s="8">
        <v>1.84976774954056</v>
      </c>
      <c r="R130" s="8">
        <v>2.05368341613179</v>
      </c>
      <c r="S130" s="8">
        <v>1.64283348796015</v>
      </c>
      <c r="T130" s="8">
        <v>1.27112414081248</v>
      </c>
      <c r="U130" s="3"/>
      <c r="V130" s="3"/>
      <c r="W130" s="3"/>
      <c r="X130" s="3"/>
      <c r="Y130" s="3"/>
      <c r="Z130" s="3"/>
      <c r="AA130" s="3"/>
    </row>
    <row x14ac:dyDescent="0.25" r="131" customHeight="1" ht="18.75">
      <c r="A131" s="7">
        <v>129</v>
      </c>
      <c r="B131" s="8">
        <v>10.2279411764705</v>
      </c>
      <c r="C131" s="8">
        <v>13.1612903225806</v>
      </c>
      <c r="D131" s="8">
        <v>11.540909090909</v>
      </c>
      <c r="E131" s="8">
        <v>9.35208333333333</v>
      </c>
      <c r="F131" s="8">
        <v>14.1</v>
      </c>
      <c r="G131" s="3"/>
      <c r="H131" s="7">
        <v>129</v>
      </c>
      <c r="I131" s="8">
        <v>0.78235294117647</v>
      </c>
      <c r="J131" s="8">
        <v>2.3258064516129</v>
      </c>
      <c r="K131" s="8">
        <v>0.209090909090909</v>
      </c>
      <c r="L131" s="8">
        <v>2.26896551724137</v>
      </c>
      <c r="M131" s="8">
        <v>1.23333333333333</v>
      </c>
      <c r="N131" s="3"/>
      <c r="O131" s="7">
        <v>129</v>
      </c>
      <c r="P131" s="8">
        <v>1.6080556103689</v>
      </c>
      <c r="Q131" s="8">
        <v>1.73183308228528</v>
      </c>
      <c r="R131" s="8">
        <v>1.91307238826314</v>
      </c>
      <c r="S131" s="8">
        <v>1.65103872717017</v>
      </c>
      <c r="T131" s="8">
        <v>1.35935298970323</v>
      </c>
      <c r="U131" s="3"/>
      <c r="V131" s="3"/>
      <c r="W131" s="3"/>
      <c r="X131" s="3"/>
      <c r="Y131" s="3"/>
      <c r="Z131" s="3"/>
      <c r="AA131" s="3"/>
    </row>
    <row x14ac:dyDescent="0.25" r="132" customHeight="1" ht="18.75">
      <c r="A132" s="7">
        <v>130</v>
      </c>
      <c r="B132" s="8">
        <v>10.1044117647058</v>
      </c>
      <c r="C132" s="8">
        <v>13.2919354838709</v>
      </c>
      <c r="D132" s="8">
        <v>11.9022727272727</v>
      </c>
      <c r="E132" s="8">
        <v>8.675</v>
      </c>
      <c r="F132" s="8">
        <v>13.7416666666666</v>
      </c>
      <c r="G132" s="3"/>
      <c r="H132" s="7">
        <v>130</v>
      </c>
      <c r="I132" s="8">
        <v>1.99411764705882</v>
      </c>
      <c r="J132" s="8">
        <v>3.17333333333333</v>
      </c>
      <c r="K132" s="8">
        <v>0.990909090909091</v>
      </c>
      <c r="L132" s="8">
        <v>1.17241379310344</v>
      </c>
      <c r="M132" s="8">
        <v>1.56666666666666</v>
      </c>
      <c r="N132" s="3"/>
      <c r="O132" s="7">
        <v>130</v>
      </c>
      <c r="P132" s="8">
        <v>1.41413311869791</v>
      </c>
      <c r="Q132" s="8">
        <v>1.66553720350486</v>
      </c>
      <c r="R132" s="8">
        <v>1.62013451648297</v>
      </c>
      <c r="S132" s="8">
        <v>1.60346248957718</v>
      </c>
      <c r="T132" s="8">
        <v>1.19804939494643</v>
      </c>
      <c r="U132" s="3"/>
      <c r="V132" s="3"/>
      <c r="W132" s="3"/>
      <c r="X132" s="3"/>
      <c r="Y132" s="3"/>
      <c r="Z132" s="3"/>
      <c r="AA132" s="3"/>
    </row>
    <row x14ac:dyDescent="0.25" r="133" customHeight="1" ht="18.75">
      <c r="A133" s="7">
        <v>131</v>
      </c>
      <c r="B133" s="8">
        <v>10.4441176470588</v>
      </c>
      <c r="C133" s="8">
        <v>13.5774193548387</v>
      </c>
      <c r="D133" s="8">
        <v>12.3818181818181</v>
      </c>
      <c r="E133" s="8">
        <v>8.98043478260869</v>
      </c>
      <c r="F133" s="8">
        <v>13.1</v>
      </c>
      <c r="G133" s="3"/>
      <c r="H133" s="7">
        <v>131</v>
      </c>
      <c r="I133" s="8">
        <v>0.920588235294117</v>
      </c>
      <c r="J133" s="8">
        <v>2.42258064516129</v>
      </c>
      <c r="K133" s="8">
        <v>1.63636363636363</v>
      </c>
      <c r="L133" s="8">
        <v>2.44285714285714</v>
      </c>
      <c r="M133" s="8">
        <v>3.71666666666666</v>
      </c>
      <c r="N133" s="3"/>
      <c r="O133" s="7">
        <v>131</v>
      </c>
      <c r="P133" s="8">
        <v>1.66219643843515</v>
      </c>
      <c r="Q133" s="8">
        <v>1.82340706114468</v>
      </c>
      <c r="R133" s="8">
        <v>1.80696864272368</v>
      </c>
      <c r="S133" s="8">
        <v>1.57329696635336</v>
      </c>
      <c r="T133" s="8">
        <v>1.0818629782871</v>
      </c>
      <c r="U133" s="3"/>
      <c r="V133" s="3"/>
      <c r="W133" s="3"/>
      <c r="X133" s="3"/>
      <c r="Y133" s="3"/>
      <c r="Z133" s="3"/>
      <c r="AA133" s="3"/>
    </row>
    <row x14ac:dyDescent="0.25" r="134" customHeight="1" ht="18.75">
      <c r="A134" s="7">
        <v>132</v>
      </c>
      <c r="B134" s="8">
        <v>10.8014705882352</v>
      </c>
      <c r="C134" s="8">
        <v>13.8983870967741</v>
      </c>
      <c r="D134" s="8">
        <v>12.35</v>
      </c>
      <c r="E134" s="8">
        <v>9.60434782608695</v>
      </c>
      <c r="F134" s="8">
        <v>13.5666666666666</v>
      </c>
      <c r="G134" s="3"/>
      <c r="H134" s="7">
        <v>132</v>
      </c>
      <c r="I134" s="8">
        <v>1.73823529411764</v>
      </c>
      <c r="J134" s="8">
        <v>3.56129032258064</v>
      </c>
      <c r="K134" s="8">
        <v>2.78636363636363</v>
      </c>
      <c r="L134" s="8">
        <v>2.42142857142857</v>
      </c>
      <c r="M134" s="8">
        <v>5.86666666666666</v>
      </c>
      <c r="N134" s="3"/>
      <c r="O134" s="7">
        <v>132</v>
      </c>
      <c r="P134" s="8">
        <v>1.5723667757897</v>
      </c>
      <c r="Q134" s="8">
        <v>1.58246048642455</v>
      </c>
      <c r="R134" s="8">
        <v>1.4913730014274</v>
      </c>
      <c r="S134" s="8">
        <v>1.5218514318471</v>
      </c>
      <c r="T134" s="8">
        <v>0.933609199474068</v>
      </c>
      <c r="U134" s="3"/>
      <c r="V134" s="3"/>
      <c r="W134" s="3"/>
      <c r="X134" s="3"/>
      <c r="Y134" s="3"/>
      <c r="Z134" s="3"/>
      <c r="AA134" s="3"/>
    </row>
    <row x14ac:dyDescent="0.25" r="135" customHeight="1" ht="18.75">
      <c r="A135" s="7">
        <v>133</v>
      </c>
      <c r="B135" s="8">
        <v>10.1499999999999</v>
      </c>
      <c r="C135" s="8">
        <v>13.8193548387096</v>
      </c>
      <c r="D135" s="8">
        <v>11.8840909090909</v>
      </c>
      <c r="E135" s="8">
        <v>8.52173913043478</v>
      </c>
      <c r="F135" s="8">
        <v>12.8875</v>
      </c>
      <c r="G135" s="3"/>
      <c r="H135" s="7">
        <v>133</v>
      </c>
      <c r="I135" s="8">
        <v>1.23235294117647</v>
      </c>
      <c r="J135" s="8">
        <v>3.26774193548387</v>
      </c>
      <c r="K135" s="8">
        <v>3.31363636363636</v>
      </c>
      <c r="L135" s="8">
        <v>3.99285714285714</v>
      </c>
      <c r="M135" s="8">
        <v>5.16666666666666</v>
      </c>
      <c r="N135" s="3"/>
      <c r="O135" s="7">
        <v>133</v>
      </c>
      <c r="P135" s="8">
        <v>1.62543661304557</v>
      </c>
      <c r="Q135" s="8">
        <v>1.64199129133333</v>
      </c>
      <c r="R135" s="8">
        <v>1.62678039483797</v>
      </c>
      <c r="S135" s="8">
        <v>1.46991319246861</v>
      </c>
      <c r="T135" s="8">
        <v>1.33615274713559</v>
      </c>
      <c r="U135" s="3"/>
      <c r="V135" s="3"/>
      <c r="W135" s="3"/>
      <c r="X135" s="3"/>
      <c r="Y135" s="3"/>
      <c r="Z135" s="3"/>
      <c r="AA135" s="3"/>
    </row>
    <row x14ac:dyDescent="0.25" r="136" customHeight="1" ht="18.75">
      <c r="A136" s="7">
        <v>134</v>
      </c>
      <c r="B136" s="8">
        <v>10.0294117647058</v>
      </c>
      <c r="C136" s="8">
        <v>13.49</v>
      </c>
      <c r="D136" s="8">
        <v>11.8613636363636</v>
      </c>
      <c r="E136" s="7">
        <v>9</v>
      </c>
      <c r="F136" s="7">
        <v>13</v>
      </c>
      <c r="G136" s="3"/>
      <c r="H136" s="7">
        <v>134</v>
      </c>
      <c r="I136" s="8">
        <v>1.69705882352941</v>
      </c>
      <c r="J136" s="8">
        <v>2.96129032258064</v>
      </c>
      <c r="K136" s="8">
        <v>0.94090909090909</v>
      </c>
      <c r="L136" s="8">
        <v>2.97931034482758</v>
      </c>
      <c r="M136" s="8">
        <v>4.86666666666666</v>
      </c>
      <c r="N136" s="3"/>
      <c r="O136" s="7">
        <v>134</v>
      </c>
      <c r="P136" s="8">
        <v>1.61399571332826</v>
      </c>
      <c r="Q136" s="8">
        <v>1.74931164052842</v>
      </c>
      <c r="R136" s="8">
        <v>1.82019817889699</v>
      </c>
      <c r="S136" s="8">
        <v>1.73350349771392</v>
      </c>
      <c r="T136" s="8">
        <v>1.19076326244432</v>
      </c>
      <c r="U136" s="3"/>
      <c r="V136" s="3"/>
      <c r="W136" s="3"/>
      <c r="X136" s="3"/>
      <c r="Y136" s="3"/>
      <c r="Z136" s="3"/>
      <c r="AA136" s="3"/>
    </row>
    <row x14ac:dyDescent="0.25" r="137" customHeight="1" ht="18.75">
      <c r="A137" s="7">
        <v>135</v>
      </c>
      <c r="B137" s="8">
        <v>9.6235294117647</v>
      </c>
      <c r="C137" s="8">
        <v>13.408064516129</v>
      </c>
      <c r="D137" s="8">
        <v>12.3318181818181</v>
      </c>
      <c r="E137" s="8">
        <v>8.29791666666666</v>
      </c>
      <c r="F137" s="8">
        <v>13.4708333333333</v>
      </c>
      <c r="G137" s="3"/>
      <c r="H137" s="7">
        <v>135</v>
      </c>
      <c r="I137" s="8">
        <v>1.51764705882352</v>
      </c>
      <c r="J137" s="8">
        <v>3.90322580645161</v>
      </c>
      <c r="K137" s="8">
        <v>1.69545454545454</v>
      </c>
      <c r="L137" s="8">
        <v>2.93103448275862</v>
      </c>
      <c r="M137" s="8">
        <v>8.78333333333333</v>
      </c>
      <c r="N137" s="3"/>
      <c r="O137" s="7">
        <v>135</v>
      </c>
      <c r="P137" s="8">
        <v>1.60054982376267</v>
      </c>
      <c r="Q137" s="8">
        <v>1.5662445189593</v>
      </c>
      <c r="R137" s="8">
        <v>1.85293958828846</v>
      </c>
      <c r="S137" s="8">
        <v>1.35428640804528</v>
      </c>
      <c r="T137" s="8">
        <v>1.16840876605303</v>
      </c>
      <c r="U137" s="3"/>
      <c r="V137" s="3"/>
      <c r="W137" s="3"/>
      <c r="X137" s="3"/>
      <c r="Y137" s="3"/>
      <c r="Z137" s="3"/>
      <c r="AA137" s="3"/>
    </row>
    <row x14ac:dyDescent="0.25" r="138" customHeight="1" ht="18.75">
      <c r="A138" s="7">
        <v>136</v>
      </c>
      <c r="B138" s="8">
        <v>10.1779411764705</v>
      </c>
      <c r="C138" s="8">
        <v>13.4193548387096</v>
      </c>
      <c r="D138" s="8">
        <v>12.0795454545454</v>
      </c>
      <c r="E138" s="8">
        <v>7.59375</v>
      </c>
      <c r="F138" s="8">
        <v>12.8666666666666</v>
      </c>
      <c r="G138" s="3"/>
      <c r="H138" s="7">
        <v>136</v>
      </c>
      <c r="I138" s="8">
        <v>2.01470588235294</v>
      </c>
      <c r="J138" s="8">
        <v>4.13225806451612</v>
      </c>
      <c r="K138" s="8">
        <v>1.2090909090909</v>
      </c>
      <c r="L138" s="8">
        <v>4.61379310344827</v>
      </c>
      <c r="M138" s="8">
        <v>4.86666666666666</v>
      </c>
      <c r="N138" s="3"/>
      <c r="O138" s="7">
        <v>136</v>
      </c>
      <c r="P138" s="8">
        <v>1.76114821084059</v>
      </c>
      <c r="Q138" s="8">
        <v>1.79098912248323</v>
      </c>
      <c r="R138" s="8">
        <v>2.29628762636644</v>
      </c>
      <c r="S138" s="8">
        <v>1.4285530568691</v>
      </c>
      <c r="T138" s="8">
        <v>1.23845839693481</v>
      </c>
      <c r="U138" s="3"/>
      <c r="V138" s="3"/>
      <c r="W138" s="3"/>
      <c r="X138" s="3"/>
      <c r="Y138" s="3"/>
      <c r="Z138" s="3"/>
      <c r="AA138" s="3"/>
    </row>
    <row x14ac:dyDescent="0.25" r="139" customHeight="1" ht="18.75">
      <c r="A139" s="7">
        <v>137</v>
      </c>
      <c r="B139" s="8">
        <v>9.27794117647058</v>
      </c>
      <c r="C139" s="8">
        <v>13.0177419354838</v>
      </c>
      <c r="D139" s="8">
        <v>11.25</v>
      </c>
      <c r="E139" s="8">
        <v>7.17916666666666</v>
      </c>
      <c r="F139" s="8">
        <v>12.2374999999999</v>
      </c>
      <c r="G139" s="3"/>
      <c r="H139" s="7">
        <v>137</v>
      </c>
      <c r="I139" s="8">
        <v>2.7235294117647</v>
      </c>
      <c r="J139" s="8">
        <v>3.86451612903225</v>
      </c>
      <c r="K139" s="8">
        <v>1.42272727272727</v>
      </c>
      <c r="L139" s="8">
        <v>4.40689655172413</v>
      </c>
      <c r="M139" s="8">
        <v>3.71666666666666</v>
      </c>
      <c r="N139" s="3"/>
      <c r="O139" s="7">
        <v>137</v>
      </c>
      <c r="P139" s="8">
        <v>1.51265723824432</v>
      </c>
      <c r="Q139" s="8">
        <v>1.67932593217038</v>
      </c>
      <c r="R139" s="8">
        <v>2.10656555374354</v>
      </c>
      <c r="S139" s="8">
        <v>1.26682026867917</v>
      </c>
      <c r="T139" s="8">
        <v>1.30748981659154</v>
      </c>
      <c r="U139" s="3"/>
      <c r="V139" s="3"/>
      <c r="W139" s="3"/>
      <c r="X139" s="3"/>
      <c r="Y139" s="3"/>
      <c r="Z139" s="3"/>
      <c r="AA139" s="3"/>
    </row>
    <row x14ac:dyDescent="0.25" r="140" customHeight="1" ht="18.75">
      <c r="A140" s="7">
        <v>138</v>
      </c>
      <c r="B140" s="8">
        <v>9.0485294117647</v>
      </c>
      <c r="C140" s="8">
        <v>12.8774193548387</v>
      </c>
      <c r="D140" s="8">
        <v>9.925</v>
      </c>
      <c r="E140" s="8">
        <v>7.675</v>
      </c>
      <c r="F140" s="8">
        <v>11.5958333333333</v>
      </c>
      <c r="G140" s="3"/>
      <c r="H140" s="7">
        <v>138</v>
      </c>
      <c r="I140" s="8">
        <v>1.5</v>
      </c>
      <c r="J140" s="8">
        <v>3.79677419354838</v>
      </c>
      <c r="K140" s="8">
        <v>0.886363636363636</v>
      </c>
      <c r="L140" s="8">
        <v>2.5103448275862</v>
      </c>
      <c r="M140" s="8">
        <v>2.61666666666666</v>
      </c>
      <c r="N140" s="3"/>
      <c r="O140" s="7">
        <v>138</v>
      </c>
      <c r="P140" s="8">
        <v>1.42917243065086</v>
      </c>
      <c r="Q140" s="8">
        <v>1.76471025668288</v>
      </c>
      <c r="R140" s="8">
        <v>1.65581556985059</v>
      </c>
      <c r="S140" s="8">
        <v>1.36111403075621</v>
      </c>
      <c r="T140" s="8">
        <v>1.33211533604322</v>
      </c>
      <c r="U140" s="3"/>
      <c r="V140" s="3"/>
      <c r="W140" s="3"/>
      <c r="X140" s="3"/>
      <c r="Y140" s="3"/>
      <c r="Z140" s="3"/>
      <c r="AA140" s="3"/>
    </row>
    <row x14ac:dyDescent="0.25" r="141" customHeight="1" ht="18.75">
      <c r="A141" s="7">
        <v>139</v>
      </c>
      <c r="B141" s="8">
        <v>9.36470588235294</v>
      </c>
      <c r="C141" s="8">
        <v>13.3629032258064</v>
      </c>
      <c r="D141" s="8">
        <v>10.8318181818181</v>
      </c>
      <c r="E141" s="8">
        <v>7.8625</v>
      </c>
      <c r="F141" s="8">
        <v>11.9041666666666</v>
      </c>
      <c r="G141" s="3"/>
      <c r="H141" s="7">
        <v>139</v>
      </c>
      <c r="I141" s="8">
        <v>1.5735294117647</v>
      </c>
      <c r="J141" s="8">
        <v>1.4774193548387</v>
      </c>
      <c r="K141" s="8">
        <v>1.27272727272727</v>
      </c>
      <c r="L141" s="8">
        <v>2.52413793103448</v>
      </c>
      <c r="M141" s="8">
        <v>2.35</v>
      </c>
      <c r="N141" s="3"/>
      <c r="O141" s="7">
        <v>139</v>
      </c>
      <c r="P141" s="8">
        <v>1.4324355889067</v>
      </c>
      <c r="Q141" s="8">
        <v>1.85024695431403</v>
      </c>
      <c r="R141" s="8">
        <v>1.67924961073024</v>
      </c>
      <c r="S141" s="8">
        <v>1.21011672141106</v>
      </c>
      <c r="T141" s="8">
        <v>1.29617764086297</v>
      </c>
      <c r="U141" s="3"/>
      <c r="V141" s="3"/>
      <c r="W141" s="3"/>
      <c r="X141" s="3"/>
      <c r="Y141" s="3"/>
      <c r="Z141" s="3"/>
      <c r="AA141" s="3"/>
    </row>
    <row x14ac:dyDescent="0.25" r="142" customHeight="1" ht="18.75">
      <c r="A142" s="7">
        <v>140</v>
      </c>
      <c r="B142" s="8">
        <v>9.43529411764705</v>
      </c>
      <c r="C142" s="8">
        <v>13.3145161290322</v>
      </c>
      <c r="D142" s="8">
        <v>10.9454545454545</v>
      </c>
      <c r="E142" s="8">
        <v>7.84375</v>
      </c>
      <c r="F142" s="8">
        <v>11.7625</v>
      </c>
      <c r="G142" s="3"/>
      <c r="H142" s="7">
        <v>140</v>
      </c>
      <c r="I142" s="8">
        <v>1.93529411764705</v>
      </c>
      <c r="J142" s="8">
        <v>5.21935483870967</v>
      </c>
      <c r="K142" s="8">
        <v>0.45</v>
      </c>
      <c r="L142" s="8">
        <v>4.08965517241379</v>
      </c>
      <c r="M142" s="8">
        <v>0.316666666666666</v>
      </c>
      <c r="N142" s="3"/>
      <c r="O142" s="7">
        <v>140</v>
      </c>
      <c r="P142" s="8">
        <v>1.41248356112234</v>
      </c>
      <c r="Q142" s="8">
        <v>1.45990965706056</v>
      </c>
      <c r="R142" s="8">
        <v>1.97950041857592</v>
      </c>
      <c r="S142" s="8">
        <v>1.16472094718198</v>
      </c>
      <c r="T142" s="8">
        <v>1.26598619456247</v>
      </c>
      <c r="U142" s="3"/>
      <c r="V142" s="3"/>
      <c r="W142" s="3"/>
      <c r="X142" s="3"/>
      <c r="Y142" s="3"/>
      <c r="Z142" s="3"/>
      <c r="AA142" s="3"/>
    </row>
    <row x14ac:dyDescent="0.25" r="143" customHeight="1" ht="18.75">
      <c r="A143" s="7">
        <v>141</v>
      </c>
      <c r="B143" s="8">
        <v>9.17058823529411</v>
      </c>
      <c r="C143" s="8">
        <v>13.5983870967741</v>
      </c>
      <c r="D143" s="8">
        <v>11.1818181818181</v>
      </c>
      <c r="E143" s="8">
        <v>7.05416666666666</v>
      </c>
      <c r="F143" s="8">
        <v>11.6125</v>
      </c>
      <c r="G143" s="3"/>
      <c r="H143" s="7">
        <v>141</v>
      </c>
      <c r="I143" s="8">
        <v>2.35294117647058</v>
      </c>
      <c r="J143" s="8">
        <v>5.14516129032258</v>
      </c>
      <c r="K143" s="8">
        <v>1.40454545454545</v>
      </c>
      <c r="L143" s="8">
        <v>2.63448275862069</v>
      </c>
      <c r="M143" s="7">
        <v>2</v>
      </c>
      <c r="N143" s="3"/>
      <c r="O143" s="7">
        <v>141</v>
      </c>
      <c r="P143" s="8">
        <v>1.27655112352842</v>
      </c>
      <c r="Q143" s="8">
        <v>1.48780958137737</v>
      </c>
      <c r="R143" s="8">
        <v>1.81223057849349</v>
      </c>
      <c r="S143" s="8">
        <v>1.09887850259451</v>
      </c>
      <c r="T143" s="8">
        <v>1.06070639705167</v>
      </c>
      <c r="U143" s="3"/>
      <c r="V143" s="3"/>
      <c r="W143" s="3"/>
      <c r="X143" s="3"/>
      <c r="Y143" s="3"/>
      <c r="Z143" s="3"/>
      <c r="AA143" s="3"/>
    </row>
    <row x14ac:dyDescent="0.25" r="144" customHeight="1" ht="18.75">
      <c r="A144" s="7">
        <v>142</v>
      </c>
      <c r="B144" s="8">
        <v>8.35294117647058</v>
      </c>
      <c r="C144" s="8">
        <v>13.074193548387</v>
      </c>
      <c r="D144" s="8">
        <v>10.7568181818181</v>
      </c>
      <c r="E144" s="8">
        <v>7.60833333333333</v>
      </c>
      <c r="F144" s="8">
        <v>10.1749999999999</v>
      </c>
      <c r="G144" s="3"/>
      <c r="H144" s="7">
        <v>142</v>
      </c>
      <c r="I144" s="8">
        <v>1.58529411764705</v>
      </c>
      <c r="J144" s="8">
        <v>4.73548387096774</v>
      </c>
      <c r="K144" s="8">
        <v>1.02727272727272</v>
      </c>
      <c r="L144" s="8">
        <v>2.02068965517241</v>
      </c>
      <c r="M144" s="8">
        <v>2.93333333333333</v>
      </c>
      <c r="N144" s="3"/>
      <c r="O144" s="7">
        <v>142</v>
      </c>
      <c r="P144" s="8">
        <v>1.16185501754004</v>
      </c>
      <c r="Q144" s="8">
        <v>1.41034417523224</v>
      </c>
      <c r="R144" s="8">
        <v>1.65464721223407</v>
      </c>
      <c r="S144" s="8">
        <v>1.243922460275</v>
      </c>
      <c r="T144" s="8">
        <v>1.10734547072848</v>
      </c>
      <c r="U144" s="3"/>
      <c r="V144" s="3"/>
      <c r="W144" s="3"/>
      <c r="X144" s="3"/>
      <c r="Y144" s="3"/>
      <c r="Z144" s="3"/>
      <c r="AA144" s="3"/>
    </row>
    <row x14ac:dyDescent="0.25" r="145" customHeight="1" ht="18.75">
      <c r="A145" s="7">
        <v>143</v>
      </c>
      <c r="B145" s="8">
        <v>9.01323529411764</v>
      </c>
      <c r="C145" s="8">
        <v>12.8338709677419</v>
      </c>
      <c r="D145" s="8">
        <v>10.1477272727272</v>
      </c>
      <c r="E145" s="8">
        <v>7.48333333333333</v>
      </c>
      <c r="F145" s="8">
        <v>10.7416666666666</v>
      </c>
      <c r="G145" s="3"/>
      <c r="H145" s="7">
        <v>143</v>
      </c>
      <c r="I145" s="8">
        <v>1.62058823529411</v>
      </c>
      <c r="J145" s="8">
        <v>7.76774193548387</v>
      </c>
      <c r="K145" s="8">
        <v>2.35454545454545</v>
      </c>
      <c r="L145" s="8">
        <v>3.69655172413793</v>
      </c>
      <c r="M145" s="8">
        <v>2.8</v>
      </c>
      <c r="N145" s="3"/>
      <c r="O145" s="7">
        <v>143</v>
      </c>
      <c r="P145" s="8">
        <v>1.38805252001906</v>
      </c>
      <c r="Q145" s="8">
        <v>1.40773401519768</v>
      </c>
      <c r="R145" s="8">
        <v>1.22272083396763</v>
      </c>
      <c r="S145" s="8">
        <v>1.21768712617834</v>
      </c>
      <c r="T145" s="8">
        <v>0.949210820807669</v>
      </c>
      <c r="U145" s="3"/>
      <c r="V145" s="3"/>
      <c r="W145" s="3"/>
      <c r="X145" s="3"/>
      <c r="Y145" s="3"/>
      <c r="Z145" s="3"/>
      <c r="AA145" s="3"/>
    </row>
    <row x14ac:dyDescent="0.25" r="146" customHeight="1" ht="18.75">
      <c r="A146" s="7">
        <v>144</v>
      </c>
      <c r="B146" s="8">
        <v>8.79117647058823</v>
      </c>
      <c r="C146" s="8">
        <v>12.7612903225806</v>
      </c>
      <c r="D146" s="8">
        <v>10.890909090909</v>
      </c>
      <c r="E146" s="8">
        <v>6.72083333333333</v>
      </c>
      <c r="F146" s="8">
        <v>10.9833333333333</v>
      </c>
      <c r="G146" s="3"/>
      <c r="H146" s="7">
        <v>144</v>
      </c>
      <c r="I146" s="8">
        <v>3.37647058823529</v>
      </c>
      <c r="J146" s="8">
        <v>5.36129032258064</v>
      </c>
      <c r="K146" s="8">
        <v>6.29545454545454</v>
      </c>
      <c r="L146" s="8">
        <v>1.52413793103448</v>
      </c>
      <c r="M146" s="8">
        <v>5.61666666666666</v>
      </c>
      <c r="N146" s="3"/>
      <c r="O146" s="7">
        <v>144</v>
      </c>
      <c r="P146" s="8">
        <v>1.28085602366637</v>
      </c>
      <c r="Q146" s="8">
        <v>1.53247888855769</v>
      </c>
      <c r="R146" s="8">
        <v>1.76021802345017</v>
      </c>
      <c r="S146" s="8">
        <v>1.12929990529715</v>
      </c>
      <c r="T146" s="8">
        <v>0.955937129100759</v>
      </c>
      <c r="U146" s="3"/>
      <c r="V146" s="3"/>
      <c r="W146" s="3"/>
      <c r="X146" s="3"/>
      <c r="Y146" s="3"/>
      <c r="Z146" s="3"/>
      <c r="AA146" s="3"/>
    </row>
    <row x14ac:dyDescent="0.25" r="147" customHeight="1" ht="18.75">
      <c r="A147" s="7">
        <v>145</v>
      </c>
      <c r="B147" s="8">
        <v>8.37205882352941</v>
      </c>
      <c r="C147" s="8">
        <v>13.04</v>
      </c>
      <c r="D147" s="8">
        <v>10.35</v>
      </c>
      <c r="E147" s="8">
        <v>7.19565217391304</v>
      </c>
      <c r="F147" s="8">
        <v>10.7666666666666</v>
      </c>
      <c r="G147" s="3"/>
      <c r="H147" s="7">
        <v>145</v>
      </c>
      <c r="I147" s="8">
        <v>1.90588235294117</v>
      </c>
      <c r="J147" s="8">
        <v>5.82333333333333</v>
      </c>
      <c r="K147" s="8">
        <v>3.81818181818181</v>
      </c>
      <c r="L147" s="8">
        <v>3.55862068965517</v>
      </c>
      <c r="M147" s="8">
        <v>3.16666666666666</v>
      </c>
      <c r="N147" s="3"/>
      <c r="O147" s="7">
        <v>145</v>
      </c>
      <c r="P147" s="8">
        <v>1.28602442078779</v>
      </c>
      <c r="Q147" s="8">
        <v>1.3513771562845</v>
      </c>
      <c r="R147" s="8">
        <v>1.6400789643331</v>
      </c>
      <c r="S147" s="8">
        <v>1.26831102365746</v>
      </c>
      <c r="T147" s="8">
        <v>0.985978205609475</v>
      </c>
      <c r="U147" s="3"/>
      <c r="V147" s="3"/>
      <c r="W147" s="3"/>
      <c r="X147" s="3"/>
      <c r="Y147" s="3"/>
      <c r="Z147" s="3"/>
      <c r="AA147" s="3"/>
    </row>
    <row x14ac:dyDescent="0.25" r="148" customHeight="1" ht="18.75">
      <c r="A148" s="7">
        <v>146</v>
      </c>
      <c r="B148" s="8">
        <v>8.56323529411764</v>
      </c>
      <c r="C148" s="8">
        <v>13.44</v>
      </c>
      <c r="D148" s="8">
        <v>10.7954545454545</v>
      </c>
      <c r="E148" s="8">
        <v>6.18260869565217</v>
      </c>
      <c r="F148" s="8">
        <v>11.1833333333333</v>
      </c>
      <c r="G148" s="3"/>
      <c r="H148" s="7">
        <v>146</v>
      </c>
      <c r="I148" s="8">
        <v>4.37941176470588</v>
      </c>
      <c r="J148" s="8">
        <v>6.90999999999999</v>
      </c>
      <c r="K148" s="8">
        <v>3.8</v>
      </c>
      <c r="L148" s="8">
        <v>4.24285714285714</v>
      </c>
      <c r="M148" s="8">
        <v>6.14999999999999</v>
      </c>
      <c r="N148" s="3"/>
      <c r="O148" s="7">
        <v>146</v>
      </c>
      <c r="P148" s="8">
        <v>1.33540018897607</v>
      </c>
      <c r="Q148" s="8">
        <v>1.45255211799902</v>
      </c>
      <c r="R148" s="8">
        <v>1.6905392810155</v>
      </c>
      <c r="S148" s="8">
        <v>1.11704463376725</v>
      </c>
      <c r="T148" s="8">
        <v>1.02530679052105</v>
      </c>
      <c r="U148" s="3"/>
      <c r="V148" s="3"/>
      <c r="W148" s="3"/>
      <c r="X148" s="3"/>
      <c r="Y148" s="3"/>
      <c r="Z148" s="3"/>
      <c r="AA148" s="3"/>
    </row>
    <row x14ac:dyDescent="0.25" r="149" customHeight="1" ht="18.75">
      <c r="A149" s="7">
        <v>147</v>
      </c>
      <c r="B149" s="8">
        <v>8.45735294117647</v>
      </c>
      <c r="C149" s="8">
        <v>12.8183333333333</v>
      </c>
      <c r="D149" s="8">
        <v>10.8363636363636</v>
      </c>
      <c r="E149" s="8">
        <v>6.03863636363636</v>
      </c>
      <c r="F149" s="8">
        <v>10.5666666666666</v>
      </c>
      <c r="G149" s="3"/>
      <c r="H149" s="7">
        <v>147</v>
      </c>
      <c r="I149" s="8">
        <v>0.997058823529411</v>
      </c>
      <c r="J149" s="8">
        <v>4.40666666666666</v>
      </c>
      <c r="K149" s="8">
        <v>0.790909090909091</v>
      </c>
      <c r="L149" s="8">
        <v>2.68888888888888</v>
      </c>
      <c r="M149" s="8">
        <v>2.76666666666666</v>
      </c>
      <c r="N149" s="3"/>
      <c r="O149" s="7">
        <v>147</v>
      </c>
      <c r="P149" s="8">
        <v>1.45727309162839</v>
      </c>
      <c r="Q149" s="8">
        <v>1.57971159134669</v>
      </c>
      <c r="R149" s="8">
        <v>1.69802252680614</v>
      </c>
      <c r="S149" s="8">
        <v>1.15391802031854</v>
      </c>
      <c r="T149" s="8">
        <v>1.05508542906727</v>
      </c>
      <c r="U149" s="3"/>
      <c r="V149" s="3"/>
      <c r="W149" s="3"/>
      <c r="X149" s="3"/>
      <c r="Y149" s="3"/>
      <c r="Z149" s="3"/>
      <c r="AA149" s="3"/>
    </row>
    <row x14ac:dyDescent="0.25" r="150" customHeight="1" ht="18.75">
      <c r="A150" s="7">
        <v>148</v>
      </c>
      <c r="B150" s="8">
        <v>8.18970588235294</v>
      </c>
      <c r="C150" s="8">
        <v>12.0883333333333</v>
      </c>
      <c r="D150" s="8">
        <v>9.99772727272727</v>
      </c>
      <c r="E150" s="8">
        <v>6.24090909090909</v>
      </c>
      <c r="F150" s="8">
        <v>10.2833333333333</v>
      </c>
      <c r="G150" s="3"/>
      <c r="H150" s="7">
        <v>148</v>
      </c>
      <c r="I150" s="8">
        <v>2.36764705882352</v>
      </c>
      <c r="J150" s="8">
        <v>3.84666666666666</v>
      </c>
      <c r="K150" s="8">
        <v>1.68181818181818</v>
      </c>
      <c r="L150" s="8">
        <v>2.31428571428571</v>
      </c>
      <c r="M150" s="8">
        <v>2.73333333333333</v>
      </c>
      <c r="N150" s="3"/>
      <c r="O150" s="7">
        <v>148</v>
      </c>
      <c r="P150" s="8">
        <v>1.60616595463803</v>
      </c>
      <c r="Q150" s="8">
        <v>1.52168431166894</v>
      </c>
      <c r="R150" s="8">
        <v>1.83500531013029</v>
      </c>
      <c r="S150" s="8">
        <v>1.24241439726467</v>
      </c>
      <c r="T150" s="8">
        <v>0.962735446916765</v>
      </c>
      <c r="U150" s="3"/>
      <c r="V150" s="3"/>
      <c r="W150" s="3"/>
      <c r="X150" s="3"/>
      <c r="Y150" s="3"/>
      <c r="Z150" s="3"/>
      <c r="AA150" s="3"/>
    </row>
    <row x14ac:dyDescent="0.25" r="151" customHeight="1" ht="18.75">
      <c r="A151" s="7">
        <v>149</v>
      </c>
      <c r="B151" s="8">
        <v>8.37647058823529</v>
      </c>
      <c r="C151" s="8">
        <v>11.7193548387096</v>
      </c>
      <c r="D151" s="8">
        <v>10.025</v>
      </c>
      <c r="E151" s="8">
        <v>6.66739130434782</v>
      </c>
      <c r="F151" s="8">
        <v>10.8</v>
      </c>
      <c r="G151" s="3"/>
      <c r="H151" s="7">
        <v>149</v>
      </c>
      <c r="I151" s="8">
        <v>2.75</v>
      </c>
      <c r="J151" s="8">
        <v>4.81612903225806</v>
      </c>
      <c r="K151" s="8">
        <v>3.9</v>
      </c>
      <c r="L151" s="8">
        <v>3.06428571428571</v>
      </c>
      <c r="M151" s="8">
        <v>3.23333333333333</v>
      </c>
      <c r="N151" s="3"/>
      <c r="O151" s="7">
        <v>149</v>
      </c>
      <c r="P151" s="8">
        <v>1.41028048478178</v>
      </c>
      <c r="Q151" s="8">
        <v>1.30434033536413</v>
      </c>
      <c r="R151" s="8">
        <v>1.62840235536504</v>
      </c>
      <c r="S151" s="8">
        <v>1.27848911262641</v>
      </c>
      <c r="T151" s="8">
        <v>1.08816831727148</v>
      </c>
      <c r="U151" s="3"/>
      <c r="V151" s="3"/>
      <c r="W151" s="3"/>
      <c r="X151" s="3"/>
      <c r="Y151" s="3"/>
      <c r="Z151" s="3"/>
      <c r="AA151" s="3"/>
    </row>
    <row x14ac:dyDescent="0.25" r="152" customHeight="1" ht="18.75">
      <c r="A152" s="7">
        <v>150</v>
      </c>
      <c r="B152" s="8">
        <v>7.9235294117647</v>
      </c>
      <c r="C152" s="8">
        <v>12.024193548387</v>
      </c>
      <c r="D152" s="8">
        <v>9.47272727272727</v>
      </c>
      <c r="E152" s="8">
        <v>7.20434782608695</v>
      </c>
      <c r="F152" s="8">
        <v>9.6625</v>
      </c>
      <c r="G152" s="3"/>
      <c r="H152" s="7">
        <v>150</v>
      </c>
      <c r="I152" s="8">
        <v>1.52647058823529</v>
      </c>
      <c r="J152" s="8">
        <v>5.40322580645161</v>
      </c>
      <c r="K152" s="8">
        <v>1.7090909090909</v>
      </c>
      <c r="L152" s="8">
        <v>2.56551724137931</v>
      </c>
      <c r="M152" s="8">
        <v>1.88333333333333</v>
      </c>
      <c r="N152" s="3"/>
      <c r="O152" s="7">
        <v>150</v>
      </c>
      <c r="P152" s="8">
        <v>1.21817698454332</v>
      </c>
      <c r="Q152" s="8">
        <v>1.32902610759516</v>
      </c>
      <c r="R152" s="8">
        <v>1.48107398503486</v>
      </c>
      <c r="S152" s="8">
        <v>1.2346891579072</v>
      </c>
      <c r="T152" s="8">
        <v>1.01870401752346</v>
      </c>
      <c r="U152" s="3"/>
      <c r="V152" s="3"/>
      <c r="W152" s="3"/>
      <c r="X152" s="3"/>
      <c r="Y152" s="3"/>
      <c r="Z152" s="3"/>
      <c r="AA152" s="3"/>
    </row>
    <row x14ac:dyDescent="0.25" r="153" customHeight="1" ht="18.75">
      <c r="A153" s="7">
        <v>151</v>
      </c>
      <c r="B153" s="8">
        <v>7.97424242424242</v>
      </c>
      <c r="C153" s="8">
        <v>11.7258064516129</v>
      </c>
      <c r="D153" s="8">
        <v>9.36136363636363</v>
      </c>
      <c r="E153" s="8">
        <v>7.18260869565217</v>
      </c>
      <c r="F153" s="8">
        <v>9.71666666666666</v>
      </c>
      <c r="G153" s="3"/>
      <c r="H153" s="7">
        <v>151</v>
      </c>
      <c r="I153" s="8">
        <v>0.654545454545454</v>
      </c>
      <c r="J153" s="8">
        <v>5.63548387096774</v>
      </c>
      <c r="K153" s="8">
        <v>0.781818181818181</v>
      </c>
      <c r="L153" s="8">
        <v>3.61379310344827</v>
      </c>
      <c r="M153" s="8">
        <v>4.7</v>
      </c>
      <c r="N153" s="3"/>
      <c r="O153" s="7">
        <v>151</v>
      </c>
      <c r="P153" s="8">
        <v>1.41407920428667</v>
      </c>
      <c r="Q153" s="8">
        <v>1.39784343044145</v>
      </c>
      <c r="R153" s="8">
        <v>1.62464620488772</v>
      </c>
      <c r="S153" s="8">
        <v>1.29207756252244</v>
      </c>
      <c r="T153" s="8">
        <v>1.10197006718848</v>
      </c>
      <c r="U153" s="3"/>
      <c r="V153" s="3"/>
      <c r="W153" s="3"/>
      <c r="X153" s="3"/>
      <c r="Y153" s="3"/>
      <c r="Z153" s="3"/>
      <c r="AA153" s="3"/>
    </row>
    <row x14ac:dyDescent="0.25" r="154" customHeight="1" ht="18.75">
      <c r="A154" s="7">
        <v>152</v>
      </c>
      <c r="B154" s="8">
        <v>8.06969696969696</v>
      </c>
      <c r="C154" s="8">
        <v>11.7564516129032</v>
      </c>
      <c r="D154" s="8">
        <v>8.81136363636363</v>
      </c>
      <c r="E154" s="8">
        <v>6.96521739130434</v>
      </c>
      <c r="F154" s="8">
        <v>10.0041666666666</v>
      </c>
      <c r="G154" s="3"/>
      <c r="H154" s="7">
        <v>152</v>
      </c>
      <c r="I154" s="8">
        <v>2.66060606060606</v>
      </c>
      <c r="J154" s="8">
        <v>4.34516129032258</v>
      </c>
      <c r="K154" s="8">
        <v>1.94090909090909</v>
      </c>
      <c r="L154" s="8">
        <v>4.55862068965517</v>
      </c>
      <c r="M154" s="8">
        <v>2.5</v>
      </c>
      <c r="N154" s="3"/>
      <c r="O154" s="7">
        <v>152</v>
      </c>
      <c r="P154" s="8">
        <v>1.36487770397295</v>
      </c>
      <c r="Q154" s="8">
        <v>1.47126468272987</v>
      </c>
      <c r="R154" s="8">
        <v>1.44797277693594</v>
      </c>
      <c r="S154" s="8">
        <v>1.24207436800048</v>
      </c>
      <c r="T154" s="8">
        <v>1.1690097853574</v>
      </c>
      <c r="U154" s="3"/>
      <c r="V154" s="3"/>
      <c r="W154" s="3"/>
      <c r="X154" s="3"/>
      <c r="Y154" s="3"/>
      <c r="Z154" s="3"/>
      <c r="AA154" s="3"/>
    </row>
    <row x14ac:dyDescent="0.25" r="155" customHeight="1" ht="18.75">
      <c r="A155" s="7">
        <v>153</v>
      </c>
      <c r="B155" s="8">
        <v>7.75</v>
      </c>
      <c r="C155" s="8">
        <v>11.6033333333333</v>
      </c>
      <c r="D155" s="8">
        <v>10.0227272727272</v>
      </c>
      <c r="E155" s="8">
        <v>6.32608695652173</v>
      </c>
      <c r="F155" s="8">
        <v>9.99583333333333</v>
      </c>
      <c r="G155" s="3"/>
      <c r="H155" s="7">
        <v>153</v>
      </c>
      <c r="I155" s="8">
        <v>1.68181818181818</v>
      </c>
      <c r="J155" s="8">
        <v>5.12</v>
      </c>
      <c r="K155" s="8">
        <v>1.47727272727272</v>
      </c>
      <c r="L155" s="8">
        <v>4.75862068965517</v>
      </c>
      <c r="M155" s="8">
        <v>2.78333333333333</v>
      </c>
      <c r="N155" s="3"/>
      <c r="O155" s="7">
        <v>153</v>
      </c>
      <c r="P155" s="8">
        <v>1.12704862732895</v>
      </c>
      <c r="Q155" s="8">
        <v>1.30717057222476</v>
      </c>
      <c r="R155" s="8">
        <v>1.55238998362532</v>
      </c>
      <c r="S155" s="8">
        <v>0.876162983246245</v>
      </c>
      <c r="T155" s="8">
        <v>1.0280895768516</v>
      </c>
      <c r="U155" s="3"/>
      <c r="V155" s="3"/>
      <c r="W155" s="3"/>
      <c r="X155" s="3"/>
      <c r="Y155" s="3"/>
      <c r="Z155" s="3"/>
      <c r="AA155" s="3"/>
    </row>
    <row x14ac:dyDescent="0.25" r="156" customHeight="1" ht="18.75">
      <c r="A156" s="7">
        <v>154</v>
      </c>
      <c r="B156" s="8">
        <v>7.44848484848484</v>
      </c>
      <c r="C156" s="8">
        <v>11.0566666666666</v>
      </c>
      <c r="D156" s="8">
        <v>9.22727272727272</v>
      </c>
      <c r="E156" s="8">
        <v>5.85869565217391</v>
      </c>
      <c r="F156" s="8">
        <v>9.89999999999999</v>
      </c>
      <c r="G156" s="3"/>
      <c r="H156" s="7">
        <v>154</v>
      </c>
      <c r="I156" s="8">
        <v>1.9090909090909</v>
      </c>
      <c r="J156" s="8">
        <v>2.78666666666666</v>
      </c>
      <c r="K156" s="8">
        <v>2.23636363636363</v>
      </c>
      <c r="L156" s="8">
        <v>2.33571428571428</v>
      </c>
      <c r="M156" s="8">
        <v>1.78333333333333</v>
      </c>
      <c r="N156" s="3"/>
      <c r="O156" s="7">
        <v>154</v>
      </c>
      <c r="P156" s="8">
        <v>1.25249803659369</v>
      </c>
      <c r="Q156" s="8">
        <v>1.49410068592361</v>
      </c>
      <c r="R156" s="8">
        <v>1.47784937278144</v>
      </c>
      <c r="S156" s="8">
        <v>1.08846089834921</v>
      </c>
      <c r="T156" s="8">
        <v>0.971102969377203</v>
      </c>
      <c r="U156" s="3"/>
      <c r="V156" s="3"/>
      <c r="W156" s="3"/>
      <c r="X156" s="3"/>
      <c r="Y156" s="3"/>
      <c r="Z156" s="3"/>
      <c r="AA156" s="3"/>
    </row>
    <row x14ac:dyDescent="0.25" r="157" customHeight="1" ht="18.75">
      <c r="A157" s="7">
        <v>155</v>
      </c>
      <c r="B157" s="8">
        <v>7.27424242424242</v>
      </c>
      <c r="C157" s="8">
        <v>11.1733333333333</v>
      </c>
      <c r="D157" s="8">
        <v>9.19090909090909</v>
      </c>
      <c r="E157" s="8">
        <v>6.80217391304347</v>
      </c>
      <c r="F157" s="8">
        <v>10.95</v>
      </c>
      <c r="G157" s="3"/>
      <c r="H157" s="7">
        <v>155</v>
      </c>
      <c r="I157" s="8">
        <v>2.05151515151515</v>
      </c>
      <c r="J157" s="8">
        <v>4.39</v>
      </c>
      <c r="K157" s="8">
        <v>3.4</v>
      </c>
      <c r="L157" s="8">
        <v>2.8</v>
      </c>
      <c r="M157" s="8">
        <v>2.44999999999999</v>
      </c>
      <c r="N157" s="3"/>
      <c r="O157" s="7">
        <v>155</v>
      </c>
      <c r="P157" s="8">
        <v>1.23504763265008</v>
      </c>
      <c r="Q157" s="8">
        <v>1.35454855749501</v>
      </c>
      <c r="R157" s="8">
        <v>1.26059886003919</v>
      </c>
      <c r="S157" s="8">
        <v>0.940292947434597</v>
      </c>
      <c r="T157" s="8">
        <v>0.960770877493487</v>
      </c>
      <c r="U157" s="3"/>
      <c r="V157" s="3"/>
      <c r="W157" s="3"/>
      <c r="X157" s="3"/>
      <c r="Y157" s="3"/>
      <c r="Z157" s="3"/>
      <c r="AA157" s="3"/>
    </row>
    <row x14ac:dyDescent="0.25" r="158" customHeight="1" ht="18.75">
      <c r="A158" s="7">
        <v>156</v>
      </c>
      <c r="B158" s="8">
        <v>7.19696969696969</v>
      </c>
      <c r="C158" s="8">
        <v>11.3016666666666</v>
      </c>
      <c r="D158" s="8">
        <v>8.90227272727272</v>
      </c>
      <c r="E158" s="8">
        <v>6.53260869565217</v>
      </c>
      <c r="F158" s="8">
        <v>10.6875</v>
      </c>
      <c r="G158" s="3"/>
      <c r="H158" s="7">
        <v>156</v>
      </c>
      <c r="I158" s="8">
        <v>1.23333333333333</v>
      </c>
      <c r="J158" s="8">
        <v>3.36333333333333</v>
      </c>
      <c r="K158" s="8">
        <v>5.6590909090909</v>
      </c>
      <c r="L158" s="8">
        <v>1.78571428571428</v>
      </c>
      <c r="M158" s="8">
        <v>4.13333333333333</v>
      </c>
      <c r="N158" s="3"/>
      <c r="O158" s="7">
        <v>156</v>
      </c>
      <c r="P158" s="8">
        <v>1.18153343763592</v>
      </c>
      <c r="Q158" s="8">
        <v>1.32334524836534</v>
      </c>
      <c r="R158" s="8">
        <v>1.320066085238</v>
      </c>
      <c r="S158" s="8">
        <v>1.01386540333967</v>
      </c>
      <c r="T158" s="8">
        <v>0.843326901981602</v>
      </c>
      <c r="U158" s="3"/>
      <c r="V158" s="3"/>
      <c r="W158" s="3"/>
      <c r="X158" s="3"/>
      <c r="Y158" s="3"/>
      <c r="Z158" s="3"/>
      <c r="AA158" s="3"/>
    </row>
    <row x14ac:dyDescent="0.25" r="159" customHeight="1" ht="18.75">
      <c r="A159" s="7">
        <v>157</v>
      </c>
      <c r="B159" s="8">
        <v>6.86363636363636</v>
      </c>
      <c r="C159" s="8">
        <v>11.2416666666666</v>
      </c>
      <c r="D159" s="8">
        <v>9.325</v>
      </c>
      <c r="E159" s="8">
        <v>5.63695652173913</v>
      </c>
      <c r="F159" s="8">
        <v>10.5625</v>
      </c>
      <c r="G159" s="3"/>
      <c r="H159" s="7">
        <v>157</v>
      </c>
      <c r="I159" s="8">
        <v>1.34545454545454</v>
      </c>
      <c r="J159" s="8">
        <v>3.46666666666666</v>
      </c>
      <c r="K159" s="8">
        <v>0.981818181818181</v>
      </c>
      <c r="L159" s="8">
        <v>1.88275862068965</v>
      </c>
      <c r="M159" s="8">
        <v>5.3</v>
      </c>
      <c r="N159" s="3"/>
      <c r="O159" s="7">
        <v>157</v>
      </c>
      <c r="P159" s="8">
        <v>1.11819764768331</v>
      </c>
      <c r="Q159" s="8">
        <v>1.31169017597242</v>
      </c>
      <c r="R159" s="8">
        <v>1.67596380891765</v>
      </c>
      <c r="S159" s="8">
        <v>0.938338960141808</v>
      </c>
      <c r="T159" s="8">
        <v>0.932427598762107</v>
      </c>
      <c r="U159" s="3"/>
      <c r="V159" s="3"/>
      <c r="W159" s="3"/>
      <c r="X159" s="3"/>
      <c r="Y159" s="3"/>
      <c r="Z159" s="3"/>
      <c r="AA159" s="3"/>
    </row>
    <row x14ac:dyDescent="0.25" r="160" customHeight="1" ht="18.75">
      <c r="A160" s="7">
        <v>158</v>
      </c>
      <c r="B160" s="8">
        <v>7.07727272727272</v>
      </c>
      <c r="C160" s="8">
        <v>11.3533333333333</v>
      </c>
      <c r="D160" s="8">
        <v>8.825</v>
      </c>
      <c r="E160" s="8">
        <v>5.89545454545454</v>
      </c>
      <c r="F160" s="8">
        <v>10.4625</v>
      </c>
      <c r="G160" s="3"/>
      <c r="H160" s="7">
        <v>158</v>
      </c>
      <c r="I160" s="8">
        <v>2.13939393939393</v>
      </c>
      <c r="J160" s="8">
        <v>3.12333333333333</v>
      </c>
      <c r="K160" s="8">
        <v>0.813636363636363</v>
      </c>
      <c r="L160" s="8">
        <v>2.40714285714285</v>
      </c>
      <c r="M160" s="8">
        <v>2.44999999999999</v>
      </c>
      <c r="N160" s="3"/>
      <c r="O160" s="7">
        <v>158</v>
      </c>
      <c r="P160" s="8">
        <v>1.22013882571802</v>
      </c>
      <c r="Q160" s="8">
        <v>1.37744954370935</v>
      </c>
      <c r="R160" s="8">
        <v>1.72957018359497</v>
      </c>
      <c r="S160" s="8">
        <v>1.10969222704072</v>
      </c>
      <c r="T160" s="8">
        <v>0.99912564942382</v>
      </c>
      <c r="U160" s="3"/>
      <c r="V160" s="3"/>
      <c r="W160" s="3"/>
      <c r="X160" s="3"/>
      <c r="Y160" s="3"/>
      <c r="Z160" s="3"/>
      <c r="AA160" s="3"/>
    </row>
    <row x14ac:dyDescent="0.25" r="161" customHeight="1" ht="18.75">
      <c r="A161" s="7">
        <v>159</v>
      </c>
      <c r="B161" s="8">
        <v>7.61515151515151</v>
      </c>
      <c r="C161" s="8">
        <v>11.6383333333333</v>
      </c>
      <c r="D161" s="8">
        <v>8.75454545454545</v>
      </c>
      <c r="E161" s="8">
        <v>6.22391304347826</v>
      </c>
      <c r="F161" s="8">
        <v>9.5875</v>
      </c>
      <c r="G161" s="3"/>
      <c r="H161" s="7">
        <v>159</v>
      </c>
      <c r="I161" s="8">
        <v>2.07272727272727</v>
      </c>
      <c r="J161" s="8">
        <v>2.8</v>
      </c>
      <c r="K161" s="8">
        <v>1.08181818181818</v>
      </c>
      <c r="L161" s="8">
        <v>2.64137931034482</v>
      </c>
      <c r="M161" s="8">
        <v>1.73333333333333</v>
      </c>
      <c r="N161" s="3"/>
      <c r="O161" s="7">
        <v>159</v>
      </c>
      <c r="P161" s="8">
        <v>1.26531828522689</v>
      </c>
      <c r="Q161" s="8">
        <v>1.37514607405536</v>
      </c>
      <c r="R161" s="8">
        <v>1.64475336844921</v>
      </c>
      <c r="S161" s="8">
        <v>1.04164916114671</v>
      </c>
      <c r="T161" s="8">
        <v>1.08390515498295</v>
      </c>
      <c r="U161" s="3"/>
      <c r="V161" s="3"/>
      <c r="W161" s="3"/>
      <c r="X161" s="3"/>
      <c r="Y161" s="3"/>
      <c r="Z161" s="3"/>
      <c r="AA161" s="3"/>
    </row>
    <row x14ac:dyDescent="0.25" r="162" customHeight="1" ht="18.75">
      <c r="A162" s="7">
        <v>160</v>
      </c>
      <c r="B162" s="8">
        <v>7.82727272727272</v>
      </c>
      <c r="C162" s="8">
        <v>12.0333333333333</v>
      </c>
      <c r="D162" s="8">
        <v>8.49772727272727</v>
      </c>
      <c r="E162" s="8">
        <v>6.17173913043478</v>
      </c>
      <c r="F162" s="8">
        <v>9.4875</v>
      </c>
      <c r="G162" s="3"/>
      <c r="H162" s="7">
        <v>160</v>
      </c>
      <c r="I162" s="8">
        <v>1.47575757575757</v>
      </c>
      <c r="J162" s="8">
        <v>5.10333333333333</v>
      </c>
      <c r="K162" s="8">
        <v>1.44545454545454</v>
      </c>
      <c r="L162" s="8">
        <v>3.09655172413793</v>
      </c>
      <c r="M162" s="8">
        <v>1.55</v>
      </c>
      <c r="N162" s="3"/>
      <c r="O162" s="7">
        <v>160</v>
      </c>
      <c r="P162" s="8">
        <v>1.23692775991556</v>
      </c>
      <c r="Q162" s="8">
        <v>1.2907055368787</v>
      </c>
      <c r="R162" s="8">
        <v>1.43090516688798</v>
      </c>
      <c r="S162" s="8">
        <v>0.958732589541071</v>
      </c>
      <c r="T162" s="8">
        <v>0.945675965928955</v>
      </c>
      <c r="U162" s="3"/>
      <c r="V162" s="3"/>
      <c r="W162" s="3"/>
      <c r="X162" s="3"/>
      <c r="Y162" s="3"/>
      <c r="Z162" s="3"/>
      <c r="AA162" s="3"/>
    </row>
    <row x14ac:dyDescent="0.25" r="163" customHeight="1" ht="18.75">
      <c r="A163" s="7">
        <v>161</v>
      </c>
      <c r="B163" s="8">
        <v>7.82727272727272</v>
      </c>
      <c r="C163" s="8">
        <v>12.0483333333333</v>
      </c>
      <c r="D163" s="8">
        <v>9.81190476190476</v>
      </c>
      <c r="E163" s="8">
        <v>5.78260869565217</v>
      </c>
      <c r="F163" s="8">
        <v>10.9</v>
      </c>
      <c r="G163" s="3"/>
      <c r="H163" s="7">
        <v>161</v>
      </c>
      <c r="I163" s="8">
        <v>1.88484848484848</v>
      </c>
      <c r="J163" s="8">
        <v>7.05666666666666</v>
      </c>
      <c r="K163" s="8">
        <v>2.77272727272727</v>
      </c>
      <c r="L163" s="8">
        <v>2.17241379310344</v>
      </c>
      <c r="M163" s="8">
        <v>4.83636363636363</v>
      </c>
      <c r="N163" s="3"/>
      <c r="O163" s="7">
        <v>161</v>
      </c>
      <c r="P163" s="8">
        <v>1.09433172278351</v>
      </c>
      <c r="Q163" s="8">
        <v>1.1704038738008</v>
      </c>
      <c r="R163" s="8">
        <v>1.30055224789721</v>
      </c>
      <c r="S163" s="8">
        <v>0.93064135902708</v>
      </c>
      <c r="T163" s="8">
        <v>0.771492598345874</v>
      </c>
      <c r="U163" s="3"/>
      <c r="V163" s="3"/>
      <c r="W163" s="3"/>
      <c r="X163" s="3"/>
      <c r="Y163" s="3"/>
      <c r="Z163" s="3"/>
      <c r="AA163" s="3"/>
    </row>
    <row x14ac:dyDescent="0.25" r="164" customHeight="1" ht="18.75">
      <c r="A164" s="7">
        <v>162</v>
      </c>
      <c r="B164" s="8">
        <v>7.60757575757575</v>
      </c>
      <c r="C164" s="8">
        <v>12.105</v>
      </c>
      <c r="D164" s="8">
        <v>10.1785714285714</v>
      </c>
      <c r="E164" s="8">
        <v>5.77173913043478</v>
      </c>
      <c r="F164" s="8">
        <v>10.8954545454545</v>
      </c>
      <c r="G164" s="3"/>
      <c r="H164" s="7">
        <v>162</v>
      </c>
      <c r="I164" s="8">
        <v>1.28484848484848</v>
      </c>
      <c r="J164" s="8">
        <v>4.81999999999999</v>
      </c>
      <c r="K164" s="8">
        <v>5.67727272727272</v>
      </c>
      <c r="L164" s="8">
        <v>1.96551724137931</v>
      </c>
      <c r="M164" s="8">
        <v>7.14545454545454</v>
      </c>
      <c r="N164" s="3"/>
      <c r="O164" s="7">
        <v>162</v>
      </c>
      <c r="P164" s="8">
        <v>1.25941252865902</v>
      </c>
      <c r="Q164" s="8">
        <v>1.28489319120113</v>
      </c>
      <c r="R164" s="8">
        <v>1.40331978283614</v>
      </c>
      <c r="S164" s="8">
        <v>1.07358015967061</v>
      </c>
      <c r="T164" s="8">
        <v>0.768876442999082</v>
      </c>
      <c r="U164" s="3"/>
      <c r="V164" s="3"/>
      <c r="W164" s="3"/>
      <c r="X164" s="3"/>
      <c r="Y164" s="3"/>
      <c r="Z164" s="3"/>
      <c r="AA164" s="3"/>
    </row>
    <row x14ac:dyDescent="0.25" r="165" customHeight="1" ht="18.75">
      <c r="A165" s="7">
        <v>163</v>
      </c>
      <c r="B165" s="8">
        <v>7.7030303030303</v>
      </c>
      <c r="C165" s="8">
        <v>11.93</v>
      </c>
      <c r="D165" s="8">
        <v>10.6</v>
      </c>
      <c r="E165" s="8">
        <v>5.68695652173913</v>
      </c>
      <c r="F165" s="8">
        <v>11.8375</v>
      </c>
      <c r="G165" s="3"/>
      <c r="H165" s="7">
        <v>163</v>
      </c>
      <c r="I165" s="8">
        <v>3.91212121212121</v>
      </c>
      <c r="J165" s="8">
        <v>4.05</v>
      </c>
      <c r="K165" s="8">
        <v>3.03181818181818</v>
      </c>
      <c r="L165" s="8">
        <v>3.31724137931034</v>
      </c>
      <c r="M165" s="8">
        <v>0.883333333333333</v>
      </c>
      <c r="N165" s="3"/>
      <c r="O165" s="7">
        <v>163</v>
      </c>
      <c r="P165" s="8">
        <v>1.31284982868191</v>
      </c>
      <c r="Q165" s="8">
        <v>1.21133207998434</v>
      </c>
      <c r="R165" s="8">
        <v>1.62720387548991</v>
      </c>
      <c r="S165" s="8">
        <v>1.22848092579364</v>
      </c>
      <c r="T165" s="8">
        <v>0.886573255907814</v>
      </c>
      <c r="U165" s="3"/>
      <c r="V165" s="3"/>
      <c r="W165" s="3"/>
      <c r="X165" s="3"/>
      <c r="Y165" s="3"/>
      <c r="Z165" s="3"/>
      <c r="AA165" s="3"/>
    </row>
    <row x14ac:dyDescent="0.25" r="166" customHeight="1" ht="18.75">
      <c r="A166" s="7">
        <v>164</v>
      </c>
      <c r="B166" s="8">
        <v>6.86818181818181</v>
      </c>
      <c r="C166" s="8">
        <v>11.735</v>
      </c>
      <c r="D166" s="8">
        <v>9.90952380952381</v>
      </c>
      <c r="E166" s="8">
        <v>5.40869565217391</v>
      </c>
      <c r="F166" s="8">
        <v>10.4916666666666</v>
      </c>
      <c r="G166" s="3"/>
      <c r="H166" s="7">
        <v>164</v>
      </c>
      <c r="I166" s="8">
        <v>2.03030303030303</v>
      </c>
      <c r="J166" s="8">
        <v>3.58666666666666</v>
      </c>
      <c r="K166" s="8">
        <v>4.21818181818181</v>
      </c>
      <c r="L166" s="8">
        <v>1.97931034482758</v>
      </c>
      <c r="M166" s="8">
        <v>5.31666666666666</v>
      </c>
      <c r="N166" s="3"/>
      <c r="O166" s="7">
        <v>164</v>
      </c>
      <c r="P166" s="8">
        <v>1.1474480520873</v>
      </c>
      <c r="Q166" s="8">
        <v>1.46008713779238</v>
      </c>
      <c r="R166" s="8">
        <v>1.46923872246911</v>
      </c>
      <c r="S166" s="8">
        <v>1.08113453811119</v>
      </c>
      <c r="T166" s="8">
        <v>0.753006217650486</v>
      </c>
      <c r="U166" s="3"/>
      <c r="V166" s="3"/>
      <c r="W166" s="3"/>
      <c r="X166" s="3"/>
      <c r="Y166" s="3"/>
      <c r="Z166" s="3"/>
      <c r="AA166" s="3"/>
    </row>
    <row x14ac:dyDescent="0.25" r="167" customHeight="1" ht="18.75">
      <c r="A167" s="7">
        <v>165</v>
      </c>
      <c r="B167" s="8">
        <v>7.23181818181818</v>
      </c>
      <c r="C167" s="8">
        <v>11.1666666666666</v>
      </c>
      <c r="D167" s="8">
        <v>9.48333333333333</v>
      </c>
      <c r="E167" s="8">
        <v>6.03043478260869</v>
      </c>
      <c r="F167" s="8">
        <v>10.1333333333333</v>
      </c>
      <c r="G167" s="3"/>
      <c r="H167" s="7">
        <v>165</v>
      </c>
      <c r="I167" s="8">
        <v>1.55757575757575</v>
      </c>
      <c r="J167" s="8">
        <v>3.29666666666666</v>
      </c>
      <c r="K167" s="8">
        <v>2.67272727272727</v>
      </c>
      <c r="L167" s="7">
        <v>2</v>
      </c>
      <c r="M167" s="8">
        <v>1.2</v>
      </c>
      <c r="N167" s="3"/>
      <c r="O167" s="7">
        <v>165</v>
      </c>
      <c r="P167" s="8">
        <v>1.26130454434096</v>
      </c>
      <c r="Q167" s="8">
        <v>1.34458805503312</v>
      </c>
      <c r="R167" s="8">
        <v>1.58157755284307</v>
      </c>
      <c r="S167" s="8">
        <v>1.31116085629705</v>
      </c>
      <c r="T167" s="8">
        <v>1.0949815777607</v>
      </c>
      <c r="U167" s="3"/>
      <c r="V167" s="3"/>
      <c r="W167" s="3"/>
      <c r="X167" s="3"/>
      <c r="Y167" s="3"/>
      <c r="Z167" s="3"/>
      <c r="AA167" s="3"/>
    </row>
    <row x14ac:dyDescent="0.25" r="168" customHeight="1" ht="18.75">
      <c r="A168" s="7">
        <v>166</v>
      </c>
      <c r="B168" s="8">
        <v>7.3390625</v>
      </c>
      <c r="C168" s="8">
        <v>11.2283333333333</v>
      </c>
      <c r="D168" s="8">
        <v>8.97380952380952</v>
      </c>
      <c r="E168" s="8">
        <v>5.85217391304347</v>
      </c>
      <c r="F168" s="8">
        <v>9.02916666666666</v>
      </c>
      <c r="G168" s="3"/>
      <c r="H168" s="7">
        <v>166</v>
      </c>
      <c r="I168" s="8">
        <v>3.41818181818181</v>
      </c>
      <c r="J168" s="8">
        <v>6.47333333333333</v>
      </c>
      <c r="K168" s="8">
        <v>0.554545454545454</v>
      </c>
      <c r="L168" s="8">
        <v>2.87586206896551</v>
      </c>
      <c r="M168" s="8">
        <v>2.05</v>
      </c>
      <c r="N168" s="3"/>
      <c r="O168" s="7">
        <v>166</v>
      </c>
      <c r="P168" s="8">
        <v>1.17147222127628</v>
      </c>
      <c r="Q168" s="8">
        <v>1.38085812732775</v>
      </c>
      <c r="R168" s="8">
        <v>1.62110769008116</v>
      </c>
      <c r="S168" s="8">
        <v>1.10212644691238</v>
      </c>
      <c r="T168" s="8">
        <v>0.763632910765821</v>
      </c>
      <c r="U168" s="3"/>
      <c r="V168" s="3"/>
      <c r="W168" s="3"/>
      <c r="X168" s="3"/>
      <c r="Y168" s="3"/>
      <c r="Z168" s="3"/>
      <c r="AA168" s="3"/>
    </row>
    <row x14ac:dyDescent="0.25" r="169" customHeight="1" ht="18.75">
      <c r="A169" s="7">
        <v>167</v>
      </c>
      <c r="B169" s="8">
        <v>6.6625</v>
      </c>
      <c r="C169" s="8">
        <v>10.6586206896551</v>
      </c>
      <c r="D169" s="8">
        <v>9.18733766233766</v>
      </c>
      <c r="E169" s="8">
        <v>5.97826086956521</v>
      </c>
      <c r="F169" s="8">
        <v>10.125</v>
      </c>
      <c r="G169" s="3"/>
      <c r="H169" s="7">
        <v>167</v>
      </c>
      <c r="I169" s="8">
        <v>2.57272727272727</v>
      </c>
      <c r="J169" s="8">
        <v>4.27333333333333</v>
      </c>
      <c r="K169" s="8">
        <v>1.86818181818181</v>
      </c>
      <c r="L169" s="8">
        <v>2.57931034482758</v>
      </c>
      <c r="M169" s="8">
        <v>2.68333333333333</v>
      </c>
      <c r="N169" s="3"/>
      <c r="O169" s="7">
        <v>167</v>
      </c>
      <c r="P169" s="8">
        <v>1.05721112131978</v>
      </c>
      <c r="Q169" s="8">
        <v>1.38162675040215</v>
      </c>
      <c r="R169" s="8">
        <v>1.56405815366517</v>
      </c>
      <c r="S169" s="8">
        <v>1.18509865412074</v>
      </c>
      <c r="T169" s="8">
        <v>0.846337211783123</v>
      </c>
      <c r="U169" s="3"/>
      <c r="V169" s="3"/>
      <c r="W169" s="3"/>
      <c r="X169" s="3"/>
      <c r="Y169" s="3"/>
      <c r="Z169" s="3"/>
      <c r="AA169" s="3"/>
    </row>
    <row x14ac:dyDescent="0.25" r="170" customHeight="1" ht="18.75">
      <c r="A170" s="7">
        <v>168</v>
      </c>
      <c r="B170" s="8">
        <v>6.015625</v>
      </c>
      <c r="C170" s="8">
        <v>10.7310344827586</v>
      </c>
      <c r="D170" s="8">
        <v>9.3</v>
      </c>
      <c r="E170" s="8">
        <v>5.9340909090909</v>
      </c>
      <c r="F170" s="8">
        <v>10.2291666666666</v>
      </c>
      <c r="G170" s="3"/>
      <c r="H170" s="7">
        <v>168</v>
      </c>
      <c r="I170" s="8">
        <v>3.0060606060606</v>
      </c>
      <c r="J170" s="8">
        <v>4.56999999999999</v>
      </c>
      <c r="K170" s="8">
        <v>0.868181818181818</v>
      </c>
      <c r="L170" s="8">
        <v>3.76428571428571</v>
      </c>
      <c r="M170" s="8">
        <v>2.53333333333333</v>
      </c>
      <c r="N170" s="3"/>
      <c r="O170" s="7">
        <v>168</v>
      </c>
      <c r="P170" s="8">
        <v>1.07166449534356</v>
      </c>
      <c r="Q170" s="8">
        <v>1.17648432087559</v>
      </c>
      <c r="R170" s="8">
        <v>1.51799353505008</v>
      </c>
      <c r="S170" s="8">
        <v>1.20835211487642</v>
      </c>
      <c r="T170" s="8">
        <v>0.916117836557388</v>
      </c>
      <c r="U170" s="3"/>
      <c r="V170" s="3"/>
      <c r="W170" s="3"/>
      <c r="X170" s="3"/>
      <c r="Y170" s="3"/>
      <c r="Z170" s="3"/>
      <c r="AA170" s="3"/>
    </row>
    <row x14ac:dyDescent="0.25" r="171" customHeight="1" ht="18.75">
      <c r="A171" s="7">
        <v>169</v>
      </c>
      <c r="B171" s="8">
        <v>6.47727272727272</v>
      </c>
      <c r="C171" s="8">
        <v>11.2603448275862</v>
      </c>
      <c r="D171" s="8">
        <v>9.04859307359307</v>
      </c>
      <c r="E171" s="8">
        <v>5.67173913043478</v>
      </c>
      <c r="F171" s="8">
        <v>10.3166666666666</v>
      </c>
      <c r="G171" s="3"/>
      <c r="H171" s="7">
        <v>169</v>
      </c>
      <c r="I171" s="8">
        <v>2.27272727272727</v>
      </c>
      <c r="J171" s="8">
        <v>4.72</v>
      </c>
      <c r="K171" s="8">
        <v>1.82272727272727</v>
      </c>
      <c r="L171" s="8">
        <v>2.8</v>
      </c>
      <c r="M171" s="8">
        <v>5.5</v>
      </c>
      <c r="N171" s="3"/>
      <c r="O171" s="7">
        <v>169</v>
      </c>
      <c r="P171" s="8">
        <v>1.12776465530811</v>
      </c>
      <c r="Q171" s="8">
        <v>1.10148360996962</v>
      </c>
      <c r="R171" s="8">
        <v>1.38485437425936</v>
      </c>
      <c r="S171" s="8">
        <v>1.18779083629558</v>
      </c>
      <c r="T171" s="8">
        <v>0.749895043982166</v>
      </c>
      <c r="U171" s="3"/>
      <c r="V171" s="3"/>
      <c r="W171" s="3"/>
      <c r="X171" s="3"/>
      <c r="Y171" s="3"/>
      <c r="Z171" s="3"/>
      <c r="AA171" s="3"/>
    </row>
    <row x14ac:dyDescent="0.25" r="172" customHeight="1" ht="18.75">
      <c r="A172" s="7">
        <v>170</v>
      </c>
      <c r="B172" s="8">
        <v>6.38030303030303</v>
      </c>
      <c r="C172" s="8">
        <v>10.9068965517241</v>
      </c>
      <c r="D172" s="8">
        <v>9.33181818181818</v>
      </c>
      <c r="E172" s="8">
        <v>4.92173913043478</v>
      </c>
      <c r="F172" s="8">
        <v>10.6666666666666</v>
      </c>
      <c r="G172" s="3"/>
      <c r="H172" s="7">
        <v>170</v>
      </c>
      <c r="I172" s="8">
        <v>2.19393939393939</v>
      </c>
      <c r="J172" s="8">
        <v>4.07</v>
      </c>
      <c r="K172" s="8">
        <v>1.31363636363636</v>
      </c>
      <c r="L172" s="8">
        <v>3.87586206896551</v>
      </c>
      <c r="M172" s="8">
        <v>11.8833333333333</v>
      </c>
      <c r="N172" s="3"/>
      <c r="O172" s="7">
        <v>170</v>
      </c>
      <c r="P172" s="8">
        <v>1.10202042325364</v>
      </c>
      <c r="Q172" s="8">
        <v>1.13471493688962</v>
      </c>
      <c r="R172" s="8">
        <v>1.54332258427829</v>
      </c>
      <c r="S172" s="8">
        <v>0.901335026835182</v>
      </c>
      <c r="T172" s="8">
        <v>0.720317232105743</v>
      </c>
      <c r="U172" s="3"/>
      <c r="V172" s="3"/>
      <c r="W172" s="3"/>
      <c r="X172" s="3"/>
      <c r="Y172" s="3"/>
      <c r="Z172" s="3"/>
      <c r="AA172" s="3"/>
    </row>
    <row x14ac:dyDescent="0.25" r="173" customHeight="1" ht="18.75">
      <c r="A173" s="7">
        <v>171</v>
      </c>
      <c r="B173" s="8">
        <v>6.44393939393939</v>
      </c>
      <c r="C173" s="8">
        <v>11.0724137931034</v>
      </c>
      <c r="D173" s="8">
        <v>8.55681818181818</v>
      </c>
      <c r="E173" s="8">
        <v>4.78636363636363</v>
      </c>
      <c r="F173" s="8">
        <v>10.6181818181818</v>
      </c>
      <c r="G173" s="3"/>
      <c r="H173" s="7">
        <v>171</v>
      </c>
      <c r="I173" s="8">
        <v>2.11212121212121</v>
      </c>
      <c r="J173" s="8">
        <v>5.89333333333333</v>
      </c>
      <c r="K173" s="8">
        <v>2.67727272727272</v>
      </c>
      <c r="L173" s="8">
        <v>1.63571428571428</v>
      </c>
      <c r="M173" s="8">
        <v>9.01818181818181</v>
      </c>
      <c r="N173" s="3"/>
      <c r="O173" s="7">
        <v>171</v>
      </c>
      <c r="P173" s="8">
        <v>1.09911768143243</v>
      </c>
      <c r="Q173" s="8">
        <v>1.25671546368113</v>
      </c>
      <c r="R173" s="8">
        <v>1.35357227434691</v>
      </c>
      <c r="S173" s="8">
        <v>1.04920490618484</v>
      </c>
      <c r="T173" s="8">
        <v>0.829345309973199</v>
      </c>
      <c r="U173" s="3"/>
      <c r="V173" s="3"/>
      <c r="W173" s="3"/>
      <c r="X173" s="3"/>
      <c r="Y173" s="3"/>
      <c r="Z173" s="3"/>
      <c r="AA173" s="3"/>
    </row>
    <row x14ac:dyDescent="0.25" r="174" customHeight="1" ht="18.75">
      <c r="A174" s="7">
        <v>172</v>
      </c>
      <c r="B174" s="8">
        <v>6.56060606060606</v>
      </c>
      <c r="C174" s="8">
        <v>11.1844827586206</v>
      </c>
      <c r="D174" s="8">
        <v>9.09772727272727</v>
      </c>
      <c r="E174" s="8">
        <v>4.45227272727272</v>
      </c>
      <c r="F174" s="8">
        <v>10.0318181818181</v>
      </c>
      <c r="G174" s="3"/>
      <c r="H174" s="7">
        <v>172</v>
      </c>
      <c r="I174" s="8">
        <v>2.03333333333333</v>
      </c>
      <c r="J174" s="8">
        <v>2.27</v>
      </c>
      <c r="K174" s="8">
        <v>2.46363636363636</v>
      </c>
      <c r="L174" s="8">
        <v>2.20714285714285</v>
      </c>
      <c r="M174" s="8">
        <v>1.9090909090909</v>
      </c>
      <c r="N174" s="3"/>
      <c r="O174" s="7">
        <v>172</v>
      </c>
      <c r="P174" s="8">
        <v>1.06265243044536</v>
      </c>
      <c r="Q174" s="8">
        <v>1.35906102310094</v>
      </c>
      <c r="R174" s="8">
        <v>1.5425551512791</v>
      </c>
      <c r="S174" s="8">
        <v>0.955064895875695</v>
      </c>
      <c r="T174" s="8">
        <v>0.905742361109976</v>
      </c>
      <c r="U174" s="3"/>
      <c r="V174" s="3"/>
      <c r="W174" s="3"/>
      <c r="X174" s="3"/>
      <c r="Y174" s="3"/>
      <c r="Z174" s="3"/>
      <c r="AA174" s="3"/>
    </row>
    <row x14ac:dyDescent="0.25" r="175" customHeight="1" ht="18.75">
      <c r="A175" s="7">
        <v>173</v>
      </c>
      <c r="B175" s="8">
        <v>6.14242424242424</v>
      </c>
      <c r="C175" s="8">
        <v>10.84</v>
      </c>
      <c r="D175" s="8">
        <v>8.16017316017316</v>
      </c>
      <c r="E175" s="8">
        <v>4.80217391304347</v>
      </c>
      <c r="F175" s="8">
        <v>8.97272727272727</v>
      </c>
      <c r="G175" s="3"/>
      <c r="H175" s="7">
        <v>173</v>
      </c>
      <c r="I175" s="8">
        <v>2.09393939393939</v>
      </c>
      <c r="J175" s="8">
        <v>2.26333333333333</v>
      </c>
      <c r="K175" s="8">
        <v>1.5</v>
      </c>
      <c r="L175" s="8">
        <v>2.46206896551724</v>
      </c>
      <c r="M175" s="8">
        <v>1.96363636363636</v>
      </c>
      <c r="N175" s="3"/>
      <c r="O175" s="7">
        <v>173</v>
      </c>
      <c r="P175" s="8">
        <v>1.01861486176599</v>
      </c>
      <c r="Q175" s="8">
        <v>1.3770648366319</v>
      </c>
      <c r="R175" s="8">
        <v>1.48877750378168</v>
      </c>
      <c r="S175" s="8">
        <v>0.852926392125788</v>
      </c>
      <c r="T175" s="8">
        <v>0.899048436913109</v>
      </c>
      <c r="U175" s="3"/>
      <c r="V175" s="3"/>
      <c r="W175" s="3"/>
      <c r="X175" s="3"/>
      <c r="Y175" s="3"/>
      <c r="Z175" s="3"/>
      <c r="AA175" s="3"/>
    </row>
    <row x14ac:dyDescent="0.25" r="176" customHeight="1" ht="18.75">
      <c r="A176" s="7">
        <v>174</v>
      </c>
      <c r="B176" s="8">
        <v>6.20757575757575</v>
      </c>
      <c r="C176" s="8">
        <v>10.5783333333333</v>
      </c>
      <c r="D176" s="8">
        <v>8.84090909090909</v>
      </c>
      <c r="E176" s="8">
        <v>5.20869565217391</v>
      </c>
      <c r="F176" s="8">
        <v>9.02272727272727</v>
      </c>
      <c r="G176" s="3"/>
      <c r="H176" s="7">
        <v>174</v>
      </c>
      <c r="I176" s="8">
        <v>1.41818181818181</v>
      </c>
      <c r="J176" s="8">
        <v>4.85</v>
      </c>
      <c r="K176" s="8">
        <v>2.24090909090909</v>
      </c>
      <c r="L176" s="8">
        <v>2.48275862068965</v>
      </c>
      <c r="M176" s="8">
        <v>3.01818181818181</v>
      </c>
      <c r="N176" s="3"/>
      <c r="O176" s="7">
        <v>174</v>
      </c>
      <c r="P176" s="8">
        <v>1.17304690631908</v>
      </c>
      <c r="Q176" s="8">
        <v>1.14995789296724</v>
      </c>
      <c r="R176" s="8">
        <v>1.54667021743738</v>
      </c>
      <c r="S176" s="8">
        <v>0.981993583442779</v>
      </c>
      <c r="T176" s="8">
        <v>0.829136151121385</v>
      </c>
      <c r="U176" s="3"/>
      <c r="V176" s="3"/>
      <c r="W176" s="3"/>
      <c r="X176" s="3"/>
      <c r="Y176" s="3"/>
      <c r="Z176" s="3"/>
      <c r="AA176" s="3"/>
    </row>
    <row x14ac:dyDescent="0.25" r="177" customHeight="1" ht="18.75">
      <c r="A177" s="7">
        <v>175</v>
      </c>
      <c r="B177" s="8">
        <v>6.51060606060606</v>
      </c>
      <c r="C177" s="8">
        <v>10.6928571428571</v>
      </c>
      <c r="D177" s="8">
        <v>8.47727272727272</v>
      </c>
      <c r="E177" s="8">
        <v>5.47391304347826</v>
      </c>
      <c r="F177" s="8">
        <v>10.3590909090909</v>
      </c>
      <c r="G177" s="3"/>
      <c r="H177" s="7">
        <v>175</v>
      </c>
      <c r="I177" s="8">
        <v>1.78484848484848</v>
      </c>
      <c r="J177" s="8">
        <v>6.46071428571428</v>
      </c>
      <c r="K177" s="8">
        <v>2.04090909090909</v>
      </c>
      <c r="L177" s="8">
        <v>3.12413793103448</v>
      </c>
      <c r="M177" s="8">
        <v>3.74545454545454</v>
      </c>
      <c r="N177" s="3"/>
      <c r="O177" s="7">
        <v>175</v>
      </c>
      <c r="P177" s="8">
        <v>1.05340987186552</v>
      </c>
      <c r="Q177" s="8">
        <v>1.17715759572174</v>
      </c>
      <c r="R177" s="8">
        <v>1.34290295635912</v>
      </c>
      <c r="S177" s="8">
        <v>0.946564685101298</v>
      </c>
      <c r="T177" s="8">
        <v>0.887462375432675</v>
      </c>
      <c r="U177" s="3"/>
      <c r="V177" s="3"/>
      <c r="W177" s="3"/>
      <c r="X177" s="3"/>
      <c r="Y177" s="3"/>
      <c r="Z177" s="3"/>
      <c r="AA177" s="3"/>
    </row>
    <row x14ac:dyDescent="0.25" r="178" customHeight="1" ht="18.75">
      <c r="A178" s="7">
        <v>176</v>
      </c>
      <c r="B178" s="8">
        <v>6.44393939393939</v>
      </c>
      <c r="C178" s="8">
        <v>10.8642857142857</v>
      </c>
      <c r="D178" s="8">
        <v>8.49924242424242</v>
      </c>
      <c r="E178" s="8">
        <v>5.7891304347826</v>
      </c>
      <c r="F178" s="8">
        <v>9.50909090909091</v>
      </c>
      <c r="G178" s="3"/>
      <c r="H178" s="7">
        <v>176</v>
      </c>
      <c r="I178" s="8">
        <v>1.49090909090909</v>
      </c>
      <c r="J178" s="8">
        <v>8.77857142857142</v>
      </c>
      <c r="K178" s="8">
        <v>2.28181818181818</v>
      </c>
      <c r="L178" s="8">
        <v>4.41379310344827</v>
      </c>
      <c r="M178" s="8">
        <v>3.1090909090909</v>
      </c>
      <c r="N178" s="3"/>
      <c r="O178" s="7">
        <v>176</v>
      </c>
      <c r="P178" s="8">
        <v>1.12374665288784</v>
      </c>
      <c r="Q178" s="8">
        <v>1.35197644318781</v>
      </c>
      <c r="R178" s="8">
        <v>1.49920659774266</v>
      </c>
      <c r="S178" s="8">
        <v>1.0889747979077</v>
      </c>
      <c r="T178" s="8">
        <v>0.978665994706509</v>
      </c>
      <c r="U178" s="3"/>
      <c r="V178" s="3"/>
      <c r="W178" s="3"/>
      <c r="X178" s="3"/>
      <c r="Y178" s="3"/>
      <c r="Z178" s="3"/>
      <c r="AA178" s="3"/>
    </row>
    <row x14ac:dyDescent="0.25" r="179" customHeight="1" ht="18.75">
      <c r="A179" s="7">
        <v>177</v>
      </c>
      <c r="B179" s="8">
        <v>6.69090909090909</v>
      </c>
      <c r="C179" s="8">
        <v>10.4928571428571</v>
      </c>
      <c r="D179" s="8">
        <v>8.11904761904761</v>
      </c>
      <c r="E179" s="8">
        <v>5.8195652173913</v>
      </c>
      <c r="F179" s="8">
        <v>9.12727272727272</v>
      </c>
      <c r="G179" s="3"/>
      <c r="H179" s="7">
        <v>177</v>
      </c>
      <c r="I179" s="8">
        <v>1.3090909090909</v>
      </c>
      <c r="J179" s="8">
        <v>3.8</v>
      </c>
      <c r="K179" s="8">
        <v>1.63181818181818</v>
      </c>
      <c r="L179" s="8">
        <v>2.36551724137931</v>
      </c>
      <c r="M179" s="8">
        <v>1.25454545454545</v>
      </c>
      <c r="N179" s="3"/>
      <c r="O179" s="7">
        <v>177</v>
      </c>
      <c r="P179" s="8">
        <v>1.15922326317418</v>
      </c>
      <c r="Q179" s="8">
        <v>1.34392263247945</v>
      </c>
      <c r="R179" s="8">
        <v>1.60432792469186</v>
      </c>
      <c r="S179" s="8">
        <v>1.02080488107161</v>
      </c>
      <c r="T179" s="8">
        <v>1.00405697390873</v>
      </c>
      <c r="U179" s="3"/>
      <c r="V179" s="3"/>
      <c r="W179" s="3"/>
      <c r="X179" s="3"/>
      <c r="Y179" s="3"/>
      <c r="Z179" s="3"/>
      <c r="AA179" s="3"/>
    </row>
    <row x14ac:dyDescent="0.25" r="180" customHeight="1" ht="18.75">
      <c r="A180" s="7">
        <v>178</v>
      </c>
      <c r="B180" s="8">
        <v>6.18484848484848</v>
      </c>
      <c r="C180" s="8">
        <v>10.5928571428571</v>
      </c>
      <c r="D180" s="8">
        <v>8.35</v>
      </c>
      <c r="E180" s="8">
        <v>5.01739130434782</v>
      </c>
      <c r="F180" s="8">
        <v>8.77272727272727</v>
      </c>
      <c r="G180" s="3"/>
      <c r="H180" s="7">
        <v>178</v>
      </c>
      <c r="I180" s="8">
        <v>1.8060606060606</v>
      </c>
      <c r="J180" s="8">
        <v>2.81785714285714</v>
      </c>
      <c r="K180" s="8">
        <v>0.168181818181818</v>
      </c>
      <c r="L180" s="8">
        <v>2.82068965517241</v>
      </c>
      <c r="M180" s="8">
        <v>2.98181818181818</v>
      </c>
      <c r="N180" s="3"/>
      <c r="O180" s="7">
        <v>178</v>
      </c>
      <c r="P180" s="8">
        <v>1.08012339509985</v>
      </c>
      <c r="Q180" s="8">
        <v>1.47912334327964</v>
      </c>
      <c r="R180" s="8">
        <v>1.62581385208216</v>
      </c>
      <c r="S180" s="8">
        <v>0.978106587954296</v>
      </c>
      <c r="T180" s="8">
        <v>0.890555211324948</v>
      </c>
      <c r="U180" s="3"/>
      <c r="V180" s="3"/>
      <c r="W180" s="3"/>
      <c r="X180" s="3"/>
      <c r="Y180" s="3"/>
      <c r="Z180" s="3"/>
      <c r="AA180" s="3"/>
    </row>
    <row x14ac:dyDescent="0.25" r="181" customHeight="1" ht="18.75">
      <c r="A181" s="7">
        <v>179</v>
      </c>
      <c r="B181" s="8">
        <v>5.92424242424242</v>
      </c>
      <c r="C181" s="8">
        <v>10.4655172413793</v>
      </c>
      <c r="D181" s="8">
        <v>8.02954545454545</v>
      </c>
      <c r="E181" s="8">
        <v>4.72826086956521</v>
      </c>
      <c r="F181" s="8">
        <v>8.83636363636363</v>
      </c>
      <c r="G181" s="3"/>
      <c r="H181" s="7">
        <v>179</v>
      </c>
      <c r="I181" s="8">
        <v>1.71212121212121</v>
      </c>
      <c r="J181" s="8">
        <v>5.65172413793103</v>
      </c>
      <c r="K181" s="8">
        <v>2.22727272727272</v>
      </c>
      <c r="L181" s="8">
        <v>2.19310344827586</v>
      </c>
      <c r="M181" s="8">
        <v>0.909090909090909</v>
      </c>
      <c r="N181" s="3"/>
      <c r="O181" s="7">
        <v>179</v>
      </c>
      <c r="P181" s="8">
        <v>1.01058351362291</v>
      </c>
      <c r="Q181" s="8">
        <v>1.299042085002</v>
      </c>
      <c r="R181" s="8">
        <v>1.44171784861906</v>
      </c>
      <c r="S181" s="8">
        <v>0.904576485072793</v>
      </c>
      <c r="T181" s="8">
        <v>0.949335994975394</v>
      </c>
      <c r="U181" s="3"/>
      <c r="V181" s="3"/>
      <c r="W181" s="3"/>
      <c r="X181" s="3"/>
      <c r="Y181" s="3"/>
      <c r="Z181" s="3"/>
      <c r="AA181" s="3"/>
    </row>
    <row x14ac:dyDescent="0.25" r="182" customHeight="1" ht="18.75">
      <c r="A182" s="7">
        <v>180</v>
      </c>
      <c r="B182" s="8">
        <v>6.14999999999999</v>
      </c>
      <c r="C182" s="8">
        <v>10.5724137931034</v>
      </c>
      <c r="D182" s="8">
        <v>8.70952380952381</v>
      </c>
      <c r="E182" s="8">
        <v>4.86739130434782</v>
      </c>
      <c r="F182" s="8">
        <v>8.71363636363636</v>
      </c>
      <c r="G182" s="3"/>
      <c r="H182" s="7">
        <v>180</v>
      </c>
      <c r="I182" s="8">
        <v>3.14848484848484</v>
      </c>
      <c r="J182" s="8">
        <v>5.25172413793103</v>
      </c>
      <c r="K182" s="8">
        <v>4.39047619047619</v>
      </c>
      <c r="L182" s="8">
        <v>2.77931034482758</v>
      </c>
      <c r="M182" s="8">
        <v>1.78333333333333</v>
      </c>
      <c r="N182" s="3"/>
      <c r="O182" s="7">
        <v>180</v>
      </c>
      <c r="P182" s="8">
        <v>1.03564525082135</v>
      </c>
      <c r="Q182" s="8">
        <v>1.28395140400867</v>
      </c>
      <c r="R182" s="8">
        <v>1.53093050374257</v>
      </c>
      <c r="S182" s="8">
        <v>0.989627249181599</v>
      </c>
      <c r="T182" s="8">
        <v>0.925391727348179</v>
      </c>
      <c r="U182" s="3"/>
      <c r="V182" s="3"/>
      <c r="W182" s="3"/>
      <c r="X182" s="3"/>
      <c r="Y182" s="3"/>
      <c r="Z182" s="3"/>
      <c r="AA182" s="3"/>
    </row>
    <row x14ac:dyDescent="0.25" r="183" customHeight="1" ht="18.75">
      <c r="A183" s="7">
        <v>181</v>
      </c>
      <c r="B183" s="8">
        <v>6.49090909090909</v>
      </c>
      <c r="C183" s="8">
        <v>10.6553571428571</v>
      </c>
      <c r="D183" s="8">
        <v>8.23333333333333</v>
      </c>
      <c r="E183" s="8">
        <v>5.53541666666666</v>
      </c>
      <c r="F183" s="8">
        <v>8.52916666666666</v>
      </c>
      <c r="G183" s="3"/>
      <c r="H183" s="7">
        <v>181</v>
      </c>
      <c r="I183" s="8">
        <v>2.17575757575757</v>
      </c>
      <c r="J183" s="8">
        <v>7.46896551724137</v>
      </c>
      <c r="K183" s="8">
        <v>3.09523809523809</v>
      </c>
      <c r="L183" s="8">
        <v>2.18571428571428</v>
      </c>
      <c r="M183" s="8">
        <v>2.58333333333333</v>
      </c>
      <c r="N183" s="3"/>
      <c r="O183" s="7">
        <v>181</v>
      </c>
      <c r="P183" s="8">
        <v>1.21612659844095</v>
      </c>
      <c r="Q183" s="8">
        <v>1.30586320963966</v>
      </c>
      <c r="R183" s="8">
        <v>1.33711870777317</v>
      </c>
      <c r="S183" s="8">
        <v>1.22197267439366</v>
      </c>
      <c r="T183" s="8">
        <v>0.826239770064665</v>
      </c>
      <c r="U183" s="3"/>
      <c r="V183" s="3"/>
      <c r="W183" s="3"/>
      <c r="X183" s="3"/>
      <c r="Y183" s="3"/>
      <c r="Z183" s="3"/>
      <c r="AA183" s="3"/>
    </row>
    <row x14ac:dyDescent="0.25" r="184" customHeight="1" ht="18.75">
      <c r="A184" s="7">
        <v>182</v>
      </c>
      <c r="B184" s="8">
        <v>5.80151515151515</v>
      </c>
      <c r="C184" s="8">
        <v>10.0517857142857</v>
      </c>
      <c r="D184" s="8">
        <v>8.62857142857142</v>
      </c>
      <c r="E184" s="8">
        <v>4.29791666666666</v>
      </c>
      <c r="F184" s="8">
        <v>8.82083333333333</v>
      </c>
      <c r="G184" s="3"/>
      <c r="H184" s="7">
        <v>182</v>
      </c>
      <c r="I184" s="8">
        <v>1.35757575757575</v>
      </c>
      <c r="J184" s="8">
        <v>3.53928571428571</v>
      </c>
      <c r="K184" s="8">
        <v>7.76666666666666</v>
      </c>
      <c r="L184" s="8">
        <v>1.42857142857142</v>
      </c>
      <c r="M184" s="8">
        <v>2.13333333333333</v>
      </c>
      <c r="N184" s="3"/>
      <c r="O184" s="7">
        <v>182</v>
      </c>
      <c r="P184" s="8">
        <v>1.09147190350157</v>
      </c>
      <c r="Q184" s="8">
        <v>1.44820505200966</v>
      </c>
      <c r="R184" s="8">
        <v>1.34102267972103</v>
      </c>
      <c r="S184" s="8">
        <v>1.13403924306215</v>
      </c>
      <c r="T184" s="8">
        <v>0.806900488178415</v>
      </c>
      <c r="U184" s="3"/>
      <c r="V184" s="3"/>
      <c r="W184" s="3"/>
      <c r="X184" s="3"/>
      <c r="Y184" s="3"/>
      <c r="Z184" s="3"/>
      <c r="AA184" s="3"/>
    </row>
    <row x14ac:dyDescent="0.25" r="185" customHeight="1" ht="18.75">
      <c r="A185" s="7">
        <v>183</v>
      </c>
      <c r="B185" s="8">
        <v>5.46969696969697</v>
      </c>
      <c r="C185" s="8">
        <v>9.56785714285714</v>
      </c>
      <c r="D185" s="8">
        <v>8.35238095238095</v>
      </c>
      <c r="E185" s="8">
        <v>3.7375</v>
      </c>
      <c r="F185" s="8">
        <v>8.225</v>
      </c>
      <c r="G185" s="3"/>
      <c r="H185" s="7">
        <v>183</v>
      </c>
      <c r="I185" s="8">
        <v>1.66363636363636</v>
      </c>
      <c r="J185" s="8">
        <v>4.33928571428571</v>
      </c>
      <c r="K185" s="8">
        <v>1.34761904761904</v>
      </c>
      <c r="L185" s="8">
        <v>3.07142857142857</v>
      </c>
      <c r="M185" s="8">
        <v>0.833333333333333</v>
      </c>
      <c r="N185" s="3"/>
      <c r="O185" s="7">
        <v>183</v>
      </c>
      <c r="P185" s="8">
        <v>1.09777061174786</v>
      </c>
      <c r="Q185" s="8">
        <v>1.39643704269838</v>
      </c>
      <c r="R185" s="8">
        <v>1.65115276957032</v>
      </c>
      <c r="S185" s="8">
        <v>1.03182731120008</v>
      </c>
      <c r="T185" s="8">
        <v>1.01491864410711</v>
      </c>
      <c r="U185" s="3"/>
      <c r="V185" s="3"/>
      <c r="W185" s="3"/>
      <c r="X185" s="3"/>
      <c r="Y185" s="3"/>
      <c r="Z185" s="3"/>
      <c r="AA185" s="3"/>
    </row>
    <row x14ac:dyDescent="0.25" r="186" customHeight="1" ht="18.75">
      <c r="A186" s="7">
        <v>184</v>
      </c>
      <c r="B186" s="8">
        <v>6.01212121212121</v>
      </c>
      <c r="C186" s="8">
        <v>9.70357142857143</v>
      </c>
      <c r="D186" s="8">
        <v>8.20654761904761</v>
      </c>
      <c r="E186" s="8">
        <v>4.34375</v>
      </c>
      <c r="F186" s="8">
        <v>8.83333333333333</v>
      </c>
      <c r="G186" s="3"/>
      <c r="H186" s="7">
        <v>184</v>
      </c>
      <c r="I186" s="8">
        <v>1.73030303030303</v>
      </c>
      <c r="J186" s="8">
        <v>3.26666666666666</v>
      </c>
      <c r="K186" s="8">
        <v>1.25714285714285</v>
      </c>
      <c r="L186" s="8">
        <v>2.65714285714285</v>
      </c>
      <c r="M186" s="8">
        <v>3.56666666666666</v>
      </c>
      <c r="N186" s="3"/>
      <c r="O186" s="7">
        <v>184</v>
      </c>
      <c r="P186" s="8">
        <v>1.17483894696367</v>
      </c>
      <c r="Q186" s="8">
        <v>1.27308249059069</v>
      </c>
      <c r="R186" s="8">
        <v>1.60415760364567</v>
      </c>
      <c r="S186" s="8">
        <v>1.15853351380728</v>
      </c>
      <c r="T186" s="8">
        <v>0.891253795040416</v>
      </c>
      <c r="U186" s="3"/>
      <c r="V186" s="3"/>
      <c r="W186" s="3"/>
      <c r="X186" s="3"/>
      <c r="Y186" s="3"/>
      <c r="Z186" s="3"/>
      <c r="AA186" s="3"/>
    </row>
    <row x14ac:dyDescent="0.25" r="187" customHeight="1" ht="18.75">
      <c r="A187" s="7">
        <v>185</v>
      </c>
      <c r="B187" s="8">
        <v>6.27272727272727</v>
      </c>
      <c r="C187" s="8">
        <v>10.1785714285714</v>
      </c>
      <c r="D187" s="8">
        <v>8.41666666666666</v>
      </c>
      <c r="E187" s="8">
        <v>4.67291666666666</v>
      </c>
      <c r="F187" s="8">
        <v>8.6</v>
      </c>
      <c r="G187" s="3"/>
      <c r="H187" s="7">
        <v>185</v>
      </c>
      <c r="I187" s="8">
        <v>1.39393939393939</v>
      </c>
      <c r="J187" s="8">
        <v>5.25555555555555</v>
      </c>
      <c r="K187" s="8">
        <v>2.49047619047619</v>
      </c>
      <c r="L187" s="8">
        <v>2.31428571428571</v>
      </c>
      <c r="M187" s="8">
        <v>0.733333333333333</v>
      </c>
      <c r="N187" s="3"/>
      <c r="O187" s="7">
        <v>185</v>
      </c>
      <c r="P187" s="8">
        <v>1.13505486957485</v>
      </c>
      <c r="Q187" s="8">
        <v>1.28968894654115</v>
      </c>
      <c r="R187" s="8">
        <v>1.38875386402851</v>
      </c>
      <c r="S187" s="8">
        <v>1.13165778379763</v>
      </c>
      <c r="T187" s="8">
        <v>0.872240867727842</v>
      </c>
      <c r="U187" s="3"/>
      <c r="V187" s="3"/>
      <c r="W187" s="3"/>
      <c r="X187" s="3"/>
      <c r="Y187" s="3"/>
      <c r="Z187" s="3"/>
      <c r="AA187" s="3"/>
    </row>
    <row x14ac:dyDescent="0.25" r="188" customHeight="1" ht="18.75">
      <c r="A188" s="7">
        <v>186</v>
      </c>
      <c r="B188" s="8">
        <v>6.53939393939393</v>
      </c>
      <c r="C188" s="8">
        <v>10.675</v>
      </c>
      <c r="D188" s="8">
        <v>8.39285714285714</v>
      </c>
      <c r="E188" s="8">
        <v>4.7</v>
      </c>
      <c r="F188" s="8">
        <v>9.4</v>
      </c>
      <c r="G188" s="3"/>
      <c r="H188" s="7">
        <v>186</v>
      </c>
      <c r="I188" s="8">
        <v>1.2030303030303</v>
      </c>
      <c r="J188" s="8">
        <v>2.98928571428571</v>
      </c>
      <c r="K188" s="8">
        <v>7.08571428571428</v>
      </c>
      <c r="L188" s="8">
        <v>2.63571428571428</v>
      </c>
      <c r="M188" s="8">
        <v>0.0999999999999999</v>
      </c>
      <c r="N188" s="3"/>
      <c r="O188" s="7">
        <v>186</v>
      </c>
      <c r="P188" s="8">
        <v>1.30821242409088</v>
      </c>
      <c r="Q188" s="8">
        <v>1.46601919100438</v>
      </c>
      <c r="R188" s="8">
        <v>1.27084263397786</v>
      </c>
      <c r="S188" s="8">
        <v>1.15496534407908</v>
      </c>
      <c r="T188" s="8">
        <v>0.969393335338109</v>
      </c>
      <c r="U188" s="3"/>
      <c r="V188" s="3"/>
      <c r="W188" s="3"/>
      <c r="X188" s="3"/>
      <c r="Y188" s="3"/>
      <c r="Z188" s="3"/>
      <c r="AA188" s="3"/>
    </row>
    <row x14ac:dyDescent="0.25" r="189" customHeight="1" ht="18.75">
      <c r="A189" s="7">
        <v>187</v>
      </c>
      <c r="B189" s="8">
        <v>6.32727272727272</v>
      </c>
      <c r="C189" s="8">
        <v>10.6303571428571</v>
      </c>
      <c r="D189" s="8">
        <v>8.50499999999999</v>
      </c>
      <c r="E189" s="8">
        <v>4.31086956521739</v>
      </c>
      <c r="F189" s="8">
        <v>9.12083333333333</v>
      </c>
      <c r="G189" s="3"/>
      <c r="H189" s="7">
        <v>187</v>
      </c>
      <c r="I189" s="8">
        <v>3.25151515151515</v>
      </c>
      <c r="J189" s="8">
        <v>4.44137931034482</v>
      </c>
      <c r="K189" s="8">
        <v>5.54761904761904</v>
      </c>
      <c r="L189" s="8">
        <v>1.85925925925925</v>
      </c>
      <c r="M189" s="8">
        <v>2.18333333333333</v>
      </c>
      <c r="N189" s="3"/>
      <c r="O189" s="7">
        <v>187</v>
      </c>
      <c r="P189" s="8">
        <v>1.1532462604149</v>
      </c>
      <c r="Q189" s="8">
        <v>1.30689016557686</v>
      </c>
      <c r="R189" s="8">
        <v>1.51059814151052</v>
      </c>
      <c r="S189" s="8">
        <v>1.04671582846729</v>
      </c>
      <c r="T189" s="8">
        <v>0.851628840058262</v>
      </c>
      <c r="U189" s="3"/>
      <c r="V189" s="3"/>
      <c r="W189" s="3"/>
      <c r="X189" s="3"/>
      <c r="Y189" s="3"/>
      <c r="Z189" s="3"/>
      <c r="AA189" s="3"/>
    </row>
    <row x14ac:dyDescent="0.25" r="190" customHeight="1" ht="18.75">
      <c r="A190" s="7">
        <v>188</v>
      </c>
      <c r="B190" s="8">
        <v>5.57424242424242</v>
      </c>
      <c r="C190" s="8">
        <v>10.5714285714285</v>
      </c>
      <c r="D190" s="8">
        <v>9.11666666666666</v>
      </c>
      <c r="E190" s="8">
        <v>3.59999999999999</v>
      </c>
      <c r="F190" s="8">
        <v>9.65833333333333</v>
      </c>
      <c r="G190" s="3"/>
      <c r="H190" s="7">
        <v>188</v>
      </c>
      <c r="I190" s="8">
        <v>1.11515151515151</v>
      </c>
      <c r="J190" s="8">
        <v>2.87586206896551</v>
      </c>
      <c r="K190" s="8">
        <v>4.1095238095238</v>
      </c>
      <c r="L190" s="8">
        <v>2.54074074074074</v>
      </c>
      <c r="M190" s="8">
        <v>4.56666666666666</v>
      </c>
      <c r="N190" s="3"/>
      <c r="O190" s="7">
        <v>188</v>
      </c>
      <c r="P190" s="8">
        <v>1.1860865780805</v>
      </c>
      <c r="Q190" s="8">
        <v>1.41669004164846</v>
      </c>
      <c r="R190" s="8">
        <v>1.83531261271716</v>
      </c>
      <c r="S190" s="8">
        <v>1.04959593990253</v>
      </c>
      <c r="T190" s="8">
        <v>0.808518686559748</v>
      </c>
      <c r="U190" s="3"/>
      <c r="V190" s="3"/>
      <c r="W190" s="3"/>
      <c r="X190" s="3"/>
      <c r="Y190" s="3"/>
      <c r="Z190" s="3"/>
      <c r="AA190" s="3"/>
    </row>
    <row x14ac:dyDescent="0.25" r="191" customHeight="1" ht="18.75">
      <c r="A191" s="7">
        <v>189</v>
      </c>
      <c r="B191" s="8">
        <v>5.22439393939393</v>
      </c>
      <c r="C191" s="8">
        <v>10.2685185185185</v>
      </c>
      <c r="D191" s="8">
        <v>8.6547619047619</v>
      </c>
      <c r="E191" s="8">
        <v>3.29130434782608</v>
      </c>
      <c r="F191" s="8">
        <v>8.52916666666666</v>
      </c>
      <c r="G191" s="3"/>
      <c r="H191" s="7">
        <v>189</v>
      </c>
      <c r="I191" s="8">
        <v>1.78787878787878</v>
      </c>
      <c r="J191" s="8">
        <v>3.78928571428571</v>
      </c>
      <c r="K191" s="8">
        <v>1.51428571428571</v>
      </c>
      <c r="L191" s="8">
        <v>2.60714285714285</v>
      </c>
      <c r="M191" s="8">
        <v>3.78333333333333</v>
      </c>
      <c r="N191" s="3"/>
      <c r="O191" s="7">
        <v>189</v>
      </c>
      <c r="P191" s="8">
        <v>1.07561701692583</v>
      </c>
      <c r="Q191" s="8">
        <v>1.33700813372811</v>
      </c>
      <c r="R191" s="8">
        <v>1.64852961418123</v>
      </c>
      <c r="S191" s="8">
        <v>0.872123423620851</v>
      </c>
      <c r="T191" s="8">
        <v>1.09493770994468</v>
      </c>
      <c r="U191" s="3"/>
      <c r="V191" s="3"/>
      <c r="W191" s="3"/>
      <c r="X191" s="3"/>
      <c r="Y191" s="3"/>
      <c r="Z191" s="3"/>
      <c r="AA191" s="3"/>
    </row>
    <row x14ac:dyDescent="0.25" r="192" customHeight="1" ht="18.75">
      <c r="A192" s="7">
        <v>190</v>
      </c>
      <c r="B192" s="8">
        <v>5.4590909090909</v>
      </c>
      <c r="C192" s="8">
        <v>10.4166666666666</v>
      </c>
      <c r="D192" s="8">
        <v>8.35238095238095</v>
      </c>
      <c r="E192" s="8">
        <v>4.04782608695652</v>
      </c>
      <c r="F192" s="8">
        <v>8.15833333333333</v>
      </c>
      <c r="G192" s="3"/>
      <c r="H192" s="7">
        <v>190</v>
      </c>
      <c r="I192" s="8">
        <v>1.32424242424242</v>
      </c>
      <c r="J192" s="8">
        <v>4.84285714285714</v>
      </c>
      <c r="K192" s="8">
        <v>4.07142857142857</v>
      </c>
      <c r="L192" s="8">
        <v>2.47857142857142</v>
      </c>
      <c r="M192" s="8">
        <v>4.18333333333333</v>
      </c>
      <c r="N192" s="3"/>
      <c r="O192" s="7">
        <v>190</v>
      </c>
      <c r="P192" s="8">
        <v>1.15711910900805</v>
      </c>
      <c r="Q192" s="8">
        <v>1.6936819221313</v>
      </c>
      <c r="R192" s="8">
        <v>1.7168616095923</v>
      </c>
      <c r="S192" s="8">
        <v>0.963711059373207</v>
      </c>
      <c r="T192" s="8">
        <v>0.890257402007213</v>
      </c>
      <c r="U192" s="3"/>
      <c r="V192" s="3"/>
      <c r="W192" s="3"/>
      <c r="X192" s="3"/>
      <c r="Y192" s="3"/>
      <c r="Z192" s="3"/>
      <c r="AA192" s="3"/>
    </row>
    <row x14ac:dyDescent="0.25" r="193" customHeight="1" ht="18.75">
      <c r="A193" s="7">
        <v>191</v>
      </c>
      <c r="B193" s="8">
        <v>5.67121212121212</v>
      </c>
      <c r="C193" s="8">
        <v>9.77037037037037</v>
      </c>
      <c r="D193" s="8">
        <v>8.11190476190476</v>
      </c>
      <c r="E193" s="8">
        <v>3.81739130434782</v>
      </c>
      <c r="F193" s="8">
        <v>8.24166666666666</v>
      </c>
      <c r="G193" s="3"/>
      <c r="H193" s="7">
        <v>191</v>
      </c>
      <c r="I193" s="8">
        <v>1.13030303030303</v>
      </c>
      <c r="J193" s="8">
        <v>2.27857142857142</v>
      </c>
      <c r="K193" s="8">
        <v>3.88095238095238</v>
      </c>
      <c r="L193" s="8">
        <v>2.24285714285714</v>
      </c>
      <c r="M193" s="8">
        <v>2.26666666666666</v>
      </c>
      <c r="N193" s="3"/>
      <c r="O193" s="7">
        <v>191</v>
      </c>
      <c r="P193" s="8">
        <v>1.18235830532364</v>
      </c>
      <c r="Q193" s="8">
        <v>1.43031971346363</v>
      </c>
      <c r="R193" s="8">
        <v>1.45471672083262</v>
      </c>
      <c r="S193" s="8">
        <v>0.94572547363133</v>
      </c>
      <c r="T193" s="8">
        <v>1.06467045295546</v>
      </c>
      <c r="U193" s="3"/>
      <c r="V193" s="3"/>
      <c r="W193" s="3"/>
      <c r="X193" s="3"/>
      <c r="Y193" s="3"/>
      <c r="Z193" s="3"/>
      <c r="AA193" s="3"/>
    </row>
    <row x14ac:dyDescent="0.25" r="194" customHeight="1" ht="18.75">
      <c r="A194" s="7">
        <v>192</v>
      </c>
      <c r="B194" s="8">
        <v>5.58030303030303</v>
      </c>
      <c r="C194" s="8">
        <v>9.40576923076923</v>
      </c>
      <c r="D194" s="8">
        <v>8.36190476190476</v>
      </c>
      <c r="E194" s="8">
        <v>3.95208333333333</v>
      </c>
      <c r="F194" s="8">
        <v>8.03333333333333</v>
      </c>
      <c r="G194" s="3"/>
      <c r="H194" s="7">
        <v>192</v>
      </c>
      <c r="I194" s="8">
        <v>1.71818181818181</v>
      </c>
      <c r="J194" s="8">
        <v>4.05</v>
      </c>
      <c r="K194" s="8">
        <v>2.73809523809523</v>
      </c>
      <c r="L194" s="8">
        <v>1.55862068965517</v>
      </c>
      <c r="M194" s="8">
        <v>4.65</v>
      </c>
      <c r="N194" s="3"/>
      <c r="O194" s="7">
        <v>192</v>
      </c>
      <c r="P194" s="8">
        <v>1.1413084648268</v>
      </c>
      <c r="Q194" s="8">
        <v>1.34234874078288</v>
      </c>
      <c r="R194" s="8">
        <v>1.58252040740123</v>
      </c>
      <c r="S194" s="8">
        <v>0.928909310391834</v>
      </c>
      <c r="T194" s="8">
        <v>1.03430816091664</v>
      </c>
      <c r="U194" s="3"/>
      <c r="V194" s="3"/>
      <c r="W194" s="3"/>
      <c r="X194" s="3"/>
      <c r="Y194" s="3"/>
      <c r="Z194" s="3"/>
      <c r="AA194" s="3"/>
    </row>
    <row x14ac:dyDescent="0.25" r="195" customHeight="1" ht="18.75">
      <c r="A195" s="7">
        <v>193</v>
      </c>
      <c r="B195" s="8">
        <v>5.81818181818181</v>
      </c>
      <c r="C195" s="8">
        <v>9.7037037037037</v>
      </c>
      <c r="D195" s="8">
        <v>8.44761904761904</v>
      </c>
      <c r="E195" s="8">
        <v>3.76249999999999</v>
      </c>
      <c r="F195" s="8">
        <v>8.37083333333333</v>
      </c>
      <c r="G195" s="3"/>
      <c r="H195" s="7">
        <v>193</v>
      </c>
      <c r="I195" s="8">
        <v>1.27272727272727</v>
      </c>
      <c r="J195" s="8">
        <v>7.20384615384615</v>
      </c>
      <c r="K195" s="8">
        <v>2.85714285714285</v>
      </c>
      <c r="L195" s="8">
        <v>1.98620689655172</v>
      </c>
      <c r="M195" s="8">
        <v>1.61666666666666</v>
      </c>
      <c r="N195" s="3"/>
      <c r="O195" s="7">
        <v>193</v>
      </c>
      <c r="P195" s="8">
        <v>1.23660271850609</v>
      </c>
      <c r="Q195" s="8">
        <v>1.40057673183282</v>
      </c>
      <c r="R195" s="8">
        <v>1.48960617715349</v>
      </c>
      <c r="S195" s="8">
        <v>1.00255610805274</v>
      </c>
      <c r="T195" s="8">
        <v>1.00392620646805</v>
      </c>
      <c r="U195" s="3"/>
      <c r="V195" s="3"/>
      <c r="W195" s="3"/>
      <c r="X195" s="3"/>
      <c r="Y195" s="3"/>
      <c r="Z195" s="3"/>
      <c r="AA195" s="3"/>
    </row>
    <row x14ac:dyDescent="0.25" r="196" customHeight="1" ht="18.75">
      <c r="A196" s="7">
        <v>194</v>
      </c>
      <c r="B196" s="8">
        <v>5.89848484848484</v>
      </c>
      <c r="C196" s="8">
        <v>9.875</v>
      </c>
      <c r="D196" s="8">
        <v>8.0047619047619</v>
      </c>
      <c r="E196" s="8">
        <v>4.242</v>
      </c>
      <c r="F196" s="8">
        <v>8.09166666666666</v>
      </c>
      <c r="G196" s="3"/>
      <c r="H196" s="7">
        <v>194</v>
      </c>
      <c r="I196" s="8">
        <v>1.44545454545454</v>
      </c>
      <c r="J196" s="8">
        <v>2.73666666666666</v>
      </c>
      <c r="K196" s="8">
        <v>2.55714285714285</v>
      </c>
      <c r="L196" s="8">
        <v>1.04</v>
      </c>
      <c r="M196" s="8">
        <v>5.06666666666666</v>
      </c>
      <c r="N196" s="3"/>
      <c r="O196" s="7">
        <v>194</v>
      </c>
      <c r="P196" s="8">
        <v>1.20462827119224</v>
      </c>
      <c r="Q196" s="8">
        <v>1.52419469600311</v>
      </c>
      <c r="R196" s="8">
        <v>1.56286173199885</v>
      </c>
      <c r="S196" s="8">
        <v>1.13929885780417</v>
      </c>
      <c r="T196" s="8">
        <v>0.874920329259518</v>
      </c>
      <c r="U196" s="3"/>
      <c r="V196" s="3"/>
      <c r="W196" s="3"/>
      <c r="X196" s="3"/>
      <c r="Y196" s="3"/>
      <c r="Z196" s="3"/>
      <c r="AA196" s="3"/>
    </row>
    <row x14ac:dyDescent="0.25" r="197" customHeight="1" ht="18.75">
      <c r="A197" s="7">
        <v>195</v>
      </c>
      <c r="B197" s="8">
        <v>6.1590909090909</v>
      </c>
      <c r="C197" s="8">
        <v>9.47321428571428</v>
      </c>
      <c r="D197" s="8">
        <v>7.56666666666666</v>
      </c>
      <c r="E197" s="8">
        <v>4.67</v>
      </c>
      <c r="F197" s="8">
        <v>7.915625</v>
      </c>
      <c r="G197" s="3"/>
      <c r="H197" s="7">
        <v>195</v>
      </c>
      <c r="I197" s="8">
        <v>0.933333333333333</v>
      </c>
      <c r="J197" s="8">
        <v>4.46071428571428</v>
      </c>
      <c r="K197" s="8">
        <v>2.55714285714285</v>
      </c>
      <c r="L197" s="8">
        <v>1.32666666666666</v>
      </c>
      <c r="M197" s="8">
        <v>4.16666666666666</v>
      </c>
      <c r="N197" s="3"/>
      <c r="O197" s="7">
        <v>195</v>
      </c>
      <c r="P197" s="8">
        <v>1.08107866384151</v>
      </c>
      <c r="Q197" s="8">
        <v>1.18337289502269</v>
      </c>
      <c r="R197" s="8">
        <v>1.41074785272396</v>
      </c>
      <c r="S197" s="8">
        <v>1.20611060741831</v>
      </c>
      <c r="T197" s="8">
        <v>0.802505277160762</v>
      </c>
      <c r="U197" s="3"/>
      <c r="V197" s="3"/>
      <c r="W197" s="3"/>
      <c r="X197" s="3"/>
      <c r="Y197" s="3"/>
      <c r="Z197" s="3"/>
      <c r="AA197" s="3"/>
    </row>
    <row x14ac:dyDescent="0.25" r="198" customHeight="1" ht="18.75">
      <c r="A198" s="7">
        <v>196</v>
      </c>
      <c r="B198" s="8">
        <v>5.86060606060606</v>
      </c>
      <c r="C198" s="8">
        <v>10.3732142857142</v>
      </c>
      <c r="D198" s="8">
        <v>8.45</v>
      </c>
      <c r="E198" s="8">
        <v>5.20208333333333</v>
      </c>
      <c r="F198" s="8">
        <v>8.85909090909091</v>
      </c>
      <c r="G198" s="3"/>
      <c r="H198" s="7">
        <v>196</v>
      </c>
      <c r="I198" s="8">
        <v>0.954545454545454</v>
      </c>
      <c r="J198" s="8">
        <v>6.40714285714285</v>
      </c>
      <c r="K198" s="8">
        <v>5.47142857142857</v>
      </c>
      <c r="L198" s="8">
        <v>1.08965517241379</v>
      </c>
      <c r="M198" s="8">
        <v>2.06666666666666</v>
      </c>
      <c r="N198" s="3"/>
      <c r="O198" s="7">
        <v>196</v>
      </c>
      <c r="P198" s="8">
        <v>1.05436995561668</v>
      </c>
      <c r="Q198" s="8">
        <v>1.32556972588678</v>
      </c>
      <c r="R198" s="8">
        <v>1.41124988205336</v>
      </c>
      <c r="S198" s="8">
        <v>1.08772148944397</v>
      </c>
      <c r="T198" s="8">
        <v>0.978223622045178</v>
      </c>
      <c r="U198" s="3"/>
      <c r="V198" s="3"/>
      <c r="W198" s="3"/>
      <c r="X198" s="3"/>
      <c r="Y198" s="3"/>
      <c r="Z198" s="3"/>
      <c r="AA198" s="3"/>
    </row>
    <row x14ac:dyDescent="0.25" r="199" customHeight="1" ht="18.75">
      <c r="A199" s="7">
        <v>197</v>
      </c>
      <c r="B199" s="8">
        <v>6.33181818181818</v>
      </c>
      <c r="C199" s="8">
        <v>10.9428571428571</v>
      </c>
      <c r="D199" s="8">
        <v>8.7</v>
      </c>
      <c r="E199" s="8">
        <v>4.38333333333333</v>
      </c>
      <c r="F199" s="8">
        <v>8.85909090909091</v>
      </c>
      <c r="G199" s="3"/>
      <c r="H199" s="7">
        <v>197</v>
      </c>
      <c r="I199" s="8">
        <v>1.9030303030303</v>
      </c>
      <c r="J199" s="8">
        <v>5.13928571428571</v>
      </c>
      <c r="K199" s="8">
        <v>4.51428571428571</v>
      </c>
      <c r="L199" s="8">
        <v>2.27586206896551</v>
      </c>
      <c r="M199" s="8">
        <v>6.06666666666666</v>
      </c>
      <c r="N199" s="3"/>
      <c r="O199" s="7">
        <v>197</v>
      </c>
      <c r="P199" s="8">
        <v>1.08547027716951</v>
      </c>
      <c r="Q199" s="8">
        <v>1.22852452607175</v>
      </c>
      <c r="R199" s="8">
        <v>1.10904778031504</v>
      </c>
      <c r="S199" s="8">
        <v>0.941938258174002</v>
      </c>
      <c r="T199" s="8">
        <v>0.788023310074852</v>
      </c>
      <c r="U199" s="3"/>
      <c r="V199" s="3"/>
      <c r="W199" s="3"/>
      <c r="X199" s="3"/>
      <c r="Y199" s="3"/>
      <c r="Z199" s="3"/>
      <c r="AA199" s="3"/>
    </row>
    <row x14ac:dyDescent="0.25" r="200" customHeight="1" ht="18.75">
      <c r="A200" s="7">
        <v>198</v>
      </c>
      <c r="B200" s="8">
        <v>6.44242424242424</v>
      </c>
      <c r="C200" s="8">
        <v>10.6896551724137</v>
      </c>
      <c r="D200" s="8">
        <v>9.13809523809523</v>
      </c>
      <c r="E200" s="8">
        <v>5.204</v>
      </c>
      <c r="F200" s="8">
        <v>9.59090909090909</v>
      </c>
      <c r="G200" s="3"/>
      <c r="H200" s="7">
        <v>198</v>
      </c>
      <c r="I200" s="8">
        <v>2.34545454545454</v>
      </c>
      <c r="J200" s="8">
        <v>7.54333333333333</v>
      </c>
      <c r="K200" s="8">
        <v>4.16666666666666</v>
      </c>
      <c r="L200" s="8">
        <v>0.493333333333333</v>
      </c>
      <c r="M200" s="8">
        <v>4.6</v>
      </c>
      <c r="N200" s="3"/>
      <c r="O200" s="7">
        <v>198</v>
      </c>
      <c r="P200" s="8">
        <v>0.985571197981579</v>
      </c>
      <c r="Q200" s="8">
        <v>1.11837858032715</v>
      </c>
      <c r="R200" s="8">
        <v>1.24492476729586</v>
      </c>
      <c r="S200" s="8">
        <v>1.15896471918162</v>
      </c>
      <c r="T200" s="8">
        <v>0.944748845250029</v>
      </c>
      <c r="U200" s="3"/>
      <c r="V200" s="3"/>
      <c r="W200" s="3"/>
      <c r="X200" s="3"/>
      <c r="Y200" s="3"/>
      <c r="Z200" s="3"/>
      <c r="AA200" s="3"/>
    </row>
    <row x14ac:dyDescent="0.25" r="201" customHeight="1" ht="18.75">
      <c r="A201" s="7">
        <v>199</v>
      </c>
      <c r="B201" s="8">
        <v>6.32424242424242</v>
      </c>
      <c r="C201" s="8">
        <v>10.3224137931034</v>
      </c>
      <c r="D201" s="8">
        <v>8.33571428571428</v>
      </c>
      <c r="E201" s="8">
        <v>5.14375</v>
      </c>
      <c r="F201" s="8">
        <v>8.845</v>
      </c>
      <c r="G201" s="3"/>
      <c r="H201" s="7">
        <v>199</v>
      </c>
      <c r="I201" s="8">
        <v>3.6</v>
      </c>
      <c r="J201" s="8">
        <v>7.79333333333333</v>
      </c>
      <c r="K201" s="8">
        <v>5.31904761904761</v>
      </c>
      <c r="L201" s="8">
        <v>2.18</v>
      </c>
      <c r="M201" s="8">
        <v>1.1</v>
      </c>
      <c r="N201" s="3"/>
      <c r="O201" s="7">
        <v>199</v>
      </c>
      <c r="P201" s="8">
        <v>1.0101770597585</v>
      </c>
      <c r="Q201" s="8">
        <v>1.27576446727732</v>
      </c>
      <c r="R201" s="8">
        <v>1.206604977459</v>
      </c>
      <c r="S201" s="8">
        <v>1.04602479799005</v>
      </c>
      <c r="T201" s="8">
        <v>1.02401871061819</v>
      </c>
      <c r="U201" s="3"/>
      <c r="V201" s="3"/>
      <c r="W201" s="3"/>
      <c r="X201" s="3"/>
      <c r="Y201" s="3"/>
      <c r="Z201" s="3"/>
      <c r="AA201" s="3"/>
    </row>
    <row x14ac:dyDescent="0.25" r="202" customHeight="1" ht="18.75">
      <c r="A202" s="7">
        <v>200</v>
      </c>
      <c r="B202" s="8">
        <v>6.53333333333333</v>
      </c>
      <c r="C202" s="8">
        <v>10.1896551724137</v>
      </c>
      <c r="D202" s="8">
        <v>7.95714285714285</v>
      </c>
      <c r="E202" s="8">
        <v>5.21399999999999</v>
      </c>
      <c r="F202" s="8">
        <v>8.99166666666666</v>
      </c>
      <c r="G202" s="3"/>
      <c r="H202" s="7">
        <v>200</v>
      </c>
      <c r="I202" s="8">
        <v>1.92121212121212</v>
      </c>
      <c r="J202" s="8">
        <v>4.35333333333333</v>
      </c>
      <c r="K202" s="8">
        <v>3.21428571428571</v>
      </c>
      <c r="L202" s="8">
        <v>1.37333333333333</v>
      </c>
      <c r="M202" s="8">
        <v>1.34999999999999</v>
      </c>
      <c r="N202" s="3"/>
      <c r="O202" s="7">
        <v>200</v>
      </c>
      <c r="P202" s="8">
        <v>1.0019139083521</v>
      </c>
      <c r="Q202" s="8">
        <v>1.39039474803388</v>
      </c>
      <c r="R202" s="8">
        <v>1.34951007913137</v>
      </c>
      <c r="S202" s="8">
        <v>1.1888499073482</v>
      </c>
      <c r="T202" s="8">
        <v>1.16174529470798</v>
      </c>
      <c r="U202" s="3"/>
      <c r="V202" s="3"/>
      <c r="W202" s="3"/>
      <c r="X202" s="3"/>
      <c r="Y202" s="3"/>
      <c r="Z202" s="3"/>
      <c r="AA202" s="3"/>
    </row>
    <row x14ac:dyDescent="0.25" r="203" customHeight="1" ht="18.75">
      <c r="A203" s="7">
        <v>201</v>
      </c>
      <c r="B203" s="8">
        <v>6.70757575757575</v>
      </c>
      <c r="C203" s="8">
        <v>10.6683333333333</v>
      </c>
      <c r="D203" s="8">
        <v>8.3547619047619</v>
      </c>
      <c r="E203" s="8">
        <v>5.716</v>
      </c>
      <c r="F203" s="8">
        <v>9.5</v>
      </c>
      <c r="G203" s="3"/>
      <c r="H203" s="7">
        <v>201</v>
      </c>
      <c r="I203" s="8">
        <v>1.76969696969696</v>
      </c>
      <c r="J203" s="8">
        <v>2.88333333333333</v>
      </c>
      <c r="K203" s="8">
        <v>5.44761904761904</v>
      </c>
      <c r="L203" s="8">
        <v>1.84</v>
      </c>
      <c r="M203" s="8">
        <v>2.75</v>
      </c>
      <c r="N203" s="3"/>
      <c r="O203" s="7">
        <v>201</v>
      </c>
      <c r="P203" s="8">
        <v>1.17575448246167</v>
      </c>
      <c r="Q203" s="8">
        <v>1.4312964730662</v>
      </c>
      <c r="R203" s="8">
        <v>1.42057967743019</v>
      </c>
      <c r="S203" s="8">
        <v>1.40827101122861</v>
      </c>
      <c r="T203" s="8">
        <v>0.94669865516538</v>
      </c>
      <c r="U203" s="3"/>
      <c r="V203" s="3"/>
      <c r="W203" s="3"/>
      <c r="X203" s="3"/>
      <c r="Y203" s="3"/>
      <c r="Z203" s="3"/>
      <c r="AA203" s="3"/>
    </row>
    <row x14ac:dyDescent="0.25" r="204" customHeight="1" ht="18.75">
      <c r="A204" s="7">
        <v>202</v>
      </c>
      <c r="B204" s="8">
        <v>6.29090909090909</v>
      </c>
      <c r="C204" s="8">
        <v>10.1816666666666</v>
      </c>
      <c r="D204" s="8">
        <v>8.28809523809523</v>
      </c>
      <c r="E204" s="8">
        <v>5.378</v>
      </c>
      <c r="F204" s="8">
        <v>9.83333333333333</v>
      </c>
      <c r="G204" s="3"/>
      <c r="H204" s="7">
        <v>202</v>
      </c>
      <c r="I204" s="8">
        <v>2.1</v>
      </c>
      <c r="J204" s="8">
        <v>4.64333333333333</v>
      </c>
      <c r="K204" s="8">
        <v>1.02380952380952</v>
      </c>
      <c r="L204" s="8">
        <v>2.08</v>
      </c>
      <c r="M204" s="8">
        <v>3.63333333333333</v>
      </c>
      <c r="N204" s="3"/>
      <c r="O204" s="7">
        <v>202</v>
      </c>
      <c r="P204" s="8">
        <v>1.09433152342089</v>
      </c>
      <c r="Q204" s="8">
        <v>1.23251722447282</v>
      </c>
      <c r="R204" s="8">
        <v>1.67622930480074</v>
      </c>
      <c r="S204" s="8">
        <v>1.25019195147917</v>
      </c>
      <c r="T204" s="8">
        <v>1.081539519479</v>
      </c>
      <c r="U204" s="3"/>
      <c r="V204" s="3"/>
      <c r="W204" s="3"/>
      <c r="X204" s="3"/>
      <c r="Y204" s="3"/>
      <c r="Z204" s="3"/>
      <c r="AA204" s="3"/>
    </row>
    <row x14ac:dyDescent="0.25" r="205" customHeight="1" ht="18.75">
      <c r="A205" s="7">
        <v>203</v>
      </c>
      <c r="B205" s="8">
        <v>6.57575757575757</v>
      </c>
      <c r="C205" s="8">
        <v>10.7616666666666</v>
      </c>
      <c r="D205" s="8">
        <v>9.11666666666666</v>
      </c>
      <c r="E205" s="8">
        <v>5.042</v>
      </c>
      <c r="F205" s="8">
        <v>10.0291666666666</v>
      </c>
      <c r="G205" s="3"/>
      <c r="H205" s="7">
        <v>203</v>
      </c>
      <c r="I205" s="8">
        <v>2.55151515151515</v>
      </c>
      <c r="J205" s="8">
        <v>5.73333333333333</v>
      </c>
      <c r="K205" s="8">
        <v>4.01904761904761</v>
      </c>
      <c r="L205" s="8">
        <v>1.66</v>
      </c>
      <c r="M205" s="8">
        <v>4.68333333333333</v>
      </c>
      <c r="N205" s="3"/>
      <c r="O205" s="7">
        <v>203</v>
      </c>
      <c r="P205" s="8">
        <v>1.2263410572015</v>
      </c>
      <c r="Q205" s="8">
        <v>1.55725377410155</v>
      </c>
      <c r="R205" s="8">
        <v>1.79983707918596</v>
      </c>
      <c r="S205" s="8">
        <v>1.05444917679501</v>
      </c>
      <c r="T205" s="8">
        <v>1.07712737735134</v>
      </c>
      <c r="U205" s="3"/>
      <c r="V205" s="3"/>
      <c r="W205" s="3"/>
      <c r="X205" s="3"/>
      <c r="Y205" s="3"/>
      <c r="Z205" s="3"/>
      <c r="AA205" s="3"/>
    </row>
    <row x14ac:dyDescent="0.25" r="206" customHeight="1" ht="18.75">
      <c r="A206" s="7">
        <v>204</v>
      </c>
      <c r="B206" s="8">
        <v>6.84242424242424</v>
      </c>
      <c r="C206" s="8">
        <v>10.6233333333333</v>
      </c>
      <c r="D206" s="8">
        <v>8.46190476190476</v>
      </c>
      <c r="E206" s="8">
        <v>5.17399999999999</v>
      </c>
      <c r="F206" s="8">
        <v>9.425</v>
      </c>
      <c r="G206" s="3"/>
      <c r="H206" s="7">
        <v>204</v>
      </c>
      <c r="I206" s="8">
        <v>0.845454545454545</v>
      </c>
      <c r="J206" s="8">
        <v>7.97333333333333</v>
      </c>
      <c r="K206" s="8">
        <v>3.45238095238095</v>
      </c>
      <c r="L206" s="8">
        <v>1.83333333333333</v>
      </c>
      <c r="M206" s="8">
        <v>5.26666666666666</v>
      </c>
      <c r="N206" s="3"/>
      <c r="O206" s="7">
        <v>204</v>
      </c>
      <c r="P206" s="8">
        <v>1.37522633615412</v>
      </c>
      <c r="Q206" s="8">
        <v>1.24522053814258</v>
      </c>
      <c r="R206" s="8">
        <v>1.44086643990099</v>
      </c>
      <c r="S206" s="8">
        <v>1.35056989970224</v>
      </c>
      <c r="T206" s="8">
        <v>0.879558859982339</v>
      </c>
      <c r="U206" s="3"/>
      <c r="V206" s="3"/>
      <c r="W206" s="3"/>
      <c r="X206" s="3"/>
      <c r="Y206" s="3"/>
      <c r="Z206" s="3"/>
      <c r="AA206" s="3"/>
    </row>
    <row x14ac:dyDescent="0.25" r="207" customHeight="1" ht="18.75">
      <c r="A207" s="7">
        <v>205</v>
      </c>
      <c r="B207" s="8">
        <v>6.72363636363636</v>
      </c>
      <c r="C207" s="8">
        <v>10.655</v>
      </c>
      <c r="D207" s="8">
        <v>9.22619047619047</v>
      </c>
      <c r="E207" s="8">
        <v>5.17708333333333</v>
      </c>
      <c r="F207" s="8">
        <v>9.4</v>
      </c>
      <c r="G207" s="3"/>
      <c r="H207" s="7">
        <v>205</v>
      </c>
      <c r="I207" s="8">
        <v>0.627272727272727</v>
      </c>
      <c r="J207" s="8">
        <v>4.25666666666666</v>
      </c>
      <c r="K207" s="8">
        <v>3.8</v>
      </c>
      <c r="L207" s="8">
        <v>1.95862068965517</v>
      </c>
      <c r="M207" s="8">
        <v>2.05</v>
      </c>
      <c r="N207" s="3"/>
      <c r="O207" s="7">
        <v>205</v>
      </c>
      <c r="P207" s="8">
        <v>1.32444337234987</v>
      </c>
      <c r="Q207" s="8">
        <v>1.3859271813607</v>
      </c>
      <c r="R207" s="8">
        <v>1.64390262873787</v>
      </c>
      <c r="S207" s="8">
        <v>1.18169362689343</v>
      </c>
      <c r="T207" s="8">
        <v>0.953998897248024</v>
      </c>
      <c r="U207" s="3"/>
      <c r="V207" s="3"/>
      <c r="W207" s="3"/>
      <c r="X207" s="3"/>
      <c r="Y207" s="3"/>
      <c r="Z207" s="3"/>
      <c r="AA207" s="3"/>
    </row>
    <row x14ac:dyDescent="0.25" r="208" customHeight="1" ht="18.75">
      <c r="A208" s="7">
        <v>206</v>
      </c>
      <c r="B208" s="8">
        <v>6.80757575757575</v>
      </c>
      <c r="C208" s="8">
        <v>10.085</v>
      </c>
      <c r="D208" s="8">
        <v>8.60714285714285</v>
      </c>
      <c r="E208" s="8">
        <v>5.18</v>
      </c>
      <c r="F208" s="8">
        <v>8.92916666666666</v>
      </c>
      <c r="G208" s="3"/>
      <c r="H208" s="7">
        <v>206</v>
      </c>
      <c r="I208" s="8">
        <v>2.63636363636363</v>
      </c>
      <c r="J208" s="8">
        <v>4.98333333333333</v>
      </c>
      <c r="K208" s="8">
        <v>1.24285714285714</v>
      </c>
      <c r="L208" s="8">
        <v>3.28</v>
      </c>
      <c r="M208" s="8">
        <v>1.15</v>
      </c>
      <c r="N208" s="3"/>
      <c r="O208" s="7">
        <v>206</v>
      </c>
      <c r="P208" s="8">
        <v>1.44760057498724</v>
      </c>
      <c r="Q208" s="8">
        <v>1.45895733681155</v>
      </c>
      <c r="R208" s="8">
        <v>1.70570477077531</v>
      </c>
      <c r="S208" s="8">
        <v>1.12713934676312</v>
      </c>
      <c r="T208" s="8">
        <v>1.2467505566806</v>
      </c>
      <c r="U208" s="3"/>
      <c r="V208" s="3"/>
      <c r="W208" s="3"/>
      <c r="X208" s="3"/>
      <c r="Y208" s="3"/>
      <c r="Z208" s="3"/>
      <c r="AA208" s="3"/>
    </row>
    <row x14ac:dyDescent="0.25" r="209" customHeight="1" ht="18.75">
      <c r="A209" s="7">
        <v>207</v>
      </c>
      <c r="B209" s="8">
        <v>6.76363636363636</v>
      </c>
      <c r="C209" s="8">
        <v>9.99</v>
      </c>
      <c r="D209" s="8">
        <v>8.22619047619047</v>
      </c>
      <c r="E209" s="8">
        <v>5.83</v>
      </c>
      <c r="F209" s="8">
        <v>8.7625</v>
      </c>
      <c r="G209" s="3"/>
      <c r="H209" s="7">
        <v>207</v>
      </c>
      <c r="I209" s="8">
        <v>1.49696969696969</v>
      </c>
      <c r="J209" s="8">
        <v>3.52666666666666</v>
      </c>
      <c r="K209" s="8">
        <v>2.11428571428571</v>
      </c>
      <c r="L209" s="8">
        <v>1.82666666666666</v>
      </c>
      <c r="M209" s="8">
        <v>0.45</v>
      </c>
      <c r="N209" s="3"/>
      <c r="O209" s="7">
        <v>207</v>
      </c>
      <c r="P209" s="8">
        <v>1.60850212631903</v>
      </c>
      <c r="Q209" s="8">
        <v>1.37930546227959</v>
      </c>
      <c r="R209" s="8">
        <v>1.62685966415473</v>
      </c>
      <c r="S209" s="8">
        <v>1.43691470789424</v>
      </c>
      <c r="T209" s="8">
        <v>1.31500678482654</v>
      </c>
      <c r="U209" s="3"/>
      <c r="V209" s="3"/>
      <c r="W209" s="3"/>
      <c r="X209" s="3"/>
      <c r="Y209" s="3"/>
      <c r="Z209" s="3"/>
      <c r="AA209" s="3"/>
    </row>
    <row x14ac:dyDescent="0.25" r="210" customHeight="1" ht="18.75">
      <c r="A210" s="7">
        <v>208</v>
      </c>
      <c r="B210" s="8">
        <v>7.09545454545454</v>
      </c>
      <c r="C210" s="8">
        <v>10.4116666666666</v>
      </c>
      <c r="D210" s="8">
        <v>8.17857142857142</v>
      </c>
      <c r="E210" s="8">
        <v>5.98</v>
      </c>
      <c r="F210" s="8">
        <v>9.33333333333333</v>
      </c>
      <c r="G210" s="3"/>
      <c r="H210" s="7">
        <v>208</v>
      </c>
      <c r="I210" s="8">
        <v>2.43030303030303</v>
      </c>
      <c r="J210" s="8">
        <v>5.38</v>
      </c>
      <c r="K210" s="8">
        <v>2.29523809523809</v>
      </c>
      <c r="L210" s="8">
        <v>1.38</v>
      </c>
      <c r="M210" s="8">
        <v>2.01666666666666</v>
      </c>
      <c r="N210" s="3"/>
      <c r="O210" s="7">
        <v>208</v>
      </c>
      <c r="P210" s="8">
        <v>1.55883335001025</v>
      </c>
      <c r="Q210" s="8">
        <v>1.53088528913385</v>
      </c>
      <c r="R210" s="8">
        <v>1.67612609217491</v>
      </c>
      <c r="S210" s="8">
        <v>1.3226527145016</v>
      </c>
      <c r="T210" s="8">
        <v>1.11956275252086</v>
      </c>
      <c r="U210" s="3"/>
      <c r="V210" s="3"/>
      <c r="W210" s="3"/>
      <c r="X210" s="3"/>
      <c r="Y210" s="3"/>
      <c r="Z210" s="3"/>
      <c r="AA210" s="3"/>
    </row>
    <row x14ac:dyDescent="0.25" r="211" customHeight="1" ht="18.75">
      <c r="A211" s="7">
        <v>209</v>
      </c>
      <c r="B211" s="8">
        <v>7.02878787878787</v>
      </c>
      <c r="C211" s="8">
        <v>10.495</v>
      </c>
      <c r="D211" s="8">
        <v>8.97857142857142</v>
      </c>
      <c r="E211" s="8">
        <v>6.125</v>
      </c>
      <c r="F211" s="8">
        <v>8.9875</v>
      </c>
      <c r="G211" s="3"/>
      <c r="H211" s="7">
        <v>209</v>
      </c>
      <c r="I211" s="8">
        <v>0.790909090909091</v>
      </c>
      <c r="J211" s="8">
        <v>3.60333333333333</v>
      </c>
      <c r="K211" s="8">
        <v>1.2047619047619</v>
      </c>
      <c r="L211" s="8">
        <v>1.22068965517241</v>
      </c>
      <c r="M211" s="8">
        <v>1.26666666666666</v>
      </c>
      <c r="N211" s="3"/>
      <c r="O211" s="7">
        <v>209</v>
      </c>
      <c r="P211" s="8">
        <v>1.48324909947652</v>
      </c>
      <c r="Q211" s="8">
        <v>1.5836053821318</v>
      </c>
      <c r="R211" s="8">
        <v>1.94160951393687</v>
      </c>
      <c r="S211" s="8">
        <v>1.40868014829115</v>
      </c>
      <c r="T211" s="8">
        <v>1.28515382274214</v>
      </c>
      <c r="U211" s="3"/>
      <c r="V211" s="3"/>
      <c r="W211" s="3"/>
      <c r="X211" s="3"/>
      <c r="Y211" s="3"/>
      <c r="Z211" s="3"/>
      <c r="AA211" s="3"/>
    </row>
    <row x14ac:dyDescent="0.25" r="212" customHeight="1" ht="18.75">
      <c r="A212" s="7">
        <v>210</v>
      </c>
      <c r="B212" s="8">
        <v>7.44924242424242</v>
      </c>
      <c r="C212" s="8">
        <v>10.685</v>
      </c>
      <c r="D212" s="8">
        <v>8.75952380952381</v>
      </c>
      <c r="E212" s="8">
        <v>6.22291666666666</v>
      </c>
      <c r="F212" s="8">
        <v>9.0375</v>
      </c>
      <c r="G212" s="3"/>
      <c r="H212" s="7">
        <v>210</v>
      </c>
      <c r="I212" s="8">
        <v>0.796969696969697</v>
      </c>
      <c r="J212" s="8">
        <v>5.83</v>
      </c>
      <c r="K212" s="8">
        <v>0.904761904761904</v>
      </c>
      <c r="L212" s="8">
        <v>1.57241379310344</v>
      </c>
      <c r="M212" s="8">
        <v>2.79999999999999</v>
      </c>
      <c r="N212" s="3"/>
      <c r="O212" s="7">
        <v>210</v>
      </c>
      <c r="P212" s="8">
        <v>1.53790598719072</v>
      </c>
      <c r="Q212" s="8">
        <v>1.60195485183006</v>
      </c>
      <c r="R212" s="8">
        <v>1.71125659523228</v>
      </c>
      <c r="S212" s="8">
        <v>1.26833084352049</v>
      </c>
      <c r="T212" s="8">
        <v>1.19593374920793</v>
      </c>
      <c r="U212" s="3"/>
      <c r="V212" s="3"/>
      <c r="W212" s="3"/>
      <c r="X212" s="3"/>
      <c r="Y212" s="3"/>
      <c r="Z212" s="3"/>
      <c r="AA212" s="3"/>
    </row>
    <row x14ac:dyDescent="0.25" r="213" customHeight="1" ht="18.75">
      <c r="A213" s="7">
        <v>211</v>
      </c>
      <c r="B213" s="8">
        <v>6.84090909090909</v>
      </c>
      <c r="C213" s="8">
        <v>10.6783333333333</v>
      </c>
      <c r="D213" s="8">
        <v>8.95238095238095</v>
      </c>
      <c r="E213" s="8">
        <v>5.28958333333333</v>
      </c>
      <c r="F213" s="8">
        <v>8.17916666666666</v>
      </c>
      <c r="G213" s="3"/>
      <c r="H213" s="7">
        <v>211</v>
      </c>
      <c r="I213" s="8">
        <v>1.59393939393939</v>
      </c>
      <c r="J213" s="8">
        <v>2.98</v>
      </c>
      <c r="K213" s="8">
        <v>1.56666666666666</v>
      </c>
      <c r="L213" s="8">
        <v>1.84137931034482</v>
      </c>
      <c r="M213" s="8">
        <v>1.55</v>
      </c>
      <c r="N213" s="3"/>
      <c r="O213" s="7">
        <v>211</v>
      </c>
      <c r="P213" s="8">
        <v>1.61262260286068</v>
      </c>
      <c r="Q213" s="8">
        <v>1.60775139560736</v>
      </c>
      <c r="R213" s="8">
        <v>1.89731414629641</v>
      </c>
      <c r="S213" s="8">
        <v>1.31760658963864</v>
      </c>
      <c r="T213" s="8">
        <v>1.36588423092447</v>
      </c>
      <c r="U213" s="3"/>
      <c r="V213" s="3"/>
      <c r="W213" s="3"/>
      <c r="X213" s="3"/>
      <c r="Y213" s="3"/>
      <c r="Z213" s="3"/>
      <c r="AA213" s="3"/>
    </row>
    <row x14ac:dyDescent="0.25" r="214" customHeight="1" ht="18.75">
      <c r="A214" s="7">
        <v>212</v>
      </c>
      <c r="B214" s="8">
        <v>7.19181818181818</v>
      </c>
      <c r="C214" s="8">
        <v>10.7672413793103</v>
      </c>
      <c r="D214" s="8">
        <v>8.61190476190476</v>
      </c>
      <c r="E214" s="8">
        <v>5.878</v>
      </c>
      <c r="F214" s="8">
        <v>8.75</v>
      </c>
      <c r="G214" s="3"/>
      <c r="H214" s="7">
        <v>212</v>
      </c>
      <c r="I214" s="8">
        <v>0.86060606060606</v>
      </c>
      <c r="J214" s="8">
        <v>4.42857142857142</v>
      </c>
      <c r="K214" s="8">
        <v>3.05238095238095</v>
      </c>
      <c r="L214" s="8">
        <v>1.42</v>
      </c>
      <c r="M214" s="8">
        <v>2.44999999999999</v>
      </c>
      <c r="N214" s="3"/>
      <c r="O214" s="7">
        <v>212</v>
      </c>
      <c r="P214" s="8">
        <v>1.70140545600958</v>
      </c>
      <c r="Q214" s="8">
        <v>1.47644661092613</v>
      </c>
      <c r="R214" s="8">
        <v>1.73331506262782</v>
      </c>
      <c r="S214" s="8">
        <v>1.57403379553346</v>
      </c>
      <c r="T214" s="8">
        <v>0.898189159425009</v>
      </c>
      <c r="U214" s="3"/>
      <c r="V214" s="3"/>
      <c r="W214" s="3"/>
      <c r="X214" s="3"/>
      <c r="Y214" s="3"/>
      <c r="Z214" s="3"/>
      <c r="AA214" s="3"/>
    </row>
    <row x14ac:dyDescent="0.25" r="215" customHeight="1" ht="18.75">
      <c r="A215" s="7">
        <v>213</v>
      </c>
      <c r="B215" s="8">
        <v>7.41484848484848</v>
      </c>
      <c r="C215" s="8">
        <v>10.815</v>
      </c>
      <c r="D215" s="8">
        <v>9.42619047619047</v>
      </c>
      <c r="E215" s="8">
        <v>6.122</v>
      </c>
      <c r="F215" s="8">
        <v>10.3375</v>
      </c>
      <c r="G215" s="3"/>
      <c r="H215" s="7">
        <v>213</v>
      </c>
      <c r="I215" s="8">
        <v>1.77878787878787</v>
      </c>
      <c r="J215" s="8">
        <v>3.85333333333333</v>
      </c>
      <c r="K215" s="8">
        <v>2.09047619047619</v>
      </c>
      <c r="L215" s="8">
        <v>2.18666666666666</v>
      </c>
      <c r="M215" s="8">
        <v>5.26666666666666</v>
      </c>
      <c r="N215" s="3"/>
      <c r="O215" s="7">
        <v>213</v>
      </c>
      <c r="P215" s="8">
        <v>1.57863389711225</v>
      </c>
      <c r="Q215" s="8">
        <v>1.4161434812322</v>
      </c>
      <c r="R215" s="8">
        <v>1.72617171841124</v>
      </c>
      <c r="S215" s="8">
        <v>1.60032210621773</v>
      </c>
      <c r="T215" s="8">
        <v>0.944543359804825</v>
      </c>
      <c r="U215" s="3"/>
      <c r="V215" s="3"/>
      <c r="W215" s="3"/>
      <c r="X215" s="3"/>
      <c r="Y215" s="3"/>
      <c r="Z215" s="3"/>
      <c r="AA215" s="3"/>
    </row>
    <row x14ac:dyDescent="0.25" r="216" customHeight="1" ht="18.75">
      <c r="A216" s="7">
        <v>214</v>
      </c>
      <c r="B216" s="8">
        <v>7.14090909090909</v>
      </c>
      <c r="C216" s="8">
        <v>11.1566666666666</v>
      </c>
      <c r="D216" s="8">
        <v>9.69047619047619</v>
      </c>
      <c r="E216" s="8">
        <v>5.61458333333333</v>
      </c>
      <c r="F216" s="8">
        <v>10.5954545454545</v>
      </c>
      <c r="G216" s="3"/>
      <c r="H216" s="7">
        <v>214</v>
      </c>
      <c r="I216" s="8">
        <v>1.47272727272727</v>
      </c>
      <c r="J216" s="8">
        <v>5.76666666666666</v>
      </c>
      <c r="K216" s="8">
        <v>1.24285714285714</v>
      </c>
      <c r="L216" s="8">
        <v>2.96666666666666</v>
      </c>
      <c r="M216" s="8">
        <v>4.41666666666666</v>
      </c>
      <c r="N216" s="3"/>
      <c r="O216" s="7">
        <v>214</v>
      </c>
      <c r="P216" s="8">
        <v>1.50988436252539</v>
      </c>
      <c r="Q216" s="8">
        <v>1.42163640542839</v>
      </c>
      <c r="R216" s="8">
        <v>1.83242552461789</v>
      </c>
      <c r="S216" s="8">
        <v>1.18863883509873</v>
      </c>
      <c r="T216" s="8">
        <v>1.08326425678012</v>
      </c>
      <c r="U216" s="3"/>
      <c r="V216" s="3"/>
      <c r="W216" s="3"/>
      <c r="X216" s="3"/>
      <c r="Y216" s="3"/>
      <c r="Z216" s="3"/>
      <c r="AA216" s="3"/>
    </row>
    <row x14ac:dyDescent="0.25" r="217" customHeight="1" ht="18.75">
      <c r="A217" s="7">
        <v>215</v>
      </c>
      <c r="B217" s="8">
        <v>6.76818181818181</v>
      </c>
      <c r="C217" s="8">
        <v>11.0879310344827</v>
      </c>
      <c r="D217" s="8">
        <v>9.20238095238095</v>
      </c>
      <c r="E217" s="8">
        <v>5.916</v>
      </c>
      <c r="F217" s="8">
        <v>10.1041666666666</v>
      </c>
      <c r="G217" s="3"/>
      <c r="H217" s="7">
        <v>215</v>
      </c>
      <c r="I217" s="8">
        <v>0.766666666666666</v>
      </c>
      <c r="J217" s="8">
        <v>3.28965517241379</v>
      </c>
      <c r="K217" s="8">
        <v>2.4</v>
      </c>
      <c r="L217" s="8">
        <v>1.41333333333333</v>
      </c>
      <c r="M217" s="8">
        <v>2.08333333333333</v>
      </c>
      <c r="N217" s="3"/>
      <c r="O217" s="7">
        <v>215</v>
      </c>
      <c r="P217" s="8">
        <v>1.28491883482887</v>
      </c>
      <c r="Q217" s="8">
        <v>1.48572506469519</v>
      </c>
      <c r="R217" s="8">
        <v>1.58831779694192</v>
      </c>
      <c r="S217" s="8">
        <v>1.54884825313339</v>
      </c>
      <c r="T217" s="8">
        <v>1.39183263100002</v>
      </c>
      <c r="U217" s="3"/>
      <c r="V217" s="3"/>
      <c r="W217" s="3"/>
      <c r="X217" s="3"/>
      <c r="Y217" s="3"/>
      <c r="Z217" s="3"/>
      <c r="AA217" s="3"/>
    </row>
    <row x14ac:dyDescent="0.25" r="218" customHeight="1" ht="18.75">
      <c r="A218" s="7">
        <v>216</v>
      </c>
      <c r="B218" s="8">
        <v>7.20151515151515</v>
      </c>
      <c r="C218" s="8">
        <v>10.9965517241379</v>
      </c>
      <c r="D218" s="8">
        <v>9.54285714285714</v>
      </c>
      <c r="E218" s="8">
        <v>5.668</v>
      </c>
      <c r="F218" s="8">
        <v>10.1833333333333</v>
      </c>
      <c r="G218" s="3"/>
      <c r="H218" s="7">
        <v>216</v>
      </c>
      <c r="I218" s="8">
        <v>1.47272727272727</v>
      </c>
      <c r="J218" s="8">
        <v>5.08275862068965</v>
      </c>
      <c r="K218" s="8">
        <v>3.26666666666666</v>
      </c>
      <c r="L218" s="8">
        <v>1.50666666666666</v>
      </c>
      <c r="M218" s="8">
        <v>5.98333333333333</v>
      </c>
      <c r="N218" s="3"/>
      <c r="O218" s="7">
        <v>216</v>
      </c>
      <c r="P218" s="8">
        <v>1.33861497854689</v>
      </c>
      <c r="Q218" s="8">
        <v>1.46187211746405</v>
      </c>
      <c r="R218" s="8">
        <v>1.77714063969738</v>
      </c>
      <c r="S218" s="8">
        <v>1.31358921562425</v>
      </c>
      <c r="T218" s="8">
        <v>1.03014928187729</v>
      </c>
      <c r="U218" s="3"/>
      <c r="V218" s="3"/>
      <c r="W218" s="3"/>
      <c r="X218" s="3"/>
      <c r="Y218" s="3"/>
      <c r="Z218" s="3"/>
      <c r="AA218" s="3"/>
    </row>
    <row x14ac:dyDescent="0.25" r="219" customHeight="1" ht="18.75">
      <c r="A219" s="7">
        <v>217</v>
      </c>
      <c r="B219" s="8">
        <v>7.37424242424242</v>
      </c>
      <c r="C219" s="8">
        <v>10.7063959955506</v>
      </c>
      <c r="D219" s="8">
        <v>8.59047619047619</v>
      </c>
      <c r="E219" s="8">
        <v>6.554</v>
      </c>
      <c r="F219" s="8">
        <v>9.77083333333333</v>
      </c>
      <c r="G219" s="3"/>
      <c r="H219" s="7">
        <v>217</v>
      </c>
      <c r="I219" s="8">
        <v>1.75757575757575</v>
      </c>
      <c r="J219" s="8">
        <v>4.88275862068965</v>
      </c>
      <c r="K219" s="8">
        <v>1.43333333333333</v>
      </c>
      <c r="L219" s="8">
        <v>1.28666666666666</v>
      </c>
      <c r="M219" s="8">
        <v>2.98333333333333</v>
      </c>
      <c r="N219" s="3"/>
      <c r="O219" s="7">
        <v>217</v>
      </c>
      <c r="P219" s="8">
        <v>1.55222576978494</v>
      </c>
      <c r="Q219" s="8">
        <v>1.32783926877649</v>
      </c>
      <c r="R219" s="8">
        <v>1.61509194777145</v>
      </c>
      <c r="S219" s="8">
        <v>1.6217906530713</v>
      </c>
      <c r="T219" s="8">
        <v>1.34322845602738</v>
      </c>
      <c r="U219" s="3"/>
      <c r="V219" s="3"/>
      <c r="W219" s="3"/>
      <c r="X219" s="3"/>
      <c r="Y219" s="3"/>
      <c r="Z219" s="3"/>
      <c r="AA219" s="3"/>
    </row>
    <row x14ac:dyDescent="0.25" r="220" customHeight="1" ht="18.75">
      <c r="A220" s="7">
        <v>218</v>
      </c>
      <c r="B220" s="8">
        <v>7.4590909090909</v>
      </c>
      <c r="C220" s="8">
        <v>10.6327586206896</v>
      </c>
      <c r="D220" s="8">
        <v>8.69523809523809</v>
      </c>
      <c r="E220" s="8">
        <v>6.35199999999999</v>
      </c>
      <c r="F220" s="8">
        <v>9.87916666666666</v>
      </c>
      <c r="G220" s="3"/>
      <c r="H220" s="7">
        <v>218</v>
      </c>
      <c r="I220" s="8">
        <v>0.609090909090909</v>
      </c>
      <c r="J220" s="8">
        <v>4.17241379310344</v>
      </c>
      <c r="K220" s="8">
        <v>4.42380952380952</v>
      </c>
      <c r="L220" s="8">
        <v>1.59333333333333</v>
      </c>
      <c r="M220" s="8">
        <v>4.48333333333333</v>
      </c>
      <c r="N220" s="3"/>
      <c r="O220" s="7">
        <v>218</v>
      </c>
      <c r="P220" s="8">
        <v>1.49797698016288</v>
      </c>
      <c r="Q220" s="8">
        <v>1.47551454127292</v>
      </c>
      <c r="R220" s="8">
        <v>1.70877800325759</v>
      </c>
      <c r="S220" s="8">
        <v>1.457592397092</v>
      </c>
      <c r="T220" s="8">
        <v>1.02598385665145</v>
      </c>
      <c r="U220" s="3"/>
      <c r="V220" s="3"/>
      <c r="W220" s="3"/>
      <c r="X220" s="3"/>
      <c r="Y220" s="3"/>
      <c r="Z220" s="3"/>
      <c r="AA220" s="3"/>
    </row>
    <row x14ac:dyDescent="0.25" r="221" customHeight="1" ht="18.75">
      <c r="A221" s="7">
        <v>219</v>
      </c>
      <c r="B221" s="8">
        <v>7.59393939393939</v>
      </c>
      <c r="C221" s="8">
        <v>10.7362068965517</v>
      </c>
      <c r="D221" s="8">
        <v>9.54523809523809</v>
      </c>
      <c r="E221" s="8">
        <v>5.864</v>
      </c>
      <c r="F221" s="8">
        <v>9.98749999999999</v>
      </c>
      <c r="G221" s="3"/>
      <c r="H221" s="7">
        <v>219</v>
      </c>
      <c r="I221" s="8">
        <v>3.38484848484848</v>
      </c>
      <c r="J221" s="8">
        <v>3.27241379310344</v>
      </c>
      <c r="K221" s="8">
        <v>4.59523809523809</v>
      </c>
      <c r="L221" s="8">
        <v>1.89333333333333</v>
      </c>
      <c r="M221" s="8">
        <v>2.2</v>
      </c>
      <c r="N221" s="3"/>
      <c r="O221" s="7">
        <v>219</v>
      </c>
      <c r="P221" s="8">
        <v>1.51963915749211</v>
      </c>
      <c r="Q221" s="8">
        <v>1.49152078107975</v>
      </c>
      <c r="R221" s="8">
        <v>1.86644009817072</v>
      </c>
      <c r="S221" s="8">
        <v>1.46027059163204</v>
      </c>
      <c r="T221" s="8">
        <v>1.10294846479826</v>
      </c>
      <c r="U221" s="3"/>
      <c r="V221" s="3"/>
      <c r="W221" s="3"/>
      <c r="X221" s="3"/>
      <c r="Y221" s="3"/>
      <c r="Z221" s="3"/>
      <c r="AA221" s="3"/>
    </row>
    <row x14ac:dyDescent="0.25" r="222" customHeight="1" ht="18.75">
      <c r="A222" s="7">
        <v>220</v>
      </c>
      <c r="B222" s="8">
        <v>7.32575757575757</v>
      </c>
      <c r="C222" s="8">
        <v>10.7333333333333</v>
      </c>
      <c r="D222" s="8">
        <v>9.02142857142857</v>
      </c>
      <c r="E222" s="8">
        <v>5.57083333333333</v>
      </c>
      <c r="F222" s="8">
        <v>9.4625</v>
      </c>
      <c r="G222" s="3"/>
      <c r="H222" s="7">
        <v>220</v>
      </c>
      <c r="I222" s="8">
        <v>3.23636363636363</v>
      </c>
      <c r="J222" s="8">
        <v>2.40666666666666</v>
      </c>
      <c r="K222" s="8">
        <v>0.976190476190476</v>
      </c>
      <c r="L222" s="8">
        <v>1.63448275862068</v>
      </c>
      <c r="M222" s="8">
        <v>3.61666666666666</v>
      </c>
      <c r="N222" s="3"/>
      <c r="O222" s="7">
        <v>220</v>
      </c>
      <c r="P222" s="8">
        <v>1.71826565875634</v>
      </c>
      <c r="Q222" s="8">
        <v>1.788154715465</v>
      </c>
      <c r="R222" s="8">
        <v>1.94727685515508</v>
      </c>
      <c r="S222" s="8">
        <v>1.52840892203439</v>
      </c>
      <c r="T222" s="8">
        <v>1.10790183862933</v>
      </c>
      <c r="U222" s="3"/>
      <c r="V222" s="3"/>
      <c r="W222" s="3"/>
      <c r="X222" s="3"/>
      <c r="Y222" s="3"/>
      <c r="Z222" s="3"/>
      <c r="AA222" s="3"/>
    </row>
    <row x14ac:dyDescent="0.25" r="223" customHeight="1" ht="18.75">
      <c r="A223" s="7">
        <v>221</v>
      </c>
      <c r="B223" s="8">
        <v>6.63333333333333</v>
      </c>
      <c r="C223" s="8">
        <v>10.86</v>
      </c>
      <c r="D223" s="8">
        <v>8.49761904761904</v>
      </c>
      <c r="E223" s="8">
        <v>5.26249999999999</v>
      </c>
      <c r="F223" s="8">
        <v>8.42916666666666</v>
      </c>
      <c r="G223" s="3"/>
      <c r="H223" s="7">
        <v>221</v>
      </c>
      <c r="I223" s="8">
        <v>1.55151515151515</v>
      </c>
      <c r="J223" s="8">
        <v>4.66</v>
      </c>
      <c r="K223" s="8">
        <v>0.78095238095238</v>
      </c>
      <c r="L223" s="8">
        <v>1.78620689655172</v>
      </c>
      <c r="M223" s="8">
        <v>3.4</v>
      </c>
      <c r="N223" s="3"/>
      <c r="O223" s="7">
        <v>221</v>
      </c>
      <c r="P223" s="8">
        <v>1.45992841951307</v>
      </c>
      <c r="Q223" s="8">
        <v>1.72214889407634</v>
      </c>
      <c r="R223" s="8">
        <v>1.87235067487797</v>
      </c>
      <c r="S223" s="8">
        <v>1.39717935133021</v>
      </c>
      <c r="T223" s="8">
        <v>1.32402542664303</v>
      </c>
      <c r="U223" s="3"/>
      <c r="V223" s="3"/>
      <c r="W223" s="3"/>
      <c r="X223" s="3"/>
      <c r="Y223" s="3"/>
      <c r="Z223" s="3"/>
      <c r="AA223" s="3"/>
    </row>
    <row x14ac:dyDescent="0.25" r="224" customHeight="1" ht="18.75">
      <c r="A224" s="7">
        <v>222</v>
      </c>
      <c r="B224" s="8">
        <v>7.06969696969697</v>
      </c>
      <c r="C224" s="8">
        <v>10.6416666666666</v>
      </c>
      <c r="D224" s="8">
        <v>8.21190476190476</v>
      </c>
      <c r="E224" s="8">
        <v>5.888</v>
      </c>
      <c r="F224" s="8">
        <v>7.84166666666666</v>
      </c>
      <c r="G224" s="3"/>
      <c r="H224" s="7">
        <v>222</v>
      </c>
      <c r="I224" s="8">
        <v>1.45454545454545</v>
      </c>
      <c r="J224" s="8">
        <v>4.53666666666666</v>
      </c>
      <c r="K224" s="8">
        <v>2.41904761904761</v>
      </c>
      <c r="L224" s="8">
        <v>2.08</v>
      </c>
      <c r="M224" s="8">
        <v>1.38333333333333</v>
      </c>
      <c r="N224" s="3"/>
      <c r="O224" s="7">
        <v>222</v>
      </c>
      <c r="P224" s="8">
        <v>1.43429877915796</v>
      </c>
      <c r="Q224" s="8">
        <v>1.78798041526371</v>
      </c>
      <c r="R224" s="8">
        <v>1.93631953600859</v>
      </c>
      <c r="S224" s="8">
        <v>1.36684949471833</v>
      </c>
      <c r="T224" s="8">
        <v>1.28822741942308</v>
      </c>
      <c r="U224" s="3"/>
      <c r="V224" s="3"/>
      <c r="W224" s="3"/>
      <c r="X224" s="3"/>
      <c r="Y224" s="3"/>
      <c r="Z224" s="3"/>
      <c r="AA224" s="3"/>
    </row>
    <row x14ac:dyDescent="0.25" r="225" customHeight="1" ht="18.75">
      <c r="A225" s="7">
        <v>223</v>
      </c>
      <c r="B225" s="8">
        <v>7.51060606060606</v>
      </c>
      <c r="C225" s="8">
        <v>10.8983333333333</v>
      </c>
      <c r="D225" s="8">
        <v>8.59047619047619</v>
      </c>
      <c r="E225" s="8">
        <v>6.272</v>
      </c>
      <c r="F225" s="8">
        <v>8.79166666666666</v>
      </c>
      <c r="G225" s="3"/>
      <c r="H225" s="7">
        <v>223</v>
      </c>
      <c r="I225" s="8">
        <v>1.6030303030303</v>
      </c>
      <c r="J225" s="8">
        <v>5.72666666666666</v>
      </c>
      <c r="K225" s="8">
        <v>1.61428571428571</v>
      </c>
      <c r="L225" s="8">
        <v>1.68</v>
      </c>
      <c r="M225" s="8">
        <v>4.7</v>
      </c>
      <c r="N225" s="3"/>
      <c r="O225" s="7">
        <v>223</v>
      </c>
      <c r="P225" s="8">
        <v>1.46172113045474</v>
      </c>
      <c r="Q225" s="8">
        <v>1.78444613895236</v>
      </c>
      <c r="R225" s="8">
        <v>1.8227006055745</v>
      </c>
      <c r="S225" s="8">
        <v>1.617827096427</v>
      </c>
      <c r="T225" s="8">
        <v>1.27008129956424</v>
      </c>
      <c r="U225" s="3"/>
      <c r="V225" s="3"/>
      <c r="W225" s="3"/>
      <c r="X225" s="3"/>
      <c r="Y225" s="3"/>
      <c r="Z225" s="3"/>
      <c r="AA225" s="3"/>
    </row>
    <row x14ac:dyDescent="0.25" r="226" customHeight="1" ht="18.75">
      <c r="A226" s="7">
        <v>224</v>
      </c>
      <c r="B226" s="8">
        <v>7.73787878787878</v>
      </c>
      <c r="C226" s="8">
        <v>10.62</v>
      </c>
      <c r="D226" s="8">
        <v>9.31190476190476</v>
      </c>
      <c r="E226" s="8">
        <v>5.748</v>
      </c>
      <c r="F226" s="8">
        <v>9.20416666666666</v>
      </c>
      <c r="G226" s="3"/>
      <c r="H226" s="7">
        <v>224</v>
      </c>
      <c r="I226" s="8">
        <v>1.2</v>
      </c>
      <c r="J226" s="8">
        <v>3.95333333333333</v>
      </c>
      <c r="K226" s="8">
        <v>0.471428571428571</v>
      </c>
      <c r="L226" s="8">
        <v>2.19333333333333</v>
      </c>
      <c r="M226" s="8">
        <v>4.96666666666666</v>
      </c>
      <c r="N226" s="3"/>
      <c r="O226" s="7">
        <v>224</v>
      </c>
      <c r="P226" s="8">
        <v>1.64327704752056</v>
      </c>
      <c r="Q226" s="8">
        <v>1.79702295751458</v>
      </c>
      <c r="R226" s="8">
        <v>2.27970099024159</v>
      </c>
      <c r="S226" s="8">
        <v>1.41305908053324</v>
      </c>
      <c r="T226" s="8">
        <v>1.216678160996</v>
      </c>
      <c r="U226" s="3"/>
      <c r="V226" s="3"/>
      <c r="W226" s="3"/>
      <c r="X226" s="3"/>
      <c r="Y226" s="3"/>
      <c r="Z226" s="3"/>
      <c r="AA226" s="3"/>
    </row>
    <row x14ac:dyDescent="0.25" r="227" customHeight="1" ht="18.75">
      <c r="A227" s="7">
        <v>225</v>
      </c>
      <c r="B227" s="8">
        <v>7.43787878787878</v>
      </c>
      <c r="C227" s="8">
        <v>10.8516666666666</v>
      </c>
      <c r="D227" s="8">
        <v>9.17380952380952</v>
      </c>
      <c r="E227" s="8">
        <v>5.606</v>
      </c>
      <c r="F227" s="8">
        <v>9.49583333333333</v>
      </c>
      <c r="G227" s="3"/>
      <c r="H227" s="7">
        <v>225</v>
      </c>
      <c r="I227" s="8">
        <v>2.01515151515151</v>
      </c>
      <c r="J227" s="8">
        <v>4.43</v>
      </c>
      <c r="K227" s="8">
        <v>1.01904761904761</v>
      </c>
      <c r="L227" s="8">
        <v>2.79333333333333</v>
      </c>
      <c r="M227" s="8">
        <v>3.11666666666666</v>
      </c>
      <c r="N227" s="3"/>
      <c r="O227" s="7">
        <v>225</v>
      </c>
      <c r="P227" s="8">
        <v>1.72191376837551</v>
      </c>
      <c r="Q227" s="8">
        <v>1.75622712343688</v>
      </c>
      <c r="R227" s="8">
        <v>2.13023616344638</v>
      </c>
      <c r="S227" s="8">
        <v>1.55931332895103</v>
      </c>
      <c r="T227" s="8">
        <v>1.2041756804414</v>
      </c>
      <c r="U227" s="3"/>
      <c r="V227" s="3"/>
      <c r="W227" s="3"/>
      <c r="X227" s="3"/>
      <c r="Y227" s="3"/>
      <c r="Z227" s="3"/>
      <c r="AA227" s="3"/>
    </row>
    <row x14ac:dyDescent="0.25" r="228" customHeight="1" ht="18.75">
      <c r="A228" s="7">
        <v>226</v>
      </c>
      <c r="B228" s="8">
        <v>7.3203125</v>
      </c>
      <c r="C228" s="8">
        <v>10.7155172413793</v>
      </c>
      <c r="D228" s="8">
        <v>9.09047619047619</v>
      </c>
      <c r="E228" s="8">
        <v>5.614</v>
      </c>
      <c r="F228" s="8">
        <v>9.77916666666666</v>
      </c>
      <c r="G228" s="3"/>
      <c r="H228" s="7">
        <v>226</v>
      </c>
      <c r="I228" s="8">
        <v>2.209375</v>
      </c>
      <c r="J228" s="8">
        <v>5.10344827586206</v>
      </c>
      <c r="K228" s="8">
        <v>1.92380952380952</v>
      </c>
      <c r="L228" s="8">
        <v>2.47333333333333</v>
      </c>
      <c r="M228" s="8">
        <v>6.7</v>
      </c>
      <c r="N228" s="3"/>
      <c r="O228" s="7">
        <v>226</v>
      </c>
      <c r="P228" s="8">
        <v>1.6752410691035</v>
      </c>
      <c r="Q228" s="8">
        <v>1.81437443546573</v>
      </c>
      <c r="R228" s="8">
        <v>1.96895762210439</v>
      </c>
      <c r="S228" s="8">
        <v>1.69407925358724</v>
      </c>
      <c r="T228" s="8">
        <v>1.1357294741412</v>
      </c>
      <c r="U228" s="3"/>
      <c r="V228" s="3"/>
      <c r="W228" s="3"/>
      <c r="X228" s="3"/>
      <c r="Y228" s="3"/>
      <c r="Z228" s="3"/>
      <c r="AA228" s="3"/>
    </row>
    <row x14ac:dyDescent="0.25" r="229" customHeight="1" ht="18.75">
      <c r="A229" s="7">
        <v>227</v>
      </c>
      <c r="B229" s="8">
        <v>6.959375</v>
      </c>
      <c r="C229" s="8">
        <v>10.1716666666666</v>
      </c>
      <c r="D229" s="8">
        <v>9.00952380952381</v>
      </c>
      <c r="E229" s="8">
        <v>6.174</v>
      </c>
      <c r="F229" s="8">
        <v>9.4375</v>
      </c>
      <c r="G229" s="3"/>
      <c r="H229" s="7">
        <v>227</v>
      </c>
      <c r="I229" s="8">
        <v>2.053125</v>
      </c>
      <c r="J229" s="8">
        <v>5.09333333333333</v>
      </c>
      <c r="K229" s="8">
        <v>3.68571428571428</v>
      </c>
      <c r="L229" s="8">
        <v>2.50666666666666</v>
      </c>
      <c r="M229" s="8">
        <v>3.28333333333333</v>
      </c>
      <c r="N229" s="3"/>
      <c r="O229" s="7">
        <v>227</v>
      </c>
      <c r="P229" s="8">
        <v>1.64787849438904</v>
      </c>
      <c r="Q229" s="8">
        <v>1.75043228552279</v>
      </c>
      <c r="R229" s="8">
        <v>1.9543624302211</v>
      </c>
      <c r="S229" s="8">
        <v>1.53899972462567</v>
      </c>
      <c r="T229" s="8">
        <v>1.24103854988517</v>
      </c>
      <c r="U229" s="3"/>
      <c r="V229" s="3"/>
      <c r="W229" s="3"/>
      <c r="X229" s="3"/>
      <c r="Y229" s="3"/>
      <c r="Z229" s="3"/>
      <c r="AA229" s="3"/>
    </row>
    <row x14ac:dyDescent="0.25" r="230" customHeight="1" ht="18.75">
      <c r="A230" s="7">
        <v>228</v>
      </c>
      <c r="B230" s="8">
        <v>7.19375</v>
      </c>
      <c r="C230" s="8">
        <v>10.2033333333333</v>
      </c>
      <c r="D230" s="8">
        <v>8.96190476190476</v>
      </c>
      <c r="E230" s="8">
        <v>6.588</v>
      </c>
      <c r="F230" s="8">
        <v>9.7</v>
      </c>
      <c r="G230" s="3"/>
      <c r="H230" s="7">
        <v>228</v>
      </c>
      <c r="I230" s="8">
        <v>2.03125</v>
      </c>
      <c r="J230" s="8">
        <v>4.34333333333333</v>
      </c>
      <c r="K230" s="8">
        <v>1.9047619047619</v>
      </c>
      <c r="L230" s="8">
        <v>1.86</v>
      </c>
      <c r="M230" s="8">
        <v>1.59999999999999</v>
      </c>
      <c r="N230" s="3"/>
      <c r="O230" s="7">
        <v>228</v>
      </c>
      <c r="P230" s="8">
        <v>1.7164445634916</v>
      </c>
      <c r="Q230" s="8">
        <v>1.72694084936311</v>
      </c>
      <c r="R230" s="8">
        <v>2.0643711322193</v>
      </c>
      <c r="S230" s="8">
        <v>1.78615290887678</v>
      </c>
      <c r="T230" s="8">
        <v>1.30158376837533</v>
      </c>
      <c r="U230" s="3"/>
      <c r="V230" s="3"/>
      <c r="W230" s="3"/>
      <c r="X230" s="3"/>
      <c r="Y230" s="3"/>
      <c r="Z230" s="3"/>
      <c r="AA230" s="3"/>
    </row>
    <row x14ac:dyDescent="0.25" r="231" customHeight="1" ht="18.75">
      <c r="A231" s="7">
        <v>229</v>
      </c>
      <c r="B231" s="8">
        <v>7.74375</v>
      </c>
      <c r="C231" s="8">
        <v>10.0833333333333</v>
      </c>
      <c r="D231" s="8">
        <v>9.18571428571428</v>
      </c>
      <c r="E231" s="8">
        <v>6.61799999999999</v>
      </c>
      <c r="F231" s="8">
        <v>9.61666666666666</v>
      </c>
      <c r="G231" s="3"/>
      <c r="H231" s="7">
        <v>229</v>
      </c>
      <c r="I231" s="8">
        <v>2.4875</v>
      </c>
      <c r="J231" s="8">
        <v>5.33333333333333</v>
      </c>
      <c r="K231" s="8">
        <v>2.53809523809523</v>
      </c>
      <c r="L231" s="8">
        <v>3.09655172413793</v>
      </c>
      <c r="M231" s="8">
        <v>6.59999999999999</v>
      </c>
      <c r="N231" s="3"/>
      <c r="O231" s="7">
        <v>229</v>
      </c>
      <c r="P231" s="8">
        <v>1.83858279668266</v>
      </c>
      <c r="Q231" s="8">
        <v>1.99111766755371</v>
      </c>
      <c r="R231" s="8">
        <v>2.0498151508424</v>
      </c>
      <c r="S231" s="8">
        <v>1.75152419684144</v>
      </c>
      <c r="T231" s="8">
        <v>1.37138457760814</v>
      </c>
      <c r="U231" s="3"/>
      <c r="V231" s="3"/>
      <c r="W231" s="3"/>
      <c r="X231" s="3"/>
      <c r="Y231" s="3"/>
      <c r="Z231" s="3"/>
      <c r="AA231" s="3"/>
    </row>
    <row x14ac:dyDescent="0.25" r="232" customHeight="1" ht="18.75">
      <c r="A232" s="7">
        <v>230</v>
      </c>
      <c r="B232" s="8">
        <v>7.8</v>
      </c>
      <c r="C232" s="8">
        <v>10.0833333333333</v>
      </c>
      <c r="D232" s="8">
        <v>8.30952380952381</v>
      </c>
      <c r="E232" s="8">
        <v>6.63</v>
      </c>
      <c r="F232" s="8">
        <v>8.83333333333333</v>
      </c>
      <c r="G232" s="3"/>
      <c r="H232" s="7">
        <v>230</v>
      </c>
      <c r="I232" s="8">
        <v>2.465625</v>
      </c>
      <c r="J232" s="8">
        <v>3.94333333333333</v>
      </c>
      <c r="K232" s="8">
        <v>1.4</v>
      </c>
      <c r="L232" s="8">
        <v>2.72666666666666</v>
      </c>
      <c r="M232" s="8">
        <v>3.3</v>
      </c>
      <c r="N232" s="3"/>
      <c r="O232" s="7">
        <v>230</v>
      </c>
      <c r="P232" s="8">
        <v>1.65941446777998</v>
      </c>
      <c r="Q232" s="8">
        <v>1.888960132222</v>
      </c>
      <c r="R232" s="8">
        <v>2.09246875479806</v>
      </c>
      <c r="S232" s="8">
        <v>1.68803207406808</v>
      </c>
      <c r="T232" s="8">
        <v>1.38797998518043</v>
      </c>
      <c r="U232" s="3"/>
      <c r="V232" s="3"/>
      <c r="W232" s="3"/>
      <c r="X232" s="3"/>
      <c r="Y232" s="3"/>
      <c r="Z232" s="3"/>
      <c r="AA232" s="3"/>
    </row>
    <row x14ac:dyDescent="0.25" r="233" customHeight="1" ht="18.75">
      <c r="A233" s="7">
        <v>231</v>
      </c>
      <c r="B233" s="8">
        <v>7.5171875</v>
      </c>
      <c r="C233" s="8">
        <v>10.1383333333333</v>
      </c>
      <c r="D233" s="8">
        <v>8.78571428571428</v>
      </c>
      <c r="E233" s="8">
        <v>6.16</v>
      </c>
      <c r="F233" s="8">
        <v>9.48333333333333</v>
      </c>
      <c r="G233" s="3"/>
      <c r="H233" s="7">
        <v>231</v>
      </c>
      <c r="I233" s="8">
        <v>2.0375</v>
      </c>
      <c r="J233" s="8">
        <v>3.57333333333333</v>
      </c>
      <c r="K233" s="8">
        <v>3.8095238095238</v>
      </c>
      <c r="L233" s="8">
        <v>1.52</v>
      </c>
      <c r="M233" s="8">
        <v>2.13333333333333</v>
      </c>
      <c r="N233" s="3"/>
      <c r="O233" s="7">
        <v>231</v>
      </c>
      <c r="P233" s="8">
        <v>1.83029564780852</v>
      </c>
      <c r="Q233" s="8">
        <v>1.83359337247592</v>
      </c>
      <c r="R233" s="8">
        <v>1.88771646596252</v>
      </c>
      <c r="S233" s="8">
        <v>1.63576948348863</v>
      </c>
      <c r="T233" s="8">
        <v>1.56092628574794</v>
      </c>
      <c r="U233" s="3"/>
      <c r="V233" s="3"/>
      <c r="W233" s="3"/>
      <c r="X233" s="3"/>
      <c r="Y233" s="3"/>
      <c r="Z233" s="3"/>
      <c r="AA233" s="3"/>
    </row>
    <row x14ac:dyDescent="0.25" r="234" customHeight="1" ht="18.75">
      <c r="A234" s="7">
        <v>232</v>
      </c>
      <c r="B234" s="8">
        <v>7.5671875</v>
      </c>
      <c r="C234" s="8">
        <v>10.4216666666666</v>
      </c>
      <c r="D234" s="8">
        <v>8.94047619047619</v>
      </c>
      <c r="E234" s="8">
        <v>6.338</v>
      </c>
      <c r="F234" s="8">
        <v>9.25833333333333</v>
      </c>
      <c r="G234" s="3"/>
      <c r="H234" s="7">
        <v>232</v>
      </c>
      <c r="I234" s="8">
        <v>1.278125</v>
      </c>
      <c r="J234" s="8">
        <v>4.80333333333333</v>
      </c>
      <c r="K234" s="8">
        <v>1.85238095238095</v>
      </c>
      <c r="L234" s="8">
        <v>1.02</v>
      </c>
      <c r="M234" s="8">
        <v>3.65</v>
      </c>
      <c r="N234" s="3"/>
      <c r="O234" s="7">
        <v>232</v>
      </c>
      <c r="P234" s="8">
        <v>1.86992300057723</v>
      </c>
      <c r="Q234" s="8">
        <v>1.7788236818438</v>
      </c>
      <c r="R234" s="8">
        <v>2.11519518612593</v>
      </c>
      <c r="S234" s="8">
        <v>1.72926096559479</v>
      </c>
      <c r="T234" s="8">
        <v>1.44227747504849</v>
      </c>
      <c r="U234" s="3"/>
      <c r="V234" s="3"/>
      <c r="W234" s="3"/>
      <c r="X234" s="3"/>
      <c r="Y234" s="3"/>
      <c r="Z234" s="3"/>
      <c r="AA234" s="3"/>
    </row>
    <row x14ac:dyDescent="0.25" r="235" customHeight="1" ht="18.75">
      <c r="A235" s="7">
        <v>233</v>
      </c>
      <c r="B235" s="8">
        <v>7.259375</v>
      </c>
      <c r="C235" s="8">
        <v>10.7033333333333</v>
      </c>
      <c r="D235" s="8">
        <v>9.12619047619047</v>
      </c>
      <c r="E235" s="8">
        <v>6.058</v>
      </c>
      <c r="F235" s="8">
        <v>9.77083333333333</v>
      </c>
      <c r="G235" s="3"/>
      <c r="H235" s="7">
        <v>233</v>
      </c>
      <c r="I235" s="8">
        <v>2.784375</v>
      </c>
      <c r="J235" s="8">
        <v>3.98333333333333</v>
      </c>
      <c r="K235" s="8">
        <v>0.795238095238095</v>
      </c>
      <c r="L235" s="8">
        <v>1.26</v>
      </c>
      <c r="M235" s="8">
        <v>2.36666666666666</v>
      </c>
      <c r="N235" s="3"/>
      <c r="O235" s="7">
        <v>233</v>
      </c>
      <c r="P235" s="8">
        <v>1.73266053025451</v>
      </c>
      <c r="Q235" s="8">
        <v>1.78791987035222</v>
      </c>
      <c r="R235" s="8">
        <v>2.3019869482037</v>
      </c>
      <c r="S235" s="8">
        <v>1.58922724062089</v>
      </c>
      <c r="T235" s="8">
        <v>1.70464821639982</v>
      </c>
      <c r="U235" s="3"/>
      <c r="V235" s="3"/>
      <c r="W235" s="3"/>
      <c r="X235" s="3"/>
      <c r="Y235" s="3"/>
      <c r="Z235" s="3"/>
      <c r="AA235" s="3"/>
    </row>
    <row x14ac:dyDescent="0.25" r="236" customHeight="1" ht="18.75">
      <c r="A236" s="7">
        <v>234</v>
      </c>
      <c r="B236" s="8">
        <v>7.50625</v>
      </c>
      <c r="C236" s="8">
        <v>10.8266666666666</v>
      </c>
      <c r="D236" s="8">
        <v>8.41190476190476</v>
      </c>
      <c r="E236" s="8">
        <v>5.97999999999999</v>
      </c>
      <c r="F236" s="8">
        <v>9.52083333333333</v>
      </c>
      <c r="G236" s="3"/>
      <c r="H236" s="7">
        <v>234</v>
      </c>
      <c r="I236" s="8">
        <v>3.628125</v>
      </c>
      <c r="J236" s="8">
        <v>3.93</v>
      </c>
      <c r="K236" s="8">
        <v>1.44761904761904</v>
      </c>
      <c r="L236" s="8">
        <v>2.06666666666666</v>
      </c>
      <c r="M236" s="8">
        <v>4.46666666666666</v>
      </c>
      <c r="N236" s="3"/>
      <c r="O236" s="7">
        <v>234</v>
      </c>
      <c r="P236" s="8">
        <v>1.77395225465123</v>
      </c>
      <c r="Q236" s="8">
        <v>1.88841099430123</v>
      </c>
      <c r="R236" s="8">
        <v>2.11341734646861</v>
      </c>
      <c r="S236" s="8">
        <v>1.60492535540317</v>
      </c>
      <c r="T236" s="8">
        <v>1.67628318233043</v>
      </c>
      <c r="U236" s="3"/>
      <c r="V236" s="3"/>
      <c r="W236" s="3"/>
      <c r="X236" s="3"/>
      <c r="Y236" s="3"/>
      <c r="Z236" s="3"/>
      <c r="AA236" s="3"/>
    </row>
    <row x14ac:dyDescent="0.25" r="237" customHeight="1" ht="18.75">
      <c r="A237" s="7">
        <v>235</v>
      </c>
      <c r="B237" s="8">
        <v>7.63636363636363</v>
      </c>
      <c r="C237" s="8">
        <v>11.0766666666666</v>
      </c>
      <c r="D237" s="8">
        <v>8.39047619047619</v>
      </c>
      <c r="E237" s="8">
        <v>6.444</v>
      </c>
      <c r="F237" s="8">
        <v>9.57916666666666</v>
      </c>
      <c r="G237" s="3"/>
      <c r="H237" s="7">
        <v>235</v>
      </c>
      <c r="I237" s="8">
        <v>2.07878787878787</v>
      </c>
      <c r="J237" s="8">
        <v>3.45</v>
      </c>
      <c r="K237" s="8">
        <v>2.56666666666666</v>
      </c>
      <c r="L237" s="8">
        <v>1.28</v>
      </c>
      <c r="M237" s="8">
        <v>1.48333333333333</v>
      </c>
      <c r="N237" s="3"/>
      <c r="O237" s="7">
        <v>235</v>
      </c>
      <c r="P237" s="8">
        <v>1.86008748499811</v>
      </c>
      <c r="Q237" s="8">
        <v>2.20927169374758</v>
      </c>
      <c r="R237" s="8">
        <v>2.14466626973543</v>
      </c>
      <c r="S237" s="8">
        <v>1.75494179115818</v>
      </c>
      <c r="T237" s="8">
        <v>1.44273965203753</v>
      </c>
      <c r="U237" s="3"/>
      <c r="V237" s="3"/>
      <c r="W237" s="3"/>
      <c r="X237" s="3"/>
      <c r="Y237" s="3"/>
      <c r="Z237" s="3"/>
      <c r="AA237" s="3"/>
    </row>
    <row x14ac:dyDescent="0.25" r="238" customHeight="1" ht="18.75">
      <c r="A238" s="7">
        <v>236</v>
      </c>
      <c r="B238" s="8">
        <v>8.10454545454545</v>
      </c>
      <c r="C238" s="8">
        <v>11.0883333333333</v>
      </c>
      <c r="D238" s="8">
        <v>9.28333333333333</v>
      </c>
      <c r="E238" s="8">
        <v>6.822</v>
      </c>
      <c r="F238" s="8">
        <v>9.8875</v>
      </c>
      <c r="G238" s="3"/>
      <c r="H238" s="7">
        <v>236</v>
      </c>
      <c r="I238" s="8">
        <v>0.324242424242424</v>
      </c>
      <c r="J238" s="8">
        <v>3.23666666666666</v>
      </c>
      <c r="K238" s="8">
        <v>1.16190476190476</v>
      </c>
      <c r="L238" s="8">
        <v>2.03333333333333</v>
      </c>
      <c r="M238" s="8">
        <v>0.566666666666666</v>
      </c>
      <c r="N238" s="3"/>
      <c r="O238" s="7">
        <v>236</v>
      </c>
      <c r="P238" s="8">
        <v>1.90963302429233</v>
      </c>
      <c r="Q238" s="8">
        <v>1.96600733595306</v>
      </c>
      <c r="R238" s="8">
        <v>2.2125723940533</v>
      </c>
      <c r="S238" s="8">
        <v>1.81493772743609</v>
      </c>
      <c r="T238" s="8">
        <v>1.73867351846125</v>
      </c>
      <c r="U238" s="3"/>
      <c r="V238" s="3"/>
      <c r="W238" s="3"/>
      <c r="X238" s="3"/>
      <c r="Y238" s="3"/>
      <c r="Z238" s="3"/>
      <c r="AA238" s="3"/>
    </row>
    <row x14ac:dyDescent="0.25" r="239" customHeight="1" ht="18.75">
      <c r="A239" s="7">
        <v>237</v>
      </c>
      <c r="B239" s="8">
        <v>8.29545454545454</v>
      </c>
      <c r="C239" s="8">
        <v>11.2833333333333</v>
      </c>
      <c r="D239" s="8">
        <v>9.48095238095238</v>
      </c>
      <c r="E239" s="8">
        <v>7.242</v>
      </c>
      <c r="F239" s="8">
        <v>9.72083333333333</v>
      </c>
      <c r="G239" s="3"/>
      <c r="H239" s="7">
        <v>237</v>
      </c>
      <c r="I239" s="8">
        <v>1.34242424242424</v>
      </c>
      <c r="J239" s="8">
        <v>7.02666666666666</v>
      </c>
      <c r="K239" s="8">
        <v>1.01428571428571</v>
      </c>
      <c r="L239" s="8">
        <v>2.18666666666666</v>
      </c>
      <c r="M239" s="8">
        <v>2.46666666666666</v>
      </c>
      <c r="N239" s="3"/>
      <c r="O239" s="7">
        <v>237</v>
      </c>
      <c r="P239" s="8">
        <v>1.93972441828212</v>
      </c>
      <c r="Q239" s="8">
        <v>1.72961358813406</v>
      </c>
      <c r="R239" s="8">
        <v>2.35619469175883</v>
      </c>
      <c r="S239" s="8">
        <v>1.93934665056422</v>
      </c>
      <c r="T239" s="8">
        <v>1.45538034550647</v>
      </c>
      <c r="U239" s="3"/>
      <c r="V239" s="3"/>
      <c r="W239" s="3"/>
      <c r="X239" s="3"/>
      <c r="Y239" s="3"/>
      <c r="Z239" s="3"/>
      <c r="AA239" s="3"/>
    </row>
    <row x14ac:dyDescent="0.25" r="240" customHeight="1" ht="18.75">
      <c r="A240" s="7">
        <v>238</v>
      </c>
      <c r="B240" s="8">
        <v>8.23787878787878</v>
      </c>
      <c r="C240" s="8">
        <v>11.1383333333333</v>
      </c>
      <c r="D240" s="8">
        <v>9.46904761904762</v>
      </c>
      <c r="E240" s="8">
        <v>7.602</v>
      </c>
      <c r="F240" s="8">
        <v>10.7166666666666</v>
      </c>
      <c r="G240" s="3"/>
      <c r="H240" s="7">
        <v>238</v>
      </c>
      <c r="I240" s="8">
        <v>2.47272727272727</v>
      </c>
      <c r="J240" s="8">
        <v>4.56666666666666</v>
      </c>
      <c r="K240" s="8">
        <v>0.538095238095238</v>
      </c>
      <c r="L240" s="8">
        <v>1.31333333333333</v>
      </c>
      <c r="M240" s="8">
        <v>3.06666666666666</v>
      </c>
      <c r="N240" s="3"/>
      <c r="O240" s="7">
        <v>238</v>
      </c>
      <c r="P240" s="8">
        <v>1.70626595479717</v>
      </c>
      <c r="Q240" s="8">
        <v>2.03119842491462</v>
      </c>
      <c r="R240" s="8">
        <v>2.41914161827103</v>
      </c>
      <c r="S240" s="8">
        <v>1.97913508026306</v>
      </c>
      <c r="T240" s="8">
        <v>1.48996122386423</v>
      </c>
      <c r="U240" s="3"/>
      <c r="V240" s="3"/>
      <c r="W240" s="3"/>
      <c r="X240" s="3"/>
      <c r="Y240" s="3"/>
      <c r="Z240" s="3"/>
      <c r="AA240" s="3"/>
    </row>
    <row x14ac:dyDescent="0.25" r="241" customHeight="1" ht="18.75">
      <c r="A241" s="7">
        <v>239</v>
      </c>
      <c r="B241" s="8">
        <v>8.24848484848484</v>
      </c>
      <c r="C241" s="8">
        <v>11.1133333333333</v>
      </c>
      <c r="D241" s="8">
        <v>9.48333333333333</v>
      </c>
      <c r="E241" s="7">
        <v>7</v>
      </c>
      <c r="F241" s="8">
        <v>10.7541666666666</v>
      </c>
      <c r="G241" s="3"/>
      <c r="H241" s="7">
        <v>239</v>
      </c>
      <c r="I241" s="8">
        <v>2.91515151515151</v>
      </c>
      <c r="J241" s="8">
        <v>2.88666666666666</v>
      </c>
      <c r="K241" s="8">
        <v>1.76190476190476</v>
      </c>
      <c r="L241" s="8">
        <v>1.40666666666666</v>
      </c>
      <c r="M241" s="8">
        <v>1.03333333333333</v>
      </c>
      <c r="N241" s="3"/>
      <c r="O241" s="7">
        <v>239</v>
      </c>
      <c r="P241" s="8">
        <v>1.92971755840593</v>
      </c>
      <c r="Q241" s="8">
        <v>2.00052172140488</v>
      </c>
      <c r="R241" s="8">
        <v>2.19008622131592</v>
      </c>
      <c r="S241" s="8">
        <v>1.72041609346219</v>
      </c>
      <c r="T241" s="8">
        <v>1.6543487023337</v>
      </c>
      <c r="U241" s="3"/>
      <c r="V241" s="3"/>
      <c r="W241" s="3"/>
      <c r="X241" s="3"/>
      <c r="Y241" s="3"/>
      <c r="Z241" s="3"/>
      <c r="AA241" s="3"/>
    </row>
    <row x14ac:dyDescent="0.25" r="242" customHeight="1" ht="18.75">
      <c r="A242" s="7">
        <v>240</v>
      </c>
      <c r="B242" s="8">
        <v>8.55939393939393</v>
      </c>
      <c r="C242" s="8">
        <v>10.7724137931034</v>
      </c>
      <c r="D242" s="8">
        <v>9.83809523809523</v>
      </c>
      <c r="E242" s="8">
        <v>7.474</v>
      </c>
      <c r="F242" s="8">
        <v>11.0833333333333</v>
      </c>
      <c r="G242" s="3"/>
      <c r="H242" s="7">
        <v>240</v>
      </c>
      <c r="I242" s="8">
        <v>1.86969696969696</v>
      </c>
      <c r="J242" s="8">
        <v>2.48620689655172</v>
      </c>
      <c r="K242" s="8">
        <v>1.03809523809523</v>
      </c>
      <c r="L242" s="8">
        <v>1.32666666666666</v>
      </c>
      <c r="M242" s="8">
        <v>1.9</v>
      </c>
      <c r="N242" s="3"/>
      <c r="O242" s="7">
        <v>240</v>
      </c>
      <c r="P242" s="8">
        <v>2.01090481928844</v>
      </c>
      <c r="Q242" s="8">
        <v>2.19808146037672</v>
      </c>
      <c r="R242" s="8">
        <v>2.33834585749595</v>
      </c>
      <c r="S242" s="8">
        <v>1.96492777388868</v>
      </c>
      <c r="T242" s="8">
        <v>1.64251806398225</v>
      </c>
      <c r="U242" s="3"/>
      <c r="V242" s="3"/>
      <c r="W242" s="3"/>
      <c r="X242" s="3"/>
      <c r="Y242" s="3"/>
      <c r="Z242" s="3"/>
      <c r="AA242" s="3"/>
    </row>
    <row x14ac:dyDescent="0.25" r="243" customHeight="1" ht="18.75">
      <c r="A243" s="7">
        <v>241</v>
      </c>
      <c r="B243" s="8">
        <v>8.21212121212121</v>
      </c>
      <c r="C243" s="8">
        <v>10.753448275862</v>
      </c>
      <c r="D243" s="8">
        <v>9.77142857142857</v>
      </c>
      <c r="E243" s="8">
        <v>7.538</v>
      </c>
      <c r="F243" s="8">
        <v>10.5791666666666</v>
      </c>
      <c r="G243" s="3"/>
      <c r="H243" s="7">
        <v>241</v>
      </c>
      <c r="I243" s="8">
        <v>2.13333333333333</v>
      </c>
      <c r="J243" s="8">
        <v>2.40689655172413</v>
      </c>
      <c r="K243" s="8">
        <v>0.823809523809523</v>
      </c>
      <c r="L243" s="8">
        <v>1.98666666666666</v>
      </c>
      <c r="M243" s="8">
        <v>3.01666666666666</v>
      </c>
      <c r="N243" s="3"/>
      <c r="O243" s="7">
        <v>241</v>
      </c>
      <c r="P243" s="8">
        <v>1.9004966666128</v>
      </c>
      <c r="Q243" s="8">
        <v>2.18232685588625</v>
      </c>
      <c r="R243" s="8">
        <v>2.43215432769156</v>
      </c>
      <c r="S243" s="8">
        <v>1.80276562133662</v>
      </c>
      <c r="T243" s="8">
        <v>1.50650407232851</v>
      </c>
      <c r="U243" s="3"/>
      <c r="V243" s="3"/>
      <c r="W243" s="3"/>
      <c r="X243" s="3"/>
      <c r="Y243" s="3"/>
      <c r="Z243" s="3"/>
      <c r="AA243" s="3"/>
    </row>
    <row x14ac:dyDescent="0.25" r="244" customHeight="1" ht="18.75">
      <c r="A244" s="7">
        <v>242</v>
      </c>
      <c r="B244" s="8">
        <v>8.80151515151515</v>
      </c>
      <c r="C244" s="8">
        <v>10.8913793103448</v>
      </c>
      <c r="D244" s="8">
        <v>9.67380952380952</v>
      </c>
      <c r="E244" s="8">
        <v>7.79</v>
      </c>
      <c r="F244" s="8">
        <v>11.1208333333333</v>
      </c>
      <c r="G244" s="3"/>
      <c r="H244" s="7">
        <v>242</v>
      </c>
      <c r="I244" s="8">
        <v>1.3060606060606</v>
      </c>
      <c r="J244" s="8">
        <v>2.99310344827586</v>
      </c>
      <c r="K244" s="8">
        <v>1.58095238095238</v>
      </c>
      <c r="L244" s="8">
        <v>1.34666666666666</v>
      </c>
      <c r="M244" s="8">
        <v>1.56666666666666</v>
      </c>
      <c r="N244" s="3"/>
      <c r="O244" s="7">
        <v>242</v>
      </c>
      <c r="P244" s="8">
        <v>2.02030528314256</v>
      </c>
      <c r="Q244" s="8">
        <v>1.83078718644412</v>
      </c>
      <c r="R244" s="8">
        <v>2.18680779250672</v>
      </c>
      <c r="S244" s="8">
        <v>1.92594524401446</v>
      </c>
      <c r="T244" s="8">
        <v>1.77824223706365</v>
      </c>
      <c r="U244" s="3"/>
      <c r="V244" s="3"/>
      <c r="W244" s="3"/>
      <c r="X244" s="3"/>
      <c r="Y244" s="3"/>
      <c r="Z244" s="3"/>
      <c r="AA244" s="3"/>
    </row>
    <row x14ac:dyDescent="0.25" r="245" customHeight="1" ht="18.75">
      <c r="A245" s="7">
        <v>243</v>
      </c>
      <c r="B245" s="8">
        <v>7.89681818181818</v>
      </c>
      <c r="C245" s="8">
        <v>10.953448275862</v>
      </c>
      <c r="D245" s="8">
        <v>10.1238095238095</v>
      </c>
      <c r="E245" s="8">
        <v>6.914</v>
      </c>
      <c r="F245" s="8">
        <v>10.6666666666666</v>
      </c>
      <c r="G245" s="3"/>
      <c r="H245" s="7">
        <v>243</v>
      </c>
      <c r="I245" s="8">
        <v>0.73030303030303</v>
      </c>
      <c r="J245" s="8">
        <v>4.88620689655172</v>
      </c>
      <c r="K245" s="8">
        <v>2.13333333333333</v>
      </c>
      <c r="L245" s="8">
        <v>0.786666666666666</v>
      </c>
      <c r="M245" s="8">
        <v>1.73333333333333</v>
      </c>
      <c r="N245" s="3"/>
      <c r="O245" s="7">
        <v>243</v>
      </c>
      <c r="P245" s="8">
        <v>2.13768236411026</v>
      </c>
      <c r="Q245" s="8">
        <v>2.14981093062257</v>
      </c>
      <c r="R245" s="8">
        <v>2.2509303121036</v>
      </c>
      <c r="S245" s="8">
        <v>1.92728847983214</v>
      </c>
      <c r="T245" s="8">
        <v>1.80751270391946</v>
      </c>
      <c r="U245" s="3"/>
      <c r="V245" s="3"/>
      <c r="W245" s="3"/>
      <c r="X245" s="3"/>
      <c r="Y245" s="3"/>
      <c r="Z245" s="3"/>
      <c r="AA245" s="3"/>
    </row>
    <row x14ac:dyDescent="0.25" r="246" customHeight="1" ht="18.75">
      <c r="A246" s="7">
        <v>244</v>
      </c>
      <c r="B246" s="8">
        <v>8.58484848484848</v>
      </c>
      <c r="C246" s="8">
        <v>10.8033333333333</v>
      </c>
      <c r="D246" s="8">
        <v>9.16428571428571</v>
      </c>
      <c r="E246" s="8">
        <v>6.752</v>
      </c>
      <c r="F246" s="8">
        <v>10.1208333333333</v>
      </c>
      <c r="G246" s="3"/>
      <c r="H246" s="7">
        <v>244</v>
      </c>
      <c r="I246" s="8">
        <v>1.66363636363636</v>
      </c>
      <c r="J246" s="8">
        <v>3.05</v>
      </c>
      <c r="K246" s="8">
        <v>1.275</v>
      </c>
      <c r="L246" s="8">
        <v>2.13333333333333</v>
      </c>
      <c r="M246" s="8">
        <v>0.8</v>
      </c>
      <c r="N246" s="3"/>
      <c r="O246" s="7">
        <v>244</v>
      </c>
      <c r="P246" s="8">
        <v>2.43068486329873</v>
      </c>
      <c r="Q246" s="8">
        <v>2.11470263961358</v>
      </c>
      <c r="R246" s="8">
        <v>2.17706749541274</v>
      </c>
      <c r="S246" s="8">
        <v>1.78083884928638</v>
      </c>
      <c r="T246" s="8">
        <v>1.80445161149383</v>
      </c>
      <c r="U246" s="3"/>
      <c r="V246" s="3"/>
      <c r="W246" s="3"/>
      <c r="X246" s="3"/>
      <c r="Y246" s="3"/>
      <c r="Z246" s="3"/>
      <c r="AA246" s="3"/>
    </row>
    <row x14ac:dyDescent="0.25" r="247" customHeight="1" ht="18.75">
      <c r="A247" s="7">
        <v>245</v>
      </c>
      <c r="B247" s="8">
        <v>9.03333333333333</v>
      </c>
      <c r="C247" s="8">
        <v>10.8620689655172</v>
      </c>
      <c r="D247" s="8">
        <v>9.46904761904761</v>
      </c>
      <c r="E247" s="8">
        <v>7.57499999999999</v>
      </c>
      <c r="F247" s="8">
        <v>9.6625</v>
      </c>
      <c r="G247" s="3"/>
      <c r="H247" s="7">
        <v>245</v>
      </c>
      <c r="I247" s="8">
        <v>1.23939393939393</v>
      </c>
      <c r="J247" s="8">
        <v>2.80357142857142</v>
      </c>
      <c r="K247" s="8">
        <v>1.14</v>
      </c>
      <c r="L247" s="8">
        <v>1.79310344827586</v>
      </c>
      <c r="M247" s="8">
        <v>3.08333333333333</v>
      </c>
      <c r="N247" s="3"/>
      <c r="O247" s="7">
        <v>245</v>
      </c>
      <c r="P247" s="8">
        <v>2.28388575530466</v>
      </c>
      <c r="Q247" s="8">
        <v>2.04836351360946</v>
      </c>
      <c r="R247" s="8">
        <v>2.36361606223978</v>
      </c>
      <c r="S247" s="8">
        <v>1.94391992081921</v>
      </c>
      <c r="T247" s="8">
        <v>1.45174826233711</v>
      </c>
      <c r="U247" s="3"/>
      <c r="V247" s="3"/>
      <c r="W247" s="3"/>
      <c r="X247" s="3"/>
      <c r="Y247" s="3"/>
      <c r="Z247" s="3"/>
      <c r="AA247" s="3"/>
    </row>
    <row x14ac:dyDescent="0.25" r="248" customHeight="1" ht="18.75">
      <c r="A248" s="7">
        <v>246</v>
      </c>
      <c r="B248" s="8">
        <v>8.74696969696969</v>
      </c>
      <c r="C248" s="8">
        <v>11.4379310344827</v>
      </c>
      <c r="D248" s="8">
        <v>10.2071428571428</v>
      </c>
      <c r="E248" s="8">
        <v>7.60208333333333</v>
      </c>
      <c r="F248" s="8">
        <v>9.75416666666666</v>
      </c>
      <c r="G248" s="3"/>
      <c r="H248" s="7">
        <v>246</v>
      </c>
      <c r="I248" s="8">
        <v>1.06969696969696</v>
      </c>
      <c r="J248" s="8">
        <v>2.29642857142857</v>
      </c>
      <c r="K248" s="8">
        <v>0.33</v>
      </c>
      <c r="L248" s="8">
        <v>2.48965517241379</v>
      </c>
      <c r="M248" s="8">
        <v>1.08333333333333</v>
      </c>
      <c r="N248" s="3"/>
      <c r="O248" s="7">
        <v>246</v>
      </c>
      <c r="P248" s="8">
        <v>2.13744572746974</v>
      </c>
      <c r="Q248" s="8">
        <v>2.19339069405361</v>
      </c>
      <c r="R248" s="8">
        <v>2.66051421902844</v>
      </c>
      <c r="S248" s="8">
        <v>1.97341557241084</v>
      </c>
      <c r="T248" s="8">
        <v>1.75831978881469</v>
      </c>
      <c r="U248" s="3"/>
      <c r="V248" s="3"/>
      <c r="W248" s="3"/>
      <c r="X248" s="3"/>
      <c r="Y248" s="3"/>
      <c r="Z248" s="3"/>
      <c r="AA248" s="3"/>
    </row>
    <row x14ac:dyDescent="0.25" r="249" customHeight="1" ht="18.75">
      <c r="A249" s="7">
        <v>247</v>
      </c>
      <c r="B249" s="8">
        <v>8.72272727272727</v>
      </c>
      <c r="C249" s="8">
        <v>11.5448275862068</v>
      </c>
      <c r="D249" s="8">
        <v>10.3119047619047</v>
      </c>
      <c r="E249" s="8">
        <v>7.89583333333333</v>
      </c>
      <c r="F249" s="8">
        <v>10.0583333333333</v>
      </c>
      <c r="G249" s="3"/>
      <c r="H249" s="7">
        <v>247</v>
      </c>
      <c r="I249" s="8">
        <v>1.08787878787878</v>
      </c>
      <c r="J249" s="8">
        <v>3.68928571428571</v>
      </c>
      <c r="K249" s="8">
        <v>1.315</v>
      </c>
      <c r="L249" s="8">
        <v>1.24137931034482</v>
      </c>
      <c r="M249" s="8">
        <v>2.44999999999999</v>
      </c>
      <c r="N249" s="3"/>
      <c r="O249" s="7">
        <v>247</v>
      </c>
      <c r="P249" s="8">
        <v>2.20158976988608</v>
      </c>
      <c r="Q249" s="8">
        <v>2.00255412743374</v>
      </c>
      <c r="R249" s="8">
        <v>2.36794661702474</v>
      </c>
      <c r="S249" s="8">
        <v>2.20150577221229</v>
      </c>
      <c r="T249" s="8">
        <v>1.8005069619965</v>
      </c>
      <c r="U249" s="3"/>
      <c r="V249" s="3"/>
      <c r="W249" s="3"/>
      <c r="X249" s="3"/>
      <c r="Y249" s="3"/>
      <c r="Z249" s="3"/>
      <c r="AA249" s="3"/>
    </row>
    <row x14ac:dyDescent="0.25" r="250" customHeight="1" ht="18.75">
      <c r="A250" s="7">
        <v>248</v>
      </c>
      <c r="B250" s="8">
        <v>8.48030303030303</v>
      </c>
      <c r="C250" s="8">
        <v>11.7344827586206</v>
      </c>
      <c r="D250" s="8">
        <v>9.74761904761904</v>
      </c>
      <c r="E250" s="8">
        <v>8.34791666666666</v>
      </c>
      <c r="F250" s="8">
        <v>9.775</v>
      </c>
      <c r="G250" s="3"/>
      <c r="H250" s="7">
        <v>248</v>
      </c>
      <c r="I250" s="8">
        <v>0.951515151515151</v>
      </c>
      <c r="J250" s="8">
        <v>5.68928571428571</v>
      </c>
      <c r="K250" s="8">
        <v>2.86999999999999</v>
      </c>
      <c r="L250" s="8">
        <v>1.33793103448275</v>
      </c>
      <c r="M250" s="8">
        <v>3.2</v>
      </c>
      <c r="N250" s="3"/>
      <c r="O250" s="7">
        <v>248</v>
      </c>
      <c r="P250" s="8">
        <v>2.01184168896795</v>
      </c>
      <c r="Q250" s="8">
        <v>2.0261980789566</v>
      </c>
      <c r="R250" s="8">
        <v>2.35894639896396</v>
      </c>
      <c r="S250" s="8">
        <v>2.26382636638369</v>
      </c>
      <c r="T250" s="8">
        <v>1.49919962363172</v>
      </c>
      <c r="U250" s="3"/>
      <c r="V250" s="3"/>
      <c r="W250" s="3"/>
      <c r="X250" s="3"/>
      <c r="Y250" s="3"/>
      <c r="Z250" s="3"/>
      <c r="AA250" s="3"/>
    </row>
    <row x14ac:dyDescent="0.25" r="251" customHeight="1" ht="18.75">
      <c r="A251" s="7">
        <v>249</v>
      </c>
      <c r="B251" s="8">
        <v>8.9078125</v>
      </c>
      <c r="C251" s="8">
        <v>11.6827586206896</v>
      </c>
      <c r="D251" s="8">
        <v>11.2880952380952</v>
      </c>
      <c r="E251" s="8">
        <v>8.09791666666666</v>
      </c>
      <c r="F251" s="8">
        <v>10.3333333333333</v>
      </c>
      <c r="G251" s="3"/>
      <c r="H251" s="7">
        <v>249</v>
      </c>
      <c r="I251" s="8">
        <v>1.41515151515151</v>
      </c>
      <c r="J251" s="8">
        <v>3.97586206896551</v>
      </c>
      <c r="K251" s="8">
        <v>0.99</v>
      </c>
      <c r="L251" s="8">
        <v>2.86896551724137</v>
      </c>
      <c r="M251" s="8">
        <v>5.93333333333333</v>
      </c>
      <c r="N251" s="3"/>
      <c r="O251" s="7">
        <v>249</v>
      </c>
      <c r="P251" s="8">
        <v>2.43907717587116</v>
      </c>
      <c r="Q251" s="8">
        <v>2.26836536246158</v>
      </c>
      <c r="R251" s="8">
        <v>2.70684413214534</v>
      </c>
      <c r="S251" s="8">
        <v>2.17413031154668</v>
      </c>
      <c r="T251" s="8">
        <v>1.47356641578196</v>
      </c>
      <c r="U251" s="3"/>
      <c r="V251" s="3"/>
      <c r="W251" s="3"/>
      <c r="X251" s="3"/>
      <c r="Y251" s="3"/>
      <c r="Z251" s="3"/>
      <c r="AA251" s="3"/>
    </row>
    <row x14ac:dyDescent="0.25" r="252" customHeight="1" ht="18.75">
      <c r="A252" s="7">
        <v>250</v>
      </c>
      <c r="B252" s="8">
        <v>8.965625</v>
      </c>
      <c r="C252" s="8">
        <v>11.3896551724137</v>
      </c>
      <c r="D252" s="8">
        <v>10.1595238095238</v>
      </c>
      <c r="E252" s="8">
        <v>8.10833333333333</v>
      </c>
      <c r="F252" s="8">
        <v>10.7708333333333</v>
      </c>
      <c r="G252" s="3"/>
      <c r="H252" s="7">
        <v>250</v>
      </c>
      <c r="I252" s="8">
        <v>0.518181818181818</v>
      </c>
      <c r="J252" s="8">
        <v>2.67931034482758</v>
      </c>
      <c r="K252" s="8">
        <v>1.525</v>
      </c>
      <c r="L252" s="8">
        <v>2.75172413793103</v>
      </c>
      <c r="M252" s="8">
        <v>1.2</v>
      </c>
      <c r="N252" s="3"/>
      <c r="O252" s="7">
        <v>250</v>
      </c>
      <c r="P252" s="8">
        <v>2.46314469148925</v>
      </c>
      <c r="Q252" s="8">
        <v>2.1403968231495</v>
      </c>
      <c r="R252" s="8">
        <v>2.34518690840186</v>
      </c>
      <c r="S252" s="8">
        <v>2.63729995721816</v>
      </c>
      <c r="T252" s="8">
        <v>1.81702028327951</v>
      </c>
      <c r="U252" s="3"/>
      <c r="V252" s="3"/>
      <c r="W252" s="3"/>
      <c r="X252" s="3"/>
      <c r="Y252" s="3"/>
      <c r="Z252" s="3"/>
      <c r="AA252" s="3"/>
    </row>
    <row x14ac:dyDescent="0.25" r="253" customHeight="1" ht="18.75">
      <c r="A253" s="7">
        <v>251</v>
      </c>
      <c r="B253" s="8">
        <v>8.6015625</v>
      </c>
      <c r="C253" s="8">
        <v>11.8344827586206</v>
      </c>
      <c r="D253" s="8">
        <v>10.3904761904761</v>
      </c>
      <c r="E253" s="8">
        <v>7.10208333333333</v>
      </c>
      <c r="F253" s="8">
        <v>10.5791666666666</v>
      </c>
      <c r="G253" s="3"/>
      <c r="H253" s="7">
        <v>251</v>
      </c>
      <c r="I253" s="8">
        <v>1.07575757575757</v>
      </c>
      <c r="J253" s="8">
        <v>4.43103448275862</v>
      </c>
      <c r="K253" s="8">
        <v>0.36</v>
      </c>
      <c r="L253" s="8">
        <v>3.51428571428571</v>
      </c>
      <c r="M253" s="8">
        <v>0.883333333333333</v>
      </c>
      <c r="N253" s="3"/>
      <c r="O253" s="7">
        <v>251</v>
      </c>
      <c r="P253" s="8">
        <v>2.51324821694257</v>
      </c>
      <c r="Q253" s="8">
        <v>2.41793140957267</v>
      </c>
      <c r="R253" s="8">
        <v>2.80178837773664</v>
      </c>
      <c r="S253" s="8">
        <v>2.25909689558066</v>
      </c>
      <c r="T253" s="8">
        <v>1.87735106936258</v>
      </c>
      <c r="U253" s="3"/>
      <c r="V253" s="3"/>
      <c r="W253" s="3"/>
      <c r="X253" s="3"/>
      <c r="Y253" s="3"/>
      <c r="Z253" s="3"/>
      <c r="AA253" s="3"/>
    </row>
    <row x14ac:dyDescent="0.25" r="254" customHeight="1" ht="18.75">
      <c r="A254" s="7">
        <v>252</v>
      </c>
      <c r="B254" s="8">
        <v>8.02272727272727</v>
      </c>
      <c r="C254" s="8">
        <v>11.465</v>
      </c>
      <c r="D254" s="8">
        <v>10.2690476190476</v>
      </c>
      <c r="E254" s="8">
        <v>7.26458333333333</v>
      </c>
      <c r="F254" s="8">
        <v>9.6125</v>
      </c>
      <c r="G254" s="3"/>
      <c r="H254" s="7">
        <v>252</v>
      </c>
      <c r="I254" s="8">
        <v>1.08787878787878</v>
      </c>
      <c r="J254" s="8">
        <v>3.68275862068965</v>
      </c>
      <c r="K254" s="8">
        <v>2.535</v>
      </c>
      <c r="L254" s="8">
        <v>0.928571428571428</v>
      </c>
      <c r="M254" s="8">
        <v>4.36666666666666</v>
      </c>
      <c r="N254" s="3"/>
      <c r="O254" s="7">
        <v>252</v>
      </c>
      <c r="P254" s="8">
        <v>2.29412025472959</v>
      </c>
      <c r="Q254" s="8">
        <v>2.23629092214305</v>
      </c>
      <c r="R254" s="8">
        <v>2.71603336702912</v>
      </c>
      <c r="S254" s="8">
        <v>2.39056288462767</v>
      </c>
      <c r="T254" s="8">
        <v>1.85251606665899</v>
      </c>
      <c r="U254" s="3"/>
      <c r="V254" s="3"/>
      <c r="W254" s="3"/>
      <c r="X254" s="3"/>
      <c r="Y254" s="3"/>
      <c r="Z254" s="3"/>
      <c r="AA254" s="3"/>
    </row>
    <row x14ac:dyDescent="0.25" r="255" customHeight="1" ht="18.75">
      <c r="A255" s="7">
        <v>253</v>
      </c>
      <c r="B255" s="8">
        <v>9.0060606060606</v>
      </c>
      <c r="C255" s="8">
        <v>11.62</v>
      </c>
      <c r="D255" s="8">
        <v>9.85714285714285</v>
      </c>
      <c r="E255" s="8">
        <v>8.35208333333333</v>
      </c>
      <c r="F255" s="8">
        <v>10.0875</v>
      </c>
      <c r="G255" s="3"/>
      <c r="H255" s="7">
        <v>253</v>
      </c>
      <c r="I255" s="8">
        <v>1.08181818181818</v>
      </c>
      <c r="J255" s="8">
        <v>1.66333333333333</v>
      </c>
      <c r="K255" s="8">
        <v>4.325</v>
      </c>
      <c r="L255" s="8">
        <v>2.28275862068965</v>
      </c>
      <c r="M255" s="8">
        <v>3.44999999999999</v>
      </c>
      <c r="N255" s="3"/>
      <c r="O255" s="7">
        <v>253</v>
      </c>
      <c r="P255" s="8">
        <v>2.62510151319542</v>
      </c>
      <c r="Q255" s="8">
        <v>2.51201363283467</v>
      </c>
      <c r="R255" s="8">
        <v>2.40359264277707</v>
      </c>
      <c r="S255" s="8">
        <v>2.34023071382213</v>
      </c>
      <c r="T255" s="8">
        <v>1.67590206119575</v>
      </c>
      <c r="U255" s="3"/>
      <c r="V255" s="3"/>
      <c r="W255" s="3"/>
      <c r="X255" s="3"/>
      <c r="Y255" s="3"/>
      <c r="Z255" s="3"/>
      <c r="AA255" s="3"/>
    </row>
    <row x14ac:dyDescent="0.25" r="256" customHeight="1" ht="18.75">
      <c r="A256" s="7">
        <v>254</v>
      </c>
      <c r="B256" s="8">
        <v>9.7090909090909</v>
      </c>
      <c r="C256" s="8">
        <v>11.7633333333333</v>
      </c>
      <c r="D256" s="8">
        <v>10.3833333333333</v>
      </c>
      <c r="E256" s="8">
        <v>8.66458333333333</v>
      </c>
      <c r="F256" s="8">
        <v>10.6416666666666</v>
      </c>
      <c r="G256" s="3"/>
      <c r="H256" s="7">
        <v>254</v>
      </c>
      <c r="I256" s="8">
        <v>2.03939393939393</v>
      </c>
      <c r="J256" s="8">
        <v>3.28333333333333</v>
      </c>
      <c r="K256" s="8">
        <v>0.76</v>
      </c>
      <c r="L256" s="8">
        <v>1.75862068965517</v>
      </c>
      <c r="M256" s="8">
        <v>6.46666666666666</v>
      </c>
      <c r="N256" s="3"/>
      <c r="O256" s="7">
        <v>254</v>
      </c>
      <c r="P256" s="8">
        <v>2.79868096676169</v>
      </c>
      <c r="Q256" s="8">
        <v>2.31510450800861</v>
      </c>
      <c r="R256" s="8">
        <v>2.76318273629865</v>
      </c>
      <c r="S256" s="8">
        <v>2.46584564384247</v>
      </c>
      <c r="T256" s="8">
        <v>1.70703705542046</v>
      </c>
      <c r="U256" s="3"/>
      <c r="V256" s="3"/>
      <c r="W256" s="3"/>
      <c r="X256" s="3"/>
      <c r="Y256" s="3"/>
      <c r="Z256" s="3"/>
      <c r="AA256" s="3"/>
    </row>
    <row x14ac:dyDescent="0.25" r="257" customHeight="1" ht="18.75">
      <c r="A257" s="7">
        <v>255</v>
      </c>
      <c r="B257" s="8">
        <v>9.62121212121212</v>
      </c>
      <c r="C257" s="8">
        <v>12.1583333333333</v>
      </c>
      <c r="D257" s="8">
        <v>10.8886363636363</v>
      </c>
      <c r="E257" s="8">
        <v>8.22291666666666</v>
      </c>
      <c r="F257" s="8">
        <v>10.4541666666666</v>
      </c>
      <c r="G257" s="3"/>
      <c r="H257" s="7">
        <v>255</v>
      </c>
      <c r="I257" s="8">
        <v>1.44242424242424</v>
      </c>
      <c r="J257" s="8">
        <v>3.88333333333333</v>
      </c>
      <c r="K257" s="8">
        <v>1.27142857142857</v>
      </c>
      <c r="L257" s="8">
        <v>2.86206896551724</v>
      </c>
      <c r="M257" s="8">
        <v>2.01666666666666</v>
      </c>
      <c r="N257" s="3"/>
      <c r="O257" s="7">
        <v>255</v>
      </c>
      <c r="P257" s="8">
        <v>2.66107119990772</v>
      </c>
      <c r="Q257" s="8">
        <v>2.37277240622303</v>
      </c>
      <c r="R257" s="8">
        <v>2.77335168275543</v>
      </c>
      <c r="S257" s="8">
        <v>2.52037592745112</v>
      </c>
      <c r="T257" s="8">
        <v>1.9219866027073</v>
      </c>
      <c r="U257" s="3"/>
      <c r="V257" s="3"/>
      <c r="W257" s="3"/>
      <c r="X257" s="3"/>
      <c r="Y257" s="3"/>
      <c r="Z257" s="3"/>
      <c r="AA257" s="3"/>
    </row>
    <row x14ac:dyDescent="0.25" r="258" customHeight="1" ht="18.75">
      <c r="A258" s="7">
        <v>256</v>
      </c>
      <c r="B258" s="8">
        <v>9.38333333333333</v>
      </c>
      <c r="C258" s="8">
        <v>11.9083333333333</v>
      </c>
      <c r="D258" s="8">
        <v>10.6477272727272</v>
      </c>
      <c r="E258" s="8">
        <v>8.57083333333333</v>
      </c>
      <c r="F258" s="8">
        <v>11.2166666666666</v>
      </c>
      <c r="G258" s="3"/>
      <c r="H258" s="7">
        <v>256</v>
      </c>
      <c r="I258" s="8">
        <v>1.51818181818181</v>
      </c>
      <c r="J258" s="8">
        <v>5.26</v>
      </c>
      <c r="K258" s="8">
        <v>1.3095238095238</v>
      </c>
      <c r="L258" s="8">
        <v>1.66206896551724</v>
      </c>
      <c r="M258" s="8">
        <v>1.48333333333333</v>
      </c>
      <c r="N258" s="3"/>
      <c r="O258" s="7">
        <v>256</v>
      </c>
      <c r="P258" s="8">
        <v>2.30767913685678</v>
      </c>
      <c r="Q258" s="8">
        <v>2.40362483890247</v>
      </c>
      <c r="R258" s="8">
        <v>2.84996818611174</v>
      </c>
      <c r="S258" s="8">
        <v>2.45615514607208</v>
      </c>
      <c r="T258" s="8">
        <v>1.86072433418519</v>
      </c>
      <c r="U258" s="3"/>
      <c r="V258" s="3"/>
      <c r="W258" s="3"/>
      <c r="X258" s="3"/>
      <c r="Y258" s="3"/>
      <c r="Z258" s="3"/>
      <c r="AA258" s="3"/>
    </row>
    <row x14ac:dyDescent="0.25" r="259" customHeight="1" ht="18.75">
      <c r="A259" s="7">
        <v>257</v>
      </c>
      <c r="B259" s="8">
        <v>9.85909090909091</v>
      </c>
      <c r="C259" s="8">
        <v>12.075</v>
      </c>
      <c r="D259" s="8">
        <v>10.4023809523809</v>
      </c>
      <c r="E259" s="8">
        <v>8.56458333333333</v>
      </c>
      <c r="F259" s="8">
        <v>11.1</v>
      </c>
      <c r="G259" s="3"/>
      <c r="H259" s="7">
        <v>257</v>
      </c>
      <c r="I259" s="8">
        <v>1.0060606060606</v>
      </c>
      <c r="J259" s="8">
        <v>3.69333333333333</v>
      </c>
      <c r="K259" s="8">
        <v>1.57619047619047</v>
      </c>
      <c r="L259" s="8">
        <v>0.862068965517241</v>
      </c>
      <c r="M259" s="8">
        <v>2.41666666666666</v>
      </c>
      <c r="N259" s="3"/>
      <c r="O259" s="7">
        <v>257</v>
      </c>
      <c r="P259" s="8">
        <v>2.71666364213865</v>
      </c>
      <c r="Q259" s="8">
        <v>2.56639010677653</v>
      </c>
      <c r="R259" s="8">
        <v>2.82296217465361</v>
      </c>
      <c r="S259" s="8">
        <v>2.73216739976659</v>
      </c>
      <c r="T259" s="8">
        <v>1.65158925344079</v>
      </c>
      <c r="U259" s="3"/>
      <c r="V259" s="3"/>
      <c r="W259" s="3"/>
      <c r="X259" s="3"/>
      <c r="Y259" s="3"/>
      <c r="Z259" s="3"/>
      <c r="AA259" s="3"/>
    </row>
    <row x14ac:dyDescent="0.25" r="260" customHeight="1" ht="18.75">
      <c r="A260" s="7">
        <v>258</v>
      </c>
      <c r="B260" s="8">
        <v>10.6545454545454</v>
      </c>
      <c r="C260" s="8">
        <v>12.3883333333333</v>
      </c>
      <c r="D260" s="8">
        <v>11.1642857142857</v>
      </c>
      <c r="E260" s="8">
        <v>8.99791666666666</v>
      </c>
      <c r="F260" s="8">
        <v>11.3708333333333</v>
      </c>
      <c r="G260" s="3"/>
      <c r="H260" s="7">
        <v>258</v>
      </c>
      <c r="I260" s="8">
        <v>0.69090909090909</v>
      </c>
      <c r="J260" s="8">
        <v>3.26</v>
      </c>
      <c r="K260" s="8">
        <v>0.338095238095238</v>
      </c>
      <c r="L260" s="8">
        <v>2.42758620689655</v>
      </c>
      <c r="M260" s="8">
        <v>1.3</v>
      </c>
      <c r="N260" s="3"/>
      <c r="O260" s="7">
        <v>258</v>
      </c>
      <c r="P260" s="8">
        <v>2.87764509175075</v>
      </c>
      <c r="Q260" s="8">
        <v>2.31579310578438</v>
      </c>
      <c r="R260" s="8">
        <v>2.99485454621464</v>
      </c>
      <c r="S260" s="8">
        <v>2.78056045365755</v>
      </c>
      <c r="T260" s="8">
        <v>1.8040111781852</v>
      </c>
      <c r="U260" s="3"/>
      <c r="V260" s="3"/>
      <c r="W260" s="3"/>
      <c r="X260" s="3"/>
      <c r="Y260" s="3"/>
      <c r="Z260" s="3"/>
      <c r="AA260" s="3"/>
    </row>
    <row x14ac:dyDescent="0.25" r="261" customHeight="1" ht="18.75">
      <c r="A261" s="7">
        <v>259</v>
      </c>
      <c r="B261" s="8">
        <v>10.4757575757575</v>
      </c>
      <c r="C261" s="8">
        <v>12.5766666666666</v>
      </c>
      <c r="D261" s="8">
        <v>11.395238095238</v>
      </c>
      <c r="E261" s="8">
        <v>8.46041666666666</v>
      </c>
      <c r="F261" s="8">
        <v>11.2916666666666</v>
      </c>
      <c r="G261" s="3"/>
      <c r="H261" s="7">
        <v>259</v>
      </c>
      <c r="I261" s="8">
        <v>0.112121212121212</v>
      </c>
      <c r="J261" s="8">
        <v>3.59999999999999</v>
      </c>
      <c r="K261" s="8">
        <v>0.709523809523809</v>
      </c>
      <c r="L261" s="8">
        <v>2.48965517241379</v>
      </c>
      <c r="M261" s="8">
        <v>2.6</v>
      </c>
      <c r="N261" s="3"/>
      <c r="O261" s="7">
        <v>259</v>
      </c>
      <c r="P261" s="8">
        <v>2.90074792008258</v>
      </c>
      <c r="Q261" s="8">
        <v>2.28948842872589</v>
      </c>
      <c r="R261" s="8">
        <v>3.09589831813726</v>
      </c>
      <c r="S261" s="8">
        <v>2.85369614283857</v>
      </c>
      <c r="T261" s="8">
        <v>1.88807330643536</v>
      </c>
      <c r="U261" s="3"/>
      <c r="V261" s="3"/>
      <c r="W261" s="3"/>
      <c r="X261" s="3"/>
      <c r="Y261" s="3"/>
      <c r="Z261" s="3"/>
      <c r="AA261" s="3"/>
    </row>
    <row x14ac:dyDescent="0.25" r="262" customHeight="1" ht="18.75">
      <c r="A262" s="7">
        <v>260</v>
      </c>
      <c r="B262" s="8">
        <v>9.84696969696969</v>
      </c>
      <c r="C262" s="8">
        <v>12.4822580645161</v>
      </c>
      <c r="D262" s="8">
        <v>11.8857142857142</v>
      </c>
      <c r="E262" s="8">
        <v>8.364</v>
      </c>
      <c r="F262" s="8">
        <v>12.2125</v>
      </c>
      <c r="G262" s="3"/>
      <c r="H262" s="7">
        <v>260</v>
      </c>
      <c r="I262" s="8">
        <v>0.269696969696969</v>
      </c>
      <c r="J262" s="8">
        <v>2.73870967741935</v>
      </c>
      <c r="K262" s="8">
        <v>0.195238095238095</v>
      </c>
      <c r="L262" s="8">
        <v>1.83333333333333</v>
      </c>
      <c r="M262" s="8">
        <v>4.6</v>
      </c>
      <c r="N262" s="3"/>
      <c r="O262" s="7">
        <v>260</v>
      </c>
      <c r="P262" s="8">
        <v>2.7216431909543</v>
      </c>
      <c r="Q262" s="8">
        <v>2.42321708135252</v>
      </c>
      <c r="R262" s="8">
        <v>3.31558731154874</v>
      </c>
      <c r="S262" s="8">
        <v>2.74484951554895</v>
      </c>
      <c r="T262" s="8">
        <v>2.03827521928813</v>
      </c>
      <c r="U262" s="3"/>
      <c r="V262" s="3"/>
      <c r="W262" s="3"/>
      <c r="X262" s="3"/>
      <c r="Y262" s="3"/>
      <c r="Z262" s="3"/>
      <c r="AA262" s="3"/>
    </row>
    <row x14ac:dyDescent="0.25" r="263" customHeight="1" ht="18.75">
      <c r="A263" s="7">
        <v>261</v>
      </c>
      <c r="B263" s="8">
        <v>9.60454545454545</v>
      </c>
      <c r="C263" s="8">
        <v>12.2612903225806</v>
      </c>
      <c r="D263" s="8">
        <v>11.6181818181818</v>
      </c>
      <c r="E263" s="8">
        <v>7.89807692307692</v>
      </c>
      <c r="F263" s="8">
        <v>11.35</v>
      </c>
      <c r="G263" s="3"/>
      <c r="H263" s="7">
        <v>261</v>
      </c>
      <c r="I263" s="8">
        <v>1.32121212121212</v>
      </c>
      <c r="J263" s="8">
        <v>2.57419354838709</v>
      </c>
      <c r="K263" s="8">
        <v>1.37142857142857</v>
      </c>
      <c r="L263" s="8">
        <v>1.76129032258064</v>
      </c>
      <c r="M263" s="8">
        <v>3.93333333333333</v>
      </c>
      <c r="N263" s="3"/>
      <c r="O263" s="7">
        <v>261</v>
      </c>
      <c r="P263" s="8">
        <v>2.68281406412869</v>
      </c>
      <c r="Q263" s="8">
        <v>2.45933848636487</v>
      </c>
      <c r="R263" s="8">
        <v>3.33309051929669</v>
      </c>
      <c r="S263" s="8">
        <v>2.30383940375218</v>
      </c>
      <c r="T263" s="8">
        <v>2.00744960029109</v>
      </c>
      <c r="U263" s="3"/>
      <c r="V263" s="3"/>
      <c r="W263" s="3"/>
      <c r="X263" s="3"/>
      <c r="Y263" s="3"/>
      <c r="Z263" s="3"/>
      <c r="AA263" s="3"/>
    </row>
    <row x14ac:dyDescent="0.25" r="264" customHeight="1" ht="18.75">
      <c r="A264" s="7">
        <v>262</v>
      </c>
      <c r="B264" s="8">
        <v>9.87727272727272</v>
      </c>
      <c r="C264" s="8">
        <v>12.1677419354838</v>
      </c>
      <c r="D264" s="8">
        <v>10.7547619047619</v>
      </c>
      <c r="E264" s="8">
        <v>8.64423076923077</v>
      </c>
      <c r="F264" s="8">
        <v>10.5041666666666</v>
      </c>
      <c r="G264" s="3"/>
      <c r="H264" s="7">
        <v>262</v>
      </c>
      <c r="I264" s="8">
        <v>1.83636363636363</v>
      </c>
      <c r="J264" s="8">
        <v>3.5774193548387</v>
      </c>
      <c r="K264" s="8">
        <v>1.4047619047619</v>
      </c>
      <c r="L264" s="8">
        <v>2.35483870967741</v>
      </c>
      <c r="M264" s="8">
        <v>8.73333333333333</v>
      </c>
      <c r="N264" s="3"/>
      <c r="O264" s="7">
        <v>262</v>
      </c>
      <c r="P264" s="8">
        <v>2.84418375617479</v>
      </c>
      <c r="Q264" s="8">
        <v>2.28830589125466</v>
      </c>
      <c r="R264" s="8">
        <v>2.84664183196404</v>
      </c>
      <c r="S264" s="8">
        <v>2.48950452675158</v>
      </c>
      <c r="T264" s="8">
        <v>1.9387559167362</v>
      </c>
      <c r="U264" s="3"/>
      <c r="V264" s="3"/>
      <c r="W264" s="3"/>
      <c r="X264" s="3"/>
      <c r="Y264" s="3"/>
      <c r="Z264" s="3"/>
      <c r="AA264" s="3"/>
    </row>
    <row x14ac:dyDescent="0.25" r="265" customHeight="1" ht="18.75">
      <c r="A265" s="7">
        <v>263</v>
      </c>
      <c r="B265" s="8">
        <v>9.49848484848484</v>
      </c>
      <c r="C265" s="8">
        <v>12.1064516129032</v>
      </c>
      <c r="D265" s="8">
        <v>11.2022727272727</v>
      </c>
      <c r="E265" s="8">
        <v>8.95</v>
      </c>
      <c r="F265" s="8">
        <v>10.3875</v>
      </c>
      <c r="G265" s="3"/>
      <c r="H265" s="7">
        <v>263</v>
      </c>
      <c r="I265" s="8">
        <v>1.47272727272727</v>
      </c>
      <c r="J265" s="8">
        <v>2.6774193548387</v>
      </c>
      <c r="K265" s="8">
        <v>3.33333333333333</v>
      </c>
      <c r="L265" s="8">
        <v>1.4</v>
      </c>
      <c r="M265" s="8">
        <v>3.85</v>
      </c>
      <c r="N265" s="3"/>
      <c r="O265" s="7">
        <v>263</v>
      </c>
      <c r="P265" s="8">
        <v>2.76130603025703</v>
      </c>
      <c r="Q265" s="8">
        <v>2.66567145962242</v>
      </c>
      <c r="R265" s="8">
        <v>3.53618423945734</v>
      </c>
      <c r="S265" s="8">
        <v>2.9524226155234</v>
      </c>
      <c r="T265" s="8">
        <v>2.08618300949451</v>
      </c>
      <c r="U265" s="3"/>
      <c r="V265" s="3"/>
      <c r="W265" s="3"/>
      <c r="X265" s="3"/>
      <c r="Y265" s="3"/>
      <c r="Z265" s="3"/>
      <c r="AA265" s="3"/>
    </row>
    <row x14ac:dyDescent="0.25" r="266" customHeight="1" ht="18.75">
      <c r="A266" s="7">
        <v>264</v>
      </c>
      <c r="B266" s="8">
        <v>9.97121212121212</v>
      </c>
      <c r="C266" s="8">
        <v>12.0129032258064</v>
      </c>
      <c r="D266" s="8">
        <v>10.9977272727272</v>
      </c>
      <c r="E266" s="8">
        <v>8.50576923076923</v>
      </c>
      <c r="F266" s="8">
        <v>9.85</v>
      </c>
      <c r="G266" s="3"/>
      <c r="H266" s="7">
        <v>264</v>
      </c>
      <c r="I266" s="8">
        <v>1.39090909090909</v>
      </c>
      <c r="J266" s="8">
        <v>2.81935483870967</v>
      </c>
      <c r="K266" s="8">
        <v>2.06190476190476</v>
      </c>
      <c r="L266" s="8">
        <v>2.29032258064516</v>
      </c>
      <c r="M266" s="8">
        <v>1.79999999999999</v>
      </c>
      <c r="N266" s="3"/>
      <c r="O266" s="7">
        <v>264</v>
      </c>
      <c r="P266" s="8">
        <v>2.94343376387919</v>
      </c>
      <c r="Q266" s="8">
        <v>2.66408373628663</v>
      </c>
      <c r="R266" s="8">
        <v>3.50480099401995</v>
      </c>
      <c r="S266" s="8">
        <v>2.60798526859538</v>
      </c>
      <c r="T266" s="8">
        <v>2.13981644869741</v>
      </c>
      <c r="U266" s="3"/>
      <c r="V266" s="3"/>
      <c r="W266" s="3"/>
      <c r="X266" s="3"/>
      <c r="Y266" s="3"/>
      <c r="Z266" s="3"/>
      <c r="AA266" s="3"/>
    </row>
    <row x14ac:dyDescent="0.25" r="267" customHeight="1" ht="18.75">
      <c r="A267" s="7">
        <v>265</v>
      </c>
      <c r="B267" s="8">
        <v>9.63484848484848</v>
      </c>
      <c r="C267" s="8">
        <v>12.1612903225806</v>
      </c>
      <c r="D267" s="8">
        <v>10.7363636363636</v>
      </c>
      <c r="E267" s="8">
        <v>7.86346153846153</v>
      </c>
      <c r="F267" s="8">
        <v>10.1583333333333</v>
      </c>
      <c r="G267" s="3"/>
      <c r="H267" s="7">
        <v>265</v>
      </c>
      <c r="I267" s="8">
        <v>1.4060606060606</v>
      </c>
      <c r="J267" s="8">
        <v>4.29354838709677</v>
      </c>
      <c r="K267" s="8">
        <v>1.5</v>
      </c>
      <c r="L267" s="8">
        <v>3.21935483870967</v>
      </c>
      <c r="M267" s="8">
        <v>3.93333333333333</v>
      </c>
      <c r="N267" s="3"/>
      <c r="O267" s="7">
        <v>265</v>
      </c>
      <c r="P267" s="8">
        <v>2.8650949205126</v>
      </c>
      <c r="Q267" s="8">
        <v>2.54055031022347</v>
      </c>
      <c r="R267" s="8">
        <v>3.25028548523653</v>
      </c>
      <c r="S267" s="8">
        <v>2.52918089498059</v>
      </c>
      <c r="T267" s="8">
        <v>2.31412085445224</v>
      </c>
      <c r="U267" s="3"/>
      <c r="V267" s="3"/>
      <c r="W267" s="3"/>
      <c r="X267" s="3"/>
      <c r="Y267" s="3"/>
      <c r="Z267" s="3"/>
      <c r="AA267" s="3"/>
    </row>
    <row x14ac:dyDescent="0.25" r="268" customHeight="1" ht="18.75">
      <c r="A268" s="7">
        <v>266</v>
      </c>
      <c r="B268" s="8">
        <v>9.43181818181818</v>
      </c>
      <c r="C268" s="8">
        <v>12.2854838709677</v>
      </c>
      <c r="D268" s="8">
        <v>10.9818181818181</v>
      </c>
      <c r="E268" s="8">
        <v>8.38461538461538</v>
      </c>
      <c r="F268" s="8">
        <v>10.9625</v>
      </c>
      <c r="G268" s="3"/>
      <c r="H268" s="7">
        <v>266</v>
      </c>
      <c r="I268" s="8">
        <v>0.86060606060606</v>
      </c>
      <c r="J268" s="8">
        <v>3.69677419354838</v>
      </c>
      <c r="K268" s="8">
        <v>2.43809523809523</v>
      </c>
      <c r="L268" s="8">
        <v>2.04516129032258</v>
      </c>
      <c r="M268" s="8">
        <v>1.86666666666666</v>
      </c>
      <c r="N268" s="3"/>
      <c r="O268" s="7">
        <v>266</v>
      </c>
      <c r="P268" s="8">
        <v>2.84690777824148</v>
      </c>
      <c r="Q268" s="8">
        <v>2.75659518409562</v>
      </c>
      <c r="R268" s="8">
        <v>3.15324665807079</v>
      </c>
      <c r="S268" s="8">
        <v>2.77314275014222</v>
      </c>
      <c r="T268" s="8">
        <v>2.20596066344867</v>
      </c>
      <c r="U268" s="3"/>
      <c r="V268" s="3"/>
      <c r="W268" s="3"/>
      <c r="X268" s="3"/>
      <c r="Y268" s="3"/>
      <c r="Z268" s="3"/>
      <c r="AA268" s="3"/>
    </row>
    <row x14ac:dyDescent="0.25" r="269" customHeight="1" ht="18.75">
      <c r="A269" s="7">
        <v>267</v>
      </c>
      <c r="B269" s="8">
        <v>9.91818181818181</v>
      </c>
      <c r="C269" s="8">
        <v>12.7274193548387</v>
      </c>
      <c r="D269" s="8">
        <v>11.2477272727272</v>
      </c>
      <c r="E269" s="8">
        <v>8.51346153846153</v>
      </c>
      <c r="F269" s="8">
        <v>11.6458333333333</v>
      </c>
      <c r="G269" s="3"/>
      <c r="H269" s="7">
        <v>267</v>
      </c>
      <c r="I269" s="8">
        <v>2.14545454545454</v>
      </c>
      <c r="J269" s="8">
        <v>4.43548387096774</v>
      </c>
      <c r="K269" s="8">
        <v>4.0047619047619</v>
      </c>
      <c r="L269" s="8">
        <v>2.70967741935483</v>
      </c>
      <c r="M269" s="8">
        <v>5.51666666666666</v>
      </c>
      <c r="N269" s="3"/>
      <c r="O269" s="7">
        <v>267</v>
      </c>
      <c r="P269" s="8">
        <v>2.75735755546836</v>
      </c>
      <c r="Q269" s="8">
        <v>2.40432383092593</v>
      </c>
      <c r="R269" s="8">
        <v>2.9848355719023</v>
      </c>
      <c r="S269" s="8">
        <v>2.90748882720751</v>
      </c>
      <c r="T269" s="8">
        <v>1.67550975993004</v>
      </c>
      <c r="U269" s="3"/>
      <c r="V269" s="3"/>
      <c r="W269" s="3"/>
      <c r="X269" s="3"/>
      <c r="Y269" s="3"/>
      <c r="Z269" s="3"/>
      <c r="AA269" s="3"/>
    </row>
    <row x14ac:dyDescent="0.25" r="270" customHeight="1" ht="18.75">
      <c r="A270" s="7">
        <v>268</v>
      </c>
      <c r="B270" s="8">
        <v>9.44242424242424</v>
      </c>
      <c r="C270" s="8">
        <v>12.4338709677419</v>
      </c>
      <c r="D270" s="8">
        <v>12.1068181818181</v>
      </c>
      <c r="E270" s="8">
        <v>8.254</v>
      </c>
      <c r="F270" s="8">
        <v>12.1125</v>
      </c>
      <c r="G270" s="3"/>
      <c r="H270" s="7">
        <v>268</v>
      </c>
      <c r="I270" s="8">
        <v>2.43636363636363</v>
      </c>
      <c r="J270" s="8">
        <v>3.12903225806451</v>
      </c>
      <c r="K270" s="8">
        <v>3.67619047619047</v>
      </c>
      <c r="L270" s="8">
        <v>1.17333333333333</v>
      </c>
      <c r="M270" s="8">
        <v>1.56666666666666</v>
      </c>
      <c r="N270" s="3"/>
      <c r="O270" s="7">
        <v>268</v>
      </c>
      <c r="P270" s="8">
        <v>2.58225587348683</v>
      </c>
      <c r="Q270" s="8">
        <v>2.32653952570764</v>
      </c>
      <c r="R270" s="8">
        <v>3.24722351525503</v>
      </c>
      <c r="S270" s="8">
        <v>2.64828242095834</v>
      </c>
      <c r="T270" s="8">
        <v>2.16696486645248</v>
      </c>
      <c r="U270" s="3"/>
      <c r="V270" s="3"/>
      <c r="W270" s="3"/>
      <c r="X270" s="3"/>
      <c r="Y270" s="3"/>
      <c r="Z270" s="3"/>
      <c r="AA270" s="3"/>
    </row>
    <row x14ac:dyDescent="0.25" r="271" customHeight="1" ht="18.75">
      <c r="A271" s="7">
        <v>269</v>
      </c>
      <c r="B271" s="8">
        <v>10.2424242424242</v>
      </c>
      <c r="C271" s="8">
        <v>12.3416666666666</v>
      </c>
      <c r="D271" s="8">
        <v>11.2136363636363</v>
      </c>
      <c r="E271" s="8">
        <v>9.20576923076923</v>
      </c>
      <c r="F271" s="8">
        <v>11.6875</v>
      </c>
      <c r="G271" s="3"/>
      <c r="H271" s="7">
        <v>269</v>
      </c>
      <c r="I271" s="8">
        <v>1.53636363636363</v>
      </c>
      <c r="J271" s="8">
        <v>4.32666666666666</v>
      </c>
      <c r="K271" s="8">
        <v>2.08095238095238</v>
      </c>
      <c r="L271" s="8">
        <v>1.70967741935483</v>
      </c>
      <c r="M271" s="8">
        <v>1.08333333333333</v>
      </c>
      <c r="N271" s="3"/>
      <c r="O271" s="7">
        <v>269</v>
      </c>
      <c r="P271" s="8">
        <v>3.07594359507391</v>
      </c>
      <c r="Q271" s="8">
        <v>2.51982963617034</v>
      </c>
      <c r="R271" s="8">
        <v>3.01947129098962</v>
      </c>
      <c r="S271" s="8">
        <v>2.77163138127296</v>
      </c>
      <c r="T271" s="8">
        <v>2.2423317945335</v>
      </c>
      <c r="U271" s="3"/>
      <c r="V271" s="3"/>
      <c r="W271" s="3"/>
      <c r="X271" s="3"/>
      <c r="Y271" s="3"/>
      <c r="Z271" s="3"/>
      <c r="AA271" s="3"/>
    </row>
    <row x14ac:dyDescent="0.25" r="272" customHeight="1" ht="18.75">
      <c r="A272" s="7">
        <v>270</v>
      </c>
      <c r="B272" s="8">
        <v>10.4454545454545</v>
      </c>
      <c r="C272" s="8">
        <v>12.7183333333333</v>
      </c>
      <c r="D272" s="8">
        <v>12.0272727272727</v>
      </c>
      <c r="E272" s="8">
        <v>9.06346153846153</v>
      </c>
      <c r="F272" s="8">
        <v>12.0541666666666</v>
      </c>
      <c r="G272" s="3"/>
      <c r="H272" s="7">
        <v>270</v>
      </c>
      <c r="I272" s="8">
        <v>0.384848484848484</v>
      </c>
      <c r="J272" s="8">
        <v>2.83</v>
      </c>
      <c r="K272" s="8">
        <v>1.34285714285714</v>
      </c>
      <c r="L272" s="8">
        <v>1.61935483870967</v>
      </c>
      <c r="M272" s="8">
        <v>1.05</v>
      </c>
      <c r="N272" s="3"/>
      <c r="O272" s="7">
        <v>270</v>
      </c>
      <c r="P272" s="8">
        <v>3.03515264254563</v>
      </c>
      <c r="Q272" s="8">
        <v>2.63717072988432</v>
      </c>
      <c r="R272" s="8">
        <v>3.690897059004</v>
      </c>
      <c r="S272" s="8">
        <v>2.7514934617631</v>
      </c>
      <c r="T272" s="8">
        <v>2.44848097870127</v>
      </c>
      <c r="U272" s="3"/>
      <c r="V272" s="3"/>
      <c r="W272" s="3"/>
      <c r="X272" s="3"/>
      <c r="Y272" s="3"/>
      <c r="Z272" s="3"/>
      <c r="AA272" s="3"/>
    </row>
    <row x14ac:dyDescent="0.25" r="273" customHeight="1" ht="18.75">
      <c r="A273" s="7">
        <v>271</v>
      </c>
      <c r="B273" s="8">
        <v>10.1984848484848</v>
      </c>
      <c r="C273" s="8">
        <v>13.04</v>
      </c>
      <c r="D273" s="8">
        <v>11.4977272727272</v>
      </c>
      <c r="E273" s="8">
        <v>8.87884615384615</v>
      </c>
      <c r="F273" s="8">
        <v>12.3291666666666</v>
      </c>
      <c r="G273" s="3"/>
      <c r="H273" s="7">
        <v>271</v>
      </c>
      <c r="I273" s="8">
        <v>2.63939393939393</v>
      </c>
      <c r="J273" s="8">
        <v>4.22333333333333</v>
      </c>
      <c r="K273" s="8">
        <v>2.1590909090909</v>
      </c>
      <c r="L273" s="8">
        <v>2.53548387096774</v>
      </c>
      <c r="M273" s="8">
        <v>5.14999999999999</v>
      </c>
      <c r="N273" s="3"/>
      <c r="O273" s="7">
        <v>271</v>
      </c>
      <c r="P273" s="8">
        <v>2.92273242129352</v>
      </c>
      <c r="Q273" s="8">
        <v>2.40671538858091</v>
      </c>
      <c r="R273" s="8">
        <v>3.08252435002049</v>
      </c>
      <c r="S273" s="8">
        <v>2.52397897773563</v>
      </c>
      <c r="T273" s="8">
        <v>2.13295390564413</v>
      </c>
      <c r="U273" s="3"/>
      <c r="V273" s="3"/>
      <c r="W273" s="3"/>
      <c r="X273" s="3"/>
      <c r="Y273" s="3"/>
      <c r="Z273" s="3"/>
      <c r="AA273" s="3"/>
    </row>
    <row x14ac:dyDescent="0.25" r="274" customHeight="1" ht="18.75">
      <c r="A274" s="7">
        <v>272</v>
      </c>
      <c r="B274" s="8">
        <v>10.0727272727272</v>
      </c>
      <c r="C274" s="8">
        <v>13.3810344827586</v>
      </c>
      <c r="D274" s="8">
        <v>11.3095238095238</v>
      </c>
      <c r="E274" s="8">
        <v>8.94423076923076</v>
      </c>
      <c r="F274" s="8">
        <v>12.65</v>
      </c>
      <c r="G274" s="3"/>
      <c r="H274" s="7">
        <v>272</v>
      </c>
      <c r="I274" s="8">
        <v>2.21515151515151</v>
      </c>
      <c r="J274" s="8">
        <v>3.76206896551724</v>
      </c>
      <c r="K274" s="8">
        <v>1.89545454545454</v>
      </c>
      <c r="L274" s="8">
        <v>0.72258064516129</v>
      </c>
      <c r="M274" s="8">
        <v>2.15</v>
      </c>
      <c r="N274" s="3"/>
      <c r="O274" s="7">
        <v>272</v>
      </c>
      <c r="P274" s="8">
        <v>3.00796715874058</v>
      </c>
      <c r="Q274" s="8">
        <v>2.71659484771267</v>
      </c>
      <c r="R274" s="8">
        <v>3.26800392164796</v>
      </c>
      <c r="S274" s="8">
        <v>2.91246882742019</v>
      </c>
      <c r="T274" s="8">
        <v>2.3067555107961</v>
      </c>
      <c r="U274" s="3"/>
      <c r="V274" s="3"/>
      <c r="W274" s="3"/>
      <c r="X274" s="3"/>
      <c r="Y274" s="3"/>
      <c r="Z274" s="3"/>
      <c r="AA274" s="3"/>
    </row>
    <row x14ac:dyDescent="0.25" r="275" customHeight="1" ht="18.75">
      <c r="A275" s="7">
        <v>273</v>
      </c>
      <c r="B275" s="8">
        <v>11.2515151515151</v>
      </c>
      <c r="C275" s="8">
        <v>13.2741379310344</v>
      </c>
      <c r="D275" s="8">
        <v>11.7666666666666</v>
      </c>
      <c r="E275" s="8">
        <v>9.81923076923076</v>
      </c>
      <c r="F275" s="8">
        <v>12.5208333333333</v>
      </c>
      <c r="G275" s="3"/>
      <c r="H275" s="7">
        <v>273</v>
      </c>
      <c r="I275" s="8">
        <v>0.339393939393939</v>
      </c>
      <c r="J275" s="8">
        <v>5.47931034482758</v>
      </c>
      <c r="K275" s="8">
        <v>1.93181818181818</v>
      </c>
      <c r="L275" s="8">
        <v>2.87096774193548</v>
      </c>
      <c r="M275" s="8">
        <v>5.61666666666666</v>
      </c>
      <c r="N275" s="3"/>
      <c r="O275" s="7">
        <v>273</v>
      </c>
      <c r="P275" s="8">
        <v>3.41140619491165</v>
      </c>
      <c r="Q275" s="8">
        <v>2.64962132393987</v>
      </c>
      <c r="R275" s="8">
        <v>3.12210114620776</v>
      </c>
      <c r="S275" s="8">
        <v>3.03011698397065</v>
      </c>
      <c r="T275" s="8">
        <v>2.44659186497703</v>
      </c>
      <c r="U275" s="3"/>
      <c r="V275" s="3"/>
      <c r="W275" s="3"/>
      <c r="X275" s="3"/>
      <c r="Y275" s="3"/>
      <c r="Z275" s="3"/>
      <c r="AA275" s="3"/>
    </row>
    <row x14ac:dyDescent="0.25" r="276" customHeight="1" ht="18.75">
      <c r="A276" s="7">
        <v>274</v>
      </c>
      <c r="B276" s="8">
        <v>11.2893939393939</v>
      </c>
      <c r="C276" s="8">
        <v>13.0233333333333</v>
      </c>
      <c r="D276" s="8">
        <v>12.3023809523809</v>
      </c>
      <c r="E276" s="8">
        <v>10.1096153846153</v>
      </c>
      <c r="F276" s="8">
        <v>11.65</v>
      </c>
      <c r="G276" s="3"/>
      <c r="H276" s="7">
        <v>274</v>
      </c>
      <c r="I276" s="8">
        <v>0.36060606060606</v>
      </c>
      <c r="J276" s="8">
        <v>7.20333333333333</v>
      </c>
      <c r="K276" s="8">
        <v>0.572727272727272</v>
      </c>
      <c r="L276" s="8">
        <v>1.90967741935483</v>
      </c>
      <c r="M276" s="8">
        <v>2.35</v>
      </c>
      <c r="N276" s="3"/>
      <c r="O276" s="7">
        <v>274</v>
      </c>
      <c r="P276" s="8">
        <v>3.45730361023647</v>
      </c>
      <c r="Q276" s="8">
        <v>2.7120872842053</v>
      </c>
      <c r="R276" s="8">
        <v>3.61187218145479</v>
      </c>
      <c r="S276" s="8">
        <v>3.03916513177675</v>
      </c>
      <c r="T276" s="8">
        <v>2.46735033441291</v>
      </c>
      <c r="U276" s="3"/>
      <c r="V276" s="3"/>
      <c r="W276" s="3"/>
      <c r="X276" s="3"/>
      <c r="Y276" s="3"/>
      <c r="Z276" s="3"/>
      <c r="AA276" s="3"/>
    </row>
    <row x14ac:dyDescent="0.25" r="277" customHeight="1" ht="18.75">
      <c r="A277" s="7">
        <v>275</v>
      </c>
      <c r="B277" s="8">
        <v>11.590909090909</v>
      </c>
      <c r="C277" s="8">
        <v>12.9383333333333</v>
      </c>
      <c r="D277" s="8">
        <v>12.9666666666666</v>
      </c>
      <c r="E277" s="8">
        <v>10.5307692307692</v>
      </c>
      <c r="F277" s="8">
        <v>12.0166666666666</v>
      </c>
      <c r="G277" s="3"/>
      <c r="H277" s="7">
        <v>275</v>
      </c>
      <c r="I277" s="8">
        <v>0.869696969696969</v>
      </c>
      <c r="J277" s="8">
        <v>4.36333333333333</v>
      </c>
      <c r="K277" s="8">
        <v>0.509090909090909</v>
      </c>
      <c r="L277" s="8">
        <v>2.33548387096774</v>
      </c>
      <c r="M277" s="8">
        <v>2.28333333333333</v>
      </c>
      <c r="N277" s="3"/>
      <c r="O277" s="7">
        <v>275</v>
      </c>
      <c r="P277" s="8">
        <v>3.41812465767459</v>
      </c>
      <c r="Q277" s="8">
        <v>2.52840960145618</v>
      </c>
      <c r="R277" s="8">
        <v>3.9913377868737</v>
      </c>
      <c r="S277" s="8">
        <v>3.13448462990286</v>
      </c>
      <c r="T277" s="8">
        <v>2.11990258884803</v>
      </c>
      <c r="U277" s="3"/>
      <c r="V277" s="3"/>
      <c r="W277" s="3"/>
      <c r="X277" s="3"/>
      <c r="Y277" s="3"/>
      <c r="Z277" s="3"/>
      <c r="AA277" s="3"/>
    </row>
    <row x14ac:dyDescent="0.25" r="278" customHeight="1" ht="18.75">
      <c r="A278" s="7">
        <v>276</v>
      </c>
      <c r="B278" s="8">
        <v>10.8530303030303</v>
      </c>
      <c r="C278" s="8">
        <v>13.2433333333333</v>
      </c>
      <c r="D278" s="8">
        <v>12.5047619047619</v>
      </c>
      <c r="E278" s="7">
        <v>9</v>
      </c>
      <c r="F278" s="8">
        <v>12.9416666666666</v>
      </c>
      <c r="G278" s="3"/>
      <c r="H278" s="7">
        <v>276</v>
      </c>
      <c r="I278" s="8">
        <v>2.92727272727272</v>
      </c>
      <c r="J278" s="8">
        <v>5.13333333333333</v>
      </c>
      <c r="K278" s="8">
        <v>0.781818181818181</v>
      </c>
      <c r="L278" s="8">
        <v>2.77241379310344</v>
      </c>
      <c r="M278" s="8">
        <v>4.26666666666666</v>
      </c>
      <c r="N278" s="3"/>
      <c r="O278" s="7">
        <v>276</v>
      </c>
      <c r="P278" s="8">
        <v>3.28237222726839</v>
      </c>
      <c r="Q278" s="8">
        <v>2.88480468453885</v>
      </c>
      <c r="R278" s="8">
        <v>3.79237583146277</v>
      </c>
      <c r="S278" s="8">
        <v>2.67999137318309</v>
      </c>
      <c r="T278" s="8">
        <v>2.62758755500979</v>
      </c>
      <c r="U278" s="3"/>
      <c r="V278" s="3"/>
      <c r="W278" s="3"/>
      <c r="X278" s="3"/>
      <c r="Y278" s="3"/>
      <c r="Z278" s="3"/>
      <c r="AA278" s="3"/>
    </row>
    <row x14ac:dyDescent="0.25" r="279" customHeight="1" ht="18.75">
      <c r="A279" s="7">
        <v>277</v>
      </c>
      <c r="B279" s="8">
        <v>10.580303030303</v>
      </c>
      <c r="C279" s="8">
        <v>12.85</v>
      </c>
      <c r="D279" s="8">
        <v>11.6119047619047</v>
      </c>
      <c r="E279" s="8">
        <v>8.67307692307692</v>
      </c>
      <c r="F279" s="8">
        <v>11.95</v>
      </c>
      <c r="G279" s="3"/>
      <c r="H279" s="7">
        <v>277</v>
      </c>
      <c r="I279" s="8">
        <v>3.01515151515151</v>
      </c>
      <c r="J279" s="8">
        <v>2.50333333333333</v>
      </c>
      <c r="K279" s="8">
        <v>2.52272727272727</v>
      </c>
      <c r="L279" s="8">
        <v>3.68</v>
      </c>
      <c r="M279" s="8">
        <v>1.13333333333333</v>
      </c>
      <c r="N279" s="3"/>
      <c r="O279" s="7">
        <v>277</v>
      </c>
      <c r="P279" s="8">
        <v>2.94354412760459</v>
      </c>
      <c r="Q279" s="8">
        <v>2.78080677833359</v>
      </c>
      <c r="R279" s="8">
        <v>3.7080305350665</v>
      </c>
      <c r="S279" s="8">
        <v>2.62670190986939</v>
      </c>
      <c r="T279" s="8">
        <v>2.22516055238828</v>
      </c>
      <c r="U279" s="3"/>
      <c r="V279" s="3"/>
      <c r="W279" s="3"/>
      <c r="X279" s="3"/>
      <c r="Y279" s="3"/>
      <c r="Z279" s="3"/>
      <c r="AA279" s="3"/>
    </row>
    <row x14ac:dyDescent="0.25" r="280" customHeight="1" ht="18.75">
      <c r="A280" s="7">
        <v>278</v>
      </c>
      <c r="B280" s="8">
        <v>10.5</v>
      </c>
      <c r="C280" s="8">
        <v>12.8758064516129</v>
      </c>
      <c r="D280" s="8">
        <v>11.8357142857142</v>
      </c>
      <c r="E280" s="8">
        <v>9.12692307692307</v>
      </c>
      <c r="F280" s="8">
        <v>11.8958333333333</v>
      </c>
      <c r="G280" s="3"/>
      <c r="H280" s="7">
        <v>278</v>
      </c>
      <c r="I280" s="8">
        <v>1.5060606060606</v>
      </c>
      <c r="J280" s="8">
        <v>4.13548387096774</v>
      </c>
      <c r="K280" s="8">
        <v>2.45454545454545</v>
      </c>
      <c r="L280" s="8">
        <v>2.11612903225806</v>
      </c>
      <c r="M280" s="8">
        <v>2.06666666666666</v>
      </c>
      <c r="N280" s="3"/>
      <c r="O280" s="7">
        <v>278</v>
      </c>
      <c r="P280" s="8">
        <v>3.38104138753877</v>
      </c>
      <c r="Q280" s="8">
        <v>3.0772949163385</v>
      </c>
      <c r="R280" s="8">
        <v>4.31306344264626</v>
      </c>
      <c r="S280" s="8">
        <v>2.99691507461903</v>
      </c>
      <c r="T280" s="8">
        <v>2.21427258205802</v>
      </c>
      <c r="U280" s="3"/>
      <c r="V280" s="3"/>
      <c r="W280" s="3"/>
      <c r="X280" s="3"/>
      <c r="Y280" s="3"/>
      <c r="Z280" s="3"/>
      <c r="AA280" s="3"/>
    </row>
    <row x14ac:dyDescent="0.25" r="281" customHeight="1" ht="18.75">
      <c r="A281" s="7">
        <v>279</v>
      </c>
      <c r="B281" s="8">
        <v>11.0757575757575</v>
      </c>
      <c r="C281" s="8">
        <v>12.9966666666666</v>
      </c>
      <c r="D281" s="8">
        <v>12.7357142857142</v>
      </c>
      <c r="E281" s="8">
        <v>9.54230769230769</v>
      </c>
      <c r="F281" s="8">
        <v>11.8333333333333</v>
      </c>
      <c r="G281" s="3"/>
      <c r="H281" s="7">
        <v>279</v>
      </c>
      <c r="I281" s="8">
        <v>0.866666666666666</v>
      </c>
      <c r="J281" s="8">
        <v>2.96999999999999</v>
      </c>
      <c r="K281" s="8">
        <v>0.604545454545454</v>
      </c>
      <c r="L281" s="8">
        <v>3.01935483870967</v>
      </c>
      <c r="M281" s="8">
        <v>1.43333333333333</v>
      </c>
      <c r="N281" s="3"/>
      <c r="O281" s="7">
        <v>279</v>
      </c>
      <c r="P281" s="8">
        <v>3.38143686990182</v>
      </c>
      <c r="Q281" s="8">
        <v>3.16903647533737</v>
      </c>
      <c r="R281" s="8">
        <v>4.32929263752167</v>
      </c>
      <c r="S281" s="8">
        <v>3.68356530679245</v>
      </c>
      <c r="T281" s="8">
        <v>2.5217662070296</v>
      </c>
      <c r="U281" s="3"/>
      <c r="V281" s="3"/>
      <c r="W281" s="3"/>
      <c r="X281" s="3"/>
      <c r="Y281" s="3"/>
      <c r="Z281" s="3"/>
      <c r="AA281" s="3"/>
    </row>
    <row x14ac:dyDescent="0.25" r="282" customHeight="1" ht="18.75">
      <c r="A282" s="7">
        <v>280</v>
      </c>
      <c r="B282" s="8">
        <v>11.1621212121212</v>
      </c>
      <c r="C282" s="8">
        <v>12.7633333333333</v>
      </c>
      <c r="D282" s="8">
        <v>12.5857142857142</v>
      </c>
      <c r="E282" s="8">
        <v>9.71875</v>
      </c>
      <c r="F282" s="8">
        <v>12.1333333333333</v>
      </c>
      <c r="G282" s="3"/>
      <c r="H282" s="7">
        <v>280</v>
      </c>
      <c r="I282" s="8">
        <v>1.14242424242424</v>
      </c>
      <c r="J282" s="8">
        <v>2.61</v>
      </c>
      <c r="K282" s="8">
        <v>0.836363636363636</v>
      </c>
      <c r="L282" s="8">
        <v>3.49655172413793</v>
      </c>
      <c r="M282" s="8">
        <v>1.5</v>
      </c>
      <c r="N282" s="3"/>
      <c r="O282" s="7">
        <v>280</v>
      </c>
      <c r="P282" s="8">
        <v>3.44855016002714</v>
      </c>
      <c r="Q282" s="8">
        <v>2.8220150579733</v>
      </c>
      <c r="R282" s="8">
        <v>4.33516906054165</v>
      </c>
      <c r="S282" s="8">
        <v>3.48913907693712</v>
      </c>
      <c r="T282" s="8">
        <v>2.49293624313414</v>
      </c>
      <c r="U282" s="3"/>
      <c r="V282" s="3"/>
      <c r="W282" s="3"/>
      <c r="X282" s="3"/>
      <c r="Y282" s="3"/>
      <c r="Z282" s="3"/>
      <c r="AA282" s="3"/>
    </row>
    <row x14ac:dyDescent="0.25" r="283" customHeight="1" ht="18.75">
      <c r="A283" s="7">
        <v>281</v>
      </c>
      <c r="B283" s="8">
        <v>10.4424242424242</v>
      </c>
      <c r="C283" s="8">
        <v>13.4816666666666</v>
      </c>
      <c r="D283" s="8">
        <v>12.3595238095238</v>
      </c>
      <c r="E283" s="8">
        <v>9.494</v>
      </c>
      <c r="F283" s="8">
        <v>11.8708333333333</v>
      </c>
      <c r="G283" s="3"/>
      <c r="H283" s="7">
        <v>281</v>
      </c>
      <c r="I283" s="8">
        <v>3.97272727272727</v>
      </c>
      <c r="J283" s="8">
        <v>4.06666666666666</v>
      </c>
      <c r="K283" s="8">
        <v>0.95</v>
      </c>
      <c r="L283" s="8">
        <v>2.61333333333333</v>
      </c>
      <c r="M283" s="8">
        <v>4.18333333333333</v>
      </c>
      <c r="N283" s="3"/>
      <c r="O283" s="7">
        <v>281</v>
      </c>
      <c r="P283" s="8">
        <v>3.07356018829332</v>
      </c>
      <c r="Q283" s="8">
        <v>2.68549157073894</v>
      </c>
      <c r="R283" s="8">
        <v>3.86554755993182</v>
      </c>
      <c r="S283" s="8">
        <v>3.202349596769</v>
      </c>
      <c r="T283" s="8">
        <v>2.0932595279969</v>
      </c>
      <c r="U283" s="3"/>
      <c r="V283" s="3"/>
      <c r="W283" s="3"/>
      <c r="X283" s="3"/>
      <c r="Y283" s="3"/>
      <c r="Z283" s="3"/>
      <c r="AA283" s="3"/>
    </row>
    <row x14ac:dyDescent="0.25" r="284" customHeight="1" ht="18.75">
      <c r="A284" s="7">
        <v>282</v>
      </c>
      <c r="B284" s="8">
        <v>10.1257575757575</v>
      </c>
      <c r="C284" s="8">
        <v>13.6933333333333</v>
      </c>
      <c r="D284" s="8">
        <v>12.4857142857142</v>
      </c>
      <c r="E284" s="8">
        <v>9.102</v>
      </c>
      <c r="F284" s="8">
        <v>11.5291666666666</v>
      </c>
      <c r="G284" s="3"/>
      <c r="H284" s="7">
        <v>282</v>
      </c>
      <c r="I284" s="8">
        <v>2.93636363636363</v>
      </c>
      <c r="J284" s="8">
        <v>4.22</v>
      </c>
      <c r="K284" s="8">
        <v>3.24090909090909</v>
      </c>
      <c r="L284" s="8">
        <v>2.34</v>
      </c>
      <c r="M284" s="8">
        <v>2.21666666666666</v>
      </c>
      <c r="N284" s="3"/>
      <c r="O284" s="7">
        <v>282</v>
      </c>
      <c r="P284" s="8">
        <v>2.88565835028159</v>
      </c>
      <c r="Q284" s="8">
        <v>2.69695906485622</v>
      </c>
      <c r="R284" s="8">
        <v>3.44584243673675</v>
      </c>
      <c r="S284" s="8">
        <v>3.17237402264742</v>
      </c>
      <c r="T284" s="8">
        <v>2.31664724453582</v>
      </c>
      <c r="U284" s="3"/>
      <c r="V284" s="3"/>
      <c r="W284" s="3"/>
      <c r="X284" s="3"/>
      <c r="Y284" s="3"/>
      <c r="Z284" s="3"/>
      <c r="AA284" s="3"/>
    </row>
    <row x14ac:dyDescent="0.25" r="285" customHeight="1" ht="18.75">
      <c r="A285" s="7">
        <v>283</v>
      </c>
      <c r="B285" s="8">
        <v>10.0590909090909</v>
      </c>
      <c r="C285" s="8">
        <v>12.9568965517241</v>
      </c>
      <c r="D285" s="8">
        <v>12.105</v>
      </c>
      <c r="E285" s="8">
        <v>8.87</v>
      </c>
      <c r="F285" s="8">
        <v>11.3166666666666</v>
      </c>
      <c r="G285" s="3"/>
      <c r="H285" s="7">
        <v>283</v>
      </c>
      <c r="I285" s="8">
        <v>2.59393939393939</v>
      </c>
      <c r="J285" s="8">
        <v>4.59666666666666</v>
      </c>
      <c r="K285" s="8">
        <v>3.37142857142857</v>
      </c>
      <c r="L285" s="8">
        <v>3.02</v>
      </c>
      <c r="M285" s="8">
        <v>2.98333333333333</v>
      </c>
      <c r="N285" s="3"/>
      <c r="O285" s="7">
        <v>283</v>
      </c>
      <c r="P285" s="8">
        <v>2.97068142496583</v>
      </c>
      <c r="Q285" s="8">
        <v>2.90409859172514</v>
      </c>
      <c r="R285" s="8">
        <v>3.48119629351732</v>
      </c>
      <c r="S285" s="8">
        <v>2.99275358690517</v>
      </c>
      <c r="T285" s="8">
        <v>2.57259273420483</v>
      </c>
      <c r="U285" s="3"/>
      <c r="V285" s="3"/>
      <c r="W285" s="3"/>
      <c r="X285" s="3"/>
      <c r="Y285" s="3"/>
      <c r="Z285" s="3"/>
      <c r="AA285" s="3"/>
    </row>
    <row x14ac:dyDescent="0.25" r="286" customHeight="1" ht="18.75">
      <c r="A286" s="7">
        <v>284</v>
      </c>
      <c r="B286" s="8">
        <v>10.7469696969696</v>
      </c>
      <c r="C286" s="8">
        <v>13.2293103448275</v>
      </c>
      <c r="D286" s="8">
        <v>11.6636363636363</v>
      </c>
      <c r="E286" s="8">
        <v>9.72291666666666</v>
      </c>
      <c r="F286" s="8">
        <v>12.4666666666666</v>
      </c>
      <c r="G286" s="3"/>
      <c r="H286" s="7">
        <v>284</v>
      </c>
      <c r="I286" s="8">
        <v>1.81818181818181</v>
      </c>
      <c r="J286" s="8">
        <v>2.38965517241379</v>
      </c>
      <c r="K286" s="8">
        <v>2.37272727272727</v>
      </c>
      <c r="L286" s="8">
        <v>0.758620689655172</v>
      </c>
      <c r="M286" s="8">
        <v>3.53333333333333</v>
      </c>
      <c r="N286" s="3"/>
      <c r="O286" s="7">
        <v>284</v>
      </c>
      <c r="P286" s="8">
        <v>3.34151426609408</v>
      </c>
      <c r="Q286" s="8">
        <v>2.90858576113735</v>
      </c>
      <c r="R286" s="8">
        <v>2.95741896649448</v>
      </c>
      <c r="S286" s="8">
        <v>3.19456229498605</v>
      </c>
      <c r="T286" s="8">
        <v>2.44735536591925</v>
      </c>
      <c r="U286" s="3"/>
      <c r="V286" s="3"/>
      <c r="W286" s="3"/>
      <c r="X286" s="3"/>
      <c r="Y286" s="3"/>
      <c r="Z286" s="3"/>
      <c r="AA286" s="3"/>
    </row>
    <row x14ac:dyDescent="0.25" r="287" customHeight="1" ht="18.75">
      <c r="A287" s="7">
        <v>285</v>
      </c>
      <c r="B287" s="8">
        <v>12.0121212121212</v>
      </c>
      <c r="C287" s="8">
        <v>13.7431034482758</v>
      </c>
      <c r="D287" s="8">
        <v>12.7340909090909</v>
      </c>
      <c r="E287" s="8">
        <v>9.83541666666666</v>
      </c>
      <c r="F287" s="8">
        <v>12.5666666666666</v>
      </c>
      <c r="G287" s="3"/>
      <c r="H287" s="7">
        <v>285</v>
      </c>
      <c r="I287" s="8">
        <v>1.73939393939393</v>
      </c>
      <c r="J287" s="8">
        <v>5.39310344827586</v>
      </c>
      <c r="K287" s="8">
        <v>1.76818181818181</v>
      </c>
      <c r="L287" s="8">
        <v>2.34482758620689</v>
      </c>
      <c r="M287" s="8">
        <v>1.88333333333333</v>
      </c>
      <c r="N287" s="3"/>
      <c r="O287" s="7">
        <v>285</v>
      </c>
      <c r="P287" s="8">
        <v>3.87276347842688</v>
      </c>
      <c r="Q287" s="8">
        <v>2.91871304510186</v>
      </c>
      <c r="R287" s="8">
        <v>3.76047684157406</v>
      </c>
      <c r="S287" s="8">
        <v>3.09829846104553</v>
      </c>
      <c r="T287" s="8">
        <v>2.67064369901239</v>
      </c>
      <c r="U287" s="3"/>
      <c r="V287" s="3"/>
      <c r="W287" s="3"/>
      <c r="X287" s="3"/>
      <c r="Y287" s="3"/>
      <c r="Z287" s="3"/>
      <c r="AA287" s="3"/>
    </row>
    <row x14ac:dyDescent="0.25" r="288" customHeight="1" ht="18.75">
      <c r="A288" s="7">
        <v>286</v>
      </c>
      <c r="B288" s="8">
        <v>11.4454545454545</v>
      </c>
      <c r="C288" s="8">
        <v>13.6551724137931</v>
      </c>
      <c r="D288" s="8">
        <v>12.865909090909</v>
      </c>
      <c r="E288" s="8">
        <v>9.03125</v>
      </c>
      <c r="F288" s="8">
        <v>12.1333333333333</v>
      </c>
      <c r="G288" s="3"/>
      <c r="H288" s="7">
        <v>286</v>
      </c>
      <c r="I288" s="8">
        <v>3.22727272727272</v>
      </c>
      <c r="J288" s="8">
        <v>4.95862068965517</v>
      </c>
      <c r="K288" s="8">
        <v>2.03636363636363</v>
      </c>
      <c r="L288" s="8">
        <v>3.38620689655172</v>
      </c>
      <c r="M288" s="8">
        <v>2.66666666666666</v>
      </c>
      <c r="N288" s="3"/>
      <c r="O288" s="7">
        <v>286</v>
      </c>
      <c r="P288" s="8">
        <v>3.76541875326282</v>
      </c>
      <c r="Q288" s="8">
        <v>2.99443158746703</v>
      </c>
      <c r="R288" s="8">
        <v>3.95252338860151</v>
      </c>
      <c r="S288" s="8">
        <v>3.18985560835016</v>
      </c>
      <c r="T288" s="8">
        <v>1.92579725126718</v>
      </c>
      <c r="U288" s="3"/>
      <c r="V288" s="3"/>
      <c r="W288" s="3"/>
      <c r="X288" s="3"/>
      <c r="Y288" s="3"/>
      <c r="Z288" s="3"/>
      <c r="AA288" s="3"/>
    </row>
    <row x14ac:dyDescent="0.25" r="289" customHeight="1" ht="18.75">
      <c r="A289" s="7">
        <v>287</v>
      </c>
      <c r="B289" s="8">
        <v>11.0863636363636</v>
      </c>
      <c r="C289" s="8">
        <v>13.3344827586206</v>
      </c>
      <c r="D289" s="7">
        <v>13</v>
      </c>
      <c r="E289" s="8">
        <v>8.66666666666666</v>
      </c>
      <c r="F289" s="8">
        <v>12.7625</v>
      </c>
      <c r="G289" s="3"/>
      <c r="H289" s="7">
        <v>287</v>
      </c>
      <c r="I289" s="8">
        <v>1.8060606060606</v>
      </c>
      <c r="J289" s="8">
        <v>5.67586206896551</v>
      </c>
      <c r="K289" s="8">
        <v>2.84090909090909</v>
      </c>
      <c r="L289" s="8">
        <v>4.76428571428571</v>
      </c>
      <c r="M289" s="8">
        <v>3.63333333333333</v>
      </c>
      <c r="N289" s="3"/>
      <c r="O289" s="7">
        <v>287</v>
      </c>
      <c r="P289" s="8">
        <v>3.58391690207319</v>
      </c>
      <c r="Q289" s="8">
        <v>2.922005983402</v>
      </c>
      <c r="R289" s="8">
        <v>4.2710218496396</v>
      </c>
      <c r="S289" s="8">
        <v>2.80105279409185</v>
      </c>
      <c r="T289" s="8">
        <v>2.2182002807721</v>
      </c>
      <c r="U289" s="3"/>
      <c r="V289" s="3"/>
      <c r="W289" s="3"/>
      <c r="X289" s="3"/>
      <c r="Y289" s="3"/>
      <c r="Z289" s="3"/>
      <c r="AA289" s="3"/>
    </row>
    <row x14ac:dyDescent="0.25" r="290" customHeight="1" ht="18.75">
      <c r="A290" s="7">
        <v>288</v>
      </c>
      <c r="B290" s="8">
        <v>10.8204545454545</v>
      </c>
      <c r="C290" s="8">
        <v>13.0379310344827</v>
      </c>
      <c r="D290" s="8">
        <v>12.475</v>
      </c>
      <c r="E290" s="8">
        <v>8.96875</v>
      </c>
      <c r="F290" s="8">
        <v>12.675</v>
      </c>
      <c r="G290" s="3"/>
      <c r="H290" s="7">
        <v>288</v>
      </c>
      <c r="I290" s="8">
        <v>1.17272727272727</v>
      </c>
      <c r="J290" s="8">
        <v>5.93448275862069</v>
      </c>
      <c r="K290" s="8">
        <v>1.17727272727272</v>
      </c>
      <c r="L290" s="8">
        <v>2.12142857142857</v>
      </c>
      <c r="M290" s="8">
        <v>4.21666666666666</v>
      </c>
      <c r="N290" s="3"/>
      <c r="O290" s="7">
        <v>288</v>
      </c>
      <c r="P290" s="8">
        <v>3.51359343536869</v>
      </c>
      <c r="Q290" s="8">
        <v>3.1812494285265</v>
      </c>
      <c r="R290" s="8">
        <v>3.97270967504789</v>
      </c>
      <c r="S290" s="8">
        <v>3.37030732229587</v>
      </c>
      <c r="T290" s="8">
        <v>2.3809243707545</v>
      </c>
      <c r="U290" s="3"/>
      <c r="V290" s="3"/>
      <c r="W290" s="3"/>
      <c r="X290" s="3"/>
      <c r="Y290" s="3"/>
      <c r="Z290" s="3"/>
      <c r="AA290" s="3"/>
    </row>
    <row x14ac:dyDescent="0.25" r="291" customHeight="1" ht="18.75">
      <c r="A291" s="7">
        <v>289</v>
      </c>
      <c r="B291" s="8">
        <v>11.3825757575757</v>
      </c>
      <c r="C291" s="8">
        <v>13.0948275862068</v>
      </c>
      <c r="D291" s="8">
        <v>12.9477272727272</v>
      </c>
      <c r="E291" s="8">
        <v>10.0104166666666</v>
      </c>
      <c r="F291" s="8">
        <v>12.3041666666666</v>
      </c>
      <c r="G291" s="3"/>
      <c r="H291" s="7">
        <v>289</v>
      </c>
      <c r="I291" s="8">
        <v>0.981818181818181</v>
      </c>
      <c r="J291" s="8">
        <v>3.28620689655172</v>
      </c>
      <c r="K291" s="8">
        <v>0.572727272727272</v>
      </c>
      <c r="L291" s="8">
        <v>2.61428571428571</v>
      </c>
      <c r="M291" s="8">
        <v>1.46666666666666</v>
      </c>
      <c r="N291" s="3"/>
      <c r="O291" s="7">
        <v>289</v>
      </c>
      <c r="P291" s="8">
        <v>3.66659887182134</v>
      </c>
      <c r="Q291" s="8">
        <v>3.18464626717392</v>
      </c>
      <c r="R291" s="8">
        <v>4.1993593309668</v>
      </c>
      <c r="S291" s="8">
        <v>3.38126626556343</v>
      </c>
      <c r="T291" s="8">
        <v>2.78003773670243</v>
      </c>
      <c r="U291" s="3"/>
      <c r="V291" s="3"/>
      <c r="W291" s="3"/>
      <c r="X291" s="3"/>
      <c r="Y291" s="3"/>
      <c r="Z291" s="3"/>
      <c r="AA291" s="3"/>
    </row>
    <row x14ac:dyDescent="0.25" r="292" customHeight="1" ht="18.75">
      <c r="A292" s="7">
        <v>290</v>
      </c>
      <c r="B292" s="8">
        <v>12.1743939393939</v>
      </c>
      <c r="C292" s="8">
        <v>13.6775862068965</v>
      </c>
      <c r="D292" s="8">
        <v>12.9681818181818</v>
      </c>
      <c r="E292" s="8">
        <v>10.4583333333333</v>
      </c>
      <c r="F292" s="8">
        <v>12.9874999999999</v>
      </c>
      <c r="G292" s="3"/>
      <c r="H292" s="7">
        <v>290</v>
      </c>
      <c r="I292" s="8">
        <v>1.93030303030303</v>
      </c>
      <c r="J292" s="8">
        <v>3.42413793103448</v>
      </c>
      <c r="K292" s="8">
        <v>0.368181818181818</v>
      </c>
      <c r="L292" s="8">
        <v>4.27857142857142</v>
      </c>
      <c r="M292" s="8">
        <v>2.75</v>
      </c>
      <c r="N292" s="3"/>
      <c r="O292" s="7">
        <v>290</v>
      </c>
      <c r="P292" s="8">
        <v>4.42212669136251</v>
      </c>
      <c r="Q292" s="8">
        <v>3.23006026915402</v>
      </c>
      <c r="R292" s="8">
        <v>4.49171137965067</v>
      </c>
      <c r="S292" s="8">
        <v>3.66978471675007</v>
      </c>
      <c r="T292" s="8">
        <v>2.65151934906442</v>
      </c>
      <c r="U292" s="3"/>
      <c r="V292" s="3"/>
      <c r="W292" s="3"/>
      <c r="X292" s="3"/>
      <c r="Y292" s="3"/>
      <c r="Z292" s="3"/>
      <c r="AA292" s="3"/>
    </row>
    <row x14ac:dyDescent="0.25" r="293" customHeight="1" ht="18.75">
      <c r="A293" s="7">
        <v>291</v>
      </c>
      <c r="B293" s="8">
        <v>11.5590909090909</v>
      </c>
      <c r="C293" s="8">
        <v>13.1896551724137</v>
      </c>
      <c r="D293" s="8">
        <v>13.1045454545454</v>
      </c>
      <c r="E293" s="8">
        <v>10.3479166666666</v>
      </c>
      <c r="F293" s="8">
        <v>12.7416666666666</v>
      </c>
      <c r="G293" s="3"/>
      <c r="H293" s="7">
        <v>291</v>
      </c>
      <c r="I293" s="8">
        <v>0.9</v>
      </c>
      <c r="J293" s="8">
        <v>3.65862068965517</v>
      </c>
      <c r="K293" s="8">
        <v>0.922727272727272</v>
      </c>
      <c r="L293" s="8">
        <v>3.22857142857142</v>
      </c>
      <c r="M293" s="8">
        <v>3.06666666666666</v>
      </c>
      <c r="N293" s="3"/>
      <c r="O293" s="7">
        <v>291</v>
      </c>
      <c r="P293" s="8">
        <v>4.1615819400289</v>
      </c>
      <c r="Q293" s="8">
        <v>2.98673361950474</v>
      </c>
      <c r="R293" s="8">
        <v>4.18606743620027</v>
      </c>
      <c r="S293" s="8">
        <v>3.65010977084829</v>
      </c>
      <c r="T293" s="8">
        <v>2.23464380032545</v>
      </c>
      <c r="U293" s="3"/>
      <c r="V293" s="3"/>
      <c r="W293" s="3"/>
      <c r="X293" s="3"/>
      <c r="Y293" s="3"/>
      <c r="Z293" s="3"/>
      <c r="AA293" s="3"/>
    </row>
    <row x14ac:dyDescent="0.25" r="294" customHeight="1" ht="18.75">
      <c r="A294" s="7">
        <v>292</v>
      </c>
      <c r="B294" s="8">
        <v>11.530303030303</v>
      </c>
      <c r="C294" s="8">
        <v>12.9428571428571</v>
      </c>
      <c r="D294" s="8">
        <v>11.5318181818181</v>
      </c>
      <c r="E294" s="8">
        <v>9.78478260869565</v>
      </c>
      <c r="F294" s="8">
        <v>12.1541666666666</v>
      </c>
      <c r="G294" s="3"/>
      <c r="H294" s="7">
        <v>292</v>
      </c>
      <c r="I294" s="8">
        <v>2.16363636363636</v>
      </c>
      <c r="J294" s="8">
        <v>2.38928571428571</v>
      </c>
      <c r="K294" s="8">
        <v>3.06363636363636</v>
      </c>
      <c r="L294" s="8">
        <v>4.02962962962962</v>
      </c>
      <c r="M294" s="8">
        <v>1.1</v>
      </c>
      <c r="N294" s="3"/>
      <c r="O294" s="7">
        <v>292</v>
      </c>
      <c r="P294" s="8">
        <v>4.1616928735003</v>
      </c>
      <c r="Q294" s="8">
        <v>3.38778606712856</v>
      </c>
      <c r="R294" s="8">
        <v>3.94134196357656</v>
      </c>
      <c r="S294" s="8">
        <v>3.62574940177287</v>
      </c>
      <c r="T294" s="8">
        <v>2.99050039901836</v>
      </c>
      <c r="U294" s="3"/>
      <c r="V294" s="3"/>
      <c r="W294" s="3"/>
      <c r="X294" s="3"/>
      <c r="Y294" s="3"/>
      <c r="Z294" s="3"/>
      <c r="AA294" s="3"/>
    </row>
    <row x14ac:dyDescent="0.25" r="295" customHeight="1" ht="18.75">
      <c r="A295" s="7">
        <v>293</v>
      </c>
      <c r="B295" s="8">
        <v>11.5924242424242</v>
      </c>
      <c r="C295" s="8">
        <v>12.8196428571428</v>
      </c>
      <c r="D295" s="8">
        <v>12.4068181818181</v>
      </c>
      <c r="E295" s="8">
        <v>10.5249999999999</v>
      </c>
      <c r="F295" s="8">
        <v>12.6666666666666</v>
      </c>
      <c r="G295" s="3"/>
      <c r="H295" s="7">
        <v>293</v>
      </c>
      <c r="I295" s="8">
        <v>0.687878787878787</v>
      </c>
      <c r="J295" s="8">
        <v>1.61428571428571</v>
      </c>
      <c r="K295" s="8">
        <v>0.613636363636363</v>
      </c>
      <c r="L295" s="8">
        <v>2.45</v>
      </c>
      <c r="M295" s="8">
        <v>1.13333333333333</v>
      </c>
      <c r="N295" s="3"/>
      <c r="O295" s="7">
        <v>293</v>
      </c>
      <c r="P295" s="8">
        <v>4.13556381048545</v>
      </c>
      <c r="Q295" s="8">
        <v>3.30175747979975</v>
      </c>
      <c r="R295" s="8">
        <v>4.003749022772</v>
      </c>
      <c r="S295" s="8">
        <v>3.66959381833122</v>
      </c>
      <c r="T295" s="8">
        <v>2.71342623557686</v>
      </c>
      <c r="U295" s="3"/>
      <c r="V295" s="3"/>
      <c r="W295" s="3"/>
      <c r="X295" s="3"/>
      <c r="Y295" s="3"/>
      <c r="Z295" s="3"/>
      <c r="AA295" s="3"/>
    </row>
    <row x14ac:dyDescent="0.25" r="296" customHeight="1" ht="18.75">
      <c r="A296" s="7">
        <v>294</v>
      </c>
      <c r="B296" s="8">
        <v>12.6712121212121</v>
      </c>
      <c r="C296" s="8">
        <v>13.2785714285714</v>
      </c>
      <c r="D296" s="8">
        <v>12.4681818181818</v>
      </c>
      <c r="E296" s="8">
        <v>10.5291666666666</v>
      </c>
      <c r="F296" s="8">
        <v>12.4916666666666</v>
      </c>
      <c r="G296" s="3"/>
      <c r="H296" s="7">
        <v>294</v>
      </c>
      <c r="I296" s="8">
        <v>0.915151515151515</v>
      </c>
      <c r="J296" s="8">
        <v>2.92142857142857</v>
      </c>
      <c r="K296" s="8">
        <v>4.87727272727272</v>
      </c>
      <c r="L296" s="8">
        <v>3.22142857142857</v>
      </c>
      <c r="M296" s="8">
        <v>0.516666666666666</v>
      </c>
      <c r="N296" s="3"/>
      <c r="O296" s="7">
        <v>294</v>
      </c>
      <c r="P296" s="8">
        <v>4.25486891243482</v>
      </c>
      <c r="Q296" s="8">
        <v>2.93722479456155</v>
      </c>
      <c r="R296" s="8">
        <v>4.56611491587776</v>
      </c>
      <c r="S296" s="8">
        <v>3.59590178553324</v>
      </c>
      <c r="T296" s="8">
        <v>2.2874725559703</v>
      </c>
      <c r="U296" s="3"/>
      <c r="V296" s="3"/>
      <c r="W296" s="3"/>
      <c r="X296" s="3"/>
      <c r="Y296" s="3"/>
      <c r="Z296" s="3"/>
      <c r="AA296" s="3"/>
    </row>
    <row x14ac:dyDescent="0.25" r="297" customHeight="1" ht="18.75">
      <c r="A297" s="7">
        <v>295</v>
      </c>
      <c r="B297" s="8">
        <v>11.5966666666666</v>
      </c>
      <c r="C297" s="8">
        <v>13.5625</v>
      </c>
      <c r="D297" s="8">
        <v>12.75</v>
      </c>
      <c r="E297" s="8">
        <v>9.54583333333333</v>
      </c>
      <c r="F297" s="8">
        <v>12.925</v>
      </c>
      <c r="G297" s="3"/>
      <c r="H297" s="7">
        <v>295</v>
      </c>
      <c r="I297" s="8">
        <v>1.07575757575757</v>
      </c>
      <c r="J297" s="8">
        <v>3.34999999999999</v>
      </c>
      <c r="K297" s="8">
        <v>1.66363636363636</v>
      </c>
      <c r="L297" s="8">
        <v>2.88571428571428</v>
      </c>
      <c r="M297" s="8">
        <v>3.71666666666666</v>
      </c>
      <c r="N297" s="3"/>
      <c r="O297" s="7">
        <v>295</v>
      </c>
      <c r="P297" s="8">
        <v>3.88928501166515</v>
      </c>
      <c r="Q297" s="8">
        <v>2.91121285480416</v>
      </c>
      <c r="R297" s="8">
        <v>3.88377719817711</v>
      </c>
      <c r="S297" s="8">
        <v>3.20174091585001</v>
      </c>
      <c r="T297" s="8">
        <v>2.31884542682567</v>
      </c>
      <c r="U297" s="3"/>
      <c r="V297" s="3"/>
      <c r="W297" s="3"/>
      <c r="X297" s="3"/>
      <c r="Y297" s="3"/>
      <c r="Z297" s="3"/>
      <c r="AA297" s="3"/>
    </row>
    <row x14ac:dyDescent="0.25" r="298" customHeight="1" ht="18.75">
      <c r="A298" s="7">
        <v>296</v>
      </c>
      <c r="B298" s="8">
        <v>11.5331818181818</v>
      </c>
      <c r="C298" s="8">
        <v>13.9310344827586</v>
      </c>
      <c r="D298" s="8">
        <v>12.1318181818181</v>
      </c>
      <c r="E298" s="8">
        <v>9.66041666666666</v>
      </c>
      <c r="F298" s="8">
        <v>12.2291666666666</v>
      </c>
      <c r="G298" s="3"/>
      <c r="H298" s="7">
        <v>296</v>
      </c>
      <c r="I298" s="8">
        <v>1.57575757575757</v>
      </c>
      <c r="J298" s="8">
        <v>4.61379310344827</v>
      </c>
      <c r="K298" s="8">
        <v>1.53636363636363</v>
      </c>
      <c r="L298" s="8">
        <v>3.33571428571428</v>
      </c>
      <c r="M298" s="8">
        <v>2.83333333333333</v>
      </c>
      <c r="N298" s="3"/>
      <c r="O298" s="7">
        <v>296</v>
      </c>
      <c r="P298" s="8">
        <v>3.75382141279185</v>
      </c>
      <c r="Q298" s="8">
        <v>3.5318790230099</v>
      </c>
      <c r="R298" s="8">
        <v>4.332717693213</v>
      </c>
      <c r="S298" s="8">
        <v>3.16751303663472</v>
      </c>
      <c r="T298" s="8">
        <v>2.71509990931478</v>
      </c>
      <c r="U298" s="3"/>
      <c r="V298" s="3"/>
      <c r="W298" s="3"/>
      <c r="X298" s="3"/>
      <c r="Y298" s="3"/>
      <c r="Z298" s="3"/>
      <c r="AA298" s="3"/>
    </row>
    <row x14ac:dyDescent="0.25" r="299" customHeight="1" ht="18.75">
      <c r="A299" s="7">
        <v>297</v>
      </c>
      <c r="B299" s="8">
        <v>11.6060606060606</v>
      </c>
      <c r="C299" s="8">
        <v>13.3362068965517</v>
      </c>
      <c r="D299" s="8">
        <v>11.7931818181818</v>
      </c>
      <c r="E299" s="8">
        <v>10.5604166666666</v>
      </c>
      <c r="F299" s="8">
        <v>12.2708333333333</v>
      </c>
      <c r="G299" s="3"/>
      <c r="H299" s="7">
        <v>297</v>
      </c>
      <c r="I299" s="8">
        <v>0.954545454545454</v>
      </c>
      <c r="J299" s="8">
        <v>3.30689655172413</v>
      </c>
      <c r="K299" s="8">
        <v>1.2090909090909</v>
      </c>
      <c r="L299" s="8">
        <v>2.44285714285714</v>
      </c>
      <c r="M299" s="8">
        <v>0.85</v>
      </c>
      <c r="N299" s="3"/>
      <c r="O299" s="7">
        <v>297</v>
      </c>
      <c r="P299" s="8">
        <v>3.99202824409509</v>
      </c>
      <c r="Q299" s="8">
        <v>3.25786374690817</v>
      </c>
      <c r="R299" s="8">
        <v>3.51202858045022</v>
      </c>
      <c r="S299" s="8">
        <v>3.9950820359854</v>
      </c>
      <c r="T299" s="8">
        <v>2.95103134032406</v>
      </c>
      <c r="U299" s="3"/>
      <c r="V299" s="3"/>
      <c r="W299" s="3"/>
      <c r="X299" s="3"/>
      <c r="Y299" s="3"/>
      <c r="Z299" s="3"/>
      <c r="AA299" s="3"/>
    </row>
    <row x14ac:dyDescent="0.25" r="300" customHeight="1" ht="18.75">
      <c r="A300" s="7">
        <v>298</v>
      </c>
      <c r="B300" s="8">
        <v>11.8212121212121</v>
      </c>
      <c r="C300" s="8">
        <v>13.7896551724137</v>
      </c>
      <c r="D300" s="8">
        <v>12.5318181818181</v>
      </c>
      <c r="E300" s="8">
        <v>10.43125</v>
      </c>
      <c r="F300" s="8">
        <v>12.8583333333333</v>
      </c>
      <c r="G300" s="3"/>
      <c r="H300" s="7">
        <v>298</v>
      </c>
      <c r="I300" s="8">
        <v>0.13030303030303</v>
      </c>
      <c r="J300" s="8">
        <v>1.81724137931034</v>
      </c>
      <c r="K300" s="8">
        <v>0.34090909090909</v>
      </c>
      <c r="L300" s="8">
        <v>1.38571428571428</v>
      </c>
      <c r="M300" s="8">
        <v>1.03333333333333</v>
      </c>
      <c r="N300" s="3"/>
      <c r="O300" s="7">
        <v>298</v>
      </c>
      <c r="P300" s="8">
        <v>3.94572673133468</v>
      </c>
      <c r="Q300" s="8">
        <v>3.41015310496999</v>
      </c>
      <c r="R300" s="8">
        <v>4.22184084168085</v>
      </c>
      <c r="S300" s="8">
        <v>3.85285471712224</v>
      </c>
      <c r="T300" s="8">
        <v>2.68427248328324</v>
      </c>
      <c r="U300" s="3"/>
      <c r="V300" s="3"/>
      <c r="W300" s="3"/>
      <c r="X300" s="3"/>
      <c r="Y300" s="3"/>
      <c r="Z300" s="3"/>
      <c r="AA300" s="3"/>
    </row>
    <row x14ac:dyDescent="0.25" r="301" customHeight="1" ht="18.75">
      <c r="A301" s="7">
        <v>299</v>
      </c>
      <c r="B301" s="8">
        <v>12.8742424242424</v>
      </c>
      <c r="C301" s="8">
        <v>14.0810344827586</v>
      </c>
      <c r="D301" s="8">
        <v>12.9363636363636</v>
      </c>
      <c r="E301" s="8">
        <v>11.08125</v>
      </c>
      <c r="F301" s="8">
        <v>13.7708333333333</v>
      </c>
      <c r="G301" s="3"/>
      <c r="H301" s="7">
        <v>299</v>
      </c>
      <c r="I301" s="8">
        <v>1.03939393939393</v>
      </c>
      <c r="J301" s="8">
        <v>0.789655172413793</v>
      </c>
      <c r="K301" s="8">
        <v>0.513636363636363</v>
      </c>
      <c r="L301" s="8">
        <v>3.02857142857142</v>
      </c>
      <c r="M301" s="8">
        <v>3.51666666666666</v>
      </c>
      <c r="N301" s="3"/>
      <c r="O301" s="7">
        <v>299</v>
      </c>
      <c r="P301" s="8">
        <v>4.24133991088486</v>
      </c>
      <c r="Q301" s="8">
        <v>3.27644181278915</v>
      </c>
      <c r="R301" s="8">
        <v>4.07909072422762</v>
      </c>
      <c r="S301" s="8">
        <v>3.68856885599753</v>
      </c>
      <c r="T301" s="8">
        <v>2.91343955355575</v>
      </c>
      <c r="U301" s="3"/>
      <c r="V301" s="3"/>
      <c r="W301" s="3"/>
      <c r="X301" s="3"/>
      <c r="Y301" s="3"/>
      <c r="Z301" s="3"/>
      <c r="AA301" s="3"/>
    </row>
    <row x14ac:dyDescent="0.25" r="302" customHeight="1" ht="18.75">
      <c r="A302" s="7">
        <v>300</v>
      </c>
      <c r="B302" s="8">
        <v>12.3921212121212</v>
      </c>
      <c r="C302" s="8">
        <v>14.8396551724137</v>
      </c>
      <c r="D302" s="8">
        <v>13.0068181818181</v>
      </c>
      <c r="E302" s="8">
        <v>10.2999999999999</v>
      </c>
      <c r="F302" s="8">
        <v>13.8999999999999</v>
      </c>
      <c r="G302" s="3"/>
      <c r="H302" s="7">
        <v>300</v>
      </c>
      <c r="I302" s="8">
        <v>1.66060606060606</v>
      </c>
      <c r="J302" s="8">
        <v>3.42413793103448</v>
      </c>
      <c r="K302" s="8">
        <v>1.94545454545454</v>
      </c>
      <c r="L302" s="8">
        <v>1.55172413793103</v>
      </c>
      <c r="M302" s="8">
        <v>4.75</v>
      </c>
      <c r="N302" s="3"/>
      <c r="O302" s="7">
        <v>300</v>
      </c>
      <c r="P302" s="8">
        <v>3.98512648995679</v>
      </c>
      <c r="Q302" s="8">
        <v>3.3023555527193</v>
      </c>
      <c r="R302" s="8">
        <v>3.79007766670549</v>
      </c>
      <c r="S302" s="8">
        <v>3.36733417458512</v>
      </c>
      <c r="T302" s="8">
        <v>2.45490161411537</v>
      </c>
      <c r="U302" s="3"/>
      <c r="V302" s="3"/>
      <c r="W302" s="3"/>
      <c r="X302" s="3"/>
      <c r="Y302" s="3"/>
      <c r="Z302" s="3"/>
      <c r="AA302" s="3"/>
    </row>
    <row x14ac:dyDescent="0.25" r="303" customHeight="1" ht="18.75">
      <c r="A303" s="7">
        <v>301</v>
      </c>
      <c r="B303" s="8">
        <v>13.0242424242424</v>
      </c>
      <c r="C303" s="8">
        <v>14.2741379310344</v>
      </c>
      <c r="D303" s="8">
        <v>14.0818181818181</v>
      </c>
      <c r="E303" s="8">
        <v>10.8270833333333</v>
      </c>
      <c r="F303" s="8">
        <v>13.425</v>
      </c>
      <c r="G303" s="3"/>
      <c r="H303" s="7">
        <v>301</v>
      </c>
      <c r="I303" s="8">
        <v>1.68484848484848</v>
      </c>
      <c r="J303" s="8">
        <v>4.16206896551724</v>
      </c>
      <c r="K303" s="8">
        <v>1.07272727272727</v>
      </c>
      <c r="L303" s="8">
        <v>1.54482758620689</v>
      </c>
      <c r="M303" s="8">
        <v>5.63333333333333</v>
      </c>
      <c r="N303" s="3"/>
      <c r="O303" s="7">
        <v>301</v>
      </c>
      <c r="P303" s="8">
        <v>4.06785476536513</v>
      </c>
      <c r="Q303" s="8">
        <v>2.93944928519497</v>
      </c>
      <c r="R303" s="8">
        <v>3.90672757386492</v>
      </c>
      <c r="S303" s="8">
        <v>3.39539637200521</v>
      </c>
      <c r="T303" s="8">
        <v>2.58032205544065</v>
      </c>
      <c r="U303" s="3"/>
      <c r="V303" s="3"/>
      <c r="W303" s="3"/>
      <c r="X303" s="3"/>
      <c r="Y303" s="3"/>
      <c r="Z303" s="3"/>
      <c r="AA303" s="3"/>
    </row>
    <row x14ac:dyDescent="0.25" r="304" customHeight="1" ht="18.75">
      <c r="A304" s="7">
        <v>302</v>
      </c>
      <c r="B304" s="8">
        <v>13.2075757575757</v>
      </c>
      <c r="C304" s="8">
        <v>14.29</v>
      </c>
      <c r="D304" s="8">
        <v>14.1404761904761</v>
      </c>
      <c r="E304" s="8">
        <v>10.914</v>
      </c>
      <c r="F304" s="8">
        <v>13.9625</v>
      </c>
      <c r="G304" s="3"/>
      <c r="H304" s="7">
        <v>302</v>
      </c>
      <c r="I304" s="7">
        <v>1</v>
      </c>
      <c r="J304" s="8">
        <v>2.49333333333333</v>
      </c>
      <c r="K304" s="8">
        <v>0.59090909090909</v>
      </c>
      <c r="L304" s="8">
        <v>3.75333333333333</v>
      </c>
      <c r="M304" s="8">
        <v>3.78333333333333</v>
      </c>
      <c r="N304" s="3"/>
      <c r="O304" s="7">
        <v>302</v>
      </c>
      <c r="P304" s="8">
        <v>3.86387432345786</v>
      </c>
      <c r="Q304" s="8">
        <v>3.17933085230336</v>
      </c>
      <c r="R304" s="8">
        <v>4.42904991992533</v>
      </c>
      <c r="S304" s="8">
        <v>3.44344927028429</v>
      </c>
      <c r="T304" s="8">
        <v>2.91115304555708</v>
      </c>
      <c r="U304" s="3"/>
      <c r="V304" s="3"/>
      <c r="W304" s="3"/>
      <c r="X304" s="3"/>
      <c r="Y304" s="3"/>
      <c r="Z304" s="3"/>
      <c r="AA304" s="3"/>
    </row>
    <row x14ac:dyDescent="0.25" r="305" customHeight="1" ht="18.75">
      <c r="A305" s="7">
        <v>303</v>
      </c>
      <c r="B305" s="8">
        <v>12.8651515151515</v>
      </c>
      <c r="C305" s="8">
        <v>14.715</v>
      </c>
      <c r="D305" s="8">
        <v>13.8833333333333</v>
      </c>
      <c r="E305" s="8">
        <v>11.142</v>
      </c>
      <c r="F305" s="8">
        <v>13.0458333333333</v>
      </c>
      <c r="G305" s="3"/>
      <c r="H305" s="7">
        <v>303</v>
      </c>
      <c r="I305" s="8">
        <v>1.44848484848484</v>
      </c>
      <c r="J305" s="8">
        <v>1.99</v>
      </c>
      <c r="K305" s="8">
        <v>0.75</v>
      </c>
      <c r="L305" s="8">
        <v>2.33333333333333</v>
      </c>
      <c r="M305" s="8">
        <v>0.399999999999999</v>
      </c>
      <c r="N305" s="3"/>
      <c r="O305" s="7">
        <v>303</v>
      </c>
      <c r="P305" s="8">
        <v>4.21710928065719</v>
      </c>
      <c r="Q305" s="8">
        <v>3.29081496194249</v>
      </c>
      <c r="R305" s="8">
        <v>4.53362117874872</v>
      </c>
      <c r="S305" s="8">
        <v>3.3627687789188</v>
      </c>
      <c r="T305" s="8">
        <v>3.19138361024571</v>
      </c>
      <c r="U305" s="3"/>
      <c r="V305" s="3"/>
      <c r="W305" s="3"/>
      <c r="X305" s="3"/>
      <c r="Y305" s="3"/>
      <c r="Z305" s="3"/>
      <c r="AA305" s="3"/>
    </row>
    <row x14ac:dyDescent="0.25" r="306" customHeight="1" ht="18.75">
      <c r="A306" s="7">
        <v>304</v>
      </c>
      <c r="B306" s="8">
        <v>12.8045454545454</v>
      </c>
      <c r="C306" s="8">
        <v>14.5266666666666</v>
      </c>
      <c r="D306" s="8">
        <v>13.3190476190476</v>
      </c>
      <c r="E306" s="8">
        <v>11.32</v>
      </c>
      <c r="F306" s="8">
        <v>12.6166666666666</v>
      </c>
      <c r="G306" s="3"/>
      <c r="H306" s="7">
        <v>304</v>
      </c>
      <c r="I306" s="8">
        <v>0.387878787878787</v>
      </c>
      <c r="J306" s="8">
        <v>1.75</v>
      </c>
      <c r="K306" s="8">
        <v>0.413636363636363</v>
      </c>
      <c r="L306" s="8">
        <v>2.01333333333333</v>
      </c>
      <c r="M306" s="8">
        <v>3.46666666666666</v>
      </c>
      <c r="N306" s="3"/>
      <c r="O306" s="7">
        <v>304</v>
      </c>
      <c r="P306" s="8">
        <v>4.40063017658877</v>
      </c>
      <c r="Q306" s="8">
        <v>3.79106214932993</v>
      </c>
      <c r="R306" s="8">
        <v>4.45437113691207</v>
      </c>
      <c r="S306" s="8">
        <v>3.6212758496943</v>
      </c>
      <c r="T306" s="8">
        <v>3.18148062220993</v>
      </c>
      <c r="U306" s="3"/>
      <c r="V306" s="3"/>
      <c r="W306" s="3"/>
      <c r="X306" s="3"/>
      <c r="Y306" s="3"/>
      <c r="Z306" s="3"/>
      <c r="AA306" s="3"/>
    </row>
    <row x14ac:dyDescent="0.25" r="307" customHeight="1" ht="18.75">
      <c r="A307" s="7">
        <v>305</v>
      </c>
      <c r="B307" s="8">
        <v>13.4363636363636</v>
      </c>
      <c r="C307" s="8">
        <v>14.0416666666666</v>
      </c>
      <c r="D307" s="8">
        <v>12.8166666666666</v>
      </c>
      <c r="E307" s="8">
        <v>11.294</v>
      </c>
      <c r="F307" s="8">
        <v>12.4791666666666</v>
      </c>
      <c r="G307" s="3"/>
      <c r="H307" s="7">
        <v>305</v>
      </c>
      <c r="I307" s="8">
        <v>0.821212121212121</v>
      </c>
      <c r="J307" s="8">
        <v>2.11666666666666</v>
      </c>
      <c r="K307" s="8">
        <v>0.568181818181818</v>
      </c>
      <c r="L307" s="8">
        <v>1.83333333333333</v>
      </c>
      <c r="M307" s="8">
        <v>2.68333333333333</v>
      </c>
      <c r="N307" s="3"/>
      <c r="O307" s="7">
        <v>305</v>
      </c>
      <c r="P307" s="8">
        <v>4.60601033771936</v>
      </c>
      <c r="Q307" s="8">
        <v>3.72739580644133</v>
      </c>
      <c r="R307" s="8">
        <v>4.22280705238824</v>
      </c>
      <c r="S307" s="8">
        <v>3.62210650038232</v>
      </c>
      <c r="T307" s="8">
        <v>3.10071413734763</v>
      </c>
      <c r="U307" s="3"/>
      <c r="V307" s="3"/>
      <c r="W307" s="3"/>
      <c r="X307" s="3"/>
      <c r="Y307" s="3"/>
      <c r="Z307" s="3"/>
      <c r="AA307" s="3"/>
    </row>
    <row x14ac:dyDescent="0.25" r="308" customHeight="1" ht="18.75">
      <c r="A308" s="7">
        <v>306</v>
      </c>
      <c r="B308" s="8">
        <v>12.7560606060606</v>
      </c>
      <c r="C308" s="8">
        <v>14.0983333333333</v>
      </c>
      <c r="D308" s="8">
        <v>13.1523809523809</v>
      </c>
      <c r="E308" s="8">
        <v>10.39</v>
      </c>
      <c r="F308" s="8">
        <v>13.3125</v>
      </c>
      <c r="G308" s="3"/>
      <c r="H308" s="7">
        <v>306</v>
      </c>
      <c r="I308" s="8">
        <v>1.57272727272727</v>
      </c>
      <c r="J308" s="8">
        <v>0.94</v>
      </c>
      <c r="K308" s="8">
        <v>0.145454545454545</v>
      </c>
      <c r="L308" s="8">
        <v>2.00666666666666</v>
      </c>
      <c r="M308" s="8">
        <v>1.68333333333333</v>
      </c>
      <c r="N308" s="3"/>
      <c r="O308" s="7">
        <v>306</v>
      </c>
      <c r="P308" s="8">
        <v>4.40783407748434</v>
      </c>
      <c r="Q308" s="8">
        <v>3.7508089301659</v>
      </c>
      <c r="R308" s="8">
        <v>4.66011641326313</v>
      </c>
      <c r="S308" s="8">
        <v>3.72011959266751</v>
      </c>
      <c r="T308" s="8">
        <v>3.50405600149278</v>
      </c>
      <c r="U308" s="3"/>
      <c r="V308" s="3"/>
      <c r="W308" s="3"/>
      <c r="X308" s="3"/>
      <c r="Y308" s="3"/>
      <c r="Z308" s="3"/>
      <c r="AA308" s="3"/>
    </row>
    <row x14ac:dyDescent="0.25" r="309" customHeight="1" ht="18.75">
      <c r="A309" s="7">
        <v>307</v>
      </c>
      <c r="B309" s="8">
        <v>12.960606060606</v>
      </c>
      <c r="C309" s="8">
        <v>13.9933333333333</v>
      </c>
      <c r="D309" s="8">
        <v>13.7023809523809</v>
      </c>
      <c r="E309" s="8">
        <v>10.3875</v>
      </c>
      <c r="F309" s="8">
        <v>14.35</v>
      </c>
      <c r="G309" s="3"/>
      <c r="H309" s="7">
        <v>307</v>
      </c>
      <c r="I309" s="8">
        <v>0.869696969696969</v>
      </c>
      <c r="J309" s="8">
        <v>2.42</v>
      </c>
      <c r="K309" s="8">
        <v>0.504545454545454</v>
      </c>
      <c r="L309" s="8">
        <v>2.02068965517241</v>
      </c>
      <c r="M309" s="8">
        <v>5.13333333333333</v>
      </c>
      <c r="N309" s="3"/>
      <c r="O309" s="7">
        <v>307</v>
      </c>
      <c r="P309" s="8">
        <v>4.73557571097752</v>
      </c>
      <c r="Q309" s="8">
        <v>3.24965464984922</v>
      </c>
      <c r="R309" s="8">
        <v>4.09368004315249</v>
      </c>
      <c r="S309" s="8">
        <v>3.92298007276398</v>
      </c>
      <c r="T309" s="8">
        <v>2.61745839191309</v>
      </c>
      <c r="U309" s="3"/>
      <c r="V309" s="3"/>
      <c r="W309" s="3"/>
      <c r="X309" s="3"/>
      <c r="Y309" s="3"/>
      <c r="Z309" s="3"/>
      <c r="AA309" s="3"/>
    </row>
    <row x14ac:dyDescent="0.25" r="310" customHeight="1" ht="18.75">
      <c r="A310" s="7">
        <v>308</v>
      </c>
      <c r="B310" s="8">
        <v>13.0166666666666</v>
      </c>
      <c r="C310" s="8">
        <v>14.2016666666666</v>
      </c>
      <c r="D310" s="8">
        <v>13.8590909090909</v>
      </c>
      <c r="E310" s="8">
        <v>10.3958333333333</v>
      </c>
      <c r="F310" s="8">
        <v>13.875</v>
      </c>
      <c r="G310" s="3"/>
      <c r="H310" s="7">
        <v>308</v>
      </c>
      <c r="I310" s="8">
        <v>0.972727272727272</v>
      </c>
      <c r="J310" s="8">
        <v>3.21999999999999</v>
      </c>
      <c r="K310" s="8">
        <v>1.94545454545454</v>
      </c>
      <c r="L310" s="8">
        <v>2.42068965517241</v>
      </c>
      <c r="M310" s="8">
        <v>1.86666666666666</v>
      </c>
      <c r="N310" s="3"/>
      <c r="O310" s="7">
        <v>308</v>
      </c>
      <c r="P310" s="8">
        <v>4.68162343232574</v>
      </c>
      <c r="Q310" s="8">
        <v>3.39173082439934</v>
      </c>
      <c r="R310" s="8">
        <v>4.53571929604068</v>
      </c>
      <c r="S310" s="8">
        <v>3.77210360115037</v>
      </c>
      <c r="T310" s="8">
        <v>2.73926070739456</v>
      </c>
      <c r="U310" s="3"/>
      <c r="V310" s="3"/>
      <c r="W310" s="3"/>
      <c r="X310" s="3"/>
      <c r="Y310" s="3"/>
      <c r="Z310" s="3"/>
      <c r="AA310" s="3"/>
    </row>
    <row x14ac:dyDescent="0.25" r="311" customHeight="1" ht="18.75">
      <c r="A311" s="7">
        <v>309</v>
      </c>
      <c r="B311" s="8">
        <v>12.8439393939393</v>
      </c>
      <c r="C311" s="8">
        <v>14.5483333333333</v>
      </c>
      <c r="D311" s="8">
        <v>13.5886363636363</v>
      </c>
      <c r="E311" s="8">
        <v>10.4520833333333</v>
      </c>
      <c r="F311" s="8">
        <v>13.3166666666666</v>
      </c>
      <c r="G311" s="3"/>
      <c r="H311" s="7">
        <v>309</v>
      </c>
      <c r="I311" s="8">
        <v>1.7090909090909</v>
      </c>
      <c r="J311" s="8">
        <v>6.21666666666666</v>
      </c>
      <c r="K311" s="8">
        <v>0.49090909090909</v>
      </c>
      <c r="L311" s="8">
        <v>3.54482758620689</v>
      </c>
      <c r="M311" s="8">
        <v>1.13333333333333</v>
      </c>
      <c r="N311" s="3"/>
      <c r="O311" s="7">
        <v>309</v>
      </c>
      <c r="P311" s="8">
        <v>4.67274632690624</v>
      </c>
      <c r="Q311" s="8">
        <v>3.4940085056697</v>
      </c>
      <c r="R311" s="8">
        <v>4.04685508711509</v>
      </c>
      <c r="S311" s="8">
        <v>3.88455253177142</v>
      </c>
      <c r="T311" s="8">
        <v>3.41355453663791</v>
      </c>
      <c r="U311" s="3"/>
      <c r="V311" s="3"/>
      <c r="W311" s="3"/>
      <c r="X311" s="3"/>
      <c r="Y311" s="3"/>
      <c r="Z311" s="3"/>
      <c r="AA311" s="3"/>
    </row>
    <row x14ac:dyDescent="0.25" r="312" customHeight="1" ht="18.75">
      <c r="A312" s="7">
        <v>310</v>
      </c>
      <c r="B312" s="8">
        <v>12.3196969696969</v>
      </c>
      <c r="C312" s="8">
        <v>14.1566666666666</v>
      </c>
      <c r="D312" s="8">
        <v>12.7272727272727</v>
      </c>
      <c r="E312" s="8">
        <v>11.3395833333333</v>
      </c>
      <c r="F312" s="8">
        <v>13.1454545454545</v>
      </c>
      <c r="G312" s="3"/>
      <c r="H312" s="7">
        <v>310</v>
      </c>
      <c r="I312" s="8">
        <v>1.2030303030303</v>
      </c>
      <c r="J312" s="8">
        <v>4.19999999999999</v>
      </c>
      <c r="K312" s="8">
        <v>2.6090909090909</v>
      </c>
      <c r="L312" s="8">
        <v>1.2</v>
      </c>
      <c r="M312" s="8">
        <v>0.472727272727272</v>
      </c>
      <c r="N312" s="3"/>
      <c r="O312" s="7">
        <v>310</v>
      </c>
      <c r="P312" s="8">
        <v>4.21800587634688</v>
      </c>
      <c r="Q312" s="8">
        <v>3.62905188374803</v>
      </c>
      <c r="R312" s="8">
        <v>3.97053574183124</v>
      </c>
      <c r="S312" s="8">
        <v>4.07605342352331</v>
      </c>
      <c r="T312" s="8">
        <v>3.29631317880193</v>
      </c>
      <c r="U312" s="3"/>
      <c r="V312" s="3"/>
      <c r="W312" s="3"/>
      <c r="X312" s="3"/>
      <c r="Y312" s="3"/>
      <c r="Z312" s="3"/>
      <c r="AA312" s="3"/>
    </row>
    <row x14ac:dyDescent="0.25" r="313" customHeight="1" ht="18.75">
      <c r="A313" s="7">
        <v>311</v>
      </c>
      <c r="B313" s="8">
        <v>12.6025757575757</v>
      </c>
      <c r="C313" s="8">
        <v>14.4666666666666</v>
      </c>
      <c r="D313" s="8">
        <v>13.565909090909</v>
      </c>
      <c r="E313" s="8">
        <v>11.3173913043478</v>
      </c>
      <c r="F313" s="8">
        <v>13.4166666666666</v>
      </c>
      <c r="G313" s="3"/>
      <c r="H313" s="7">
        <v>311</v>
      </c>
      <c r="I313" s="8">
        <v>2.3060606060606</v>
      </c>
      <c r="J313" s="8">
        <v>4.18333333333333</v>
      </c>
      <c r="K313" s="8">
        <v>0.645454545454545</v>
      </c>
      <c r="L313" s="8">
        <v>2.82142857142857</v>
      </c>
      <c r="M313" s="8">
        <v>2.35</v>
      </c>
      <c r="N313" s="3"/>
      <c r="O313" s="7">
        <v>311</v>
      </c>
      <c r="P313" s="8">
        <v>4.30946728076149</v>
      </c>
      <c r="Q313" s="8">
        <v>3.31967250381889</v>
      </c>
      <c r="R313" s="8">
        <v>4.30008509275141</v>
      </c>
      <c r="S313" s="8">
        <v>4.05205879666858</v>
      </c>
      <c r="T313" s="8">
        <v>3.43315852526095</v>
      </c>
      <c r="U313" s="3"/>
      <c r="V313" s="3"/>
      <c r="W313" s="3"/>
      <c r="X313" s="3"/>
      <c r="Y313" s="3"/>
      <c r="Z313" s="3"/>
      <c r="AA313" s="3"/>
    </row>
    <row x14ac:dyDescent="0.25" r="314" customHeight="1" ht="18.75">
      <c r="A314" s="7">
        <v>312</v>
      </c>
      <c r="B314" s="8">
        <v>12.5471212121212</v>
      </c>
      <c r="C314" s="8">
        <v>14.7283333333333</v>
      </c>
      <c r="D314" s="8">
        <v>14.325</v>
      </c>
      <c r="E314" s="8">
        <v>11.025</v>
      </c>
      <c r="F314" s="8">
        <v>13.8708333333333</v>
      </c>
      <c r="G314" s="3"/>
      <c r="H314" s="7">
        <v>312</v>
      </c>
      <c r="I314" s="8">
        <v>0.927272727272727</v>
      </c>
      <c r="J314" s="8">
        <v>3.48333333333333</v>
      </c>
      <c r="K314" s="8">
        <v>0.486363636363636</v>
      </c>
      <c r="L314" s="8">
        <v>1.6551724137931</v>
      </c>
      <c r="M314" s="8">
        <v>2.86666666666666</v>
      </c>
      <c r="N314" s="3"/>
      <c r="O314" s="7">
        <v>312</v>
      </c>
      <c r="P314" s="8">
        <v>4.13367216364175</v>
      </c>
      <c r="Q314" s="8">
        <v>3.5694722560108</v>
      </c>
      <c r="R314" s="8">
        <v>4.54012040154559</v>
      </c>
      <c r="S314" s="8">
        <v>3.7049667302609</v>
      </c>
      <c r="T314" s="8">
        <v>3.09770464623969</v>
      </c>
      <c r="U314" s="3"/>
      <c r="V314" s="3"/>
      <c r="W314" s="3"/>
      <c r="X314" s="3"/>
      <c r="Y314" s="3"/>
      <c r="Z314" s="3"/>
      <c r="AA314" s="3"/>
    </row>
    <row x14ac:dyDescent="0.25" r="315" customHeight="1" ht="18.75">
      <c r="A315" s="7">
        <v>313</v>
      </c>
      <c r="B315" s="8">
        <v>12.8168181818181</v>
      </c>
      <c r="C315" s="8">
        <v>14.37</v>
      </c>
      <c r="D315" s="8">
        <v>12.740909090909</v>
      </c>
      <c r="E315" s="8">
        <v>11.2520833333333</v>
      </c>
      <c r="F315" s="8">
        <v>14.1583333333333</v>
      </c>
      <c r="G315" s="3"/>
      <c r="H315" s="7">
        <v>313</v>
      </c>
      <c r="I315" s="8">
        <v>1.02121212121212</v>
      </c>
      <c r="J315" s="8">
        <v>3.54333333333333</v>
      </c>
      <c r="K315" s="8">
        <v>2.05</v>
      </c>
      <c r="L315" s="8">
        <v>2.87586206896551</v>
      </c>
      <c r="M315" s="8">
        <v>3.21666666666666</v>
      </c>
      <c r="N315" s="3"/>
      <c r="O315" s="7">
        <v>313</v>
      </c>
      <c r="P315" s="8">
        <v>4.39389153594577</v>
      </c>
      <c r="Q315" s="8">
        <v>3.59987670625004</v>
      </c>
      <c r="R315" s="8">
        <v>4.00847005068838</v>
      </c>
      <c r="S315" s="8">
        <v>3.68682579729604</v>
      </c>
      <c r="T315" s="8">
        <v>3.30249683957073</v>
      </c>
      <c r="U315" s="3"/>
      <c r="V315" s="3"/>
      <c r="W315" s="3"/>
      <c r="X315" s="3"/>
      <c r="Y315" s="3"/>
      <c r="Z315" s="3"/>
      <c r="AA315" s="3"/>
    </row>
    <row x14ac:dyDescent="0.25" r="316" customHeight="1" ht="18.75">
      <c r="A316" s="7">
        <v>314</v>
      </c>
      <c r="B316" s="8">
        <v>14.3348484848484</v>
      </c>
      <c r="C316" s="8">
        <v>14.7216666666666</v>
      </c>
      <c r="D316" s="8">
        <v>13.1886363636363</v>
      </c>
      <c r="E316" s="8">
        <v>11.7916666666666</v>
      </c>
      <c r="F316" s="8">
        <v>13.6666666666666</v>
      </c>
      <c r="G316" s="3"/>
      <c r="H316" s="7">
        <v>314</v>
      </c>
      <c r="I316" s="8">
        <v>0.518181818181818</v>
      </c>
      <c r="J316" s="8">
        <v>2.90333333333333</v>
      </c>
      <c r="K316" s="8">
        <v>0.463636363636363</v>
      </c>
      <c r="L316" s="8">
        <v>1.55862068965517</v>
      </c>
      <c r="M316" s="8">
        <v>2.05</v>
      </c>
      <c r="N316" s="3"/>
      <c r="O316" s="7">
        <v>314</v>
      </c>
      <c r="P316" s="8">
        <v>5.18625604364927</v>
      </c>
      <c r="Q316" s="8">
        <v>3.88546323753093</v>
      </c>
      <c r="R316" s="8">
        <v>4.62485439884985</v>
      </c>
      <c r="S316" s="8">
        <v>4.14296793193748</v>
      </c>
      <c r="T316" s="8">
        <v>2.65869121824901</v>
      </c>
      <c r="U316" s="3"/>
      <c r="V316" s="3"/>
      <c r="W316" s="3"/>
      <c r="X316" s="3"/>
      <c r="Y316" s="3"/>
      <c r="Z316" s="3"/>
      <c r="AA316" s="3"/>
    </row>
    <row x14ac:dyDescent="0.25" r="317" customHeight="1" ht="18.75">
      <c r="A317" s="7">
        <v>315</v>
      </c>
      <c r="B317" s="8">
        <v>13.660606060606</v>
      </c>
      <c r="C317" s="8">
        <v>14.8166666666666</v>
      </c>
      <c r="D317" s="8">
        <v>13.9727272727272</v>
      </c>
      <c r="E317" s="8">
        <v>11.3604166666666</v>
      </c>
      <c r="F317" s="8">
        <v>13.8958333333333</v>
      </c>
      <c r="G317" s="3"/>
      <c r="H317" s="7">
        <v>315</v>
      </c>
      <c r="I317" s="8">
        <v>0.906060606060606</v>
      </c>
      <c r="J317" s="8">
        <v>1.54333333333333</v>
      </c>
      <c r="K317" s="8">
        <v>0.227272727272727</v>
      </c>
      <c r="L317" s="8">
        <v>2.13103448275862</v>
      </c>
      <c r="M317" s="8">
        <v>3.94999999999999</v>
      </c>
      <c r="N317" s="3"/>
      <c r="O317" s="7">
        <v>315</v>
      </c>
      <c r="P317" s="8">
        <v>4.89061249612936</v>
      </c>
      <c r="Q317" s="8">
        <v>3.4766729681443</v>
      </c>
      <c r="R317" s="8">
        <v>4.79052305485155</v>
      </c>
      <c r="S317" s="8">
        <v>4.1215554711878</v>
      </c>
      <c r="T317" s="8">
        <v>2.87577977788037</v>
      </c>
      <c r="U317" s="3"/>
      <c r="V317" s="3"/>
      <c r="W317" s="3"/>
      <c r="X317" s="3"/>
      <c r="Y317" s="3"/>
      <c r="Z317" s="3"/>
      <c r="AA317" s="3"/>
    </row>
    <row x14ac:dyDescent="0.25" r="318" customHeight="1" ht="18.75">
      <c r="A318" s="7">
        <v>316</v>
      </c>
      <c r="B318" s="8">
        <v>13.3045454545454</v>
      </c>
      <c r="C318" s="8">
        <v>14.7883333333333</v>
      </c>
      <c r="D318" s="8">
        <v>13.9886363636363</v>
      </c>
      <c r="E318" s="8">
        <v>10.4282608695652</v>
      </c>
      <c r="F318" s="8">
        <v>13.0625</v>
      </c>
      <c r="G318" s="3"/>
      <c r="H318" s="7">
        <v>316</v>
      </c>
      <c r="I318" s="8">
        <v>2.25757575757575</v>
      </c>
      <c r="J318" s="8">
        <v>3.60666666666666</v>
      </c>
      <c r="K318" s="8">
        <v>0.990909090909091</v>
      </c>
      <c r="L318" s="8">
        <v>2.56296296296296</v>
      </c>
      <c r="M318" s="8">
        <v>3.06666666666666</v>
      </c>
      <c r="N318" s="3"/>
      <c r="O318" s="7">
        <v>316</v>
      </c>
      <c r="P318" s="8">
        <v>4.52628788785374</v>
      </c>
      <c r="Q318" s="8">
        <v>3.49823939059966</v>
      </c>
      <c r="R318" s="8">
        <v>4.45077814938549</v>
      </c>
      <c r="S318" s="8">
        <v>3.70233328751217</v>
      </c>
      <c r="T318" s="8">
        <v>2.89473921218268</v>
      </c>
      <c r="U318" s="3"/>
      <c r="V318" s="3"/>
      <c r="W318" s="3"/>
      <c r="X318" s="3"/>
      <c r="Y318" s="3"/>
      <c r="Z318" s="3"/>
      <c r="AA318" s="3"/>
    </row>
    <row x14ac:dyDescent="0.25" r="319" customHeight="1" ht="18.75">
      <c r="A319" s="7">
        <v>317</v>
      </c>
      <c r="B319" s="8">
        <v>12.4227272727272</v>
      </c>
      <c r="C319" s="8">
        <v>14.5583333333333</v>
      </c>
      <c r="D319" s="8">
        <v>13.665909090909</v>
      </c>
      <c r="E319" s="8">
        <v>10.5833333333333</v>
      </c>
      <c r="F319" s="8">
        <v>12.55</v>
      </c>
      <c r="G319" s="3"/>
      <c r="H319" s="7">
        <v>317</v>
      </c>
      <c r="I319" s="8">
        <v>1.18181818181818</v>
      </c>
      <c r="J319" s="8">
        <v>3.06333333333333</v>
      </c>
      <c r="K319" s="8">
        <v>0.886363636363636</v>
      </c>
      <c r="L319" s="8">
        <v>2.55714285714285</v>
      </c>
      <c r="M319" s="8">
        <v>1.2</v>
      </c>
      <c r="N319" s="3"/>
      <c r="O319" s="7">
        <v>317</v>
      </c>
      <c r="P319" s="8">
        <v>4.3459922348738</v>
      </c>
      <c r="Q319" s="8">
        <v>3.84243241542184</v>
      </c>
      <c r="R319" s="8">
        <v>4.46281415454015</v>
      </c>
      <c r="S319" s="8">
        <v>4.52413784273226</v>
      </c>
      <c r="T319" s="8">
        <v>3.27271920450088</v>
      </c>
      <c r="U319" s="3"/>
      <c r="V319" s="3"/>
      <c r="W319" s="3"/>
      <c r="X319" s="3"/>
      <c r="Y319" s="3"/>
      <c r="Z319" s="3"/>
      <c r="AA319" s="3"/>
    </row>
    <row x14ac:dyDescent="0.25" r="320" customHeight="1" ht="18.75">
      <c r="A320" s="7">
        <v>318</v>
      </c>
      <c r="B320" s="8">
        <v>12.9954545454545</v>
      </c>
      <c r="C320" s="8">
        <v>14.5066666666666</v>
      </c>
      <c r="D320" s="8">
        <v>13.1863636363636</v>
      </c>
      <c r="E320" s="8">
        <v>11.1916666666666</v>
      </c>
      <c r="F320" s="8">
        <v>12.5916666666666</v>
      </c>
      <c r="G320" s="3"/>
      <c r="H320" s="7">
        <v>318</v>
      </c>
      <c r="I320" s="8">
        <v>0.324242424242424</v>
      </c>
      <c r="J320" s="8">
        <v>3.29333333333333</v>
      </c>
      <c r="K320" s="8">
        <v>0.972727272727272</v>
      </c>
      <c r="L320" s="8">
        <v>2.70714285714285</v>
      </c>
      <c r="M320" s="8">
        <v>1.25</v>
      </c>
      <c r="N320" s="3"/>
      <c r="O320" s="7">
        <v>318</v>
      </c>
      <c r="P320" s="8">
        <v>4.64065148077171</v>
      </c>
      <c r="Q320" s="8">
        <v>3.93837814578281</v>
      </c>
      <c r="R320" s="8">
        <v>4.21513943306838</v>
      </c>
      <c r="S320" s="8">
        <v>4.34138126511929</v>
      </c>
      <c r="T320" s="8">
        <v>3.25427642830544</v>
      </c>
      <c r="U320" s="3"/>
      <c r="V320" s="3"/>
      <c r="W320" s="3"/>
      <c r="X320" s="3"/>
      <c r="Y320" s="3"/>
      <c r="Z320" s="3"/>
      <c r="AA320" s="3"/>
    </row>
    <row x14ac:dyDescent="0.25" r="321" customHeight="1" ht="18.75">
      <c r="A321" s="7">
        <v>319</v>
      </c>
      <c r="B321" s="8">
        <v>13.430303030303</v>
      </c>
      <c r="C321" s="8">
        <v>14.8633333333333</v>
      </c>
      <c r="D321" s="8">
        <v>13.3545454545454</v>
      </c>
      <c r="E321" s="8">
        <v>11.34375</v>
      </c>
      <c r="F321" s="8">
        <v>13.4624999999999</v>
      </c>
      <c r="G321" s="3"/>
      <c r="H321" s="7">
        <v>319</v>
      </c>
      <c r="I321" s="8">
        <v>0.469696969696969</v>
      </c>
      <c r="J321" s="8">
        <v>2.06666666666666</v>
      </c>
      <c r="K321" s="8">
        <v>0.163636363636363</v>
      </c>
      <c r="L321" s="8">
        <v>2.6</v>
      </c>
      <c r="M321" s="8">
        <v>2.06666666666666</v>
      </c>
      <c r="N321" s="3"/>
      <c r="O321" s="7">
        <v>319</v>
      </c>
      <c r="P321" s="8">
        <v>5.04570354911886</v>
      </c>
      <c r="Q321" s="8">
        <v>3.82063419166102</v>
      </c>
      <c r="R321" s="8">
        <v>4.40514119914377</v>
      </c>
      <c r="S321" s="8">
        <v>4.15252721146492</v>
      </c>
      <c r="T321" s="8">
        <v>3.39036465144653</v>
      </c>
      <c r="U321" s="3"/>
      <c r="V321" s="3"/>
      <c r="W321" s="3"/>
      <c r="X321" s="3"/>
      <c r="Y321" s="3"/>
      <c r="Z321" s="3"/>
      <c r="AA321" s="3"/>
    </row>
    <row x14ac:dyDescent="0.25" r="322" customHeight="1" ht="18.75">
      <c r="A322" s="7">
        <v>320</v>
      </c>
      <c r="B322" s="8">
        <v>13.7712121212121</v>
      </c>
      <c r="C322" s="8">
        <v>15.1916666666666</v>
      </c>
      <c r="D322" s="8">
        <v>14.5545454545454</v>
      </c>
      <c r="E322" s="8">
        <v>11.1479166666666</v>
      </c>
      <c r="F322" s="8">
        <v>14.7458333333333</v>
      </c>
      <c r="G322" s="3"/>
      <c r="H322" s="7">
        <v>320</v>
      </c>
      <c r="I322" s="8">
        <v>1.79696969696969</v>
      </c>
      <c r="J322" s="8">
        <v>4.12333333333333</v>
      </c>
      <c r="K322" s="8">
        <v>1.31818181818181</v>
      </c>
      <c r="L322" s="8">
        <v>4.41428571428571</v>
      </c>
      <c r="M322" s="8">
        <v>5.21666666666666</v>
      </c>
      <c r="N322" s="3"/>
      <c r="O322" s="7">
        <v>320</v>
      </c>
      <c r="P322" s="8">
        <v>4.80917239134101</v>
      </c>
      <c r="Q322" s="8">
        <v>3.46609285840428</v>
      </c>
      <c r="R322" s="8">
        <v>4.68948959547015</v>
      </c>
      <c r="S322" s="8">
        <v>4.23646659351279</v>
      </c>
      <c r="T322" s="8">
        <v>3.39403840044005</v>
      </c>
      <c r="U322" s="3"/>
      <c r="V322" s="3"/>
      <c r="W322" s="3"/>
      <c r="X322" s="3"/>
      <c r="Y322" s="3"/>
      <c r="Z322" s="3"/>
      <c r="AA322" s="3"/>
    </row>
    <row x14ac:dyDescent="0.25" r="323" customHeight="1" ht="18.75">
      <c r="A323" s="7">
        <v>321</v>
      </c>
      <c r="B323" s="8">
        <v>12.8924242424242</v>
      </c>
      <c r="C323" s="8">
        <v>14.805</v>
      </c>
      <c r="D323" s="8">
        <v>15.3886363636363</v>
      </c>
      <c r="E323" s="8">
        <v>9.74583333333333</v>
      </c>
      <c r="F323" s="8">
        <v>14.9458333333333</v>
      </c>
      <c r="G323" s="3"/>
      <c r="H323" s="7">
        <v>321</v>
      </c>
      <c r="I323" s="8">
        <v>1.46969696969696</v>
      </c>
      <c r="J323" s="8">
        <v>2.09999999999999</v>
      </c>
      <c r="K323" s="8">
        <v>1.81818181818181</v>
      </c>
      <c r="L323" s="8">
        <v>3.63571428571428</v>
      </c>
      <c r="M323" s="8">
        <v>5.33333333333333</v>
      </c>
      <c r="N323" s="3"/>
      <c r="O323" s="7">
        <v>321</v>
      </c>
      <c r="P323" s="8">
        <v>4.4924353878464</v>
      </c>
      <c r="Q323" s="8">
        <v>3.71788983309305</v>
      </c>
      <c r="R323" s="8">
        <v>5.18082671843516</v>
      </c>
      <c r="S323" s="8">
        <v>3.39660063216893</v>
      </c>
      <c r="T323" s="8">
        <v>2.86263659321907</v>
      </c>
      <c r="U323" s="3"/>
      <c r="V323" s="3"/>
      <c r="W323" s="3"/>
      <c r="X323" s="3"/>
      <c r="Y323" s="3"/>
      <c r="Z323" s="3"/>
      <c r="AA323" s="3"/>
    </row>
    <row x14ac:dyDescent="0.25" r="324" customHeight="1" ht="18.75">
      <c r="A324" s="7">
        <v>322</v>
      </c>
      <c r="B324" s="8">
        <v>12.3636363636363</v>
      </c>
      <c r="C324" s="8">
        <v>14.4366666666666</v>
      </c>
      <c r="D324" s="8">
        <v>14.525</v>
      </c>
      <c r="E324" s="8">
        <v>9.61875</v>
      </c>
      <c r="F324" s="8">
        <v>14.45</v>
      </c>
      <c r="G324" s="3"/>
      <c r="H324" s="7">
        <v>322</v>
      </c>
      <c r="I324" s="8">
        <v>2.61515151515151</v>
      </c>
      <c r="J324" s="8">
        <v>2.25</v>
      </c>
      <c r="K324" s="8">
        <v>0.568181818181818</v>
      </c>
      <c r="L324" s="8">
        <v>2.86428571428571</v>
      </c>
      <c r="M324" s="8">
        <v>6.08333333333333</v>
      </c>
      <c r="N324" s="3"/>
      <c r="O324" s="7">
        <v>322</v>
      </c>
      <c r="P324" s="8">
        <v>4.30495720402585</v>
      </c>
      <c r="Q324" s="8">
        <v>3.89037597267239</v>
      </c>
      <c r="R324" s="8">
        <v>4.86170442523744</v>
      </c>
      <c r="S324" s="8">
        <v>3.60071258704133</v>
      </c>
      <c r="T324" s="8">
        <v>3.26548825715224</v>
      </c>
      <c r="U324" s="3"/>
      <c r="V324" s="3"/>
      <c r="W324" s="3"/>
      <c r="X324" s="3"/>
      <c r="Y324" s="3"/>
      <c r="Z324" s="3"/>
      <c r="AA324" s="3"/>
    </row>
    <row x14ac:dyDescent="0.25" r="325" customHeight="1" ht="18.75">
      <c r="A325" s="7">
        <v>323</v>
      </c>
      <c r="B325" s="8">
        <v>12.1590909090909</v>
      </c>
      <c r="C325" s="8">
        <v>14.4133333333333</v>
      </c>
      <c r="D325" s="8">
        <v>13.8181818181818</v>
      </c>
      <c r="E325" s="8">
        <v>10.0895833333333</v>
      </c>
      <c r="F325" s="8">
        <v>13.9416666666666</v>
      </c>
      <c r="G325" s="3"/>
      <c r="H325" s="7">
        <v>323</v>
      </c>
      <c r="I325" s="8">
        <v>2.78484848484848</v>
      </c>
      <c r="J325" s="8">
        <v>1.65666666666666</v>
      </c>
      <c r="K325" s="8">
        <v>1.25454545454545</v>
      </c>
      <c r="L325" s="8">
        <v>3.7</v>
      </c>
      <c r="M325" s="8">
        <v>0.983333333333333</v>
      </c>
      <c r="N325" s="3"/>
      <c r="O325" s="7">
        <v>323</v>
      </c>
      <c r="P325" s="8">
        <v>4.11739975117432</v>
      </c>
      <c r="Q325" s="8">
        <v>3.91051956399974</v>
      </c>
      <c r="R325" s="8">
        <v>5.17882917420283</v>
      </c>
      <c r="S325" s="8">
        <v>3.9699839092354</v>
      </c>
      <c r="T325" s="8">
        <v>3.5976260978488</v>
      </c>
      <c r="U325" s="3"/>
      <c r="V325" s="3"/>
      <c r="W325" s="3"/>
      <c r="X325" s="3"/>
      <c r="Y325" s="3"/>
      <c r="Z325" s="3"/>
      <c r="AA325" s="3"/>
    </row>
    <row x14ac:dyDescent="0.25" r="326" customHeight="1" ht="18.75">
      <c r="A326" s="7">
        <v>324</v>
      </c>
      <c r="B326" s="8">
        <v>13.0484848484848</v>
      </c>
      <c r="C326" s="8">
        <v>14.8266666666666</v>
      </c>
      <c r="D326" s="8">
        <v>13.7545454545454</v>
      </c>
      <c r="E326" s="8">
        <v>10.4083333333333</v>
      </c>
      <c r="F326" s="8">
        <v>14.1208333333333</v>
      </c>
      <c r="G326" s="3"/>
      <c r="H326" s="7">
        <v>324</v>
      </c>
      <c r="I326" s="8">
        <v>1.49696969696969</v>
      </c>
      <c r="J326" s="8">
        <v>2.41666666666666</v>
      </c>
      <c r="K326" s="8">
        <v>1.82727272727272</v>
      </c>
      <c r="L326" s="8">
        <v>5.06428571428571</v>
      </c>
      <c r="M326" s="8">
        <v>2.36666666666666</v>
      </c>
      <c r="N326" s="3"/>
      <c r="O326" s="7">
        <v>324</v>
      </c>
      <c r="P326" s="8">
        <v>4.57669749235403</v>
      </c>
      <c r="Q326" s="8">
        <v>3.75734672122165</v>
      </c>
      <c r="R326" s="8">
        <v>4.61183856441099</v>
      </c>
      <c r="S326" s="8">
        <v>3.76613816935249</v>
      </c>
      <c r="T326" s="8">
        <v>3.25747522665682</v>
      </c>
      <c r="U326" s="3"/>
      <c r="V326" s="3"/>
      <c r="W326" s="3"/>
      <c r="X326" s="3"/>
      <c r="Y326" s="3"/>
      <c r="Z326" s="3"/>
      <c r="AA326" s="3"/>
    </row>
    <row x14ac:dyDescent="0.25" r="327" customHeight="1" ht="18.75">
      <c r="A327" s="7">
        <v>325</v>
      </c>
      <c r="B327" s="8">
        <v>12.9621212121212</v>
      </c>
      <c r="C327" s="8">
        <v>14.8999999999999</v>
      </c>
      <c r="D327" s="8">
        <v>14.7738095238095</v>
      </c>
      <c r="E327" s="8">
        <v>9.834</v>
      </c>
      <c r="F327" s="8">
        <v>14.2</v>
      </c>
      <c r="G327" s="3"/>
      <c r="H327" s="7">
        <v>325</v>
      </c>
      <c r="I327" s="8">
        <v>2.87272727272727</v>
      </c>
      <c r="J327" s="8">
        <v>2.83666666666666</v>
      </c>
      <c r="K327" s="8">
        <v>0.661904761904761</v>
      </c>
      <c r="L327" s="8">
        <v>4.99310344827586</v>
      </c>
      <c r="M327" s="8">
        <v>1.41666666666666</v>
      </c>
      <c r="N327" s="3"/>
      <c r="O327" s="7">
        <v>325</v>
      </c>
      <c r="P327" s="8">
        <v>4.21144963252312</v>
      </c>
      <c r="Q327" s="8">
        <v>3.54927210076121</v>
      </c>
      <c r="R327" s="8">
        <v>4.76454944303038</v>
      </c>
      <c r="S327" s="8">
        <v>3.5538494230042</v>
      </c>
      <c r="T327" s="8">
        <v>3.2248407363783</v>
      </c>
      <c r="U327" s="3"/>
      <c r="V327" s="3"/>
      <c r="W327" s="3"/>
      <c r="X327" s="3"/>
      <c r="Y327" s="3"/>
      <c r="Z327" s="3"/>
      <c r="AA327" s="3"/>
    </row>
    <row x14ac:dyDescent="0.25" r="328" customHeight="1" ht="18.75">
      <c r="A328" s="7">
        <v>326</v>
      </c>
      <c r="B328" s="8">
        <v>12.2687499999999</v>
      </c>
      <c r="C328" s="8">
        <v>15.125</v>
      </c>
      <c r="D328" s="8">
        <v>14.6227272727272</v>
      </c>
      <c r="E328" s="8">
        <v>10.018</v>
      </c>
      <c r="F328" s="8">
        <v>14.2916666666666</v>
      </c>
      <c r="G328" s="3"/>
      <c r="H328" s="7">
        <v>326</v>
      </c>
      <c r="I328" s="8">
        <v>1.44375</v>
      </c>
      <c r="J328" s="8">
        <v>4.09666666666666</v>
      </c>
      <c r="K328" s="8">
        <v>0.395454545454545</v>
      </c>
      <c r="L328" s="8">
        <v>1.98620689655172</v>
      </c>
      <c r="M328" s="8">
        <v>1.23333333333333</v>
      </c>
      <c r="N328" s="3"/>
      <c r="O328" s="7">
        <v>326</v>
      </c>
      <c r="P328" s="8">
        <v>4.3766355597309</v>
      </c>
      <c r="Q328" s="8">
        <v>3.6984174874034</v>
      </c>
      <c r="R328" s="8">
        <v>4.31399973290774</v>
      </c>
      <c r="S328" s="8">
        <v>3.86694241368868</v>
      </c>
      <c r="T328" s="8">
        <v>3.2303061956604</v>
      </c>
      <c r="U328" s="3"/>
      <c r="V328" s="3"/>
      <c r="W328" s="3"/>
      <c r="X328" s="3"/>
      <c r="Y328" s="3"/>
      <c r="Z328" s="3"/>
      <c r="AA328" s="3"/>
    </row>
    <row x14ac:dyDescent="0.25" r="329" customHeight="1" ht="18.75">
      <c r="A329" s="7">
        <v>327</v>
      </c>
      <c r="B329" s="8">
        <v>13.6109374999999</v>
      </c>
      <c r="C329" s="8">
        <v>15.3583333333333</v>
      </c>
      <c r="D329" s="8">
        <v>14.290909090909</v>
      </c>
      <c r="E329" s="8">
        <v>11.696</v>
      </c>
      <c r="F329" s="8">
        <v>14.8666666666666</v>
      </c>
      <c r="G329" s="3"/>
      <c r="H329" s="7">
        <v>327</v>
      </c>
      <c r="I329" s="8">
        <v>0.909374999999999</v>
      </c>
      <c r="J329" s="8">
        <v>3.04</v>
      </c>
      <c r="K329" s="8">
        <v>0.463636363636363</v>
      </c>
      <c r="L329" s="8">
        <v>1.77241379310344</v>
      </c>
      <c r="M329" s="8">
        <v>0.216666666666666</v>
      </c>
      <c r="N329" s="3"/>
      <c r="O329" s="7">
        <v>327</v>
      </c>
      <c r="P329" s="8">
        <v>4.83537305499567</v>
      </c>
      <c r="Q329" s="8">
        <v>3.94267420766937</v>
      </c>
      <c r="R329" s="8">
        <v>4.69072249558068</v>
      </c>
      <c r="S329" s="8">
        <v>4.94618597251868</v>
      </c>
      <c r="T329" s="8">
        <v>3.88517432691657</v>
      </c>
      <c r="U329" s="3"/>
      <c r="V329" s="3"/>
      <c r="W329" s="3"/>
      <c r="X329" s="3"/>
      <c r="Y329" s="3"/>
      <c r="Z329" s="3"/>
      <c r="AA329" s="3"/>
    </row>
    <row x14ac:dyDescent="0.25" r="330" customHeight="1" ht="18.75">
      <c r="A330" s="7">
        <v>328</v>
      </c>
      <c r="B330" s="8">
        <v>13.9</v>
      </c>
      <c r="C330" s="8">
        <v>15.2051724137931</v>
      </c>
      <c r="D330" s="8">
        <v>15.8523809523809</v>
      </c>
      <c r="E330" s="8">
        <v>11.942</v>
      </c>
      <c r="F330" s="8">
        <v>14.875</v>
      </c>
      <c r="G330" s="3"/>
      <c r="H330" s="7">
        <v>328</v>
      </c>
      <c r="I330" s="8">
        <v>1.096875</v>
      </c>
      <c r="J330" s="8">
        <v>2.46551724137931</v>
      </c>
      <c r="K330" s="8">
        <v>0.304545454545454</v>
      </c>
      <c r="L330" s="8">
        <v>4.50344827586206</v>
      </c>
      <c r="M330" s="8">
        <v>1.83333333333333</v>
      </c>
      <c r="N330" s="3"/>
      <c r="O330" s="7">
        <v>328</v>
      </c>
      <c r="P330" s="8">
        <v>4.89590344238896</v>
      </c>
      <c r="Q330" s="8">
        <v>3.74756472507225</v>
      </c>
      <c r="R330" s="8">
        <v>4.98882818441217</v>
      </c>
      <c r="S330" s="8">
        <v>4.27874570080286</v>
      </c>
      <c r="T330" s="8">
        <v>3.34240196094637</v>
      </c>
      <c r="U330" s="3"/>
      <c r="V330" s="3"/>
      <c r="W330" s="3"/>
      <c r="X330" s="3"/>
      <c r="Y330" s="3"/>
      <c r="Z330" s="3"/>
      <c r="AA330" s="3"/>
    </row>
    <row x14ac:dyDescent="0.25" r="331" customHeight="1" ht="18.75">
      <c r="A331" s="7">
        <v>329</v>
      </c>
      <c r="B331" s="8">
        <v>14.2296874999999</v>
      </c>
      <c r="C331" s="8">
        <v>15.8344827586206</v>
      </c>
      <c r="D331" s="8">
        <v>15.1071428571428</v>
      </c>
      <c r="E331" s="8">
        <v>12.016</v>
      </c>
      <c r="F331" s="8">
        <v>15.8125</v>
      </c>
      <c r="G331" s="3"/>
      <c r="H331" s="7">
        <v>329</v>
      </c>
      <c r="I331" s="8">
        <v>2.99375</v>
      </c>
      <c r="J331" s="8">
        <v>2.79655172413793</v>
      </c>
      <c r="K331" s="8">
        <v>1.17727272727272</v>
      </c>
      <c r="L331" s="8">
        <v>3.06</v>
      </c>
      <c r="M331" s="8">
        <v>2.01666666666666</v>
      </c>
      <c r="N331" s="3"/>
      <c r="O331" s="7">
        <v>329</v>
      </c>
      <c r="P331" s="8">
        <v>4.52911208093014</v>
      </c>
      <c r="Q331" s="8">
        <v>4.11321826916657</v>
      </c>
      <c r="R331" s="8">
        <v>4.66789384844953</v>
      </c>
      <c r="S331" s="8">
        <v>3.74084666185429</v>
      </c>
      <c r="T331" s="8">
        <v>3.26883226279413</v>
      </c>
      <c r="U331" s="3"/>
      <c r="V331" s="3"/>
      <c r="W331" s="3"/>
      <c r="X331" s="3"/>
      <c r="Y331" s="3"/>
      <c r="Z331" s="3"/>
      <c r="AA331" s="3"/>
    </row>
    <row x14ac:dyDescent="0.25" r="332" customHeight="1" ht="18.75">
      <c r="A332" s="7">
        <v>330</v>
      </c>
      <c r="B332" s="8">
        <v>13.9375</v>
      </c>
      <c r="C332" s="8">
        <v>15.8766666666666</v>
      </c>
      <c r="D332" s="8">
        <v>15.9023809523809</v>
      </c>
      <c r="E332" s="8">
        <v>12.776</v>
      </c>
      <c r="F332" s="8">
        <v>15.9458333333333</v>
      </c>
      <c r="G332" s="3"/>
      <c r="H332" s="7">
        <v>330</v>
      </c>
      <c r="I332" s="8">
        <v>1.871875</v>
      </c>
      <c r="J332" s="8">
        <v>2.26666666666666</v>
      </c>
      <c r="K332" s="8">
        <v>2.63636363636363</v>
      </c>
      <c r="L332" s="8">
        <v>3.47333333333333</v>
      </c>
      <c r="M332" s="8">
        <v>5.88333333333333</v>
      </c>
      <c r="N332" s="3"/>
      <c r="O332" s="7">
        <v>330</v>
      </c>
      <c r="P332" s="8">
        <v>4.69527946827094</v>
      </c>
      <c r="Q332" s="8">
        <v>4.0838977840276</v>
      </c>
      <c r="R332" s="8">
        <v>5.10840921315021</v>
      </c>
      <c r="S332" s="8">
        <v>4.52105916694772</v>
      </c>
      <c r="T332" s="8">
        <v>3.26798762006384</v>
      </c>
      <c r="U332" s="3"/>
      <c r="V332" s="3"/>
      <c r="W332" s="3"/>
      <c r="X332" s="3"/>
      <c r="Y332" s="3"/>
      <c r="Z332" s="3"/>
      <c r="AA332" s="3"/>
    </row>
    <row x14ac:dyDescent="0.25" r="333" customHeight="1" ht="18.75">
      <c r="A333" s="7">
        <v>331</v>
      </c>
      <c r="B333" s="8">
        <v>13.6234375</v>
      </c>
      <c r="C333" s="8">
        <v>15.52</v>
      </c>
      <c r="D333" s="8">
        <v>15.0704545454545</v>
      </c>
      <c r="E333" s="8">
        <v>12.0559999999999</v>
      </c>
      <c r="F333" s="8">
        <v>16.2791666666666</v>
      </c>
      <c r="G333" s="3"/>
      <c r="H333" s="7">
        <v>331</v>
      </c>
      <c r="I333" s="8">
        <v>0.89375</v>
      </c>
      <c r="J333" s="8">
        <v>3.69333333333333</v>
      </c>
      <c r="K333" s="8">
        <v>2.26818181818181</v>
      </c>
      <c r="L333" s="8">
        <v>2.55333333333333</v>
      </c>
      <c r="M333" s="8">
        <v>1.48333333333333</v>
      </c>
      <c r="N333" s="3"/>
      <c r="O333" s="7">
        <v>331</v>
      </c>
      <c r="P333" s="8">
        <v>4.70095834950683</v>
      </c>
      <c r="Q333" s="8">
        <v>4.2967341086412</v>
      </c>
      <c r="R333" s="8">
        <v>5.07348943162775</v>
      </c>
      <c r="S333" s="8">
        <v>4.5297311334554</v>
      </c>
      <c r="T333" s="8">
        <v>3.19082213890132</v>
      </c>
      <c r="U333" s="3"/>
      <c r="V333" s="3"/>
      <c r="W333" s="3"/>
      <c r="X333" s="3"/>
      <c r="Y333" s="3"/>
      <c r="Z333" s="3"/>
      <c r="AA333" s="3"/>
    </row>
    <row x14ac:dyDescent="0.25" r="334" customHeight="1" ht="18.75">
      <c r="A334" s="7">
        <v>332</v>
      </c>
      <c r="B334" s="8">
        <v>13.4125</v>
      </c>
      <c r="C334" s="8">
        <v>15.4383333333333</v>
      </c>
      <c r="D334" s="8">
        <v>15.6090909090909</v>
      </c>
      <c r="E334" s="8">
        <v>11.6020833333333</v>
      </c>
      <c r="F334" s="8">
        <v>16.0708333333333</v>
      </c>
      <c r="G334" s="3"/>
      <c r="H334" s="7">
        <v>332</v>
      </c>
      <c r="I334" s="8">
        <v>2.803125</v>
      </c>
      <c r="J334" s="8">
        <v>4.59333333333333</v>
      </c>
      <c r="K334" s="8">
        <v>4.34090909090909</v>
      </c>
      <c r="L334" s="8">
        <v>3.70344827586206</v>
      </c>
      <c r="M334" s="8">
        <v>7.43333333333333</v>
      </c>
      <c r="N334" s="3"/>
      <c r="O334" s="7">
        <v>332</v>
      </c>
      <c r="P334" s="8">
        <v>4.66928369262269</v>
      </c>
      <c r="Q334" s="8">
        <v>3.78631856494907</v>
      </c>
      <c r="R334" s="8">
        <v>4.37699217505955</v>
      </c>
      <c r="S334" s="8">
        <v>4.01000589575614</v>
      </c>
      <c r="T334" s="8">
        <v>3.00999975823754</v>
      </c>
      <c r="U334" s="3"/>
      <c r="V334" s="3"/>
      <c r="W334" s="3"/>
      <c r="X334" s="3"/>
      <c r="Y334" s="3"/>
      <c r="Z334" s="3"/>
      <c r="AA334" s="3"/>
    </row>
    <row x14ac:dyDescent="0.25" r="335" customHeight="1" ht="18.75">
      <c r="A335" s="7">
        <v>333</v>
      </c>
      <c r="B335" s="8">
        <v>13.1203124999999</v>
      </c>
      <c r="C335" s="8">
        <v>15.551724137931</v>
      </c>
      <c r="D335" s="8">
        <v>14.9454545454545</v>
      </c>
      <c r="E335" s="8">
        <v>11.375</v>
      </c>
      <c r="F335" s="8">
        <v>15.0333333333333</v>
      </c>
      <c r="G335" s="3"/>
      <c r="H335" s="7">
        <v>333</v>
      </c>
      <c r="I335" s="8">
        <v>1.125</v>
      </c>
      <c r="J335" s="8">
        <v>2.63448275862069</v>
      </c>
      <c r="K335" s="8">
        <v>2.56363636363636</v>
      </c>
      <c r="L335" s="8">
        <v>2.77241379310344</v>
      </c>
      <c r="M335" s="8">
        <v>0.666666666666666</v>
      </c>
      <c r="N335" s="3"/>
      <c r="O335" s="7">
        <v>333</v>
      </c>
      <c r="P335" s="8">
        <v>4.52233316297641</v>
      </c>
      <c r="Q335" s="8">
        <v>3.91369181219603</v>
      </c>
      <c r="R335" s="8">
        <v>4.90840333290972</v>
      </c>
      <c r="S335" s="8">
        <v>4.15511438936837</v>
      </c>
      <c r="T335" s="8">
        <v>4.17014336426448</v>
      </c>
      <c r="U335" s="3"/>
      <c r="V335" s="3"/>
      <c r="W335" s="3"/>
      <c r="X335" s="3"/>
      <c r="Y335" s="3"/>
      <c r="Z335" s="3"/>
      <c r="AA335" s="3"/>
    </row>
    <row x14ac:dyDescent="0.25" r="336" customHeight="1" ht="18.75">
      <c r="A336" s="7">
        <v>334</v>
      </c>
      <c r="B336" s="8">
        <v>13.534375</v>
      </c>
      <c r="C336" s="8">
        <v>15.8327586206896</v>
      </c>
      <c r="D336" s="8">
        <v>15.5477272727272</v>
      </c>
      <c r="E336" s="8">
        <v>12.0229166666666</v>
      </c>
      <c r="F336" s="8">
        <v>16.1166666666666</v>
      </c>
      <c r="G336" s="3"/>
      <c r="H336" s="7">
        <v>334</v>
      </c>
      <c r="I336" s="8">
        <v>1.659375</v>
      </c>
      <c r="J336" s="8">
        <v>2.49310344827586</v>
      </c>
      <c r="K336" s="8">
        <v>0.645454545454545</v>
      </c>
      <c r="L336" s="8">
        <v>2.95862068965517</v>
      </c>
      <c r="M336" s="8">
        <v>5.23333333333333</v>
      </c>
      <c r="N336" s="3"/>
      <c r="O336" s="7">
        <v>334</v>
      </c>
      <c r="P336" s="8">
        <v>4.40450215286569</v>
      </c>
      <c r="Q336" s="8">
        <v>3.52048143862586</v>
      </c>
      <c r="R336" s="8">
        <v>5.16450134036084</v>
      </c>
      <c r="S336" s="8">
        <v>3.87096853012243</v>
      </c>
      <c r="T336" s="8">
        <v>3.76641499113378</v>
      </c>
      <c r="U336" s="3"/>
      <c r="V336" s="3"/>
      <c r="W336" s="3"/>
      <c r="X336" s="3"/>
      <c r="Y336" s="3"/>
      <c r="Z336" s="3"/>
      <c r="AA336" s="3"/>
    </row>
    <row x14ac:dyDescent="0.25" r="337" customHeight="1" ht="18.75">
      <c r="A337" s="7">
        <v>335</v>
      </c>
      <c r="B337" s="8">
        <v>14.5196969696969</v>
      </c>
      <c r="C337" s="8">
        <v>16.0827586206896</v>
      </c>
      <c r="D337" s="8">
        <v>15.5772727272727</v>
      </c>
      <c r="E337" s="8">
        <v>12.7416666666666</v>
      </c>
      <c r="F337" s="8">
        <v>15.8875</v>
      </c>
      <c r="G337" s="3"/>
      <c r="H337" s="7">
        <v>335</v>
      </c>
      <c r="I337" s="8">
        <v>1.15454545454545</v>
      </c>
      <c r="J337" s="8">
        <v>1.76896551724137</v>
      </c>
      <c r="K337" s="8">
        <v>0.636363636363636</v>
      </c>
      <c r="L337" s="8">
        <v>2.48965517241379</v>
      </c>
      <c r="M337" s="8">
        <v>6.75</v>
      </c>
      <c r="N337" s="3"/>
      <c r="O337" s="7">
        <v>335</v>
      </c>
      <c r="P337" s="8">
        <v>4.90086849825344</v>
      </c>
      <c r="Q337" s="8">
        <v>4.05166232697381</v>
      </c>
      <c r="R337" s="8">
        <v>4.94966811723327</v>
      </c>
      <c r="S337" s="8">
        <v>4.27306724134171</v>
      </c>
      <c r="T337" s="8">
        <v>3.24900419352519</v>
      </c>
      <c r="U337" s="3"/>
      <c r="V337" s="3"/>
      <c r="W337" s="3"/>
      <c r="X337" s="3"/>
      <c r="Y337" s="3"/>
      <c r="Z337" s="3"/>
      <c r="AA337" s="3"/>
    </row>
    <row x14ac:dyDescent="0.25" r="338" customHeight="1" ht="18.75">
      <c r="A338" s="7">
        <v>336</v>
      </c>
      <c r="B338" s="8">
        <v>14.7863636363636</v>
      </c>
      <c r="C338" s="8">
        <v>16.4931034482758</v>
      </c>
      <c r="D338" s="8">
        <v>15.7636363636363</v>
      </c>
      <c r="E338" s="8">
        <v>12.9895833333333</v>
      </c>
      <c r="F338" s="8">
        <v>16.1458333333333</v>
      </c>
      <c r="G338" s="3"/>
      <c r="H338" s="7">
        <v>336</v>
      </c>
      <c r="I338" s="8">
        <v>0.684848484848484</v>
      </c>
      <c r="J338" s="8">
        <v>5.11379310344827</v>
      </c>
      <c r="K338" s="8">
        <v>1.76818181818181</v>
      </c>
      <c r="L338" s="8">
        <v>2.78620689655172</v>
      </c>
      <c r="M338" s="8">
        <v>1.08333333333333</v>
      </c>
      <c r="N338" s="3"/>
      <c r="O338" s="7">
        <v>336</v>
      </c>
      <c r="P338" s="8">
        <v>4.43106168809422</v>
      </c>
      <c r="Q338" s="8">
        <v>3.50361769405093</v>
      </c>
      <c r="R338" s="8">
        <v>4.6904739446973</v>
      </c>
      <c r="S338" s="8">
        <v>4.25237962287687</v>
      </c>
      <c r="T338" s="8">
        <v>3.86490583221522</v>
      </c>
      <c r="U338" s="3"/>
      <c r="V338" s="3"/>
      <c r="W338" s="3"/>
      <c r="X338" s="3"/>
      <c r="Y338" s="3"/>
      <c r="Z338" s="3"/>
      <c r="AA338" s="3"/>
    </row>
    <row x14ac:dyDescent="0.25" r="339" customHeight="1" ht="18.75">
      <c r="A339" s="7">
        <v>337</v>
      </c>
      <c r="B339" s="8">
        <v>15.4272727272727</v>
      </c>
      <c r="C339" s="8">
        <v>16.78</v>
      </c>
      <c r="D339" s="8">
        <v>16.8340909090909</v>
      </c>
      <c r="E339" s="8">
        <v>12.7020833333333</v>
      </c>
      <c r="F339" s="8">
        <v>16.0625</v>
      </c>
      <c r="G339" s="3"/>
      <c r="H339" s="7">
        <v>337</v>
      </c>
      <c r="I339" s="8">
        <v>0.942424242424242</v>
      </c>
      <c r="J339" s="8">
        <v>1.71</v>
      </c>
      <c r="K339" s="8">
        <v>2.16818181818181</v>
      </c>
      <c r="L339" s="8">
        <v>3.30344827586206</v>
      </c>
      <c r="M339" s="8">
        <v>2.26666666666666</v>
      </c>
      <c r="N339" s="3"/>
      <c r="O339" s="7">
        <v>337</v>
      </c>
      <c r="P339" s="8">
        <v>4.86823302056787</v>
      </c>
      <c r="Q339" s="8">
        <v>3.87868613463193</v>
      </c>
      <c r="R339" s="8">
        <v>4.69113904301529</v>
      </c>
      <c r="S339" s="8">
        <v>4.44731982388089</v>
      </c>
      <c r="T339" s="8">
        <v>3.36333152444341</v>
      </c>
      <c r="U339" s="3"/>
      <c r="V339" s="3"/>
      <c r="W339" s="3"/>
      <c r="X339" s="3"/>
      <c r="Y339" s="3"/>
      <c r="Z339" s="3"/>
      <c r="AA339" s="3"/>
    </row>
    <row x14ac:dyDescent="0.25" r="340" customHeight="1" ht="18.75">
      <c r="A340" s="7">
        <v>338</v>
      </c>
      <c r="B340" s="8">
        <v>15.0045454545454</v>
      </c>
      <c r="C340" s="8">
        <v>16.8266666666666</v>
      </c>
      <c r="D340" s="8">
        <v>16.9045454545454</v>
      </c>
      <c r="E340" s="8">
        <v>12.8708333333333</v>
      </c>
      <c r="F340" s="8">
        <v>16.5916666666666</v>
      </c>
      <c r="G340" s="3"/>
      <c r="H340" s="7">
        <v>338</v>
      </c>
      <c r="I340" s="8">
        <v>0.987878787878787</v>
      </c>
      <c r="J340" s="8">
        <v>6.04333333333333</v>
      </c>
      <c r="K340" s="8">
        <v>2.2090909090909</v>
      </c>
      <c r="L340" s="8">
        <v>1.49655172413793</v>
      </c>
      <c r="M340" s="8">
        <v>3.03333333333333</v>
      </c>
      <c r="N340" s="3"/>
      <c r="O340" s="7">
        <v>338</v>
      </c>
      <c r="P340" s="8">
        <v>5.20501384781614</v>
      </c>
      <c r="Q340" s="8">
        <v>3.62696718163457</v>
      </c>
      <c r="R340" s="8">
        <v>4.75986444073205</v>
      </c>
      <c r="S340" s="8">
        <v>4.70829986134269</v>
      </c>
      <c r="T340" s="8">
        <v>3.83322900240955</v>
      </c>
      <c r="U340" s="3"/>
      <c r="V340" s="3"/>
      <c r="W340" s="3"/>
      <c r="X340" s="3"/>
      <c r="Y340" s="3"/>
      <c r="Z340" s="3"/>
      <c r="AA340" s="3"/>
    </row>
    <row x14ac:dyDescent="0.25" r="341" customHeight="1" ht="18.75">
      <c r="A341" s="7">
        <v>339</v>
      </c>
      <c r="B341" s="8">
        <v>14.9030303030303</v>
      </c>
      <c r="C341" s="8">
        <v>16.6516666666666</v>
      </c>
      <c r="D341" s="8">
        <v>16.6772727272727</v>
      </c>
      <c r="E341" s="8">
        <v>12.8916666666666</v>
      </c>
      <c r="F341" s="8">
        <v>16.4416666666666</v>
      </c>
      <c r="G341" s="3"/>
      <c r="H341" s="7">
        <v>339</v>
      </c>
      <c r="I341" s="8">
        <v>1.58484848484848</v>
      </c>
      <c r="J341" s="8">
        <v>4.90333333333333</v>
      </c>
      <c r="K341" s="8">
        <v>1.2</v>
      </c>
      <c r="L341" s="8">
        <v>3.33103448275862</v>
      </c>
      <c r="M341" s="8">
        <v>1.08333333333333</v>
      </c>
      <c r="N341" s="3"/>
      <c r="O341" s="7">
        <v>339</v>
      </c>
      <c r="P341" s="8">
        <v>4.66413063664132</v>
      </c>
      <c r="Q341" s="8">
        <v>3.81596310782007</v>
      </c>
      <c r="R341" s="8">
        <v>4.72372465820394</v>
      </c>
      <c r="S341" s="8">
        <v>4.07685014845356</v>
      </c>
      <c r="T341" s="8">
        <v>3.37536000872163</v>
      </c>
      <c r="U341" s="3"/>
      <c r="V341" s="3"/>
      <c r="W341" s="3"/>
      <c r="X341" s="3"/>
      <c r="Y341" s="3"/>
      <c r="Z341" s="3"/>
      <c r="AA341" s="3"/>
    </row>
    <row x14ac:dyDescent="0.25" r="342" customHeight="1" ht="18.75">
      <c r="A342" s="7">
        <v>340</v>
      </c>
      <c r="B342" s="8">
        <v>14.3015151515151</v>
      </c>
      <c r="C342" s="8">
        <v>16.68</v>
      </c>
      <c r="D342" s="8">
        <v>16.865909090909</v>
      </c>
      <c r="E342" s="8">
        <v>12.7477272727272</v>
      </c>
      <c r="F342" s="8">
        <v>16.4541666666666</v>
      </c>
      <c r="G342" s="3"/>
      <c r="H342" s="7">
        <v>340</v>
      </c>
      <c r="I342" s="8">
        <v>1.85454545454545</v>
      </c>
      <c r="J342" s="8">
        <v>3.72999999999999</v>
      </c>
      <c r="K342" s="8">
        <v>3.71818181818181</v>
      </c>
      <c r="L342" s="8">
        <v>1.89629629629629</v>
      </c>
      <c r="M342" s="8">
        <v>2.61666666666666</v>
      </c>
      <c r="N342" s="3"/>
      <c r="O342" s="7">
        <v>340</v>
      </c>
      <c r="P342" s="8">
        <v>4.18751454282801</v>
      </c>
      <c r="Q342" s="8">
        <v>3.98051306579796</v>
      </c>
      <c r="R342" s="8">
        <v>4.76793709404518</v>
      </c>
      <c r="S342" s="8">
        <v>3.98328179948552</v>
      </c>
      <c r="T342" s="8">
        <v>2.88116590683894</v>
      </c>
      <c r="U342" s="3"/>
      <c r="V342" s="3"/>
      <c r="W342" s="3"/>
      <c r="X342" s="3"/>
      <c r="Y342" s="3"/>
      <c r="Z342" s="3"/>
      <c r="AA342" s="3"/>
    </row>
    <row x14ac:dyDescent="0.25" r="343" customHeight="1" ht="18.75">
      <c r="A343" s="7">
        <v>341</v>
      </c>
      <c r="B343" s="8">
        <v>14.8272727272727</v>
      </c>
      <c r="C343" s="8">
        <v>16.1583333333333</v>
      </c>
      <c r="D343" s="8">
        <v>16.6863636363636</v>
      </c>
      <c r="E343" s="8">
        <v>12.7043478260869</v>
      </c>
      <c r="F343" s="8">
        <v>15.8791666666666</v>
      </c>
      <c r="G343" s="3"/>
      <c r="H343" s="7">
        <v>341</v>
      </c>
      <c r="I343" s="8">
        <v>1.11515151515151</v>
      </c>
      <c r="J343" s="8">
        <v>3.96999999999999</v>
      </c>
      <c r="K343" s="8">
        <v>0.9</v>
      </c>
      <c r="L343" s="8">
        <v>2.05714285714285</v>
      </c>
      <c r="M343" s="8">
        <v>3.1</v>
      </c>
      <c r="N343" s="3"/>
      <c r="O343" s="7">
        <v>341</v>
      </c>
      <c r="P343" s="8">
        <v>4.78641268464904</v>
      </c>
      <c r="Q343" s="8">
        <v>3.99852453799544</v>
      </c>
      <c r="R343" s="8">
        <v>5.05290544799458</v>
      </c>
      <c r="S343" s="8">
        <v>4.2828764166495</v>
      </c>
      <c r="T343" s="8">
        <v>3.41851686251575</v>
      </c>
      <c r="U343" s="3"/>
      <c r="V343" s="3"/>
      <c r="W343" s="3"/>
      <c r="X343" s="3"/>
      <c r="Y343" s="3"/>
      <c r="Z343" s="3"/>
      <c r="AA343" s="3"/>
    </row>
    <row x14ac:dyDescent="0.25" r="344" customHeight="1" ht="18.75">
      <c r="A344" s="7">
        <v>342</v>
      </c>
      <c r="B344" s="8">
        <v>14.8772727272727</v>
      </c>
      <c r="C344" s="8">
        <v>16.105</v>
      </c>
      <c r="D344" s="8">
        <v>15.5840909090909</v>
      </c>
      <c r="E344" s="8">
        <v>11.6608695652173</v>
      </c>
      <c r="F344" s="8">
        <v>15.2590909090909</v>
      </c>
      <c r="G344" s="3"/>
      <c r="H344" s="7">
        <v>342</v>
      </c>
      <c r="I344" s="8">
        <v>2.82424242424242</v>
      </c>
      <c r="J344" s="8">
        <v>2.43333333333333</v>
      </c>
      <c r="K344" s="8">
        <v>1.45</v>
      </c>
      <c r="L344" s="8">
        <v>1.90714285714285</v>
      </c>
      <c r="M344" s="8">
        <v>6.1090909090909</v>
      </c>
      <c r="N344" s="3"/>
      <c r="O344" s="7">
        <v>342</v>
      </c>
      <c r="P344" s="8">
        <v>4.79286711088753</v>
      </c>
      <c r="Q344" s="8">
        <v>4.06684828940469</v>
      </c>
      <c r="R344" s="8">
        <v>5.14151441016996</v>
      </c>
      <c r="S344" s="8">
        <v>4.17080347747374</v>
      </c>
      <c r="T344" s="8">
        <v>2.91227660269905</v>
      </c>
      <c r="U344" s="3"/>
      <c r="V344" s="3"/>
      <c r="W344" s="3"/>
      <c r="X344" s="3"/>
      <c r="Y344" s="3"/>
      <c r="Z344" s="3"/>
      <c r="AA344" s="3"/>
    </row>
    <row x14ac:dyDescent="0.25" r="345" customHeight="1" ht="18.75">
      <c r="A345" s="7">
        <v>343</v>
      </c>
      <c r="B345" s="8">
        <v>14.2151515151515</v>
      </c>
      <c r="C345" s="8">
        <v>16.565</v>
      </c>
      <c r="D345" s="8">
        <v>15.6204545454545</v>
      </c>
      <c r="E345" s="8">
        <v>12.290909090909</v>
      </c>
      <c r="F345" s="8">
        <v>15.9125</v>
      </c>
      <c r="G345" s="3"/>
      <c r="H345" s="7">
        <v>343</v>
      </c>
      <c r="I345" s="8">
        <v>0.493939393939393</v>
      </c>
      <c r="J345" s="8">
        <v>1.57666666666666</v>
      </c>
      <c r="K345" s="8">
        <v>2.68181818181818</v>
      </c>
      <c r="L345" s="8">
        <v>2.21481481481481</v>
      </c>
      <c r="M345" s="8">
        <v>1.78333333333333</v>
      </c>
      <c r="N345" s="3"/>
      <c r="O345" s="7">
        <v>343</v>
      </c>
      <c r="P345" s="8">
        <v>4.82353586307141</v>
      </c>
      <c r="Q345" s="8">
        <v>4.33033032458883</v>
      </c>
      <c r="R345" s="8">
        <v>4.40716009553657</v>
      </c>
      <c r="S345" s="8">
        <v>4.29810925588189</v>
      </c>
      <c r="T345" s="8">
        <v>3.71241673779902</v>
      </c>
      <c r="U345" s="3"/>
      <c r="V345" s="3"/>
      <c r="W345" s="3"/>
      <c r="X345" s="3"/>
      <c r="Y345" s="3"/>
      <c r="Z345" s="3"/>
      <c r="AA345" s="3"/>
    </row>
    <row x14ac:dyDescent="0.25" r="346" customHeight="1" ht="18.75">
      <c r="A346" s="7">
        <v>344</v>
      </c>
      <c r="B346" s="8">
        <v>14.9121212121212</v>
      </c>
      <c r="C346" s="8">
        <v>16.4833333333333</v>
      </c>
      <c r="D346" s="8">
        <v>15.8022727272727</v>
      </c>
      <c r="E346" s="8">
        <v>12.7543478260869</v>
      </c>
      <c r="F346" s="8">
        <v>16.7208333333333</v>
      </c>
      <c r="G346" s="3"/>
      <c r="H346" s="7">
        <v>344</v>
      </c>
      <c r="I346" s="8">
        <v>0.678787878787878</v>
      </c>
      <c r="J346" s="8">
        <v>2.97333333333333</v>
      </c>
      <c r="K346" s="8">
        <v>1.9590909090909</v>
      </c>
      <c r="L346" s="8">
        <v>2.38571428571428</v>
      </c>
      <c r="M346" s="8">
        <v>6.61666666666666</v>
      </c>
      <c r="N346" s="3"/>
      <c r="O346" s="7">
        <v>344</v>
      </c>
      <c r="P346" s="8">
        <v>4.38500545512074</v>
      </c>
      <c r="Q346" s="8">
        <v>4.05343795671046</v>
      </c>
      <c r="R346" s="8">
        <v>4.49174890334651</v>
      </c>
      <c r="S346" s="8">
        <v>4.23505870141171</v>
      </c>
      <c r="T346" s="8">
        <v>3.19412245919293</v>
      </c>
      <c r="U346" s="3"/>
      <c r="V346" s="3"/>
      <c r="W346" s="3"/>
      <c r="X346" s="3"/>
      <c r="Y346" s="3"/>
      <c r="Z346" s="3"/>
      <c r="AA346" s="3"/>
    </row>
    <row x14ac:dyDescent="0.25" r="347" customHeight="1" ht="18.75">
      <c r="A347" s="7">
        <v>345</v>
      </c>
      <c r="B347" s="8">
        <v>15.940909090909</v>
      </c>
      <c r="C347" s="8">
        <v>17.015</v>
      </c>
      <c r="D347" s="8">
        <v>16.5681818181818</v>
      </c>
      <c r="E347" s="8">
        <v>13.6875</v>
      </c>
      <c r="F347" s="8">
        <v>17.5291666666666</v>
      </c>
      <c r="G347" s="3"/>
      <c r="H347" s="7">
        <v>345</v>
      </c>
      <c r="I347" s="8">
        <v>0.221212121212121</v>
      </c>
      <c r="J347" s="8">
        <v>1.12666666666666</v>
      </c>
      <c r="K347" s="8">
        <v>1.20454545454545</v>
      </c>
      <c r="L347" s="7">
        <v>2</v>
      </c>
      <c r="M347" s="8">
        <v>2.03333333333333</v>
      </c>
      <c r="N347" s="3"/>
      <c r="O347" s="7">
        <v>345</v>
      </c>
      <c r="P347" s="8">
        <v>5.27140819386242</v>
      </c>
      <c r="Q347" s="8">
        <v>4.15053136776502</v>
      </c>
      <c r="R347" s="8">
        <v>4.81427141041601</v>
      </c>
      <c r="S347" s="8">
        <v>3.90282268121967</v>
      </c>
      <c r="T347" s="8">
        <v>3.06642854149589</v>
      </c>
      <c r="U347" s="3"/>
      <c r="V347" s="3"/>
      <c r="W347" s="3"/>
      <c r="X347" s="3"/>
      <c r="Y347" s="3"/>
      <c r="Z347" s="3"/>
      <c r="AA347" s="3"/>
    </row>
    <row x14ac:dyDescent="0.25" r="348" customHeight="1" ht="18.75">
      <c r="A348" s="7">
        <v>346</v>
      </c>
      <c r="B348" s="8">
        <v>16.6272727272727</v>
      </c>
      <c r="C348" s="8">
        <v>17.4833333333333</v>
      </c>
      <c r="D348" s="8">
        <v>17.1931818181818</v>
      </c>
      <c r="E348" s="8">
        <v>14.1479166666666</v>
      </c>
      <c r="F348" s="8">
        <v>17.0041666666666</v>
      </c>
      <c r="G348" s="3"/>
      <c r="H348" s="7">
        <v>346</v>
      </c>
      <c r="I348" s="8">
        <v>1.21818181818181</v>
      </c>
      <c r="J348" s="8">
        <v>1.91666666666666</v>
      </c>
      <c r="K348" s="8">
        <v>0.64090909090909</v>
      </c>
      <c r="L348" s="8">
        <v>3.8551724137931</v>
      </c>
      <c r="M348" s="8">
        <v>2.46666666666666</v>
      </c>
      <c r="N348" s="3"/>
      <c r="O348" s="7">
        <v>346</v>
      </c>
      <c r="P348" s="8">
        <v>5.24691072632699</v>
      </c>
      <c r="Q348" s="8">
        <v>3.88504226515791</v>
      </c>
      <c r="R348" s="8">
        <v>5.07636781324951</v>
      </c>
      <c r="S348" s="8">
        <v>4.55267150279773</v>
      </c>
      <c r="T348" s="8">
        <v>3.60449750256941</v>
      </c>
      <c r="U348" s="3"/>
      <c r="V348" s="3"/>
      <c r="W348" s="3"/>
      <c r="X348" s="3"/>
      <c r="Y348" s="3"/>
      <c r="Z348" s="3"/>
      <c r="AA348" s="3"/>
    </row>
    <row x14ac:dyDescent="0.25" r="349" customHeight="1" ht="18.75">
      <c r="A349" s="7">
        <v>347</v>
      </c>
      <c r="B349" s="8">
        <v>15.6196969696969</v>
      </c>
      <c r="C349" s="8">
        <v>17.2516666666666</v>
      </c>
      <c r="D349" s="8">
        <v>17.2068181818181</v>
      </c>
      <c r="E349" s="8">
        <v>13.5208333333333</v>
      </c>
      <c r="F349" s="8">
        <v>16.8833333333333</v>
      </c>
      <c r="G349" s="3"/>
      <c r="H349" s="7">
        <v>347</v>
      </c>
      <c r="I349" s="8">
        <v>2.59696969696969</v>
      </c>
      <c r="J349" s="8">
        <v>1.93333333333333</v>
      </c>
      <c r="K349" s="8">
        <v>1.57272727272727</v>
      </c>
      <c r="L349" s="8">
        <v>3.37931034482758</v>
      </c>
      <c r="M349" s="8">
        <v>1.73333333333333</v>
      </c>
      <c r="N349" s="3"/>
      <c r="O349" s="7">
        <v>347</v>
      </c>
      <c r="P349" s="8">
        <v>5.03102664337654</v>
      </c>
      <c r="Q349" s="8">
        <v>4.38163840153844</v>
      </c>
      <c r="R349" s="8">
        <v>5.43040964293694</v>
      </c>
      <c r="S349" s="8">
        <v>4.42725176924751</v>
      </c>
      <c r="T349" s="8">
        <v>4.14361311173595</v>
      </c>
      <c r="U349" s="3"/>
      <c r="V349" s="3"/>
      <c r="W349" s="3"/>
      <c r="X349" s="3"/>
      <c r="Y349" s="3"/>
      <c r="Z349" s="3"/>
      <c r="AA349" s="3"/>
    </row>
    <row x14ac:dyDescent="0.25" r="350" customHeight="1" ht="18.75">
      <c r="A350" s="7">
        <v>348</v>
      </c>
      <c r="B350" s="8">
        <v>14.8939393939393</v>
      </c>
      <c r="C350" s="8">
        <v>17.1733333333333</v>
      </c>
      <c r="D350" s="8">
        <v>16.4</v>
      </c>
      <c r="E350" s="8">
        <v>12.8583333333333</v>
      </c>
      <c r="F350" s="8">
        <v>16.1916666666666</v>
      </c>
      <c r="G350" s="3"/>
      <c r="H350" s="7">
        <v>348</v>
      </c>
      <c r="I350" s="8">
        <v>1.05151515151515</v>
      </c>
      <c r="J350" s="8">
        <v>4.12333333333333</v>
      </c>
      <c r="K350" s="8">
        <v>1.08636363636363</v>
      </c>
      <c r="L350" s="8">
        <v>3.05714285714285</v>
      </c>
      <c r="M350" s="8">
        <v>1.53333333333333</v>
      </c>
      <c r="N350" s="3"/>
      <c r="O350" s="7">
        <v>348</v>
      </c>
      <c r="P350" s="8">
        <v>5.10727394264041</v>
      </c>
      <c r="Q350" s="8">
        <v>4.03321434314394</v>
      </c>
      <c r="R350" s="8">
        <v>4.69789303912758</v>
      </c>
      <c r="S350" s="8">
        <v>4.72837719342326</v>
      </c>
      <c r="T350" s="8">
        <v>3.81384866054305</v>
      </c>
      <c r="U350" s="3"/>
      <c r="V350" s="3"/>
      <c r="W350" s="3"/>
      <c r="X350" s="3"/>
      <c r="Y350" s="3"/>
      <c r="Z350" s="3"/>
      <c r="AA350" s="3"/>
    </row>
    <row x14ac:dyDescent="0.25" r="351" customHeight="1" ht="18.75">
      <c r="A351" s="7">
        <v>349</v>
      </c>
      <c r="B351" s="7">
        <v>16</v>
      </c>
      <c r="C351" s="8">
        <v>17.0068965517241</v>
      </c>
      <c r="D351" s="8">
        <v>16.525</v>
      </c>
      <c r="E351" s="8">
        <v>12.5833333333333</v>
      </c>
      <c r="F351" s="8">
        <v>15.7541666666666</v>
      </c>
      <c r="G351" s="3"/>
      <c r="H351" s="7">
        <v>349</v>
      </c>
      <c r="I351" s="8">
        <v>1.04242424242424</v>
      </c>
      <c r="J351" s="8">
        <v>2.57931034482758</v>
      </c>
      <c r="K351" s="8">
        <v>0.754545454545454</v>
      </c>
      <c r="L351" s="8">
        <v>3.99310344827586</v>
      </c>
      <c r="M351" s="8">
        <v>4.91666666666666</v>
      </c>
      <c r="N351" s="3"/>
      <c r="O351" s="7">
        <v>349</v>
      </c>
      <c r="P351" s="8">
        <v>5.45397909720001</v>
      </c>
      <c r="Q351" s="8">
        <v>4.18389659389693</v>
      </c>
      <c r="R351" s="8">
        <v>5.23969874104698</v>
      </c>
      <c r="S351" s="8">
        <v>4.33027950483748</v>
      </c>
      <c r="T351" s="8">
        <v>4.22455310956942</v>
      </c>
      <c r="U351" s="3"/>
      <c r="V351" s="3"/>
      <c r="W351" s="3"/>
      <c r="X351" s="3"/>
      <c r="Y351" s="3"/>
      <c r="Z351" s="3"/>
      <c r="AA351" s="3"/>
    </row>
    <row x14ac:dyDescent="0.25" r="352" customHeight="1" ht="18.75">
      <c r="A352" s="7">
        <v>350</v>
      </c>
      <c r="B352" s="8">
        <v>15.5590909090909</v>
      </c>
      <c r="C352" s="8">
        <v>17.1051724137931</v>
      </c>
      <c r="D352" s="8">
        <v>16.475</v>
      </c>
      <c r="E352" s="8">
        <v>12.6499999999999</v>
      </c>
      <c r="F352" s="8">
        <v>16.7666666666666</v>
      </c>
      <c r="G352" s="3"/>
      <c r="H352" s="7">
        <v>350</v>
      </c>
      <c r="I352" s="8">
        <v>1.92727272727272</v>
      </c>
      <c r="J352" s="8">
        <v>5.3551724137931</v>
      </c>
      <c r="K352" s="8">
        <v>1.40454545454545</v>
      </c>
      <c r="L352" s="8">
        <v>2.99310344827586</v>
      </c>
      <c r="M352" s="8">
        <v>1.59999999999999</v>
      </c>
      <c r="N352" s="3"/>
      <c r="O352" s="7">
        <v>350</v>
      </c>
      <c r="P352" s="8">
        <v>4.58830363321244</v>
      </c>
      <c r="Q352" s="8">
        <v>3.9954599380242</v>
      </c>
      <c r="R352" s="8">
        <v>4.62051547770835</v>
      </c>
      <c r="S352" s="8">
        <v>4.35133525275477</v>
      </c>
      <c r="T352" s="8">
        <v>4.0567025040666</v>
      </c>
      <c r="U352" s="3"/>
      <c r="V352" s="3"/>
      <c r="W352" s="3"/>
      <c r="X352" s="3"/>
      <c r="Y352" s="3"/>
      <c r="Z352" s="3"/>
      <c r="AA352" s="3"/>
    </row>
    <row x14ac:dyDescent="0.25" r="353" customHeight="1" ht="18.75">
      <c r="A353" s="7">
        <v>351</v>
      </c>
      <c r="B353" s="8">
        <v>15.2454545454545</v>
      </c>
      <c r="C353" s="8">
        <v>17.153448275862</v>
      </c>
      <c r="D353" s="8">
        <v>16.9568181818181</v>
      </c>
      <c r="E353" s="8">
        <v>12.94375</v>
      </c>
      <c r="F353" s="8">
        <v>16.7666666666666</v>
      </c>
      <c r="G353" s="3"/>
      <c r="H353" s="7">
        <v>351</v>
      </c>
      <c r="I353" s="8">
        <v>2.4060606060606</v>
      </c>
      <c r="J353" s="8">
        <v>4.68275862068965</v>
      </c>
      <c r="K353" s="8">
        <v>3.34545454545454</v>
      </c>
      <c r="L353" s="8">
        <v>1.61379310344827</v>
      </c>
      <c r="M353" s="8">
        <v>4.31666666666666</v>
      </c>
      <c r="N353" s="3"/>
      <c r="O353" s="7">
        <v>351</v>
      </c>
      <c r="P353" s="8">
        <v>4.77004194898672</v>
      </c>
      <c r="Q353" s="8">
        <v>4.00874467076323</v>
      </c>
      <c r="R353" s="8">
        <v>4.60251598508976</v>
      </c>
      <c r="S353" s="8">
        <v>4.31504494072146</v>
      </c>
      <c r="T353" s="8">
        <v>3.8858032497446</v>
      </c>
      <c r="U353" s="3"/>
      <c r="V353" s="3"/>
      <c r="W353" s="3"/>
      <c r="X353" s="3"/>
      <c r="Y353" s="3"/>
      <c r="Z353" s="3"/>
      <c r="AA353" s="3"/>
    </row>
    <row x14ac:dyDescent="0.25" r="354" customHeight="1" ht="18.75">
      <c r="A354" s="7">
        <v>352</v>
      </c>
      <c r="B354" s="8">
        <v>15.4969696969696</v>
      </c>
      <c r="C354" s="8">
        <v>16.853448275862</v>
      </c>
      <c r="D354" s="8">
        <v>17.0613636363636</v>
      </c>
      <c r="E354" s="8">
        <v>13.1375</v>
      </c>
      <c r="F354" s="8">
        <v>17.1916666666666</v>
      </c>
      <c r="G354" s="3"/>
      <c r="H354" s="7">
        <v>352</v>
      </c>
      <c r="I354" s="8">
        <v>1.93636363636363</v>
      </c>
      <c r="J354" s="8">
        <v>4.4103448275862</v>
      </c>
      <c r="K354" s="8">
        <v>2.73181818181818</v>
      </c>
      <c r="L354" s="8">
        <v>2.06206896551724</v>
      </c>
      <c r="M354" s="8">
        <v>1.25</v>
      </c>
      <c r="N354" s="3"/>
      <c r="O354" s="7">
        <v>352</v>
      </c>
      <c r="P354" s="8">
        <v>5.03362942897846</v>
      </c>
      <c r="Q354" s="8">
        <v>3.8624789224218</v>
      </c>
      <c r="R354" s="8">
        <v>4.50286510088922</v>
      </c>
      <c r="S354" s="8">
        <v>4.18156358522447</v>
      </c>
      <c r="T354" s="8">
        <v>3.54392215745217</v>
      </c>
      <c r="U354" s="3"/>
      <c r="V354" s="3"/>
      <c r="W354" s="3"/>
      <c r="X354" s="3"/>
      <c r="Y354" s="3"/>
      <c r="Z354" s="3"/>
      <c r="AA354" s="3"/>
    </row>
    <row x14ac:dyDescent="0.25" r="355" customHeight="1" ht="18.75">
      <c r="A355" s="7">
        <v>353</v>
      </c>
      <c r="B355" s="8">
        <v>15.5242424242424</v>
      </c>
      <c r="C355" s="8">
        <v>17.0303571428571</v>
      </c>
      <c r="D355" s="8">
        <v>17.0363636363636</v>
      </c>
      <c r="E355" s="8">
        <v>12.3875</v>
      </c>
      <c r="F355" s="8">
        <v>16.725</v>
      </c>
      <c r="G355" s="3"/>
      <c r="H355" s="7">
        <v>353</v>
      </c>
      <c r="I355" s="8">
        <v>1.78181818181818</v>
      </c>
      <c r="J355" s="8">
        <v>4.32857142857142</v>
      </c>
      <c r="K355" s="8">
        <v>4.88181818181818</v>
      </c>
      <c r="L355" s="8">
        <v>3.04827586206896</v>
      </c>
      <c r="M355" s="8">
        <v>6.43333333333333</v>
      </c>
      <c r="N355" s="3"/>
      <c r="O355" s="7">
        <v>353</v>
      </c>
      <c r="P355" s="8">
        <v>4.98855977845243</v>
      </c>
      <c r="Q355" s="8">
        <v>4.17131186586224</v>
      </c>
      <c r="R355" s="8">
        <v>4.5352498679258</v>
      </c>
      <c r="S355" s="8">
        <v>4.01832740374056</v>
      </c>
      <c r="T355" s="8">
        <v>2.72264031120812</v>
      </c>
      <c r="U355" s="3"/>
      <c r="V355" s="3"/>
      <c r="W355" s="3"/>
      <c r="X355" s="3"/>
      <c r="Y355" s="3"/>
      <c r="Z355" s="3"/>
      <c r="AA355" s="3"/>
    </row>
    <row x14ac:dyDescent="0.25" r="356" customHeight="1" ht="18.75">
      <c r="A356" s="7">
        <v>354</v>
      </c>
      <c r="B356" s="8">
        <v>15.1863636363636</v>
      </c>
      <c r="C356" s="8">
        <v>17.3086206896551</v>
      </c>
      <c r="D356" s="8">
        <v>17.1522727272727</v>
      </c>
      <c r="E356" s="8">
        <v>13.2318181818181</v>
      </c>
      <c r="F356" s="8">
        <v>15.9625</v>
      </c>
      <c r="G356" s="3"/>
      <c r="H356" s="7">
        <v>354</v>
      </c>
      <c r="I356" s="8">
        <v>4.16969696969697</v>
      </c>
      <c r="J356" s="8">
        <v>1.38620689655172</v>
      </c>
      <c r="K356" s="8">
        <v>1.17272727272727</v>
      </c>
      <c r="L356" s="8">
        <v>4.8074074074074</v>
      </c>
      <c r="M356" s="8">
        <v>4.33333333333333</v>
      </c>
      <c r="N356" s="3"/>
      <c r="O356" s="7">
        <v>354</v>
      </c>
      <c r="P356" s="8">
        <v>4.97918382220511</v>
      </c>
      <c r="Q356" s="8">
        <v>4.24927282600346</v>
      </c>
      <c r="R356" s="8">
        <v>4.85109865407901</v>
      </c>
      <c r="S356" s="8">
        <v>4.32787167580732</v>
      </c>
      <c r="T356" s="8">
        <v>3.72531188662845</v>
      </c>
      <c r="U356" s="3"/>
      <c r="V356" s="3"/>
      <c r="W356" s="3"/>
      <c r="X356" s="3"/>
      <c r="Y356" s="3"/>
      <c r="Z356" s="3"/>
      <c r="AA356" s="3"/>
    </row>
    <row x14ac:dyDescent="0.25" r="357" customHeight="1" ht="18.75">
      <c r="A357" s="7">
        <v>355</v>
      </c>
      <c r="B357" s="8">
        <v>14.9893480257116</v>
      </c>
      <c r="C357" s="8">
        <v>17.3086206896551</v>
      </c>
      <c r="D357" s="8">
        <v>16.5681818181818</v>
      </c>
      <c r="E357" s="8">
        <v>13.7826086956521</v>
      </c>
      <c r="F357" s="8">
        <v>16.075</v>
      </c>
      <c r="G357" s="3"/>
      <c r="H357" s="7">
        <v>355</v>
      </c>
      <c r="I357" s="8">
        <v>2.6030303030303</v>
      </c>
      <c r="J357" s="8">
        <v>3.66206896551724</v>
      </c>
      <c r="K357" s="8">
        <v>0.868181818181818</v>
      </c>
      <c r="L357" s="8">
        <v>3.75</v>
      </c>
      <c r="M357" s="8">
        <v>0.899999999999999</v>
      </c>
      <c r="N357" s="3"/>
      <c r="O357" s="7">
        <v>355</v>
      </c>
      <c r="P357" s="8">
        <v>5.30267149008445</v>
      </c>
      <c r="Q357" s="8">
        <v>3.91085872008436</v>
      </c>
      <c r="R357" s="8">
        <v>4.85138054054368</v>
      </c>
      <c r="S357" s="8">
        <v>5.39356719909519</v>
      </c>
      <c r="T357" s="8">
        <v>3.69045556475041</v>
      </c>
      <c r="U357" s="3"/>
      <c r="V357" s="3"/>
      <c r="W357" s="3"/>
      <c r="X357" s="3"/>
      <c r="Y357" s="3"/>
      <c r="Z357" s="3"/>
      <c r="AA357" s="3"/>
    </row>
    <row x14ac:dyDescent="0.25" r="358" customHeight="1" ht="18.75">
      <c r="A358" s="7">
        <v>356</v>
      </c>
      <c r="B358" s="8">
        <v>15.3181818181818</v>
      </c>
      <c r="C358" s="8">
        <v>17.4741379310344</v>
      </c>
      <c r="D358" s="8">
        <v>16.4681818181818</v>
      </c>
      <c r="E358" s="8">
        <v>12.8021739130434</v>
      </c>
      <c r="F358" s="8">
        <v>16.1458333333333</v>
      </c>
      <c r="G358" s="3"/>
      <c r="H358" s="7">
        <v>356</v>
      </c>
      <c r="I358" s="8">
        <v>2.13333333333333</v>
      </c>
      <c r="J358" s="8">
        <v>1.82758620689655</v>
      </c>
      <c r="K358" s="8">
        <v>0.00909090909090909</v>
      </c>
      <c r="L358" s="8">
        <v>4.16428571428571</v>
      </c>
      <c r="M358" s="8">
        <v>0.783333333333333</v>
      </c>
      <c r="N358" s="3"/>
      <c r="O358" s="7">
        <v>356</v>
      </c>
      <c r="P358" s="8">
        <v>5.27994285677909</v>
      </c>
      <c r="Q358" s="8">
        <v>4.356078470481</v>
      </c>
      <c r="R358" s="8">
        <v>5.10539564809396</v>
      </c>
      <c r="S358" s="8">
        <v>4.4566913545793</v>
      </c>
      <c r="T358" s="8">
        <v>3.66376320931905</v>
      </c>
      <c r="U358" s="3"/>
      <c r="V358" s="3"/>
      <c r="W358" s="3"/>
      <c r="X358" s="3"/>
      <c r="Y358" s="3"/>
      <c r="Z358" s="3"/>
      <c r="AA358" s="3"/>
    </row>
    <row x14ac:dyDescent="0.25" r="359" customHeight="1" ht="18.75">
      <c r="A359" s="7">
        <v>357</v>
      </c>
      <c r="B359" s="8">
        <v>15.1030303030303</v>
      </c>
      <c r="C359" s="8">
        <v>17.0913793103448</v>
      </c>
      <c r="D359" s="8">
        <v>16.7295454545454</v>
      </c>
      <c r="E359" s="8">
        <v>13.0586956521739</v>
      </c>
      <c r="F359" s="8">
        <v>16.8208333333333</v>
      </c>
      <c r="G359" s="3"/>
      <c r="H359" s="7">
        <v>357</v>
      </c>
      <c r="I359" s="8">
        <v>1.76060606060606</v>
      </c>
      <c r="J359" s="8">
        <v>2.22413793103448</v>
      </c>
      <c r="K359" s="8">
        <v>0.486363636363636</v>
      </c>
      <c r="L359" s="8">
        <v>4.16428571428571</v>
      </c>
      <c r="M359" s="8">
        <v>1.16666666666666</v>
      </c>
      <c r="N359" s="3"/>
      <c r="O359" s="7">
        <v>357</v>
      </c>
      <c r="P359" s="8">
        <v>4.92082060811172</v>
      </c>
      <c r="Q359" s="8">
        <v>4.13863442941225</v>
      </c>
      <c r="R359" s="8">
        <v>5.21537506541642</v>
      </c>
      <c r="S359" s="8">
        <v>4.88993698649558</v>
      </c>
      <c r="T359" s="8">
        <v>4.29045922359305</v>
      </c>
      <c r="U359" s="3"/>
      <c r="V359" s="3"/>
      <c r="W359" s="3"/>
      <c r="X359" s="3"/>
      <c r="Y359" s="3"/>
      <c r="Z359" s="3"/>
      <c r="AA359" s="3"/>
    </row>
    <row x14ac:dyDescent="0.25" r="360" customHeight="1" ht="18.75">
      <c r="A360" s="7">
        <v>358</v>
      </c>
      <c r="B360" s="8">
        <v>15.75</v>
      </c>
      <c r="C360" s="8">
        <v>17.2275862068965</v>
      </c>
      <c r="D360" s="8">
        <v>16.7477272727272</v>
      </c>
      <c r="E360" s="8">
        <v>13.6173913043478</v>
      </c>
      <c r="F360" s="8">
        <v>16.8833333333333</v>
      </c>
      <c r="G360" s="3"/>
      <c r="H360" s="7">
        <v>358</v>
      </c>
      <c r="I360" s="8">
        <v>0.445454545454545</v>
      </c>
      <c r="J360" s="8">
        <v>3.06551724137931</v>
      </c>
      <c r="K360" s="8">
        <v>2.15454545454545</v>
      </c>
      <c r="L360" s="8">
        <v>3.72142857142857</v>
      </c>
      <c r="M360" s="8">
        <v>4.14999999999999</v>
      </c>
      <c r="N360" s="3"/>
      <c r="O360" s="7">
        <v>358</v>
      </c>
      <c r="P360" s="8">
        <v>5.22200600118352</v>
      </c>
      <c r="Q360" s="8">
        <v>3.77579345150944</v>
      </c>
      <c r="R360" s="8">
        <v>4.93021288105809</v>
      </c>
      <c r="S360" s="8">
        <v>4.52888529488821</v>
      </c>
      <c r="T360" s="8">
        <v>3.61274265774352</v>
      </c>
      <c r="U360" s="3"/>
      <c r="V360" s="3"/>
      <c r="W360" s="3"/>
      <c r="X360" s="3"/>
      <c r="Y360" s="3"/>
      <c r="Z360" s="3"/>
      <c r="AA360" s="3"/>
    </row>
    <row x14ac:dyDescent="0.25" r="361" customHeight="1" ht="18.75">
      <c r="A361" s="7">
        <v>359</v>
      </c>
      <c r="B361" s="8">
        <v>15.8015151515151</v>
      </c>
      <c r="C361" s="8">
        <v>17.4758620689655</v>
      </c>
      <c r="D361" s="8">
        <v>17.1431818181818</v>
      </c>
      <c r="E361" s="8">
        <v>13.3613636363636</v>
      </c>
      <c r="F361" s="8">
        <v>17.4</v>
      </c>
      <c r="G361" s="3"/>
      <c r="H361" s="7">
        <v>359</v>
      </c>
      <c r="I361" s="8">
        <v>0.869696969696969</v>
      </c>
      <c r="J361" s="8">
        <v>4.47241379310344</v>
      </c>
      <c r="K361" s="8">
        <v>2.49090909090909</v>
      </c>
      <c r="L361" s="8">
        <v>3.38518518518518</v>
      </c>
      <c r="M361" s="8">
        <v>5.01666666666666</v>
      </c>
      <c r="N361" s="3"/>
      <c r="O361" s="7">
        <v>359</v>
      </c>
      <c r="P361" s="8">
        <v>5.49093044365394</v>
      </c>
      <c r="Q361" s="8">
        <v>3.82075028631309</v>
      </c>
      <c r="R361" s="8">
        <v>4.95399730800971</v>
      </c>
      <c r="S361" s="8">
        <v>4.43007468544464</v>
      </c>
      <c r="T361" s="8">
        <v>4.09028075025509</v>
      </c>
      <c r="U361" s="3"/>
      <c r="V361" s="3"/>
      <c r="W361" s="3"/>
      <c r="X361" s="3"/>
      <c r="Y361" s="3"/>
      <c r="Z361" s="3"/>
      <c r="AA361" s="3"/>
    </row>
    <row x14ac:dyDescent="0.25" r="362" customHeight="1" ht="18.75">
      <c r="A362" s="7">
        <v>360</v>
      </c>
      <c r="B362" s="8">
        <v>15.1378787878787</v>
      </c>
      <c r="C362" s="8">
        <v>17.1931034482758</v>
      </c>
      <c r="D362" s="8">
        <v>17.1204545454545</v>
      </c>
      <c r="E362" s="8">
        <v>14.0681818181818</v>
      </c>
      <c r="F362" s="8">
        <v>17.9208333333333</v>
      </c>
      <c r="G362" s="3"/>
      <c r="H362" s="7">
        <v>360</v>
      </c>
      <c r="I362" s="8">
        <v>0.681818181818181</v>
      </c>
      <c r="J362" s="8">
        <v>1.20344827586206</v>
      </c>
      <c r="K362" s="8">
        <v>1.11818181818181</v>
      </c>
      <c r="L362" s="8">
        <v>3.84444444444444</v>
      </c>
      <c r="M362" s="8">
        <v>0.566666666666666</v>
      </c>
      <c r="N362" s="3"/>
      <c r="O362" s="7">
        <v>360</v>
      </c>
      <c r="P362" s="8">
        <v>4.91635373544204</v>
      </c>
      <c r="Q362" s="8">
        <v>4.48229434566634</v>
      </c>
      <c r="R362" s="8">
        <v>5.647179353963</v>
      </c>
      <c r="S362" s="8">
        <v>4.85260114241469</v>
      </c>
      <c r="T362" s="8">
        <v>4.12445524236163</v>
      </c>
      <c r="U362" s="3"/>
      <c r="V362" s="3"/>
      <c r="W362" s="3"/>
      <c r="X362" s="3"/>
      <c r="Y362" s="3"/>
      <c r="Z362" s="3"/>
      <c r="AA362" s="3"/>
    </row>
    <row x14ac:dyDescent="0.25" r="363" customHeight="1" ht="18.75">
      <c r="A363" s="7">
        <v>361</v>
      </c>
      <c r="B363" s="8">
        <v>16.9015151515151</v>
      </c>
      <c r="C363" s="8">
        <v>17.2637931034482</v>
      </c>
      <c r="D363" s="8">
        <v>16.6931818181818</v>
      </c>
      <c r="E363" s="8">
        <v>14.7431818181818</v>
      </c>
      <c r="F363" s="8">
        <v>17.5375</v>
      </c>
      <c r="G363" s="3"/>
      <c r="H363" s="7">
        <v>361</v>
      </c>
      <c r="I363" s="8">
        <v>1.11818181818181</v>
      </c>
      <c r="J363" s="8">
        <v>1.93793103448275</v>
      </c>
      <c r="K363" s="8">
        <v>0.245454545454545</v>
      </c>
      <c r="L363" s="8">
        <v>4.2</v>
      </c>
      <c r="M363" s="8">
        <v>1.28333333333333</v>
      </c>
      <c r="N363" s="3"/>
      <c r="O363" s="7">
        <v>361</v>
      </c>
      <c r="P363" s="8">
        <v>5.71880066738691</v>
      </c>
      <c r="Q363" s="8">
        <v>4.28541509695194</v>
      </c>
      <c r="R363" s="8">
        <v>5.15447095143453</v>
      </c>
      <c r="S363" s="8">
        <v>5.19860345924834</v>
      </c>
      <c r="T363" s="8">
        <v>4.36928832346899</v>
      </c>
      <c r="U363" s="3"/>
      <c r="V363" s="3"/>
      <c r="W363" s="3"/>
      <c r="X363" s="3"/>
      <c r="Y363" s="3"/>
      <c r="Z363" s="3"/>
      <c r="AA363" s="3"/>
    </row>
    <row x14ac:dyDescent="0.25" r="364" customHeight="1" ht="18.75">
      <c r="A364" s="7">
        <v>362</v>
      </c>
      <c r="B364" s="8">
        <v>17.1439393939393</v>
      </c>
      <c r="C364" s="8">
        <v>18.0603448275862</v>
      </c>
      <c r="D364" s="8">
        <v>16.8636363636363</v>
      </c>
      <c r="E364" s="8">
        <v>13.9704545454545</v>
      </c>
      <c r="F364" s="8">
        <v>17.0125</v>
      </c>
      <c r="G364" s="3"/>
      <c r="H364" s="7">
        <v>362</v>
      </c>
      <c r="I364" s="8">
        <v>2.96666666666666</v>
      </c>
      <c r="J364" s="8">
        <v>0.813793103448275</v>
      </c>
      <c r="K364" s="8">
        <v>0.5</v>
      </c>
      <c r="L364" s="8">
        <v>3.45185185185185</v>
      </c>
      <c r="M364" s="8">
        <v>1.58333333333333</v>
      </c>
      <c r="N364" s="3"/>
      <c r="O364" s="7">
        <v>362</v>
      </c>
      <c r="P364" s="8">
        <v>5.7794443898682</v>
      </c>
      <c r="Q364" s="8">
        <v>4.27685705716449</v>
      </c>
      <c r="R364" s="8">
        <v>4.98848180700176</v>
      </c>
      <c r="S364" s="8">
        <v>4.74733764552655</v>
      </c>
      <c r="T364" s="8">
        <v>3.8686759650685</v>
      </c>
      <c r="U364" s="3"/>
      <c r="V364" s="3"/>
      <c r="W364" s="3"/>
      <c r="X364" s="3"/>
      <c r="Y364" s="3"/>
      <c r="Z364" s="3"/>
      <c r="AA364" s="3"/>
    </row>
    <row x14ac:dyDescent="0.25" r="365" customHeight="1" ht="18.75">
      <c r="A365" s="7">
        <v>363</v>
      </c>
      <c r="B365" s="8">
        <v>15.7954545454545</v>
      </c>
      <c r="C365" s="8">
        <v>18.3862068965517</v>
      </c>
      <c r="D365" s="8">
        <v>16.690909090909</v>
      </c>
      <c r="E365" s="8">
        <v>14.1190476190476</v>
      </c>
      <c r="F365" s="8">
        <v>17.1041666666666</v>
      </c>
      <c r="G365" s="3"/>
      <c r="H365" s="7">
        <v>363</v>
      </c>
      <c r="I365" s="8">
        <v>1.01212121212121</v>
      </c>
      <c r="J365" s="8">
        <v>3.00689655172413</v>
      </c>
      <c r="K365" s="8">
        <v>0.704545454545454</v>
      </c>
      <c r="L365" s="8">
        <v>2.7</v>
      </c>
      <c r="M365" s="8">
        <v>4.28333333333333</v>
      </c>
      <c r="N365" s="3"/>
      <c r="O365" s="7">
        <v>363</v>
      </c>
      <c r="P365" s="8">
        <v>4.87784662077253</v>
      </c>
      <c r="Q365" s="8">
        <v>4.26228125715455</v>
      </c>
      <c r="R365" s="8">
        <v>5.03337495118855</v>
      </c>
      <c r="S365" s="8">
        <v>4.58628105705568</v>
      </c>
      <c r="T365" s="8">
        <v>3.65125453231978</v>
      </c>
      <c r="U365" s="3"/>
      <c r="V365" s="3"/>
      <c r="W365" s="3"/>
      <c r="X365" s="3"/>
      <c r="Y365" s="3"/>
      <c r="Z365" s="3"/>
      <c r="AA365" s="3"/>
    </row>
    <row x14ac:dyDescent="0.25" r="366" customHeight="1" ht="18.75">
      <c r="A366" s="7">
        <v>364</v>
      </c>
      <c r="B366" s="8">
        <v>16.3359375</v>
      </c>
      <c r="C366" s="8">
        <v>18.1568965517241</v>
      </c>
      <c r="D366" s="8">
        <v>16.5181818181818</v>
      </c>
      <c r="E366" s="8">
        <v>13.9047619047619</v>
      </c>
      <c r="F366" s="8">
        <v>17.0541666666666</v>
      </c>
      <c r="G366" s="3"/>
      <c r="H366" s="7">
        <v>364</v>
      </c>
      <c r="I366" s="8">
        <v>2.565625</v>
      </c>
      <c r="J366" s="8">
        <v>4.41724137931034</v>
      </c>
      <c r="K366" s="8">
        <v>1.82272727272727</v>
      </c>
      <c r="L366" s="8">
        <v>2.36923076923076</v>
      </c>
      <c r="M366" s="8">
        <v>3.68333333333333</v>
      </c>
      <c r="N366" s="3"/>
      <c r="O366" s="7">
        <v>364</v>
      </c>
      <c r="P366" s="8">
        <v>4.80555071097036</v>
      </c>
      <c r="Q366" s="8">
        <v>3.80406215787457</v>
      </c>
      <c r="R366" s="8">
        <v>4.96011202255289</v>
      </c>
      <c r="S366" s="8">
        <v>4.56476333815176</v>
      </c>
      <c r="T366" s="8">
        <v>3.31110493568885</v>
      </c>
      <c r="U366" s="3"/>
      <c r="V366" s="3"/>
      <c r="W366" s="3"/>
      <c r="X366" s="3"/>
      <c r="Y366" s="3"/>
      <c r="Z366" s="3"/>
      <c r="AA366" s="3"/>
    </row>
    <row x14ac:dyDescent="0.25" r="367" customHeight="1" ht="18.75">
      <c r="A367" s="7">
        <v>365</v>
      </c>
      <c r="B367" s="8">
        <v>15.8328125</v>
      </c>
      <c r="C367" s="8">
        <v>17.8086206896551</v>
      </c>
      <c r="D367" s="8">
        <v>16.7386363636363</v>
      </c>
      <c r="E367" s="8">
        <v>13.4928571428571</v>
      </c>
      <c r="F367" s="8">
        <v>16.6875</v>
      </c>
      <c r="G367" s="3"/>
      <c r="H367" s="7">
        <v>365</v>
      </c>
      <c r="I367" s="8">
        <v>1.00625</v>
      </c>
      <c r="J367" s="8">
        <v>8.78965517241379</v>
      </c>
      <c r="K367" s="8">
        <v>1.90454545454545</v>
      </c>
      <c r="L367" s="8">
        <v>2.9076923076923</v>
      </c>
      <c r="M367" s="8">
        <v>4.68333333333333</v>
      </c>
      <c r="N367" s="3"/>
      <c r="O367" s="7">
        <v>365</v>
      </c>
      <c r="P367" s="8">
        <v>5.37910490746859</v>
      </c>
      <c r="Q367" s="8">
        <v>3.82989311462572</v>
      </c>
      <c r="R367" s="8">
        <v>4.7869900887848</v>
      </c>
      <c r="S367" s="8">
        <v>4.60573634266085</v>
      </c>
      <c r="T367" s="8">
        <v>3.7095349810249</v>
      </c>
      <c r="U367" s="3"/>
      <c r="V367" s="3"/>
      <c r="W367" s="3"/>
      <c r="X367" s="3"/>
      <c r="Y367" s="3"/>
      <c r="Z367" s="3"/>
      <c r="AA367" s="3"/>
    </row>
    <row x14ac:dyDescent="0.25" r="368" customHeight="1" ht="18.75">
      <c r="A368" s="7">
        <v>366</v>
      </c>
      <c r="B368" s="8">
        <v>16.3</v>
      </c>
      <c r="C368" s="8">
        <v>17.6916666666666</v>
      </c>
      <c r="D368" s="8">
        <v>16.71</v>
      </c>
      <c r="E368" s="8">
        <v>11.34</v>
      </c>
      <c r="F368" s="8">
        <v>15.4833333333333</v>
      </c>
      <c r="G368" s="3"/>
      <c r="H368" s="7">
        <v>366</v>
      </c>
      <c r="I368" s="8">
        <v>2.4875</v>
      </c>
      <c r="J368" s="8">
        <v>2.41666666666666</v>
      </c>
      <c r="K368" s="8">
        <v>1.81999999999999</v>
      </c>
      <c r="L368" s="8">
        <v>6.76666666666666</v>
      </c>
      <c r="M368" s="7">
        <v>0</v>
      </c>
      <c r="N368" s="3"/>
      <c r="O368" s="7">
        <v>366</v>
      </c>
      <c r="P368" s="8">
        <v>5.47521280184473</v>
      </c>
      <c r="Q368" s="8">
        <v>4.21767395057316</v>
      </c>
      <c r="R368" s="8">
        <v>5.93261875226484</v>
      </c>
      <c r="S368" s="8">
        <v>3.33983924968393</v>
      </c>
      <c r="T368" s="8">
        <v>5.23294054790251</v>
      </c>
      <c r="U368" s="3"/>
      <c r="V368" s="3"/>
      <c r="W368" s="3"/>
      <c r="X368" s="3"/>
      <c r="Y368" s="3"/>
      <c r="Z368" s="3"/>
      <c r="AA368" s="3"/>
    </row>
  </sheetData>
  <mergeCells count="4">
    <mergeCell ref="A1:F1"/>
    <mergeCell ref="H1:M1"/>
    <mergeCell ref="O1:T1"/>
    <mergeCell ref="V1:AA1"/>
  </mergeCells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5</vt:i4>
      </vt:variant>
    </vt:vector>
  </HeadingPairs>
  <TitlesOfParts>
    <vt:vector baseType="lpstr" size="5">
      <vt:lpstr>ConceptDemo</vt:lpstr>
      <vt:lpstr>Model Interface</vt:lpstr>
      <vt:lpstr>ListMembers</vt:lpstr>
      <vt:lpstr>CropCoefficients</vt:lpstr>
      <vt:lpstr>Met Data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2023-04-17T02:56:27.887Z</dcterms:created>
  <dcterms:modified xsi:type="dcterms:W3CDTF">2023-04-17T02:56:27.887Z</dcterms:modified>
</cp:coreProperties>
</file>
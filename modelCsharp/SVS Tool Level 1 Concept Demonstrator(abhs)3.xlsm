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GitHubRepos\SVS\modelCsharp\"/>
    </mc:Choice>
  </mc:AlternateContent>
  <xr:revisionPtr revIDLastSave="0" documentId="13_ncr:1_{B4038C47-C5D7-49CC-A0B7-225A23496BAE}" xr6:coauthVersionLast="46" xr6:coauthVersionMax="47" xr10:uidLastSave="{00000000-0000-0000-0000-000000000000}"/>
  <bookViews>
    <workbookView xWindow="-120" yWindow="-120" windowWidth="29040" windowHeight="15225" activeTab="2" xr2:uid="{93020D75-334B-4084-BB65-B04FE3C79197}"/>
  </bookViews>
  <sheets>
    <sheet name="ConceptDemo" sheetId="1" r:id="rId1"/>
    <sheet name="Backend" sheetId="2" r:id="rId2"/>
    <sheet name="Model Interface" sheetId="3" r:id="rId3"/>
    <sheet name="ListMembers" sheetId="5" r:id="rId4"/>
    <sheet name="CropCoefficients" sheetId="4" r:id="rId5"/>
    <sheet name="meanT" sheetId="7" r:id="rId6"/>
  </sheets>
  <externalReferences>
    <externalReference r:id="rId7"/>
  </externalReferences>
  <definedNames>
    <definedName name="Annual_ryegrass">ListMembers!$A$2:$A$4</definedName>
    <definedName name="Barley">ListMembers!$B$2:$B$4</definedName>
    <definedName name="Bean">ListMembers!$C$2:$C$4</definedName>
    <definedName name="Broad_bean">ListMembers!$D$2:$D$4</definedName>
    <definedName name="Broccoli">ListMembers!$E$2:$E$4</definedName>
    <definedName name="Brussel_sprout">ListMembers!$F$2:$F$4</definedName>
    <definedName name="Bulb">ListMembers!$A$8:$A$38</definedName>
    <definedName name="Cabbage">ListMembers!$G$2:$G$4</definedName>
    <definedName name="Canola">ListMembers!$H$2:$H$4</definedName>
    <definedName name="Carrot">ListMembers!$I$2:$I$4</definedName>
    <definedName name="Cauliflower">ListMembers!$J$2:$J$4</definedName>
    <definedName name="Celery">ListMembers!$K$2:$K$4</definedName>
    <definedName name="Chickpea">ListMembers!$L$2:$L$4</definedName>
    <definedName name="Choy_sum">ListMembers!$M$2:$M$4</definedName>
    <definedName name="Cocksfoot">ListMembers!$N$2:$N$4</definedName>
    <definedName name="Coriander">ListMembers!$O$2:$O$4</definedName>
    <definedName name="Fibre">ListMembers!$B$8:$B$38</definedName>
    <definedName name="Fodder">ListMembers!$C$8:$C$38</definedName>
    <definedName name="Fodder_beet">ListMembers!$P$2:$P$4</definedName>
    <definedName name="Garlic">ListMembers!$Q$2:$Q$4</definedName>
    <definedName name="Grain">ListMembers!$D$8:$D$38</definedName>
    <definedName name="Green_manure">ListMembers!$E$8:$E$38</definedName>
    <definedName name="Hemp">ListMembers!$R$2:$R$4</definedName>
    <definedName name="Kale">ListMembers!$S$2:$S$4</definedName>
    <definedName name="Kumara">ListMembers!$T$2:$T$4</definedName>
    <definedName name="Leek">ListMembers!$U$2:$U$4</definedName>
    <definedName name="Lentil">ListMembers!$V$2:$V$4</definedName>
    <definedName name="Lettuce">ListMembers!$W$2:$W$4</definedName>
    <definedName name="Linseed">ListMembers!$X$2:$X$4</definedName>
    <definedName name="Lupin">ListMembers!$Y$2:$Y$4</definedName>
    <definedName name="Maize">ListMembers!$Z$2:$Z$4</definedName>
    <definedName name="Mustard">ListMembers!$AA$2:$AA$4</definedName>
    <definedName name="Oat">ListMembers!$AB$2:$AB$4</definedName>
    <definedName name="Onion">ListMembers!$AC$2:$AC$4</definedName>
    <definedName name="Pak_choi">ListMembers!$AD$2:$AD$4</definedName>
    <definedName name="Parsnip">ListMembers!$AE$2:$AE$4</definedName>
    <definedName name="Pea">ListMembers!$AF$2:$AF$4</definedName>
    <definedName name="Phacelia">ListMembers!$AG$2:$AG$4</definedName>
    <definedName name="Potato">ListMembers!$AH$2:$AH$4</definedName>
    <definedName name="Pumpkin">ListMembers!$AI$2:$AI$4</definedName>
    <definedName name="Radish">ListMembers!$AJ$2:$AJ$4</definedName>
    <definedName name="Rape">ListMembers!$AK$2:$AK$4</definedName>
    <definedName name="Red_beet">ListMembers!$AL$2:$AL$4</definedName>
    <definedName name="Rock_melon">ListMembers!$AM$2:$AM$4</definedName>
    <definedName name="Rye_corn">ListMembers!$AN$2:$AN$4</definedName>
    <definedName name="Ryegrass">ListMembers!$AO$2:$AO$4</definedName>
    <definedName name="Seed">ListMembers!$F$8:$F$38</definedName>
    <definedName name="Silver_beet">ListMembers!$AP$2:$AP$4</definedName>
    <definedName name="Spinach">ListMembers!$AQ$2:$AQ$4</definedName>
    <definedName name="Spring_onion">ListMembers!$AR$2:$AR$4</definedName>
    <definedName name="Squash">ListMembers!$AS$2:$AS$4</definedName>
    <definedName name="Sunflower">ListMembers!$AT$2:$AT$4</definedName>
    <definedName name="Swede">ListMembers!$AU$2:$AU$4</definedName>
    <definedName name="Sweetcorn">ListMembers!$AV$2:$AV$4</definedName>
    <definedName name="Tomato">ListMembers!$AW$2:$AW$4</definedName>
    <definedName name="Triticale">ListMembers!$AX$2:$AX$4</definedName>
    <definedName name="Tulip">ListMembers!$AY$2:$AY$4</definedName>
    <definedName name="Turnip">ListMembers!$AZ$2:$AZ$4</definedName>
    <definedName name="Vegetable">ListMembers!$G$8:$G$38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6" i="3" l="1"/>
  <c r="F34"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3" i="3"/>
  <c r="M3" i="3" s="1"/>
  <c r="M1" i="3" l="1"/>
  <c r="F16" i="3"/>
  <c r="E16" i="3" s="1"/>
  <c r="E21" i="3" s="1"/>
  <c r="F24" i="3"/>
  <c r="E24" i="3" s="1"/>
  <c r="F22" i="3"/>
  <c r="H5" i="3" s="1"/>
  <c r="E3" i="4"/>
  <c r="F3" i="4"/>
  <c r="K3" i="4"/>
  <c r="K78" i="4"/>
  <c r="F78" i="4"/>
  <c r="E78" i="4"/>
  <c r="K77" i="4"/>
  <c r="F77" i="4"/>
  <c r="E77" i="4"/>
  <c r="K76" i="4"/>
  <c r="F76" i="4"/>
  <c r="E76" i="4"/>
  <c r="K75" i="4"/>
  <c r="F75" i="4"/>
  <c r="E75" i="4"/>
  <c r="K74" i="4"/>
  <c r="F74" i="4"/>
  <c r="E74" i="4"/>
  <c r="K73" i="4"/>
  <c r="F73" i="4"/>
  <c r="E73" i="4"/>
  <c r="K72" i="4"/>
  <c r="F72" i="4"/>
  <c r="E72" i="4"/>
  <c r="K71" i="4"/>
  <c r="F71" i="4"/>
  <c r="E71" i="4"/>
  <c r="K70" i="4"/>
  <c r="F70" i="4"/>
  <c r="E70" i="4"/>
  <c r="K69" i="4"/>
  <c r="F69" i="4"/>
  <c r="E69" i="4"/>
  <c r="K68" i="4"/>
  <c r="F68" i="4"/>
  <c r="E68" i="4"/>
  <c r="K67" i="4"/>
  <c r="F67" i="4"/>
  <c r="E67" i="4"/>
  <c r="K66" i="4"/>
  <c r="F66" i="4"/>
  <c r="E66" i="4"/>
  <c r="K65" i="4"/>
  <c r="F65" i="4"/>
  <c r="E65" i="4"/>
  <c r="K64" i="4"/>
  <c r="F64" i="4"/>
  <c r="E64" i="4"/>
  <c r="K63" i="4"/>
  <c r="F63" i="4"/>
  <c r="E63" i="4"/>
  <c r="K62" i="4"/>
  <c r="F62" i="4"/>
  <c r="E62" i="4"/>
  <c r="K61" i="4"/>
  <c r="F61" i="4"/>
  <c r="E61" i="4"/>
  <c r="K60" i="4"/>
  <c r="F60" i="4"/>
  <c r="E60" i="4"/>
  <c r="K59" i="4"/>
  <c r="F59" i="4"/>
  <c r="E59" i="4"/>
  <c r="K58" i="4"/>
  <c r="F58" i="4"/>
  <c r="E58" i="4"/>
  <c r="K57" i="4"/>
  <c r="F57" i="4"/>
  <c r="E57" i="4"/>
  <c r="K56" i="4"/>
  <c r="F56" i="4"/>
  <c r="E56" i="4"/>
  <c r="K55" i="4"/>
  <c r="F55" i="4"/>
  <c r="E55" i="4"/>
  <c r="K54" i="4"/>
  <c r="F54" i="4"/>
  <c r="E54" i="4"/>
  <c r="K53" i="4"/>
  <c r="F53" i="4"/>
  <c r="E53" i="4"/>
  <c r="K52" i="4"/>
  <c r="F52" i="4"/>
  <c r="E52" i="4"/>
  <c r="AB51" i="4"/>
  <c r="K51" i="4"/>
  <c r="F51" i="4"/>
  <c r="E51" i="4"/>
  <c r="K50" i="4"/>
  <c r="F50" i="4"/>
  <c r="E50" i="4"/>
  <c r="K49" i="4"/>
  <c r="F49" i="4"/>
  <c r="E49" i="4"/>
  <c r="K48" i="4"/>
  <c r="F48" i="4"/>
  <c r="E48" i="4"/>
  <c r="K47" i="4"/>
  <c r="F47" i="4"/>
  <c r="E47" i="4"/>
  <c r="K46" i="4"/>
  <c r="F46" i="4"/>
  <c r="E46" i="4"/>
  <c r="K45" i="4"/>
  <c r="F45" i="4"/>
  <c r="E45" i="4"/>
  <c r="K44" i="4"/>
  <c r="F44" i="4"/>
  <c r="E44" i="4"/>
  <c r="K43" i="4"/>
  <c r="F43" i="4"/>
  <c r="E43" i="4"/>
  <c r="K42" i="4"/>
  <c r="F42" i="4"/>
  <c r="E42" i="4"/>
  <c r="K41" i="4"/>
  <c r="F41" i="4"/>
  <c r="E41" i="4"/>
  <c r="K40" i="4"/>
  <c r="F40" i="4"/>
  <c r="E40" i="4"/>
  <c r="K39" i="4"/>
  <c r="F39" i="4"/>
  <c r="E39" i="4"/>
  <c r="K38" i="4"/>
  <c r="F38" i="4"/>
  <c r="E38" i="4"/>
  <c r="K37" i="4"/>
  <c r="F37" i="4"/>
  <c r="E37" i="4"/>
  <c r="K36" i="4"/>
  <c r="F36" i="4"/>
  <c r="E36" i="4"/>
  <c r="K35" i="4"/>
  <c r="F35" i="4"/>
  <c r="E35" i="4"/>
  <c r="K34" i="4"/>
  <c r="F34" i="4"/>
  <c r="E34" i="4"/>
  <c r="K33" i="4"/>
  <c r="F33" i="4"/>
  <c r="E33" i="4"/>
  <c r="K32" i="4"/>
  <c r="F32" i="4"/>
  <c r="E32" i="4"/>
  <c r="K31" i="4"/>
  <c r="F31" i="4"/>
  <c r="E31" i="4"/>
  <c r="K30" i="4"/>
  <c r="F30" i="4"/>
  <c r="E30" i="4"/>
  <c r="K29" i="4"/>
  <c r="F29" i="4"/>
  <c r="E29" i="4"/>
  <c r="K28" i="4"/>
  <c r="F28" i="4"/>
  <c r="E28" i="4"/>
  <c r="K27" i="4"/>
  <c r="F27" i="4"/>
  <c r="E27" i="4"/>
  <c r="K26" i="4"/>
  <c r="F26" i="4"/>
  <c r="E26" i="4"/>
  <c r="K25" i="4"/>
  <c r="F25" i="4"/>
  <c r="E25" i="4"/>
  <c r="K24" i="4"/>
  <c r="F24" i="4"/>
  <c r="E24" i="4"/>
  <c r="K23" i="4"/>
  <c r="F23" i="4"/>
  <c r="E23" i="4"/>
  <c r="K22" i="4"/>
  <c r="F22" i="4"/>
  <c r="E22" i="4"/>
  <c r="K21" i="4"/>
  <c r="F21" i="4"/>
  <c r="E21" i="4"/>
  <c r="K20" i="4"/>
  <c r="F20" i="4"/>
  <c r="E20" i="4"/>
  <c r="K19" i="4"/>
  <c r="F19" i="4"/>
  <c r="E19" i="4"/>
  <c r="K18" i="4"/>
  <c r="F18" i="4"/>
  <c r="E18" i="4"/>
  <c r="K17" i="4"/>
  <c r="F17" i="4"/>
  <c r="E17" i="4"/>
  <c r="K16" i="4"/>
  <c r="F16" i="4"/>
  <c r="E16" i="4"/>
  <c r="K15" i="4"/>
  <c r="F15" i="4"/>
  <c r="E15" i="4"/>
  <c r="K14" i="4"/>
  <c r="F14" i="4"/>
  <c r="E14" i="4"/>
  <c r="K13" i="4"/>
  <c r="F13" i="4"/>
  <c r="E13" i="4"/>
  <c r="K12" i="4"/>
  <c r="F12" i="4"/>
  <c r="E12" i="4"/>
  <c r="K11" i="4"/>
  <c r="F11" i="4"/>
  <c r="E11" i="4"/>
  <c r="K10" i="4"/>
  <c r="F10" i="4"/>
  <c r="E10" i="4"/>
  <c r="K9" i="4"/>
  <c r="F9" i="4"/>
  <c r="E9" i="4"/>
  <c r="K8" i="4"/>
  <c r="F8" i="4"/>
  <c r="E8" i="4"/>
  <c r="K7" i="4"/>
  <c r="F7" i="4"/>
  <c r="E7" i="4"/>
  <c r="K6" i="4"/>
  <c r="F6" i="4"/>
  <c r="E6" i="4"/>
  <c r="K5" i="4"/>
  <c r="F5" i="4"/>
  <c r="E5" i="4"/>
  <c r="K4" i="4"/>
  <c r="F4" i="4"/>
  <c r="E4" i="4"/>
  <c r="E39" i="3"/>
  <c r="E38" i="3"/>
  <c r="E34" i="3"/>
  <c r="B29" i="3"/>
  <c r="B30" i="3" s="1"/>
  <c r="D30" i="3" s="1"/>
  <c r="E28" i="3"/>
  <c r="E32" i="3" s="1"/>
  <c r="D28" i="3"/>
  <c r="E27" i="3"/>
  <c r="E26" i="3"/>
  <c r="E17" i="3"/>
  <c r="B17" i="3"/>
  <c r="D16" i="3"/>
  <c r="E15" i="3"/>
  <c r="E14" i="3"/>
  <c r="B5" i="3"/>
  <c r="B6" i="3" s="1"/>
  <c r="B7" i="3" s="1"/>
  <c r="E4" i="3"/>
  <c r="E8" i="3" s="1"/>
  <c r="D4" i="3"/>
  <c r="E3" i="3"/>
  <c r="B115" i="2"/>
  <c r="B123" i="2" s="1"/>
  <c r="B133" i="2" s="1"/>
  <c r="G128" i="2"/>
  <c r="I128" i="2" s="1"/>
  <c r="AF22" i="2"/>
  <c r="AG22" i="2" s="1"/>
  <c r="G20" i="2"/>
  <c r="E33" i="3" l="1"/>
  <c r="E25" i="3"/>
  <c r="E6" i="3"/>
  <c r="E13" i="3"/>
  <c r="E31" i="3"/>
  <c r="F12" i="3"/>
  <c r="F10" i="3" s="1"/>
  <c r="E10" i="3" s="1"/>
  <c r="L3" i="3"/>
  <c r="E18" i="3"/>
  <c r="E19" i="3"/>
  <c r="E20" i="3"/>
  <c r="E23" i="3"/>
  <c r="E22" i="3"/>
  <c r="E35" i="3"/>
  <c r="D29" i="3"/>
  <c r="E37" i="3"/>
  <c r="E29" i="3"/>
  <c r="B31" i="3"/>
  <c r="B32" i="3" s="1"/>
  <c r="B8" i="3"/>
  <c r="D7" i="3"/>
  <c r="D6" i="3"/>
  <c r="D17" i="3"/>
  <c r="B18" i="3"/>
  <c r="E5" i="3"/>
  <c r="E11" i="3"/>
  <c r="E9" i="3"/>
  <c r="D5" i="3"/>
  <c r="E30" i="3"/>
  <c r="H14" i="2"/>
  <c r="B116" i="2"/>
  <c r="E24" i="2"/>
  <c r="X20" i="2" s="1"/>
  <c r="E12" i="3" l="1"/>
  <c r="D31" i="3"/>
  <c r="L4" i="3"/>
  <c r="D32" i="3"/>
  <c r="B33" i="3"/>
  <c r="D18" i="3"/>
  <c r="B19" i="3"/>
  <c r="D8" i="3"/>
  <c r="B9" i="3"/>
  <c r="B117" i="2"/>
  <c r="F134" i="2" s="1"/>
  <c r="I14" i="2" s="1"/>
  <c r="J25" i="2"/>
  <c r="B12" i="2"/>
  <c r="B77" i="2"/>
  <c r="B78" i="2" s="1"/>
  <c r="B79" i="2" s="1"/>
  <c r="B80" i="2" s="1"/>
  <c r="D23" i="1"/>
  <c r="A23" i="1"/>
  <c r="F56" i="2"/>
  <c r="G53" i="2"/>
  <c r="I53" i="2" s="1"/>
  <c r="G52" i="2"/>
  <c r="I52" i="2" s="1"/>
  <c r="G51" i="2"/>
  <c r="I51" i="2" s="1"/>
  <c r="B38" i="2"/>
  <c r="L5" i="3" l="1"/>
  <c r="M4" i="3"/>
  <c r="B34" i="3"/>
  <c r="D33" i="3"/>
  <c r="B10" i="3"/>
  <c r="D9" i="3"/>
  <c r="D19" i="3"/>
  <c r="B20" i="3"/>
  <c r="F135" i="2"/>
  <c r="J14" i="2" s="1"/>
  <c r="B118" i="2"/>
  <c r="F57" i="2"/>
  <c r="F90" i="2"/>
  <c r="I13" i="2" s="1"/>
  <c r="F85" i="2"/>
  <c r="B85" i="2"/>
  <c r="B96" i="2" s="1"/>
  <c r="H13" i="2" s="1"/>
  <c r="B46" i="2"/>
  <c r="B56" i="2" s="1"/>
  <c r="H12" i="2" s="1"/>
  <c r="B39" i="2"/>
  <c r="B40" i="2" s="1"/>
  <c r="L6" i="3" l="1"/>
  <c r="M5" i="3"/>
  <c r="D34" i="3"/>
  <c r="B35" i="3"/>
  <c r="D10" i="3"/>
  <c r="B11" i="3"/>
  <c r="D20" i="3"/>
  <c r="B21" i="3"/>
  <c r="F133" i="2"/>
  <c r="K35" i="1"/>
  <c r="I20" i="2"/>
  <c r="F91" i="2"/>
  <c r="F89" i="2" s="1"/>
  <c r="F58" i="2"/>
  <c r="B41" i="2"/>
  <c r="L7" i="3" l="1"/>
  <c r="M6" i="3"/>
  <c r="D35" i="3"/>
  <c r="B36" i="3"/>
  <c r="D21" i="3"/>
  <c r="B22" i="3"/>
  <c r="B12" i="3"/>
  <c r="D11" i="3"/>
  <c r="J13" i="2"/>
  <c r="I12" i="2"/>
  <c r="K21" i="2" s="1"/>
  <c r="F59" i="2"/>
  <c r="J12" i="2" s="1"/>
  <c r="L8" i="3" l="1"/>
  <c r="M7" i="3"/>
  <c r="B37" i="3"/>
  <c r="D36" i="3"/>
  <c r="D22" i="3"/>
  <c r="B23" i="3"/>
  <c r="D12" i="3"/>
  <c r="B13" i="3"/>
  <c r="L21" i="2"/>
  <c r="S13" i="2" s="1"/>
  <c r="L9" i="3" l="1"/>
  <c r="M8" i="3"/>
  <c r="D37" i="3"/>
  <c r="B38" i="3"/>
  <c r="D23" i="3"/>
  <c r="B24" i="3"/>
  <c r="B14" i="3"/>
  <c r="D13" i="3"/>
  <c r="S15" i="2"/>
  <c r="S14" i="2"/>
  <c r="S12" i="2"/>
  <c r="P26" i="2"/>
  <c r="L10" i="3" l="1"/>
  <c r="M9" i="3"/>
  <c r="B39" i="3"/>
  <c r="D39" i="3" s="1"/>
  <c r="D38" i="3"/>
  <c r="D24" i="3"/>
  <c r="B25" i="3"/>
  <c r="D14" i="3"/>
  <c r="B15" i="3"/>
  <c r="D15" i="3" s="1"/>
  <c r="Y20" i="2"/>
  <c r="P27" i="2"/>
  <c r="Q27" i="2" s="1"/>
  <c r="AC27" i="2" s="1"/>
  <c r="Q26" i="2"/>
  <c r="F20" i="2"/>
  <c r="V26" i="2" s="1"/>
  <c r="D17" i="1"/>
  <c r="H20" i="2" s="1"/>
  <c r="L11" i="3" l="1"/>
  <c r="M10" i="3"/>
  <c r="D25" i="3"/>
  <c r="B26" i="3"/>
  <c r="P28" i="2"/>
  <c r="Q28" i="2" s="1"/>
  <c r="AC28" i="2" s="1"/>
  <c r="H26" i="2"/>
  <c r="H27" i="2"/>
  <c r="X26" i="2" s="1"/>
  <c r="G26" i="2"/>
  <c r="G27" i="2"/>
  <c r="W26" i="2" s="1"/>
  <c r="AC26" i="2"/>
  <c r="C58" i="1"/>
  <c r="C56" i="1" s="1"/>
  <c r="L12" i="3" l="1"/>
  <c r="M11" i="3"/>
  <c r="D26" i="3"/>
  <c r="B27" i="3"/>
  <c r="D27" i="3" s="1"/>
  <c r="P29" i="2"/>
  <c r="W29" i="2" s="1"/>
  <c r="W27" i="2"/>
  <c r="X27" i="2"/>
  <c r="W28" i="2"/>
  <c r="X28" i="2"/>
  <c r="J21" i="2"/>
  <c r="J26" i="2" s="1"/>
  <c r="J27" i="2" s="1"/>
  <c r="L13" i="3" l="1"/>
  <c r="M12" i="3"/>
  <c r="P30" i="2"/>
  <c r="Q30" i="2" s="1"/>
  <c r="AC30" i="2" s="1"/>
  <c r="Q29" i="2"/>
  <c r="AC29" i="2" s="1"/>
  <c r="X29" i="2"/>
  <c r="Y16" i="2"/>
  <c r="L14" i="3" l="1"/>
  <c r="M13" i="3"/>
  <c r="P31" i="2"/>
  <c r="X31" i="2" s="1"/>
  <c r="X30" i="2"/>
  <c r="W30" i="2"/>
  <c r="F21" i="2"/>
  <c r="L15" i="3" l="1"/>
  <c r="M14" i="3"/>
  <c r="Q31" i="2"/>
  <c r="AC31" i="2" s="1"/>
  <c r="P32" i="2"/>
  <c r="X32" i="2" s="1"/>
  <c r="W31" i="2"/>
  <c r="K41" i="1"/>
  <c r="I26" i="2" s="1"/>
  <c r="L16" i="3" l="1"/>
  <c r="M15" i="3"/>
  <c r="Q32" i="2"/>
  <c r="AC32" i="2" s="1"/>
  <c r="P33" i="2"/>
  <c r="W33" i="2" s="1"/>
  <c r="W32" i="2"/>
  <c r="K39" i="1"/>
  <c r="I27" i="2"/>
  <c r="R10" i="2"/>
  <c r="L17" i="3" l="1"/>
  <c r="M16" i="3"/>
  <c r="P34" i="2"/>
  <c r="Q33" i="2"/>
  <c r="AC33" i="2" s="1"/>
  <c r="X33" i="2"/>
  <c r="W34" i="2"/>
  <c r="X34" i="2"/>
  <c r="R12" i="2"/>
  <c r="W12" i="2" s="1"/>
  <c r="Z16" i="2"/>
  <c r="T15" i="2"/>
  <c r="T12" i="2"/>
  <c r="T13" i="2"/>
  <c r="T14" i="2"/>
  <c r="P35" i="2"/>
  <c r="Q34" i="2"/>
  <c r="AC34" i="2" s="1"/>
  <c r="L18" i="3" l="1"/>
  <c r="M17" i="3"/>
  <c r="X35" i="2"/>
  <c r="W35" i="2"/>
  <c r="Y34" i="2"/>
  <c r="Y32" i="2"/>
  <c r="Y30" i="2"/>
  <c r="Y28" i="2"/>
  <c r="Y33" i="2"/>
  <c r="Y26" i="2"/>
  <c r="Y27" i="2"/>
  <c r="Y29" i="2"/>
  <c r="Y35" i="2"/>
  <c r="Y31" i="2"/>
  <c r="R35" i="2"/>
  <c r="R34" i="2"/>
  <c r="R32" i="2"/>
  <c r="R31" i="2"/>
  <c r="R30" i="2"/>
  <c r="R28" i="2"/>
  <c r="R27" i="2"/>
  <c r="R33" i="2"/>
  <c r="R29" i="2"/>
  <c r="R26" i="2"/>
  <c r="R13" i="2"/>
  <c r="W13" i="2" s="1"/>
  <c r="P36" i="2"/>
  <c r="Q35" i="2"/>
  <c r="AC35" i="2" s="1"/>
  <c r="L19" i="3" l="1"/>
  <c r="M18" i="3"/>
  <c r="W36" i="2"/>
  <c r="X36" i="2"/>
  <c r="R36" i="2"/>
  <c r="Y36" i="2"/>
  <c r="Z36" i="2"/>
  <c r="Z34" i="2"/>
  <c r="Z32" i="2"/>
  <c r="Z30" i="2"/>
  <c r="Z28" i="2"/>
  <c r="Z33" i="2"/>
  <c r="Z27" i="2"/>
  <c r="Z35" i="2"/>
  <c r="Z29" i="2"/>
  <c r="Z31" i="2"/>
  <c r="Z26" i="2"/>
  <c r="S35" i="2"/>
  <c r="S28" i="2"/>
  <c r="S30" i="2"/>
  <c r="S31" i="2"/>
  <c r="S26" i="2"/>
  <c r="S27" i="2"/>
  <c r="S32" i="2"/>
  <c r="S33" i="2"/>
  <c r="S34" i="2"/>
  <c r="S29" i="2"/>
  <c r="S36" i="2"/>
  <c r="P35" i="1"/>
  <c r="R14" i="2"/>
  <c r="P37" i="2"/>
  <c r="Q36" i="2"/>
  <c r="AC36" i="2" s="1"/>
  <c r="L20" i="3" l="1"/>
  <c r="M19" i="3"/>
  <c r="Z37" i="2"/>
  <c r="W37" i="2"/>
  <c r="X37" i="2"/>
  <c r="R37" i="2"/>
  <c r="Y37" i="2"/>
  <c r="W14" i="2"/>
  <c r="W15" i="2"/>
  <c r="Q37" i="2"/>
  <c r="AC37" i="2" s="1"/>
  <c r="S37" i="2"/>
  <c r="P36" i="1"/>
  <c r="R15" i="2"/>
  <c r="X16" i="2" s="1"/>
  <c r="P38" i="2"/>
  <c r="L21" i="3" l="1"/>
  <c r="M20" i="3"/>
  <c r="W38" i="2"/>
  <c r="X38" i="2"/>
  <c r="Y38" i="2"/>
  <c r="Z38" i="2"/>
  <c r="AB26" i="2"/>
  <c r="AB30" i="2"/>
  <c r="AB27" i="2"/>
  <c r="AB29" i="2"/>
  <c r="AB32" i="2"/>
  <c r="AB38" i="2"/>
  <c r="AB37" i="2"/>
  <c r="AB36" i="2"/>
  <c r="AB35" i="2"/>
  <c r="AB34" i="2"/>
  <c r="AB31" i="2"/>
  <c r="AB28" i="2"/>
  <c r="AB33" i="2"/>
  <c r="AA26" i="2"/>
  <c r="AA38" i="2"/>
  <c r="AA36" i="2"/>
  <c r="AA34" i="2"/>
  <c r="AA32" i="2"/>
  <c r="AA33" i="2"/>
  <c r="AA30" i="2"/>
  <c r="AA27" i="2"/>
  <c r="AA35" i="2"/>
  <c r="AA29" i="2"/>
  <c r="AA31" i="2"/>
  <c r="AA37" i="2"/>
  <c r="AA28" i="2"/>
  <c r="R38" i="2"/>
  <c r="S38" i="2"/>
  <c r="U251" i="2"/>
  <c r="U235" i="2"/>
  <c r="U219" i="2"/>
  <c r="U203" i="2"/>
  <c r="U187" i="2"/>
  <c r="U171" i="2"/>
  <c r="U155" i="2"/>
  <c r="U139" i="2"/>
  <c r="U123" i="2"/>
  <c r="U240" i="2"/>
  <c r="U224" i="2"/>
  <c r="U208" i="2"/>
  <c r="U192" i="2"/>
  <c r="U176" i="2"/>
  <c r="U160" i="2"/>
  <c r="U144" i="2"/>
  <c r="U128" i="2"/>
  <c r="U112" i="2"/>
  <c r="U96" i="2"/>
  <c r="U117" i="2"/>
  <c r="U85" i="2"/>
  <c r="U67" i="2"/>
  <c r="U51" i="2"/>
  <c r="U35" i="2"/>
  <c r="U107" i="2"/>
  <c r="U78" i="2"/>
  <c r="U62" i="2"/>
  <c r="U46" i="2"/>
  <c r="U30" i="2"/>
  <c r="U185" i="2"/>
  <c r="U137" i="2"/>
  <c r="U238" i="2"/>
  <c r="U206" i="2"/>
  <c r="U174" i="2"/>
  <c r="U142" i="2"/>
  <c r="U110" i="2"/>
  <c r="U113" i="2"/>
  <c r="U49" i="2"/>
  <c r="U60" i="2"/>
  <c r="U44" i="2"/>
  <c r="U247" i="2"/>
  <c r="U135" i="2"/>
  <c r="U249" i="2"/>
  <c r="U233" i="2"/>
  <c r="U217" i="2"/>
  <c r="U201" i="2"/>
  <c r="U169" i="2"/>
  <c r="U153" i="2"/>
  <c r="U121" i="2"/>
  <c r="U222" i="2"/>
  <c r="U190" i="2"/>
  <c r="U158" i="2"/>
  <c r="U126" i="2"/>
  <c r="U81" i="2"/>
  <c r="U76" i="2"/>
  <c r="U215" i="2"/>
  <c r="U151" i="2"/>
  <c r="U220" i="2"/>
  <c r="U140" i="2"/>
  <c r="U79" i="2"/>
  <c r="U99" i="2"/>
  <c r="U229" i="2"/>
  <c r="U149" i="2"/>
  <c r="U202" i="2"/>
  <c r="U122" i="2"/>
  <c r="U61" i="2"/>
  <c r="U40" i="2"/>
  <c r="U243" i="2"/>
  <c r="U227" i="2"/>
  <c r="U211" i="2"/>
  <c r="U195" i="2"/>
  <c r="U179" i="2"/>
  <c r="U163" i="2"/>
  <c r="U147" i="2"/>
  <c r="U131" i="2"/>
  <c r="U248" i="2"/>
  <c r="U232" i="2"/>
  <c r="U216" i="2"/>
  <c r="U200" i="2"/>
  <c r="U184" i="2"/>
  <c r="U168" i="2"/>
  <c r="U152" i="2"/>
  <c r="U136" i="2"/>
  <c r="U120" i="2"/>
  <c r="U104" i="2"/>
  <c r="U88" i="2"/>
  <c r="U101" i="2"/>
  <c r="U75" i="2"/>
  <c r="U59" i="2"/>
  <c r="U43" i="2"/>
  <c r="U27" i="2"/>
  <c r="U91" i="2"/>
  <c r="U70" i="2"/>
  <c r="U54" i="2"/>
  <c r="U38" i="2"/>
  <c r="U97" i="2"/>
  <c r="U57" i="2"/>
  <c r="U41" i="2"/>
  <c r="U87" i="2"/>
  <c r="U68" i="2"/>
  <c r="U52" i="2"/>
  <c r="U36" i="2"/>
  <c r="U148" i="2"/>
  <c r="U84" i="2"/>
  <c r="U55" i="2"/>
  <c r="U115" i="2"/>
  <c r="U50" i="2"/>
  <c r="U183" i="2"/>
  <c r="U204" i="2"/>
  <c r="U108" i="2"/>
  <c r="U31" i="2"/>
  <c r="U42" i="2"/>
  <c r="U181" i="2"/>
  <c r="U234" i="2"/>
  <c r="U154" i="2"/>
  <c r="U105" i="2"/>
  <c r="U95" i="2"/>
  <c r="U241" i="2"/>
  <c r="U225" i="2"/>
  <c r="U209" i="2"/>
  <c r="U193" i="2"/>
  <c r="U177" i="2"/>
  <c r="U161" i="2"/>
  <c r="U145" i="2"/>
  <c r="U129" i="2"/>
  <c r="U246" i="2"/>
  <c r="U230" i="2"/>
  <c r="U214" i="2"/>
  <c r="U198" i="2"/>
  <c r="U182" i="2"/>
  <c r="U166" i="2"/>
  <c r="U150" i="2"/>
  <c r="U134" i="2"/>
  <c r="U118" i="2"/>
  <c r="U102" i="2"/>
  <c r="U86" i="2"/>
  <c r="U73" i="2"/>
  <c r="U212" i="2"/>
  <c r="U164" i="2"/>
  <c r="U116" i="2"/>
  <c r="U93" i="2"/>
  <c r="U39" i="2"/>
  <c r="U66" i="2"/>
  <c r="U199" i="2"/>
  <c r="U236" i="2"/>
  <c r="U156" i="2"/>
  <c r="U109" i="2"/>
  <c r="U74" i="2"/>
  <c r="U245" i="2"/>
  <c r="U165" i="2"/>
  <c r="U218" i="2"/>
  <c r="U138" i="2"/>
  <c r="U77" i="2"/>
  <c r="U56" i="2"/>
  <c r="U239" i="2"/>
  <c r="U223" i="2"/>
  <c r="U207" i="2"/>
  <c r="U191" i="2"/>
  <c r="U175" i="2"/>
  <c r="U159" i="2"/>
  <c r="U143" i="2"/>
  <c r="U127" i="2"/>
  <c r="U244" i="2"/>
  <c r="U228" i="2"/>
  <c r="U196" i="2"/>
  <c r="U180" i="2"/>
  <c r="U132" i="2"/>
  <c r="U100" i="2"/>
  <c r="U71" i="2"/>
  <c r="U83" i="2"/>
  <c r="U34" i="2"/>
  <c r="U167" i="2"/>
  <c r="U172" i="2"/>
  <c r="U124" i="2"/>
  <c r="U63" i="2"/>
  <c r="U58" i="2"/>
  <c r="U213" i="2"/>
  <c r="U133" i="2"/>
  <c r="U170" i="2"/>
  <c r="U90" i="2"/>
  <c r="U45" i="2"/>
  <c r="U72" i="2"/>
  <c r="U237" i="2"/>
  <c r="U221" i="2"/>
  <c r="U205" i="2"/>
  <c r="U189" i="2"/>
  <c r="U173" i="2"/>
  <c r="U157" i="2"/>
  <c r="U141" i="2"/>
  <c r="U125" i="2"/>
  <c r="U242" i="2"/>
  <c r="U226" i="2"/>
  <c r="U210" i="2"/>
  <c r="U194" i="2"/>
  <c r="U178" i="2"/>
  <c r="U162" i="2"/>
  <c r="U146" i="2"/>
  <c r="U130" i="2"/>
  <c r="U114" i="2"/>
  <c r="U98" i="2"/>
  <c r="U82" i="2"/>
  <c r="U89" i="2"/>
  <c r="U69" i="2"/>
  <c r="U53" i="2"/>
  <c r="U37" i="2"/>
  <c r="U111" i="2"/>
  <c r="U80" i="2"/>
  <c r="U64" i="2"/>
  <c r="U48" i="2"/>
  <c r="U32" i="2"/>
  <c r="U94" i="2"/>
  <c r="U65" i="2"/>
  <c r="U33" i="2"/>
  <c r="U103" i="2"/>
  <c r="U28" i="2"/>
  <c r="U231" i="2"/>
  <c r="U119" i="2"/>
  <c r="U188" i="2"/>
  <c r="U92" i="2"/>
  <c r="U47" i="2"/>
  <c r="U26" i="2"/>
  <c r="U197" i="2"/>
  <c r="U250" i="2"/>
  <c r="U186" i="2"/>
  <c r="U106" i="2"/>
  <c r="U29" i="2"/>
  <c r="T33" i="2"/>
  <c r="T29" i="2"/>
  <c r="T38" i="2"/>
  <c r="T32" i="2"/>
  <c r="T36" i="2"/>
  <c r="T37" i="2"/>
  <c r="T26" i="2"/>
  <c r="T34" i="2"/>
  <c r="T35" i="2"/>
  <c r="T30" i="2"/>
  <c r="T28" i="2"/>
  <c r="T31" i="2"/>
  <c r="T27" i="2"/>
  <c r="P37" i="1"/>
  <c r="P38" i="1"/>
  <c r="P39" i="2"/>
  <c r="Q38" i="2"/>
  <c r="AC38" i="2" s="1"/>
  <c r="L22" i="3" l="1"/>
  <c r="M21" i="3"/>
  <c r="AA39" i="2"/>
  <c r="X39" i="2"/>
  <c r="W39" i="2"/>
  <c r="AD26" i="2"/>
  <c r="AE26" i="2" s="1"/>
  <c r="T39" i="2"/>
  <c r="Y39" i="2"/>
  <c r="Z39" i="2"/>
  <c r="AB39" i="2"/>
  <c r="Q39" i="2"/>
  <c r="AC39" i="2" s="1"/>
  <c r="R39" i="2"/>
  <c r="S39" i="2"/>
  <c r="P40" i="2"/>
  <c r="L23" i="3" l="1"/>
  <c r="M22" i="3"/>
  <c r="AF26" i="2"/>
  <c r="AG26" i="2"/>
  <c r="AD27" i="2"/>
  <c r="X40" i="2"/>
  <c r="W40" i="2"/>
  <c r="Y40" i="2"/>
  <c r="Z40" i="2"/>
  <c r="AA40" i="2"/>
  <c r="AB40" i="2"/>
  <c r="R40" i="2"/>
  <c r="S40" i="2"/>
  <c r="T40" i="2"/>
  <c r="P41" i="2"/>
  <c r="Q40" i="2"/>
  <c r="L24" i="3" l="1"/>
  <c r="M23" i="3"/>
  <c r="AH26" i="2"/>
  <c r="AD28" i="2"/>
  <c r="AE27" i="2"/>
  <c r="W41" i="2"/>
  <c r="X41" i="2"/>
  <c r="Q41" i="2"/>
  <c r="AC41" i="2" s="1"/>
  <c r="AC40" i="2"/>
  <c r="Y41" i="2"/>
  <c r="Z41" i="2"/>
  <c r="AB41" i="2"/>
  <c r="AA41" i="2"/>
  <c r="R41" i="2"/>
  <c r="S41" i="2"/>
  <c r="T41" i="2"/>
  <c r="P42" i="2"/>
  <c r="L25" i="3" l="1"/>
  <c r="M24" i="3"/>
  <c r="AG27" i="2"/>
  <c r="AF27" i="2"/>
  <c r="AD29" i="2"/>
  <c r="AD30" i="2" s="1"/>
  <c r="AD31" i="2" s="1"/>
  <c r="AD32" i="2" s="1"/>
  <c r="AD33" i="2" s="1"/>
  <c r="AD34" i="2" s="1"/>
  <c r="AD35" i="2" s="1"/>
  <c r="AD36" i="2" s="1"/>
  <c r="AD37" i="2" s="1"/>
  <c r="AD38" i="2" s="1"/>
  <c r="AD39" i="2" s="1"/>
  <c r="AD40" i="2" s="1"/>
  <c r="AD41" i="2" s="1"/>
  <c r="AE28" i="2"/>
  <c r="W42" i="2"/>
  <c r="X42" i="2"/>
  <c r="Y42" i="2"/>
  <c r="Z42" i="2"/>
  <c r="AB42" i="2"/>
  <c r="AA42" i="2"/>
  <c r="R42" i="2"/>
  <c r="S42" i="2"/>
  <c r="T42" i="2"/>
  <c r="P43" i="2"/>
  <c r="Q42" i="2"/>
  <c r="AC42" i="2" s="1"/>
  <c r="L26" i="3" l="1"/>
  <c r="M25" i="3"/>
  <c r="AE29" i="2"/>
  <c r="AG28" i="2"/>
  <c r="AF28" i="2"/>
  <c r="AH27" i="2"/>
  <c r="X43" i="2"/>
  <c r="W43" i="2"/>
  <c r="AD42" i="2"/>
  <c r="Y43" i="2"/>
  <c r="Z43" i="2"/>
  <c r="AA43" i="2"/>
  <c r="AB43" i="2"/>
  <c r="Q43" i="2"/>
  <c r="AC43" i="2" s="1"/>
  <c r="R43" i="2"/>
  <c r="S43" i="2"/>
  <c r="T43" i="2"/>
  <c r="P44" i="2"/>
  <c r="L27" i="3" l="1"/>
  <c r="M26" i="3"/>
  <c r="AH28" i="2"/>
  <c r="AE30" i="2"/>
  <c r="AG29" i="2"/>
  <c r="AF29" i="2"/>
  <c r="X44" i="2"/>
  <c r="W44" i="2"/>
  <c r="AD43" i="2"/>
  <c r="Y44" i="2"/>
  <c r="Z44" i="2"/>
  <c r="AA44" i="2"/>
  <c r="AB44" i="2"/>
  <c r="R44" i="2"/>
  <c r="S44" i="2"/>
  <c r="T44" i="2"/>
  <c r="P45" i="2"/>
  <c r="Q44" i="2"/>
  <c r="AC44" i="2" s="1"/>
  <c r="L28" i="3" l="1"/>
  <c r="M27" i="3"/>
  <c r="AE31" i="2"/>
  <c r="AG30" i="2"/>
  <c r="AF30" i="2"/>
  <c r="AH29" i="2"/>
  <c r="W45" i="2"/>
  <c r="X45" i="2"/>
  <c r="AD44" i="2"/>
  <c r="Y45" i="2"/>
  <c r="Z45" i="2"/>
  <c r="AB45" i="2"/>
  <c r="AA45" i="2"/>
  <c r="R45" i="2"/>
  <c r="S45" i="2"/>
  <c r="T45" i="2"/>
  <c r="Q45" i="2"/>
  <c r="AC45" i="2" s="1"/>
  <c r="P46" i="2"/>
  <c r="L29" i="3" l="1"/>
  <c r="M28" i="3"/>
  <c r="AH30" i="2"/>
  <c r="AE32" i="2"/>
  <c r="AG31" i="2"/>
  <c r="AF31" i="2"/>
  <c r="W46" i="2"/>
  <c r="X46" i="2"/>
  <c r="AD45" i="2"/>
  <c r="Y46" i="2"/>
  <c r="Z46" i="2"/>
  <c r="AB46" i="2"/>
  <c r="AA46" i="2"/>
  <c r="R46" i="2"/>
  <c r="S46" i="2"/>
  <c r="T46" i="2"/>
  <c r="P47" i="2"/>
  <c r="Q46" i="2"/>
  <c r="L30" i="3" l="1"/>
  <c r="M29" i="3"/>
  <c r="AE33" i="2"/>
  <c r="AG32" i="2"/>
  <c r="AF32" i="2"/>
  <c r="AH31" i="2"/>
  <c r="X47" i="2"/>
  <c r="W47" i="2"/>
  <c r="Q47" i="2"/>
  <c r="AC47" i="2" s="1"/>
  <c r="AC46" i="2"/>
  <c r="AD46" i="2" s="1"/>
  <c r="Y47" i="2"/>
  <c r="Z47" i="2"/>
  <c r="AA47" i="2"/>
  <c r="AB47" i="2"/>
  <c r="R47" i="2"/>
  <c r="S47" i="2"/>
  <c r="T47" i="2"/>
  <c r="P48" i="2"/>
  <c r="L31" i="3" l="1"/>
  <c r="M30" i="3"/>
  <c r="AG33" i="2"/>
  <c r="AF33" i="2"/>
  <c r="AE34" i="2"/>
  <c r="AH32" i="2"/>
  <c r="X48" i="2"/>
  <c r="W48" i="2"/>
  <c r="AD47" i="2"/>
  <c r="Y48" i="2"/>
  <c r="Z48" i="2"/>
  <c r="AB48" i="2"/>
  <c r="AA48" i="2"/>
  <c r="R48" i="2"/>
  <c r="S48" i="2"/>
  <c r="T48" i="2"/>
  <c r="P49" i="2"/>
  <c r="Q48" i="2"/>
  <c r="L32" i="3" l="1"/>
  <c r="M31" i="3"/>
  <c r="AH33" i="2"/>
  <c r="AE35" i="2"/>
  <c r="AG34" i="2"/>
  <c r="AF34" i="2"/>
  <c r="W49" i="2"/>
  <c r="X49" i="2"/>
  <c r="Q49" i="2"/>
  <c r="AC49" i="2" s="1"/>
  <c r="AC48" i="2"/>
  <c r="AD48" i="2" s="1"/>
  <c r="Y49" i="2"/>
  <c r="Z49" i="2"/>
  <c r="AB49" i="2"/>
  <c r="AA49" i="2"/>
  <c r="R49" i="2"/>
  <c r="S49" i="2"/>
  <c r="T49" i="2"/>
  <c r="P50" i="2"/>
  <c r="L33" i="3" l="1"/>
  <c r="M32" i="3"/>
  <c r="AH34" i="2"/>
  <c r="AE36" i="2"/>
  <c r="AG35" i="2"/>
  <c r="AF35" i="2"/>
  <c r="W50" i="2"/>
  <c r="X50" i="2"/>
  <c r="AD49" i="2"/>
  <c r="Y50" i="2"/>
  <c r="Z50" i="2"/>
  <c r="AA50" i="2"/>
  <c r="AB50" i="2"/>
  <c r="R50" i="2"/>
  <c r="S50" i="2"/>
  <c r="T50" i="2"/>
  <c r="P51" i="2"/>
  <c r="Q50" i="2"/>
  <c r="L34" i="3" l="1"/>
  <c r="M33" i="3"/>
  <c r="E36" i="3"/>
  <c r="AH35" i="2"/>
  <c r="AE37" i="2"/>
  <c r="AF36" i="2"/>
  <c r="AG36" i="2"/>
  <c r="X51" i="2"/>
  <c r="W51" i="2"/>
  <c r="Q51" i="2"/>
  <c r="AC51" i="2" s="1"/>
  <c r="AC50" i="2"/>
  <c r="AD50" i="2" s="1"/>
  <c r="Y51" i="2"/>
  <c r="Z51" i="2"/>
  <c r="AA51" i="2"/>
  <c r="AB51" i="2"/>
  <c r="R51" i="2"/>
  <c r="S51" i="2"/>
  <c r="T51" i="2"/>
  <c r="P52" i="2"/>
  <c r="P2" i="3" a="1"/>
  <c r="R14" i="3" l="1"/>
  <c r="P60" i="3"/>
  <c r="R61" i="3"/>
  <c r="R24" i="3"/>
  <c r="U53" i="3"/>
  <c r="P62" i="3"/>
  <c r="P37" i="3"/>
  <c r="S22" i="3"/>
  <c r="Q24" i="3"/>
  <c r="P47" i="3"/>
  <c r="P26" i="3"/>
  <c r="S27" i="3"/>
  <c r="T10" i="3"/>
  <c r="S37" i="3"/>
  <c r="U24" i="3"/>
  <c r="R38" i="3"/>
  <c r="U23" i="3"/>
  <c r="S25" i="3"/>
  <c r="R48" i="3"/>
  <c r="Q10" i="3"/>
  <c r="U32" i="3"/>
  <c r="S5" i="3"/>
  <c r="U57" i="3"/>
  <c r="R30" i="3"/>
  <c r="U15" i="3"/>
  <c r="S17" i="3"/>
  <c r="R40" i="3"/>
  <c r="T40" i="3"/>
  <c r="S59" i="3"/>
  <c r="P53" i="3"/>
  <c r="S38" i="3"/>
  <c r="Q40" i="3"/>
  <c r="S4" i="3"/>
  <c r="S35" i="3"/>
  <c r="Q32" i="3"/>
  <c r="S11" i="3"/>
  <c r="P56" i="3"/>
  <c r="R11" i="3"/>
  <c r="T52" i="3"/>
  <c r="U42" i="3"/>
  <c r="P11" i="3"/>
  <c r="Q52" i="3"/>
  <c r="P32" i="3"/>
  <c r="Q27" i="3"/>
  <c r="P4" i="3"/>
  <c r="P36" i="3"/>
  <c r="R46" i="3"/>
  <c r="R56" i="3"/>
  <c r="U55" i="3"/>
  <c r="P42" i="3"/>
  <c r="P50" i="3"/>
  <c r="Q57" i="3"/>
  <c r="R47" i="3"/>
  <c r="R62" i="3"/>
  <c r="U13" i="3"/>
  <c r="R33" i="3"/>
  <c r="T9" i="3"/>
  <c r="Q39" i="3"/>
  <c r="T16" i="3"/>
  <c r="T8" i="3"/>
  <c r="P58" i="3"/>
  <c r="Q17" i="3"/>
  <c r="U49" i="3"/>
  <c r="S40" i="3"/>
  <c r="R36" i="3"/>
  <c r="Q16" i="3"/>
  <c r="T37" i="3"/>
  <c r="U33" i="3"/>
  <c r="T29" i="3"/>
  <c r="U27" i="3"/>
  <c r="P54" i="3"/>
  <c r="S9" i="3"/>
  <c r="U19" i="3"/>
  <c r="P25" i="3"/>
  <c r="S10" i="3"/>
  <c r="Q12" i="3"/>
  <c r="P35" i="3"/>
  <c r="R19" i="3"/>
  <c r="Q18" i="3"/>
  <c r="T47" i="3"/>
  <c r="Q33" i="3"/>
  <c r="U34" i="3"/>
  <c r="T57" i="3"/>
  <c r="Q14" i="3"/>
  <c r="P2" i="3"/>
  <c r="P28" i="3"/>
  <c r="U58" i="3"/>
  <c r="R51" i="3"/>
  <c r="P49" i="3"/>
  <c r="S34" i="3"/>
  <c r="Q36" i="3"/>
  <c r="P59" i="3"/>
  <c r="S19" i="3"/>
  <c r="T12" i="3"/>
  <c r="U26" i="3"/>
  <c r="T4" i="3"/>
  <c r="P41" i="3"/>
  <c r="S26" i="3"/>
  <c r="Q28" i="3"/>
  <c r="P51" i="3"/>
  <c r="S31" i="3"/>
  <c r="S43" i="3"/>
  <c r="S50" i="3"/>
  <c r="Q49" i="3"/>
  <c r="U50" i="3"/>
  <c r="Q15" i="3"/>
  <c r="R15" i="3"/>
  <c r="R12" i="3"/>
  <c r="R5" i="3"/>
  <c r="U39" i="3"/>
  <c r="Q6" i="3"/>
  <c r="Q29" i="3"/>
  <c r="P23" i="3"/>
  <c r="U37" i="3"/>
  <c r="R32" i="3"/>
  <c r="P33" i="3"/>
  <c r="Q50" i="3"/>
  <c r="S21" i="3"/>
  <c r="U30" i="3"/>
  <c r="S33" i="3"/>
  <c r="U8" i="3"/>
  <c r="P8" i="3"/>
  <c r="S20" i="3"/>
  <c r="S14" i="3"/>
  <c r="R9" i="3"/>
  <c r="U21" i="3"/>
  <c r="P7" i="3"/>
  <c r="U47" i="3"/>
  <c r="P10" i="3"/>
  <c r="R29" i="3"/>
  <c r="R2" i="3"/>
  <c r="S41" i="3"/>
  <c r="S52" i="3"/>
  <c r="S18" i="3"/>
  <c r="U20" i="3"/>
  <c r="P19" i="3"/>
  <c r="P46" i="3"/>
  <c r="T33" i="3"/>
  <c r="U51" i="3"/>
  <c r="R41" i="3"/>
  <c r="P22" i="3"/>
  <c r="S13" i="3"/>
  <c r="P61" i="3"/>
  <c r="U14" i="3"/>
  <c r="T19" i="3"/>
  <c r="R39" i="3"/>
  <c r="Q42" i="3"/>
  <c r="T58" i="3"/>
  <c r="Q58" i="3"/>
  <c r="T35" i="3"/>
  <c r="Q21" i="3"/>
  <c r="U22" i="3"/>
  <c r="T45" i="3"/>
  <c r="S60" i="3"/>
  <c r="Q22" i="3"/>
  <c r="R58" i="3"/>
  <c r="U43" i="3"/>
  <c r="S45" i="3"/>
  <c r="U9" i="3"/>
  <c r="S55" i="3"/>
  <c r="S23" i="3"/>
  <c r="U3" i="3"/>
  <c r="T17" i="3"/>
  <c r="P38" i="3"/>
  <c r="T59" i="3"/>
  <c r="Q45" i="3"/>
  <c r="U46" i="3"/>
  <c r="Q11" i="3"/>
  <c r="T60" i="3"/>
  <c r="Q34" i="3"/>
  <c r="Q48" i="3"/>
  <c r="S51" i="3"/>
  <c r="T51" i="3"/>
  <c r="Q37" i="3"/>
  <c r="U38" i="3"/>
  <c r="Q3" i="3"/>
  <c r="Q30" i="3"/>
  <c r="P34" i="3"/>
  <c r="R13" i="3"/>
  <c r="Q61" i="3"/>
  <c r="S61" i="3"/>
  <c r="U25" i="3"/>
  <c r="U60" i="3"/>
  <c r="P55" i="3"/>
  <c r="S53" i="3"/>
  <c r="T54" i="3"/>
  <c r="Q2" i="3"/>
  <c r="R59" i="3"/>
  <c r="Q7" i="3"/>
  <c r="S15" i="3"/>
  <c r="S16" i="3"/>
  <c r="P16" i="3"/>
  <c r="R31" i="3"/>
  <c r="T61" i="3"/>
  <c r="T53" i="3"/>
  <c r="U31" i="3"/>
  <c r="Q62" i="3"/>
  <c r="Q56" i="3"/>
  <c r="R18" i="3"/>
  <c r="P39" i="3"/>
  <c r="S57" i="3"/>
  <c r="T7" i="3"/>
  <c r="T28" i="3"/>
  <c r="S49" i="3"/>
  <c r="Q54" i="3"/>
  <c r="S36" i="3"/>
  <c r="U17" i="3"/>
  <c r="P13" i="3"/>
  <c r="R22" i="3"/>
  <c r="R44" i="3"/>
  <c r="T31" i="3"/>
  <c r="T11" i="3"/>
  <c r="U62" i="3"/>
  <c r="R37" i="3"/>
  <c r="U11" i="3"/>
  <c r="T27" i="3"/>
  <c r="P24" i="3"/>
  <c r="Q59" i="3"/>
  <c r="R52" i="3"/>
  <c r="R54" i="3"/>
  <c r="T43" i="3"/>
  <c r="P57" i="3"/>
  <c r="S42" i="3"/>
  <c r="Q44" i="3"/>
  <c r="S8" i="3"/>
  <c r="Q51" i="3"/>
  <c r="U12" i="3"/>
  <c r="T22" i="3"/>
  <c r="T18" i="3"/>
  <c r="R4" i="3"/>
  <c r="Q31" i="3"/>
  <c r="U36" i="3"/>
  <c r="P29" i="3"/>
  <c r="U35" i="3"/>
  <c r="R60" i="3"/>
  <c r="R23" i="3"/>
  <c r="R25" i="3"/>
  <c r="R21" i="3"/>
  <c r="T5" i="3"/>
  <c r="S32" i="3"/>
  <c r="S47" i="3"/>
  <c r="P48" i="3"/>
  <c r="R28" i="3"/>
  <c r="Q38" i="3"/>
  <c r="P12" i="3"/>
  <c r="U59" i="3"/>
  <c r="Q60" i="3"/>
  <c r="S24" i="3"/>
  <c r="T56" i="3"/>
  <c r="R10" i="3"/>
  <c r="R53" i="3"/>
  <c r="P52" i="3"/>
  <c r="R20" i="3"/>
  <c r="Q47" i="3"/>
  <c r="P45" i="3"/>
  <c r="U56" i="3"/>
  <c r="T20" i="3"/>
  <c r="T21" i="3"/>
  <c r="T23" i="3"/>
  <c r="T55" i="3"/>
  <c r="U40" i="3"/>
  <c r="T2" i="3"/>
  <c r="Q46" i="3"/>
  <c r="S62" i="3"/>
  <c r="U52" i="3"/>
  <c r="S28" i="3"/>
  <c r="T44" i="3"/>
  <c r="S46" i="3"/>
  <c r="U45" i="3"/>
  <c r="U18" i="3"/>
  <c r="S30" i="3"/>
  <c r="S48" i="3"/>
  <c r="U4" i="3"/>
  <c r="R17" i="3"/>
  <c r="T13" i="3"/>
  <c r="U28" i="3"/>
  <c r="Q13" i="3"/>
  <c r="S39" i="3"/>
  <c r="U6" i="3"/>
  <c r="S29" i="3"/>
  <c r="S3" i="3"/>
  <c r="Q9" i="3"/>
  <c r="T6" i="3"/>
  <c r="S54" i="3"/>
  <c r="U54" i="3"/>
  <c r="Q19" i="3"/>
  <c r="T36" i="3"/>
  <c r="P5" i="3"/>
  <c r="P44" i="3"/>
  <c r="P40" i="3"/>
  <c r="P15" i="3"/>
  <c r="U41" i="3"/>
  <c r="R27" i="3"/>
  <c r="T39" i="3"/>
  <c r="S58" i="3"/>
  <c r="Q23" i="3"/>
  <c r="R6" i="3"/>
  <c r="R45" i="3"/>
  <c r="T42" i="3"/>
  <c r="R16" i="3"/>
  <c r="Q43" i="3"/>
  <c r="T32" i="3"/>
  <c r="Q25" i="3"/>
  <c r="T49" i="3"/>
  <c r="U44" i="3"/>
  <c r="T30" i="3"/>
  <c r="T26" i="3"/>
  <c r="R8" i="3"/>
  <c r="Q35" i="3"/>
  <c r="U61" i="3"/>
  <c r="P21" i="3"/>
  <c r="S6" i="3"/>
  <c r="Q8" i="3"/>
  <c r="P31" i="3"/>
  <c r="R3" i="3"/>
  <c r="T38" i="3"/>
  <c r="P6" i="3"/>
  <c r="U48" i="3"/>
  <c r="U5" i="3"/>
  <c r="U10" i="3"/>
  <c r="R57" i="3"/>
  <c r="Q53" i="3"/>
  <c r="U7" i="3"/>
  <c r="T48" i="3"/>
  <c r="Q20" i="3"/>
  <c r="R34" i="3"/>
  <c r="R55" i="3"/>
  <c r="P20" i="3"/>
  <c r="T14" i="3"/>
  <c r="P3" i="3"/>
  <c r="U29" i="3"/>
  <c r="Q26" i="3"/>
  <c r="T15" i="3"/>
  <c r="T62" i="3"/>
  <c r="U2" i="3"/>
  <c r="T25" i="3"/>
  <c r="Q55" i="3"/>
  <c r="R7" i="3"/>
  <c r="R50" i="3"/>
  <c r="T46" i="3"/>
  <c r="S44" i="3"/>
  <c r="P17" i="3"/>
  <c r="S2" i="3"/>
  <c r="Q4" i="3"/>
  <c r="P27" i="3"/>
  <c r="S56" i="3"/>
  <c r="P18" i="3"/>
  <c r="S12" i="3"/>
  <c r="P9" i="3"/>
  <c r="T50" i="3"/>
  <c r="R49" i="3"/>
  <c r="R43" i="3"/>
  <c r="T41" i="3"/>
  <c r="S7" i="3"/>
  <c r="Q41" i="3"/>
  <c r="U16" i="3"/>
  <c r="T3" i="3"/>
  <c r="R26" i="3"/>
  <c r="T24" i="3"/>
  <c r="R35" i="3"/>
  <c r="P30" i="3"/>
  <c r="Q5" i="3"/>
  <c r="R42" i="3"/>
  <c r="T34" i="3"/>
  <c r="P14" i="3"/>
  <c r="P43" i="3"/>
  <c r="L35" i="3"/>
  <c r="AH36" i="2"/>
  <c r="AE38" i="2"/>
  <c r="AF37" i="2"/>
  <c r="AG37" i="2"/>
  <c r="W52" i="2"/>
  <c r="X52" i="2"/>
  <c r="AD51" i="2"/>
  <c r="Y52" i="2"/>
  <c r="Z52" i="2"/>
  <c r="AA52" i="2"/>
  <c r="AB52" i="2"/>
  <c r="R52" i="2"/>
  <c r="S52" i="2"/>
  <c r="T52" i="2"/>
  <c r="P53" i="2"/>
  <c r="Q52" i="2"/>
  <c r="M34" i="3" l="1"/>
  <c r="L36" i="3"/>
  <c r="M35" i="3"/>
  <c r="AH37" i="2"/>
  <c r="AE39" i="2"/>
  <c r="AF38" i="2"/>
  <c r="AG38" i="2"/>
  <c r="W53" i="2"/>
  <c r="X53" i="2"/>
  <c r="Q53" i="2"/>
  <c r="AC53" i="2" s="1"/>
  <c r="AC52" i="2"/>
  <c r="AD52" i="2" s="1"/>
  <c r="Y53" i="2"/>
  <c r="Z53" i="2"/>
  <c r="AA53" i="2"/>
  <c r="AB53" i="2"/>
  <c r="R53" i="2"/>
  <c r="S53" i="2"/>
  <c r="T53" i="2"/>
  <c r="P54" i="2"/>
  <c r="L37" i="3" l="1"/>
  <c r="AH38" i="2"/>
  <c r="AE40" i="2"/>
  <c r="AF39" i="2"/>
  <c r="AG39" i="2"/>
  <c r="W54" i="2"/>
  <c r="X54" i="2"/>
  <c r="AD53" i="2"/>
  <c r="Y54" i="2"/>
  <c r="Z54" i="2"/>
  <c r="AA54" i="2"/>
  <c r="AB54" i="2"/>
  <c r="R54" i="2"/>
  <c r="S54" i="2"/>
  <c r="T54" i="2"/>
  <c r="P55" i="2"/>
  <c r="Q54" i="2"/>
  <c r="M36" i="3" l="1"/>
  <c r="L38" i="3"/>
  <c r="M37" i="3"/>
  <c r="AH39" i="2"/>
  <c r="AE41" i="2"/>
  <c r="AF40" i="2"/>
  <c r="AG40" i="2"/>
  <c r="X55" i="2"/>
  <c r="W55" i="2"/>
  <c r="Q55" i="2"/>
  <c r="AC55" i="2" s="1"/>
  <c r="AC54" i="2"/>
  <c r="AD54" i="2" s="1"/>
  <c r="Y55" i="2"/>
  <c r="Z55" i="2"/>
  <c r="AA55" i="2"/>
  <c r="AB55" i="2"/>
  <c r="R55" i="2"/>
  <c r="S55" i="2"/>
  <c r="T55" i="2"/>
  <c r="P56" i="2"/>
  <c r="L39" i="3" l="1"/>
  <c r="AH40" i="2"/>
  <c r="AE42" i="2"/>
  <c r="AG41" i="2"/>
  <c r="AF41" i="2"/>
  <c r="X56" i="2"/>
  <c r="W56" i="2"/>
  <c r="AD55" i="2"/>
  <c r="Y56" i="2"/>
  <c r="Z56" i="2"/>
  <c r="AA56" i="2"/>
  <c r="AB56" i="2"/>
  <c r="R56" i="2"/>
  <c r="S56" i="2"/>
  <c r="T56" i="2"/>
  <c r="P57" i="2"/>
  <c r="Q56" i="2"/>
  <c r="M38" i="3" l="1"/>
  <c r="L40" i="3"/>
  <c r="M39" i="3"/>
  <c r="AG42" i="2"/>
  <c r="AF42" i="2"/>
  <c r="AE43" i="2"/>
  <c r="AH41" i="2"/>
  <c r="W57" i="2"/>
  <c r="X57" i="2"/>
  <c r="Q57" i="2"/>
  <c r="AC57" i="2" s="1"/>
  <c r="AC56" i="2"/>
  <c r="AD56" i="2" s="1"/>
  <c r="Y57" i="2"/>
  <c r="Z57" i="2"/>
  <c r="AB57" i="2"/>
  <c r="AA57" i="2"/>
  <c r="R57" i="2"/>
  <c r="S57" i="2"/>
  <c r="T57" i="2"/>
  <c r="P58" i="2"/>
  <c r="L41" i="3" l="1"/>
  <c r="AH42" i="2"/>
  <c r="AG43" i="2"/>
  <c r="AF43" i="2"/>
  <c r="AE44" i="2"/>
  <c r="W58" i="2"/>
  <c r="X58" i="2"/>
  <c r="AD57" i="2"/>
  <c r="Y58" i="2"/>
  <c r="Z58" i="2"/>
  <c r="AB58" i="2"/>
  <c r="AA58" i="2"/>
  <c r="R58" i="2"/>
  <c r="S58" i="2"/>
  <c r="T58" i="2"/>
  <c r="P59" i="2"/>
  <c r="Q58" i="2"/>
  <c r="M40" i="3" l="1"/>
  <c r="L42" i="3"/>
  <c r="M41" i="3"/>
  <c r="AG44" i="2"/>
  <c r="AF44" i="2"/>
  <c r="AE45" i="2"/>
  <c r="AH43" i="2"/>
  <c r="X59" i="2"/>
  <c r="W59" i="2"/>
  <c r="Q59" i="2"/>
  <c r="AC59" i="2" s="1"/>
  <c r="AC58" i="2"/>
  <c r="AD58" i="2" s="1"/>
  <c r="Y59" i="2"/>
  <c r="Z59" i="2"/>
  <c r="AB59" i="2"/>
  <c r="AA59" i="2"/>
  <c r="R59" i="2"/>
  <c r="S59" i="2"/>
  <c r="T59" i="2"/>
  <c r="P60" i="2"/>
  <c r="L43" i="3" l="1"/>
  <c r="AG45" i="2"/>
  <c r="AF45" i="2"/>
  <c r="AE46" i="2"/>
  <c r="AH44" i="2"/>
  <c r="W60" i="2"/>
  <c r="X60" i="2"/>
  <c r="AD59" i="2"/>
  <c r="Y60" i="2"/>
  <c r="Z60" i="2"/>
  <c r="AB60" i="2"/>
  <c r="AA60" i="2"/>
  <c r="R60" i="2"/>
  <c r="S60" i="2"/>
  <c r="T60" i="2"/>
  <c r="P61" i="2"/>
  <c r="Q60" i="2"/>
  <c r="M42" i="3" l="1"/>
  <c r="L44" i="3"/>
  <c r="M43" i="3"/>
  <c r="AG46" i="2"/>
  <c r="AF46" i="2"/>
  <c r="AE47" i="2"/>
  <c r="AH45" i="2"/>
  <c r="W61" i="2"/>
  <c r="X61" i="2"/>
  <c r="Q61" i="2"/>
  <c r="AC61" i="2" s="1"/>
  <c r="AC60" i="2"/>
  <c r="AD60" i="2" s="1"/>
  <c r="Y61" i="2"/>
  <c r="Z61" i="2"/>
  <c r="AB61" i="2"/>
  <c r="AA61" i="2"/>
  <c r="R61" i="2"/>
  <c r="S61" i="2"/>
  <c r="T61" i="2"/>
  <c r="P62" i="2"/>
  <c r="L45" i="3" l="1"/>
  <c r="AG47" i="2"/>
  <c r="AF47" i="2"/>
  <c r="AE48" i="2"/>
  <c r="AH46" i="2"/>
  <c r="W62" i="2"/>
  <c r="X62" i="2"/>
  <c r="AD61" i="2"/>
  <c r="Y62" i="2"/>
  <c r="Z62" i="2"/>
  <c r="AB62" i="2"/>
  <c r="AA62" i="2"/>
  <c r="R62" i="2"/>
  <c r="S62" i="2"/>
  <c r="T62" i="2"/>
  <c r="P63" i="2"/>
  <c r="Q62" i="2"/>
  <c r="AC62" i="2" s="1"/>
  <c r="M44" i="3" l="1"/>
  <c r="L46" i="3"/>
  <c r="M45" i="3"/>
  <c r="AG48" i="2"/>
  <c r="AF48" i="2"/>
  <c r="AE49" i="2"/>
  <c r="AH47" i="2"/>
  <c r="X63" i="2"/>
  <c r="W63" i="2"/>
  <c r="AD62" i="2"/>
  <c r="Y63" i="2"/>
  <c r="Z63" i="2"/>
  <c r="AA63" i="2"/>
  <c r="AB63" i="2"/>
  <c r="Q63" i="2"/>
  <c r="AC63" i="2" s="1"/>
  <c r="R63" i="2"/>
  <c r="S63" i="2"/>
  <c r="T63" i="2"/>
  <c r="P64" i="2"/>
  <c r="L47" i="3" l="1"/>
  <c r="AG49" i="2"/>
  <c r="AF49" i="2"/>
  <c r="AE50" i="2"/>
  <c r="AH48" i="2"/>
  <c r="X64" i="2"/>
  <c r="W64" i="2"/>
  <c r="AD63" i="2"/>
  <c r="Y64" i="2"/>
  <c r="Z64" i="2"/>
  <c r="AA64" i="2"/>
  <c r="AB64" i="2"/>
  <c r="R64" i="2"/>
  <c r="S64" i="2"/>
  <c r="T64" i="2"/>
  <c r="P65" i="2"/>
  <c r="Q64" i="2"/>
  <c r="M46" i="3" l="1"/>
  <c r="L48" i="3"/>
  <c r="M47" i="3"/>
  <c r="AG50" i="2"/>
  <c r="AF50" i="2"/>
  <c r="AE51" i="2"/>
  <c r="AH49" i="2"/>
  <c r="W65" i="2"/>
  <c r="X65" i="2"/>
  <c r="Q65" i="2"/>
  <c r="AC65" i="2" s="1"/>
  <c r="AC64" i="2"/>
  <c r="AD64" i="2" s="1"/>
  <c r="Y65" i="2"/>
  <c r="Z65" i="2"/>
  <c r="AB65" i="2"/>
  <c r="AA65" i="2"/>
  <c r="R65" i="2"/>
  <c r="S65" i="2"/>
  <c r="T65" i="2"/>
  <c r="P66" i="2"/>
  <c r="L49" i="3" l="1"/>
  <c r="AG51" i="2"/>
  <c r="AF51" i="2"/>
  <c r="AE52" i="2"/>
  <c r="AH50" i="2"/>
  <c r="W66" i="2"/>
  <c r="X66" i="2"/>
  <c r="AD65" i="2"/>
  <c r="Y66" i="2"/>
  <c r="Z66" i="2"/>
  <c r="AA66" i="2"/>
  <c r="AB66" i="2"/>
  <c r="R66" i="2"/>
  <c r="S66" i="2"/>
  <c r="T66" i="2"/>
  <c r="P67" i="2"/>
  <c r="Q66" i="2"/>
  <c r="M48" i="3" l="1"/>
  <c r="L50" i="3"/>
  <c r="M49" i="3"/>
  <c r="AG52" i="2"/>
  <c r="AF52" i="2"/>
  <c r="AE53" i="2"/>
  <c r="AH51" i="2"/>
  <c r="X67" i="2"/>
  <c r="W67" i="2"/>
  <c r="Q67" i="2"/>
  <c r="AC67" i="2" s="1"/>
  <c r="AC66" i="2"/>
  <c r="AD66" i="2" s="1"/>
  <c r="Y67" i="2"/>
  <c r="Z67" i="2"/>
  <c r="AA67" i="2"/>
  <c r="AB67" i="2"/>
  <c r="R67" i="2"/>
  <c r="S67" i="2"/>
  <c r="T67" i="2"/>
  <c r="P68" i="2"/>
  <c r="L51" i="3" l="1"/>
  <c r="AG53" i="2"/>
  <c r="AF53" i="2"/>
  <c r="AE54" i="2"/>
  <c r="AH52" i="2"/>
  <c r="W68" i="2"/>
  <c r="X68" i="2"/>
  <c r="AD67" i="2"/>
  <c r="Y68" i="2"/>
  <c r="Z68" i="2"/>
  <c r="AA68" i="2"/>
  <c r="AB68" i="2"/>
  <c r="R68" i="2"/>
  <c r="S68" i="2"/>
  <c r="T68" i="2"/>
  <c r="P69" i="2"/>
  <c r="Q68" i="2"/>
  <c r="M50" i="3" l="1"/>
  <c r="L52" i="3"/>
  <c r="M51" i="3"/>
  <c r="AG54" i="2"/>
  <c r="AF54" i="2"/>
  <c r="AE55" i="2"/>
  <c r="AH53" i="2"/>
  <c r="W69" i="2"/>
  <c r="X69" i="2"/>
  <c r="Q69" i="2"/>
  <c r="AC69" i="2" s="1"/>
  <c r="AC68" i="2"/>
  <c r="AD68" i="2" s="1"/>
  <c r="Y69" i="2"/>
  <c r="Z69" i="2"/>
  <c r="AA69" i="2"/>
  <c r="AB69" i="2"/>
  <c r="R69" i="2"/>
  <c r="S69" i="2"/>
  <c r="T69" i="2"/>
  <c r="P70" i="2"/>
  <c r="L53" i="3" l="1"/>
  <c r="AG55" i="2"/>
  <c r="AF55" i="2"/>
  <c r="AE56" i="2"/>
  <c r="AH54" i="2"/>
  <c r="W70" i="2"/>
  <c r="X70" i="2"/>
  <c r="AD69" i="2"/>
  <c r="Y70" i="2"/>
  <c r="Z70" i="2"/>
  <c r="AA70" i="2"/>
  <c r="AB70" i="2"/>
  <c r="R70" i="2"/>
  <c r="S70" i="2"/>
  <c r="T70" i="2"/>
  <c r="P71" i="2"/>
  <c r="Q70" i="2"/>
  <c r="M52" i="3" l="1"/>
  <c r="L54" i="3"/>
  <c r="M53" i="3"/>
  <c r="AF56" i="2"/>
  <c r="AG56" i="2"/>
  <c r="AE57" i="2"/>
  <c r="AH55" i="2"/>
  <c r="X71" i="2"/>
  <c r="W71" i="2"/>
  <c r="Q71" i="2"/>
  <c r="AC71" i="2" s="1"/>
  <c r="AC70" i="2"/>
  <c r="AD70" i="2" s="1"/>
  <c r="Y71" i="2"/>
  <c r="Z71" i="2"/>
  <c r="AA71" i="2"/>
  <c r="AB71" i="2"/>
  <c r="R71" i="2"/>
  <c r="S71" i="2"/>
  <c r="T71" i="2"/>
  <c r="P72" i="2"/>
  <c r="L55" i="3" l="1"/>
  <c r="AH56" i="2"/>
  <c r="AF57" i="2"/>
  <c r="AG57" i="2"/>
  <c r="AE58" i="2"/>
  <c r="X72" i="2"/>
  <c r="W72" i="2"/>
  <c r="AD71" i="2"/>
  <c r="Y72" i="2"/>
  <c r="Z72" i="2"/>
  <c r="AA72" i="2"/>
  <c r="AB72" i="2"/>
  <c r="R72" i="2"/>
  <c r="S72" i="2"/>
  <c r="T72" i="2"/>
  <c r="P73" i="2"/>
  <c r="Q72" i="2"/>
  <c r="M54" i="3" l="1"/>
  <c r="L56" i="3"/>
  <c r="M55" i="3"/>
  <c r="AH57" i="2"/>
  <c r="AF58" i="2"/>
  <c r="AG58" i="2"/>
  <c r="AE59" i="2"/>
  <c r="W73" i="2"/>
  <c r="X73" i="2"/>
  <c r="Q73" i="2"/>
  <c r="AC73" i="2" s="1"/>
  <c r="AC72" i="2"/>
  <c r="AD72" i="2" s="1"/>
  <c r="Y73" i="2"/>
  <c r="Z73" i="2"/>
  <c r="AB73" i="2"/>
  <c r="AA73" i="2"/>
  <c r="R73" i="2"/>
  <c r="S73" i="2"/>
  <c r="T73" i="2"/>
  <c r="P74" i="2"/>
  <c r="L57" i="3" l="1"/>
  <c r="AH58" i="2"/>
  <c r="AF59" i="2"/>
  <c r="AG59" i="2"/>
  <c r="AE60" i="2"/>
  <c r="W74" i="2"/>
  <c r="X74" i="2"/>
  <c r="AD73" i="2"/>
  <c r="Y74" i="2"/>
  <c r="Z74" i="2"/>
  <c r="AB74" i="2"/>
  <c r="AA74" i="2"/>
  <c r="R74" i="2"/>
  <c r="S74" i="2"/>
  <c r="T74" i="2"/>
  <c r="P75" i="2"/>
  <c r="Q74" i="2"/>
  <c r="M56" i="3" l="1"/>
  <c r="L58" i="3"/>
  <c r="M57" i="3"/>
  <c r="AH59" i="2"/>
  <c r="AF60" i="2"/>
  <c r="AG60" i="2"/>
  <c r="AE61" i="2"/>
  <c r="X75" i="2"/>
  <c r="W75" i="2"/>
  <c r="Q75" i="2"/>
  <c r="AC75" i="2" s="1"/>
  <c r="AC74" i="2"/>
  <c r="AD74" i="2" s="1"/>
  <c r="Y75" i="2"/>
  <c r="Z75" i="2"/>
  <c r="AB75" i="2"/>
  <c r="AA75" i="2"/>
  <c r="R75" i="2"/>
  <c r="S75" i="2"/>
  <c r="T75" i="2"/>
  <c r="P76" i="2"/>
  <c r="L59" i="3" l="1"/>
  <c r="AG61" i="2"/>
  <c r="AF61" i="2"/>
  <c r="AE62" i="2"/>
  <c r="AH60" i="2"/>
  <c r="W76" i="2"/>
  <c r="X76" i="2"/>
  <c r="AD75" i="2"/>
  <c r="Y76" i="2"/>
  <c r="Z76" i="2"/>
  <c r="AA76" i="2"/>
  <c r="AB76" i="2"/>
  <c r="R76" i="2"/>
  <c r="S76" i="2"/>
  <c r="T76" i="2"/>
  <c r="P77" i="2"/>
  <c r="Q76" i="2"/>
  <c r="M58" i="3" l="1"/>
  <c r="L60" i="3"/>
  <c r="M59" i="3"/>
  <c r="AH61" i="2"/>
  <c r="AG62" i="2"/>
  <c r="AF62" i="2"/>
  <c r="AE63" i="2"/>
  <c r="W77" i="2"/>
  <c r="X77" i="2"/>
  <c r="Q77" i="2"/>
  <c r="AC77" i="2" s="1"/>
  <c r="AC76" i="2"/>
  <c r="AD76" i="2" s="1"/>
  <c r="Y77" i="2"/>
  <c r="Z77" i="2"/>
  <c r="AB77" i="2"/>
  <c r="AA77" i="2"/>
  <c r="R77" i="2"/>
  <c r="S77" i="2"/>
  <c r="T77" i="2"/>
  <c r="P78" i="2"/>
  <c r="L61" i="3" l="1"/>
  <c r="AH62" i="2"/>
  <c r="AG63" i="2"/>
  <c r="AF63" i="2"/>
  <c r="AE64" i="2"/>
  <c r="W78" i="2"/>
  <c r="X78" i="2"/>
  <c r="AD77" i="2"/>
  <c r="Y78" i="2"/>
  <c r="Z78" i="2"/>
  <c r="AB78" i="2"/>
  <c r="AA78" i="2"/>
  <c r="R78" i="2"/>
  <c r="S78" i="2"/>
  <c r="T78" i="2"/>
  <c r="P79" i="2"/>
  <c r="Q78" i="2"/>
  <c r="M60" i="3" l="1"/>
  <c r="L62" i="3"/>
  <c r="M61" i="3"/>
  <c r="AG64" i="2"/>
  <c r="AF64" i="2"/>
  <c r="AE65" i="2"/>
  <c r="AH63" i="2"/>
  <c r="X79" i="2"/>
  <c r="W79" i="2"/>
  <c r="Q79" i="2"/>
  <c r="AC79" i="2" s="1"/>
  <c r="AC78" i="2"/>
  <c r="AD78" i="2" s="1"/>
  <c r="Y79" i="2"/>
  <c r="Z79" i="2"/>
  <c r="AA79" i="2"/>
  <c r="AB79" i="2"/>
  <c r="R79" i="2"/>
  <c r="S79" i="2"/>
  <c r="T79" i="2"/>
  <c r="P80" i="2"/>
  <c r="L63" i="3" l="1"/>
  <c r="AG65" i="2"/>
  <c r="AF65" i="2"/>
  <c r="AE66" i="2"/>
  <c r="AH64" i="2"/>
  <c r="X80" i="2"/>
  <c r="W80" i="2"/>
  <c r="AD79" i="2"/>
  <c r="Y80" i="2"/>
  <c r="Z80" i="2"/>
  <c r="AB80" i="2"/>
  <c r="AA80" i="2"/>
  <c r="R80" i="2"/>
  <c r="S80" i="2"/>
  <c r="T80" i="2"/>
  <c r="P81" i="2"/>
  <c r="Q80" i="2"/>
  <c r="AC80" i="2" s="1"/>
  <c r="M62" i="3" l="1"/>
  <c r="L64" i="3"/>
  <c r="M63" i="3"/>
  <c r="AG66" i="2"/>
  <c r="AF66" i="2"/>
  <c r="AE67" i="2"/>
  <c r="AH65" i="2"/>
  <c r="W81" i="2"/>
  <c r="X81" i="2"/>
  <c r="AD80" i="2"/>
  <c r="Y81" i="2"/>
  <c r="Z81" i="2"/>
  <c r="AA81" i="2"/>
  <c r="AB81" i="2"/>
  <c r="R81" i="2"/>
  <c r="S81" i="2"/>
  <c r="T81" i="2"/>
  <c r="P82" i="2"/>
  <c r="Q81" i="2"/>
  <c r="L65" i="3" l="1"/>
  <c r="AG67" i="2"/>
  <c r="AF67" i="2"/>
  <c r="AE68" i="2"/>
  <c r="AH66" i="2"/>
  <c r="W82" i="2"/>
  <c r="X82" i="2"/>
  <c r="Q82" i="2"/>
  <c r="AC82" i="2" s="1"/>
  <c r="AC81" i="2"/>
  <c r="AD81" i="2" s="1"/>
  <c r="Y82" i="2"/>
  <c r="Z82" i="2"/>
  <c r="AB82" i="2"/>
  <c r="AA82" i="2"/>
  <c r="R82" i="2"/>
  <c r="S82" i="2"/>
  <c r="T82" i="2"/>
  <c r="P83" i="2"/>
  <c r="M64" i="3" l="1"/>
  <c r="L66" i="3"/>
  <c r="M65" i="3"/>
  <c r="AH67" i="2"/>
  <c r="AG68" i="2"/>
  <c r="AF68" i="2"/>
  <c r="AE69" i="2"/>
  <c r="X83" i="2"/>
  <c r="W83" i="2"/>
  <c r="AD82" i="2"/>
  <c r="Y83" i="2"/>
  <c r="Z83" i="2"/>
  <c r="AA83" i="2"/>
  <c r="AB83" i="2"/>
  <c r="R83" i="2"/>
  <c r="S83" i="2"/>
  <c r="T83" i="2"/>
  <c r="P84" i="2"/>
  <c r="Q83" i="2"/>
  <c r="AC83" i="2" s="1"/>
  <c r="L67" i="3" l="1"/>
  <c r="AG69" i="2"/>
  <c r="AF69" i="2"/>
  <c r="AE70" i="2"/>
  <c r="AH68" i="2"/>
  <c r="W84" i="2"/>
  <c r="X84" i="2"/>
  <c r="AD83" i="2"/>
  <c r="Y84" i="2"/>
  <c r="Z84" i="2"/>
  <c r="AA84" i="2"/>
  <c r="AB84" i="2"/>
  <c r="Q84" i="2"/>
  <c r="AC84" i="2" s="1"/>
  <c r="R84" i="2"/>
  <c r="S84" i="2"/>
  <c r="T84" i="2"/>
  <c r="P85" i="2"/>
  <c r="M66" i="3" l="1"/>
  <c r="L68" i="3"/>
  <c r="M67" i="3"/>
  <c r="AG70" i="2"/>
  <c r="AF70" i="2"/>
  <c r="AE71" i="2"/>
  <c r="AH69" i="2"/>
  <c r="W85" i="2"/>
  <c r="X85" i="2"/>
  <c r="AD84" i="2"/>
  <c r="Y85" i="2"/>
  <c r="Z85" i="2"/>
  <c r="AA85" i="2"/>
  <c r="AB85" i="2"/>
  <c r="R85" i="2"/>
  <c r="S85" i="2"/>
  <c r="T85" i="2"/>
  <c r="P86" i="2"/>
  <c r="Q85" i="2"/>
  <c r="L69" i="3" l="1"/>
  <c r="AG71" i="2"/>
  <c r="AF71" i="2"/>
  <c r="AE72" i="2"/>
  <c r="AH70" i="2"/>
  <c r="W86" i="2"/>
  <c r="X86" i="2"/>
  <c r="Q86" i="2"/>
  <c r="AC86" i="2" s="1"/>
  <c r="AC85" i="2"/>
  <c r="AD85" i="2" s="1"/>
  <c r="Y86" i="2"/>
  <c r="Z86" i="2"/>
  <c r="AA86" i="2"/>
  <c r="AB86" i="2"/>
  <c r="R86" i="2"/>
  <c r="S86" i="2"/>
  <c r="T86" i="2"/>
  <c r="P87" i="2"/>
  <c r="M68" i="3" l="1"/>
  <c r="L70" i="3"/>
  <c r="M69" i="3"/>
  <c r="AG72" i="2"/>
  <c r="AF72" i="2"/>
  <c r="AE73" i="2"/>
  <c r="AH71" i="2"/>
  <c r="X87" i="2"/>
  <c r="W87" i="2"/>
  <c r="AD86" i="2"/>
  <c r="Y87" i="2"/>
  <c r="Z87" i="2"/>
  <c r="AA87" i="2"/>
  <c r="AB87" i="2"/>
  <c r="R87" i="2"/>
  <c r="S87" i="2"/>
  <c r="T87" i="2"/>
  <c r="P88" i="2"/>
  <c r="Q87" i="2"/>
  <c r="L71" i="3" l="1"/>
  <c r="AG73" i="2"/>
  <c r="AF73" i="2"/>
  <c r="AE74" i="2"/>
  <c r="AH72" i="2"/>
  <c r="X88" i="2"/>
  <c r="W88" i="2"/>
  <c r="Q88" i="2"/>
  <c r="AC88" i="2" s="1"/>
  <c r="AC87" i="2"/>
  <c r="AD87" i="2" s="1"/>
  <c r="Y88" i="2"/>
  <c r="Z88" i="2"/>
  <c r="AA88" i="2"/>
  <c r="AB88" i="2"/>
  <c r="R88" i="2"/>
  <c r="S88" i="2"/>
  <c r="T88" i="2"/>
  <c r="P89" i="2"/>
  <c r="M70" i="3" l="1"/>
  <c r="L72" i="3"/>
  <c r="M71" i="3"/>
  <c r="AF74" i="2"/>
  <c r="AG74" i="2"/>
  <c r="AE75" i="2"/>
  <c r="AH73" i="2"/>
  <c r="W89" i="2"/>
  <c r="X89" i="2"/>
  <c r="AD88" i="2"/>
  <c r="Y89" i="2"/>
  <c r="Z89" i="2"/>
  <c r="AB89" i="2"/>
  <c r="AA89" i="2"/>
  <c r="R89" i="2"/>
  <c r="S89" i="2"/>
  <c r="T89" i="2"/>
  <c r="P90" i="2"/>
  <c r="Q89" i="2"/>
  <c r="L73" i="3" l="1"/>
  <c r="AH74" i="2"/>
  <c r="AG75" i="2"/>
  <c r="AF75" i="2"/>
  <c r="AE76" i="2"/>
  <c r="W90" i="2"/>
  <c r="X90" i="2"/>
  <c r="Q90" i="2"/>
  <c r="AC90" i="2" s="1"/>
  <c r="AC89" i="2"/>
  <c r="AD89" i="2" s="1"/>
  <c r="Y90" i="2"/>
  <c r="Z90" i="2"/>
  <c r="AB90" i="2"/>
  <c r="AA90" i="2"/>
  <c r="R90" i="2"/>
  <c r="S90" i="2"/>
  <c r="T90" i="2"/>
  <c r="P91" i="2"/>
  <c r="M72" i="3" l="1"/>
  <c r="L74" i="3"/>
  <c r="M73" i="3"/>
  <c r="AF76" i="2"/>
  <c r="AG76" i="2"/>
  <c r="AE77" i="2"/>
  <c r="AH75" i="2"/>
  <c r="X91" i="2"/>
  <c r="W91" i="2"/>
  <c r="AD90" i="2"/>
  <c r="Y91" i="2"/>
  <c r="Z91" i="2"/>
  <c r="AB91" i="2"/>
  <c r="AA91" i="2"/>
  <c r="R91" i="2"/>
  <c r="S91" i="2"/>
  <c r="T91" i="2"/>
  <c r="P92" i="2"/>
  <c r="Q91" i="2"/>
  <c r="L75" i="3" l="1"/>
  <c r="AH76" i="2"/>
  <c r="AF77" i="2"/>
  <c r="AG77" i="2"/>
  <c r="AE78" i="2"/>
  <c r="W92" i="2"/>
  <c r="X92" i="2"/>
  <c r="Q92" i="2"/>
  <c r="AC92" i="2" s="1"/>
  <c r="AC91" i="2"/>
  <c r="AD91" i="2" s="1"/>
  <c r="Y92" i="2"/>
  <c r="Z92" i="2"/>
  <c r="AA92" i="2"/>
  <c r="AB92" i="2"/>
  <c r="R92" i="2"/>
  <c r="S92" i="2"/>
  <c r="T92" i="2"/>
  <c r="P93" i="2"/>
  <c r="M74" i="3" l="1"/>
  <c r="L76" i="3"/>
  <c r="M75" i="3"/>
  <c r="AH77" i="2"/>
  <c r="AF78" i="2"/>
  <c r="AG78" i="2"/>
  <c r="AE79" i="2"/>
  <c r="W93" i="2"/>
  <c r="X93" i="2"/>
  <c r="AD92" i="2"/>
  <c r="Y93" i="2"/>
  <c r="Z93" i="2"/>
  <c r="AB93" i="2"/>
  <c r="AA93" i="2"/>
  <c r="R93" i="2"/>
  <c r="S93" i="2"/>
  <c r="T93" i="2"/>
  <c r="P94" i="2"/>
  <c r="Q93" i="2"/>
  <c r="L77" i="3" l="1"/>
  <c r="AH78" i="2"/>
  <c r="AF79" i="2"/>
  <c r="AG79" i="2"/>
  <c r="AE80" i="2"/>
  <c r="W94" i="2"/>
  <c r="X94" i="2"/>
  <c r="Q94" i="2"/>
  <c r="AC94" i="2" s="1"/>
  <c r="AC93" i="2"/>
  <c r="AD93" i="2" s="1"/>
  <c r="Y94" i="2"/>
  <c r="Z94" i="2"/>
  <c r="AB94" i="2"/>
  <c r="AA94" i="2"/>
  <c r="R94" i="2"/>
  <c r="S94" i="2"/>
  <c r="T94" i="2"/>
  <c r="P95" i="2"/>
  <c r="M76" i="3" l="1"/>
  <c r="L78" i="3"/>
  <c r="M77" i="3"/>
  <c r="AF80" i="2"/>
  <c r="AG80" i="2"/>
  <c r="AE81" i="2"/>
  <c r="AH79" i="2"/>
  <c r="X95" i="2"/>
  <c r="W95" i="2"/>
  <c r="AD94" i="2"/>
  <c r="Y95" i="2"/>
  <c r="Z95" i="2"/>
  <c r="AA95" i="2"/>
  <c r="AB95" i="2"/>
  <c r="R95" i="2"/>
  <c r="S95" i="2"/>
  <c r="T95" i="2"/>
  <c r="P96" i="2"/>
  <c r="Q95" i="2"/>
  <c r="L79" i="3" l="1"/>
  <c r="AH80" i="2"/>
  <c r="AF81" i="2"/>
  <c r="AG81" i="2"/>
  <c r="AE82" i="2"/>
  <c r="X96" i="2"/>
  <c r="W96" i="2"/>
  <c r="Q96" i="2"/>
  <c r="AC96" i="2" s="1"/>
  <c r="AC95" i="2"/>
  <c r="AD95" i="2" s="1"/>
  <c r="Y96" i="2"/>
  <c r="Z96" i="2"/>
  <c r="AA96" i="2"/>
  <c r="AB96" i="2"/>
  <c r="R96" i="2"/>
  <c r="S96" i="2"/>
  <c r="T96" i="2"/>
  <c r="P97" i="2"/>
  <c r="M78" i="3" l="1"/>
  <c r="L80" i="3"/>
  <c r="M79" i="3"/>
  <c r="AH81" i="2"/>
  <c r="AG82" i="2"/>
  <c r="AF82" i="2"/>
  <c r="AE83" i="2"/>
  <c r="W97" i="2"/>
  <c r="X97" i="2"/>
  <c r="AD96" i="2"/>
  <c r="Y97" i="2"/>
  <c r="Z97" i="2"/>
  <c r="AB97" i="2"/>
  <c r="AA97" i="2"/>
  <c r="R97" i="2"/>
  <c r="S97" i="2"/>
  <c r="T97" i="2"/>
  <c r="P98" i="2"/>
  <c r="Q97" i="2"/>
  <c r="AC97" i="2" s="1"/>
  <c r="L81" i="3" l="1"/>
  <c r="AG83" i="2"/>
  <c r="AF83" i="2"/>
  <c r="AE84" i="2"/>
  <c r="AH82" i="2"/>
  <c r="W98" i="2"/>
  <c r="X98" i="2"/>
  <c r="AD97" i="2"/>
  <c r="Y98" i="2"/>
  <c r="Z98" i="2"/>
  <c r="AB98" i="2"/>
  <c r="AA98" i="2"/>
  <c r="R98" i="2"/>
  <c r="S98" i="2"/>
  <c r="T98" i="2"/>
  <c r="P99" i="2"/>
  <c r="Q98" i="2"/>
  <c r="AC98" i="2" s="1"/>
  <c r="M80" i="3" l="1"/>
  <c r="L82" i="3"/>
  <c r="M81" i="3"/>
  <c r="AG84" i="2"/>
  <c r="AF84" i="2"/>
  <c r="AE85" i="2"/>
  <c r="AH83" i="2"/>
  <c r="AD98" i="2"/>
  <c r="X99" i="2"/>
  <c r="W99" i="2"/>
  <c r="Y99" i="2"/>
  <c r="Z99" i="2"/>
  <c r="AA99" i="2"/>
  <c r="AB99" i="2"/>
  <c r="R99" i="2"/>
  <c r="S99" i="2"/>
  <c r="T99" i="2"/>
  <c r="P100" i="2"/>
  <c r="Q99" i="2"/>
  <c r="AC99" i="2" s="1"/>
  <c r="L83" i="3" l="1"/>
  <c r="AG85" i="2"/>
  <c r="AF85" i="2"/>
  <c r="AE86" i="2"/>
  <c r="AH84" i="2"/>
  <c r="AD99" i="2"/>
  <c r="W100" i="2"/>
  <c r="X100" i="2"/>
  <c r="Y100" i="2"/>
  <c r="Z100" i="2"/>
  <c r="AA100" i="2"/>
  <c r="AB100" i="2"/>
  <c r="R100" i="2"/>
  <c r="S100" i="2"/>
  <c r="T100" i="2"/>
  <c r="P101" i="2"/>
  <c r="Q100" i="2"/>
  <c r="AC100" i="2" s="1"/>
  <c r="M82" i="3" l="1"/>
  <c r="L84" i="3"/>
  <c r="M83" i="3"/>
  <c r="AH85" i="2"/>
  <c r="AG86" i="2"/>
  <c r="AF86" i="2"/>
  <c r="AE87" i="2"/>
  <c r="AD100" i="2"/>
  <c r="W101" i="2"/>
  <c r="X101" i="2"/>
  <c r="Y101" i="2"/>
  <c r="Z101" i="2"/>
  <c r="AA101" i="2"/>
  <c r="AB101" i="2"/>
  <c r="R101" i="2"/>
  <c r="S101" i="2"/>
  <c r="T101" i="2"/>
  <c r="P102" i="2"/>
  <c r="Q101" i="2"/>
  <c r="AC101" i="2" s="1"/>
  <c r="L85" i="3" l="1"/>
  <c r="AG87" i="2"/>
  <c r="AF87" i="2"/>
  <c r="AE88" i="2"/>
  <c r="AH86" i="2"/>
  <c r="AD101" i="2"/>
  <c r="P103" i="2"/>
  <c r="W102" i="2"/>
  <c r="X102" i="2"/>
  <c r="Y102" i="2"/>
  <c r="Z102" i="2"/>
  <c r="AB102" i="2"/>
  <c r="AA102" i="2"/>
  <c r="R102" i="2"/>
  <c r="S102" i="2"/>
  <c r="T102" i="2"/>
  <c r="Q102" i="2"/>
  <c r="AC102" i="2" s="1"/>
  <c r="M84" i="3" l="1"/>
  <c r="L86" i="3"/>
  <c r="M85" i="3"/>
  <c r="AG88" i="2"/>
  <c r="AF88" i="2"/>
  <c r="AE89" i="2"/>
  <c r="AH87" i="2"/>
  <c r="AD102" i="2"/>
  <c r="P104" i="2"/>
  <c r="X103" i="2"/>
  <c r="W103" i="2"/>
  <c r="Y103" i="2"/>
  <c r="Z103" i="2"/>
  <c r="AA103" i="2"/>
  <c r="AB103" i="2"/>
  <c r="R103" i="2"/>
  <c r="S103" i="2"/>
  <c r="T103" i="2"/>
  <c r="Q103" i="2"/>
  <c r="AC103" i="2" s="1"/>
  <c r="L87" i="3" l="1"/>
  <c r="AG89" i="2"/>
  <c r="AF89" i="2"/>
  <c r="AE90" i="2"/>
  <c r="AH88" i="2"/>
  <c r="AD103" i="2"/>
  <c r="P105" i="2"/>
  <c r="X104" i="2"/>
  <c r="W104" i="2"/>
  <c r="Y104" i="2"/>
  <c r="Z104" i="2"/>
  <c r="AA104" i="2"/>
  <c r="AB104" i="2"/>
  <c r="R104" i="2"/>
  <c r="S104" i="2"/>
  <c r="T104" i="2"/>
  <c r="Q104" i="2"/>
  <c r="AC104" i="2" s="1"/>
  <c r="M86" i="3" l="1"/>
  <c r="L88" i="3"/>
  <c r="M87" i="3"/>
  <c r="AG90" i="2"/>
  <c r="AF90" i="2"/>
  <c r="AE91" i="2"/>
  <c r="AH89" i="2"/>
  <c r="AD104" i="2"/>
  <c r="P106" i="2"/>
  <c r="W105" i="2"/>
  <c r="X105" i="2"/>
  <c r="Y105" i="2"/>
  <c r="Z105" i="2"/>
  <c r="AB105" i="2"/>
  <c r="AA105" i="2"/>
  <c r="R105" i="2"/>
  <c r="S105" i="2"/>
  <c r="T105" i="2"/>
  <c r="Q105" i="2"/>
  <c r="AC105" i="2" s="1"/>
  <c r="L89" i="3" l="1"/>
  <c r="AG91" i="2"/>
  <c r="AF91" i="2"/>
  <c r="AE92" i="2"/>
  <c r="AH90" i="2"/>
  <c r="AD105" i="2"/>
  <c r="P107" i="2"/>
  <c r="X106" i="2"/>
  <c r="W106" i="2"/>
  <c r="Y106" i="2"/>
  <c r="Z106" i="2"/>
  <c r="AB106" i="2"/>
  <c r="AA106" i="2"/>
  <c r="R106" i="2"/>
  <c r="S106" i="2"/>
  <c r="T106" i="2"/>
  <c r="Q106" i="2"/>
  <c r="AC106" i="2" s="1"/>
  <c r="M88" i="3" l="1"/>
  <c r="L90" i="3"/>
  <c r="M89" i="3"/>
  <c r="AG92" i="2"/>
  <c r="AF92" i="2"/>
  <c r="AE93" i="2"/>
  <c r="AH91" i="2"/>
  <c r="AD106" i="2"/>
  <c r="W107" i="2"/>
  <c r="X107" i="2"/>
  <c r="Y107" i="2"/>
  <c r="Z107" i="2"/>
  <c r="AB107" i="2"/>
  <c r="AA107" i="2"/>
  <c r="R107" i="2"/>
  <c r="S107" i="2"/>
  <c r="T107" i="2"/>
  <c r="P108" i="2"/>
  <c r="Q107" i="2"/>
  <c r="AC107" i="2" s="1"/>
  <c r="L91" i="3" l="1"/>
  <c r="AG93" i="2"/>
  <c r="AF93" i="2"/>
  <c r="AE94" i="2"/>
  <c r="AH92" i="2"/>
  <c r="AD107" i="2"/>
  <c r="W108" i="2"/>
  <c r="X108" i="2"/>
  <c r="Y108" i="2"/>
  <c r="Z108" i="2"/>
  <c r="AB108" i="2"/>
  <c r="AA108" i="2"/>
  <c r="R108" i="2"/>
  <c r="S108" i="2"/>
  <c r="T108" i="2"/>
  <c r="P109" i="2"/>
  <c r="Q108" i="2"/>
  <c r="AC108" i="2" s="1"/>
  <c r="M90" i="3" l="1"/>
  <c r="L92" i="3"/>
  <c r="M91" i="3"/>
  <c r="AG94" i="2"/>
  <c r="AF94" i="2"/>
  <c r="AE95" i="2"/>
  <c r="AH93" i="2"/>
  <c r="AD108" i="2"/>
  <c r="X109" i="2"/>
  <c r="W109" i="2"/>
  <c r="Y109" i="2"/>
  <c r="Z109" i="2"/>
  <c r="AB109" i="2"/>
  <c r="AA109" i="2"/>
  <c r="R109" i="2"/>
  <c r="S109" i="2"/>
  <c r="T109" i="2"/>
  <c r="P110" i="2"/>
  <c r="Q109" i="2"/>
  <c r="AC109" i="2" s="1"/>
  <c r="L93" i="3" l="1"/>
  <c r="AG95" i="2"/>
  <c r="AF95" i="2"/>
  <c r="AE96" i="2"/>
  <c r="AH94" i="2"/>
  <c r="AD109" i="2"/>
  <c r="W110" i="2"/>
  <c r="X110" i="2"/>
  <c r="Y110" i="2"/>
  <c r="Z110" i="2"/>
  <c r="AB110" i="2"/>
  <c r="AA110" i="2"/>
  <c r="R110" i="2"/>
  <c r="S110" i="2"/>
  <c r="T110" i="2"/>
  <c r="P111" i="2"/>
  <c r="Q110" i="2"/>
  <c r="AC110" i="2" s="1"/>
  <c r="M92" i="3" l="1"/>
  <c r="L94" i="3"/>
  <c r="M93" i="3"/>
  <c r="AF96" i="2"/>
  <c r="AG96" i="2"/>
  <c r="AE97" i="2"/>
  <c r="AH95" i="2"/>
  <c r="AD110" i="2"/>
  <c r="W111" i="2"/>
  <c r="X111" i="2"/>
  <c r="Y111" i="2"/>
  <c r="Z111" i="2"/>
  <c r="AA111" i="2"/>
  <c r="AB111" i="2"/>
  <c r="R111" i="2"/>
  <c r="S111" i="2"/>
  <c r="T111" i="2"/>
  <c r="P112" i="2"/>
  <c r="Q111" i="2"/>
  <c r="AC111" i="2" s="1"/>
  <c r="L95" i="3" l="1"/>
  <c r="AH96" i="2"/>
  <c r="AF97" i="2"/>
  <c r="AG97" i="2"/>
  <c r="AE98" i="2"/>
  <c r="AD111" i="2"/>
  <c r="W112" i="2"/>
  <c r="X112" i="2"/>
  <c r="Y112" i="2"/>
  <c r="Z112" i="2"/>
  <c r="AB112" i="2"/>
  <c r="AA112" i="2"/>
  <c r="R112" i="2"/>
  <c r="S112" i="2"/>
  <c r="T112" i="2"/>
  <c r="P113" i="2"/>
  <c r="Q112" i="2"/>
  <c r="AC112" i="2" s="1"/>
  <c r="M94" i="3" l="1"/>
  <c r="L96" i="3"/>
  <c r="M95" i="3"/>
  <c r="AH97" i="2"/>
  <c r="AF98" i="2"/>
  <c r="AG98" i="2"/>
  <c r="AE99" i="2"/>
  <c r="AD112" i="2"/>
  <c r="X113" i="2"/>
  <c r="W113" i="2"/>
  <c r="Y113" i="2"/>
  <c r="Z113" i="2"/>
  <c r="AB113" i="2"/>
  <c r="AA113" i="2"/>
  <c r="R113" i="2"/>
  <c r="S113" i="2"/>
  <c r="T113" i="2"/>
  <c r="P114" i="2"/>
  <c r="Q113" i="2"/>
  <c r="AC113" i="2" s="1"/>
  <c r="L97" i="3" l="1"/>
  <c r="AH98" i="2"/>
  <c r="AF99" i="2"/>
  <c r="AG99" i="2"/>
  <c r="AE100" i="2"/>
  <c r="AD113" i="2"/>
  <c r="W114" i="2"/>
  <c r="X114" i="2"/>
  <c r="Y114" i="2"/>
  <c r="Z114" i="2"/>
  <c r="AB114" i="2"/>
  <c r="AA114" i="2"/>
  <c r="R114" i="2"/>
  <c r="S114" i="2"/>
  <c r="T114" i="2"/>
  <c r="P115" i="2"/>
  <c r="Q114" i="2"/>
  <c r="AC114" i="2" s="1"/>
  <c r="M96" i="3" l="1"/>
  <c r="L98" i="3"/>
  <c r="M97" i="3"/>
  <c r="AH99" i="2"/>
  <c r="AF100" i="2"/>
  <c r="AG100" i="2"/>
  <c r="AE101" i="2"/>
  <c r="AD114" i="2"/>
  <c r="W115" i="2"/>
  <c r="X115" i="2"/>
  <c r="Y115" i="2"/>
  <c r="Z115" i="2"/>
  <c r="AA115" i="2"/>
  <c r="AB115" i="2"/>
  <c r="R115" i="2"/>
  <c r="S115" i="2"/>
  <c r="T115" i="2"/>
  <c r="P116" i="2"/>
  <c r="Q115" i="2"/>
  <c r="AC115" i="2" s="1"/>
  <c r="L99" i="3" l="1"/>
  <c r="AH100" i="2"/>
  <c r="AF101" i="2"/>
  <c r="AG101" i="2"/>
  <c r="AE102" i="2"/>
  <c r="AD115" i="2"/>
  <c r="W116" i="2"/>
  <c r="X116" i="2"/>
  <c r="Y116" i="2"/>
  <c r="Z116" i="2"/>
  <c r="AA116" i="2"/>
  <c r="AB116" i="2"/>
  <c r="R116" i="2"/>
  <c r="S116" i="2"/>
  <c r="T116" i="2"/>
  <c r="P117" i="2"/>
  <c r="Q116" i="2"/>
  <c r="AC116" i="2" s="1"/>
  <c r="M98" i="3" l="1"/>
  <c r="L100" i="3"/>
  <c r="M99" i="3"/>
  <c r="AH101" i="2"/>
  <c r="AG102" i="2"/>
  <c r="AF102" i="2"/>
  <c r="AE103" i="2"/>
  <c r="AD116" i="2"/>
  <c r="X117" i="2"/>
  <c r="W117" i="2"/>
  <c r="Y117" i="2"/>
  <c r="Z117" i="2"/>
  <c r="AA117" i="2"/>
  <c r="AB117" i="2"/>
  <c r="R117" i="2"/>
  <c r="S117" i="2"/>
  <c r="T117" i="2"/>
  <c r="P118" i="2"/>
  <c r="Q117" i="2"/>
  <c r="AC117" i="2" s="1"/>
  <c r="L101" i="3" l="1"/>
  <c r="AH102" i="2"/>
  <c r="AG103" i="2"/>
  <c r="AF103" i="2"/>
  <c r="AE104" i="2"/>
  <c r="AD117" i="2"/>
  <c r="W118" i="2"/>
  <c r="X118" i="2"/>
  <c r="Y118" i="2"/>
  <c r="Z118" i="2"/>
  <c r="AB118" i="2"/>
  <c r="AA118" i="2"/>
  <c r="R118" i="2"/>
  <c r="S118" i="2"/>
  <c r="T118" i="2"/>
  <c r="P119" i="2"/>
  <c r="Q118" i="2"/>
  <c r="AC118" i="2" s="1"/>
  <c r="M100" i="3" l="1"/>
  <c r="L102" i="3"/>
  <c r="M101" i="3"/>
  <c r="AH103" i="2"/>
  <c r="AG104" i="2"/>
  <c r="AF104" i="2"/>
  <c r="AE105" i="2"/>
  <c r="AD118" i="2"/>
  <c r="W119" i="2"/>
  <c r="X119" i="2"/>
  <c r="Y119" i="2"/>
  <c r="Z119" i="2"/>
  <c r="AA119" i="2"/>
  <c r="AB119" i="2"/>
  <c r="R119" i="2"/>
  <c r="S119" i="2"/>
  <c r="T119" i="2"/>
  <c r="P120" i="2"/>
  <c r="Q119" i="2"/>
  <c r="AC119" i="2" s="1"/>
  <c r="L103" i="3" l="1"/>
  <c r="AH104" i="2"/>
  <c r="AG105" i="2"/>
  <c r="AF105" i="2"/>
  <c r="AE106" i="2"/>
  <c r="AD119" i="2"/>
  <c r="W120" i="2"/>
  <c r="X120" i="2"/>
  <c r="Y120" i="2"/>
  <c r="Z120" i="2"/>
  <c r="AA120" i="2"/>
  <c r="AB120" i="2"/>
  <c r="R120" i="2"/>
  <c r="S120" i="2"/>
  <c r="T120" i="2"/>
  <c r="P121" i="2"/>
  <c r="Q120" i="2"/>
  <c r="AC120" i="2" s="1"/>
  <c r="M102" i="3" l="1"/>
  <c r="L104" i="3"/>
  <c r="M103" i="3"/>
  <c r="AH105" i="2"/>
  <c r="AG106" i="2"/>
  <c r="AF106" i="2"/>
  <c r="AE107" i="2"/>
  <c r="AD120" i="2"/>
  <c r="X121" i="2"/>
  <c r="W121" i="2"/>
  <c r="Y121" i="2"/>
  <c r="Z121" i="2"/>
  <c r="AB121" i="2"/>
  <c r="AA121" i="2"/>
  <c r="R121" i="2"/>
  <c r="S121" i="2"/>
  <c r="T121" i="2"/>
  <c r="P122" i="2"/>
  <c r="Q121" i="2"/>
  <c r="AC121" i="2" s="1"/>
  <c r="L105" i="3" l="1"/>
  <c r="AG107" i="2"/>
  <c r="AF107" i="2"/>
  <c r="AE108" i="2"/>
  <c r="AH106" i="2"/>
  <c r="AD121" i="2"/>
  <c r="W122" i="2"/>
  <c r="X122" i="2"/>
  <c r="Y122" i="2"/>
  <c r="Z122" i="2"/>
  <c r="AB122" i="2"/>
  <c r="AA122" i="2"/>
  <c r="R122" i="2"/>
  <c r="S122" i="2"/>
  <c r="T122" i="2"/>
  <c r="P123" i="2"/>
  <c r="Q122" i="2"/>
  <c r="AC122" i="2" s="1"/>
  <c r="M104" i="3" l="1"/>
  <c r="L106" i="3"/>
  <c r="M105" i="3"/>
  <c r="AH107" i="2"/>
  <c r="AG108" i="2"/>
  <c r="AF108" i="2"/>
  <c r="AE109" i="2"/>
  <c r="AD122" i="2"/>
  <c r="W123" i="2"/>
  <c r="X123" i="2"/>
  <c r="Y123" i="2"/>
  <c r="Z123" i="2"/>
  <c r="AB123" i="2"/>
  <c r="AA123" i="2"/>
  <c r="R123" i="2"/>
  <c r="S123" i="2"/>
  <c r="T123" i="2"/>
  <c r="P124" i="2"/>
  <c r="Q123" i="2"/>
  <c r="AC123" i="2" s="1"/>
  <c r="L107" i="3" l="1"/>
  <c r="AH108" i="2"/>
  <c r="AG109" i="2"/>
  <c r="AF109" i="2"/>
  <c r="AE110" i="2"/>
  <c r="AD123" i="2"/>
  <c r="W124" i="2"/>
  <c r="X124" i="2"/>
  <c r="Y124" i="2"/>
  <c r="Z124" i="2"/>
  <c r="AB124" i="2"/>
  <c r="AA124" i="2"/>
  <c r="R124" i="2"/>
  <c r="S124" i="2"/>
  <c r="T124" i="2"/>
  <c r="P125" i="2"/>
  <c r="Q124" i="2"/>
  <c r="AC124" i="2" s="1"/>
  <c r="M106" i="3" l="1"/>
  <c r="L108" i="3"/>
  <c r="M107" i="3"/>
  <c r="AG110" i="2"/>
  <c r="AF110" i="2"/>
  <c r="AE111" i="2"/>
  <c r="AH109" i="2"/>
  <c r="AD124" i="2"/>
  <c r="X125" i="2"/>
  <c r="W125" i="2"/>
  <c r="Y125" i="2"/>
  <c r="Z125" i="2"/>
  <c r="AB125" i="2"/>
  <c r="AA125" i="2"/>
  <c r="R125" i="2"/>
  <c r="S125" i="2"/>
  <c r="T125" i="2"/>
  <c r="P126" i="2"/>
  <c r="Q125" i="2"/>
  <c r="AC125" i="2" s="1"/>
  <c r="L109" i="3" l="1"/>
  <c r="AG111" i="2"/>
  <c r="AF111" i="2"/>
  <c r="AE112" i="2"/>
  <c r="AH110" i="2"/>
  <c r="AD125" i="2"/>
  <c r="W126" i="2"/>
  <c r="X126" i="2"/>
  <c r="Y126" i="2"/>
  <c r="Z126" i="2"/>
  <c r="AA126" i="2"/>
  <c r="AB126" i="2"/>
  <c r="R126" i="2"/>
  <c r="S126" i="2"/>
  <c r="T126" i="2"/>
  <c r="P127" i="2"/>
  <c r="Q126" i="2"/>
  <c r="AC126" i="2" s="1"/>
  <c r="M108" i="3" l="1"/>
  <c r="L110" i="3"/>
  <c r="M109" i="3"/>
  <c r="AH111" i="2"/>
  <c r="AG112" i="2"/>
  <c r="AF112" i="2"/>
  <c r="AE113" i="2"/>
  <c r="AD126" i="2"/>
  <c r="W127" i="2"/>
  <c r="X127" i="2"/>
  <c r="Y127" i="2"/>
  <c r="Z127" i="2"/>
  <c r="AA127" i="2"/>
  <c r="AB127" i="2"/>
  <c r="R127" i="2"/>
  <c r="S127" i="2"/>
  <c r="T127" i="2"/>
  <c r="P128" i="2"/>
  <c r="Q127" i="2"/>
  <c r="AC127" i="2" s="1"/>
  <c r="L111" i="3" l="1"/>
  <c r="AH112" i="2"/>
  <c r="AG113" i="2"/>
  <c r="AF113" i="2"/>
  <c r="AE114" i="2"/>
  <c r="AD127" i="2"/>
  <c r="W128" i="2"/>
  <c r="X128" i="2"/>
  <c r="Y128" i="2"/>
  <c r="Z128" i="2"/>
  <c r="AB128" i="2"/>
  <c r="AA128" i="2"/>
  <c r="R128" i="2"/>
  <c r="S128" i="2"/>
  <c r="T128" i="2"/>
  <c r="P129" i="2"/>
  <c r="Q128" i="2"/>
  <c r="AC128" i="2" s="1"/>
  <c r="M110" i="3" l="1"/>
  <c r="L112" i="3"/>
  <c r="M111" i="3"/>
  <c r="AF114" i="2"/>
  <c r="AG114" i="2"/>
  <c r="AE115" i="2"/>
  <c r="AH113" i="2"/>
  <c r="AD128" i="2"/>
  <c r="X129" i="2"/>
  <c r="W129" i="2"/>
  <c r="Y129" i="2"/>
  <c r="Z129" i="2"/>
  <c r="AA129" i="2"/>
  <c r="AB129" i="2"/>
  <c r="R129" i="2"/>
  <c r="S129" i="2"/>
  <c r="T129" i="2"/>
  <c r="P130" i="2"/>
  <c r="Q129" i="2"/>
  <c r="AC129" i="2" s="1"/>
  <c r="L113" i="3" l="1"/>
  <c r="AH114" i="2"/>
  <c r="AG115" i="2"/>
  <c r="AF115" i="2"/>
  <c r="AE116" i="2"/>
  <c r="AD129" i="2"/>
  <c r="W130" i="2"/>
  <c r="X130" i="2"/>
  <c r="Y130" i="2"/>
  <c r="Z130" i="2"/>
  <c r="AB130" i="2"/>
  <c r="AA130" i="2"/>
  <c r="R130" i="2"/>
  <c r="S130" i="2"/>
  <c r="T130" i="2"/>
  <c r="P131" i="2"/>
  <c r="Q130" i="2"/>
  <c r="AC130" i="2" s="1"/>
  <c r="M112" i="3" l="1"/>
  <c r="L114" i="3"/>
  <c r="M113" i="3"/>
  <c r="AH115" i="2"/>
  <c r="AF116" i="2"/>
  <c r="AG116" i="2"/>
  <c r="AE117" i="2"/>
  <c r="AD130" i="2"/>
  <c r="W131" i="2"/>
  <c r="X131" i="2"/>
  <c r="Y131" i="2"/>
  <c r="Z131" i="2"/>
  <c r="AA131" i="2"/>
  <c r="AB131" i="2"/>
  <c r="R131" i="2"/>
  <c r="S131" i="2"/>
  <c r="T131" i="2"/>
  <c r="P132" i="2"/>
  <c r="Q131" i="2"/>
  <c r="AC131" i="2" s="1"/>
  <c r="L115" i="3" l="1"/>
  <c r="AH116" i="2"/>
  <c r="AF117" i="2"/>
  <c r="AG117" i="2"/>
  <c r="AE118" i="2"/>
  <c r="AD131" i="2"/>
  <c r="W132" i="2"/>
  <c r="X132" i="2"/>
  <c r="Y132" i="2"/>
  <c r="Z132" i="2"/>
  <c r="AA132" i="2"/>
  <c r="AB132" i="2"/>
  <c r="R132" i="2"/>
  <c r="S132" i="2"/>
  <c r="T132" i="2"/>
  <c r="P133" i="2"/>
  <c r="Q132" i="2"/>
  <c r="AC132" i="2" s="1"/>
  <c r="M114" i="3" l="1"/>
  <c r="L116" i="3"/>
  <c r="M115" i="3"/>
  <c r="AH117" i="2"/>
  <c r="AF118" i="2"/>
  <c r="AG118" i="2"/>
  <c r="AE119" i="2"/>
  <c r="AD132" i="2"/>
  <c r="X133" i="2"/>
  <c r="W133" i="2"/>
  <c r="Y133" i="2"/>
  <c r="Z133" i="2"/>
  <c r="AA133" i="2"/>
  <c r="AB133" i="2"/>
  <c r="R133" i="2"/>
  <c r="S133" i="2"/>
  <c r="T133" i="2"/>
  <c r="P134" i="2"/>
  <c r="Q133" i="2"/>
  <c r="AC133" i="2" s="1"/>
  <c r="L117" i="3" l="1"/>
  <c r="AH118" i="2"/>
  <c r="AF119" i="2"/>
  <c r="AG119" i="2"/>
  <c r="AE120" i="2"/>
  <c r="AD133" i="2"/>
  <c r="W134" i="2"/>
  <c r="X134" i="2"/>
  <c r="Y134" i="2"/>
  <c r="Z134" i="2"/>
  <c r="AA134" i="2"/>
  <c r="AB134" i="2"/>
  <c r="R134" i="2"/>
  <c r="S134" i="2"/>
  <c r="T134" i="2"/>
  <c r="P135" i="2"/>
  <c r="Q134" i="2"/>
  <c r="AC134" i="2" s="1"/>
  <c r="M116" i="3" l="1"/>
  <c r="L118" i="3"/>
  <c r="M117" i="3"/>
  <c r="AF120" i="2"/>
  <c r="AG120" i="2"/>
  <c r="AE121" i="2"/>
  <c r="AH119" i="2"/>
  <c r="AD134" i="2"/>
  <c r="W135" i="2"/>
  <c r="X135" i="2"/>
  <c r="Y135" i="2"/>
  <c r="Z135" i="2"/>
  <c r="AA135" i="2"/>
  <c r="AB135" i="2"/>
  <c r="R135" i="2"/>
  <c r="S135" i="2"/>
  <c r="T135" i="2"/>
  <c r="P136" i="2"/>
  <c r="Q135" i="2"/>
  <c r="AC135" i="2" s="1"/>
  <c r="L119" i="3" l="1"/>
  <c r="AH120" i="2"/>
  <c r="AF121" i="2"/>
  <c r="AG121" i="2"/>
  <c r="AE122" i="2"/>
  <c r="AD135" i="2"/>
  <c r="W136" i="2"/>
  <c r="X136" i="2"/>
  <c r="Y136" i="2"/>
  <c r="Z136" i="2"/>
  <c r="AA136" i="2"/>
  <c r="AB136" i="2"/>
  <c r="R136" i="2"/>
  <c r="S136" i="2"/>
  <c r="T136" i="2"/>
  <c r="P137" i="2"/>
  <c r="Q136" i="2"/>
  <c r="AC136" i="2" s="1"/>
  <c r="M118" i="3" l="1"/>
  <c r="L120" i="3"/>
  <c r="M119" i="3"/>
  <c r="AH121" i="2"/>
  <c r="AG122" i="2"/>
  <c r="AF122" i="2"/>
  <c r="AE123" i="2"/>
  <c r="AD136" i="2"/>
  <c r="X137" i="2"/>
  <c r="W137" i="2"/>
  <c r="Y137" i="2"/>
  <c r="Z137" i="2"/>
  <c r="AB137" i="2"/>
  <c r="AA137" i="2"/>
  <c r="R137" i="2"/>
  <c r="S137" i="2"/>
  <c r="T137" i="2"/>
  <c r="P138" i="2"/>
  <c r="Q137" i="2"/>
  <c r="AC137" i="2" s="1"/>
  <c r="L121" i="3" l="1"/>
  <c r="AG123" i="2"/>
  <c r="AF123" i="2"/>
  <c r="AE124" i="2"/>
  <c r="AH122" i="2"/>
  <c r="AD137" i="2"/>
  <c r="W138" i="2"/>
  <c r="X138" i="2"/>
  <c r="Y138" i="2"/>
  <c r="Z138" i="2"/>
  <c r="AB138" i="2"/>
  <c r="AA138" i="2"/>
  <c r="R138" i="2"/>
  <c r="S138" i="2"/>
  <c r="T138" i="2"/>
  <c r="P139" i="2"/>
  <c r="Q138" i="2"/>
  <c r="AC138" i="2" s="1"/>
  <c r="M120" i="3" l="1"/>
  <c r="L122" i="3"/>
  <c r="M121" i="3"/>
  <c r="AH123" i="2"/>
  <c r="AG124" i="2"/>
  <c r="AF124" i="2"/>
  <c r="AE125" i="2"/>
  <c r="AD138" i="2"/>
  <c r="W139" i="2"/>
  <c r="X139" i="2"/>
  <c r="Y139" i="2"/>
  <c r="Z139" i="2"/>
  <c r="AB139" i="2"/>
  <c r="AA139" i="2"/>
  <c r="R139" i="2"/>
  <c r="S139" i="2"/>
  <c r="T139" i="2"/>
  <c r="P140" i="2"/>
  <c r="Q139" i="2"/>
  <c r="AC139" i="2" s="1"/>
  <c r="L123" i="3" l="1"/>
  <c r="AG125" i="2"/>
  <c r="AF125" i="2"/>
  <c r="AE126" i="2"/>
  <c r="AH124" i="2"/>
  <c r="AD139" i="2"/>
  <c r="W140" i="2"/>
  <c r="X140" i="2"/>
  <c r="Y140" i="2"/>
  <c r="Z140" i="2"/>
  <c r="AA140" i="2"/>
  <c r="AB140" i="2"/>
  <c r="R140" i="2"/>
  <c r="S140" i="2"/>
  <c r="T140" i="2"/>
  <c r="P141" i="2"/>
  <c r="Q140" i="2"/>
  <c r="AC140" i="2" s="1"/>
  <c r="M122" i="3" l="1"/>
  <c r="L124" i="3"/>
  <c r="M123" i="3"/>
  <c r="AG126" i="2"/>
  <c r="AF126" i="2"/>
  <c r="AE127" i="2"/>
  <c r="AH125" i="2"/>
  <c r="AD140" i="2"/>
  <c r="X141" i="2"/>
  <c r="W141" i="2"/>
  <c r="Y141" i="2"/>
  <c r="Z141" i="2"/>
  <c r="AB141" i="2"/>
  <c r="AA141" i="2"/>
  <c r="R141" i="2"/>
  <c r="S141" i="2"/>
  <c r="T141" i="2"/>
  <c r="P142" i="2"/>
  <c r="Q141" i="2"/>
  <c r="AC141" i="2" s="1"/>
  <c r="L125" i="3" l="1"/>
  <c r="AH126" i="2"/>
  <c r="AG127" i="2"/>
  <c r="AF127" i="2"/>
  <c r="AE128" i="2"/>
  <c r="AD141" i="2"/>
  <c r="W142" i="2"/>
  <c r="X142" i="2"/>
  <c r="Y142" i="2"/>
  <c r="Z142" i="2"/>
  <c r="AB142" i="2"/>
  <c r="AA142" i="2"/>
  <c r="R142" i="2"/>
  <c r="S142" i="2"/>
  <c r="T142" i="2"/>
  <c r="P143" i="2"/>
  <c r="Q142" i="2"/>
  <c r="AC142" i="2" s="1"/>
  <c r="M124" i="3" l="1"/>
  <c r="L126" i="3"/>
  <c r="M125" i="3"/>
  <c r="AH127" i="2"/>
  <c r="AG128" i="2"/>
  <c r="AF128" i="2"/>
  <c r="AE129" i="2"/>
  <c r="AD142" i="2"/>
  <c r="W143" i="2"/>
  <c r="X143" i="2"/>
  <c r="Y143" i="2"/>
  <c r="Z143" i="2"/>
  <c r="AB143" i="2"/>
  <c r="AA143" i="2"/>
  <c r="R143" i="2"/>
  <c r="S143" i="2"/>
  <c r="T143" i="2"/>
  <c r="P144" i="2"/>
  <c r="Q143" i="2"/>
  <c r="AC143" i="2" s="1"/>
  <c r="L127" i="3" l="1"/>
  <c r="AG129" i="2"/>
  <c r="AF129" i="2"/>
  <c r="AE130" i="2"/>
  <c r="AH128" i="2"/>
  <c r="AD143" i="2"/>
  <c r="W144" i="2"/>
  <c r="X144" i="2"/>
  <c r="Y144" i="2"/>
  <c r="Z144" i="2"/>
  <c r="AA144" i="2"/>
  <c r="AB144" i="2"/>
  <c r="R144" i="2"/>
  <c r="S144" i="2"/>
  <c r="T144" i="2"/>
  <c r="P145" i="2"/>
  <c r="Q144" i="2"/>
  <c r="AC144" i="2" s="1"/>
  <c r="M126" i="3" l="1"/>
  <c r="L128" i="3"/>
  <c r="M127" i="3"/>
  <c r="AG130" i="2"/>
  <c r="AF130" i="2"/>
  <c r="AE131" i="2"/>
  <c r="AH129" i="2"/>
  <c r="AD144" i="2"/>
  <c r="X145" i="2"/>
  <c r="W145" i="2"/>
  <c r="Y145" i="2"/>
  <c r="Z145" i="2"/>
  <c r="AB145" i="2"/>
  <c r="AA145" i="2"/>
  <c r="R145" i="2"/>
  <c r="S145" i="2"/>
  <c r="T145" i="2"/>
  <c r="P146" i="2"/>
  <c r="Q145" i="2"/>
  <c r="AC145" i="2" s="1"/>
  <c r="L129" i="3" l="1"/>
  <c r="AG131" i="2"/>
  <c r="AF131" i="2"/>
  <c r="AE132" i="2"/>
  <c r="AH130" i="2"/>
  <c r="AD145" i="2"/>
  <c r="X146" i="2"/>
  <c r="W146" i="2"/>
  <c r="Y146" i="2"/>
  <c r="Z146" i="2"/>
  <c r="AB146" i="2"/>
  <c r="AA146" i="2"/>
  <c r="R146" i="2"/>
  <c r="S146" i="2"/>
  <c r="T146" i="2"/>
  <c r="P147" i="2"/>
  <c r="Q146" i="2"/>
  <c r="AC146" i="2" s="1"/>
  <c r="M128" i="3" l="1"/>
  <c r="L130" i="3"/>
  <c r="M129" i="3"/>
  <c r="AG132" i="2"/>
  <c r="AF132" i="2"/>
  <c r="AE133" i="2"/>
  <c r="AH131" i="2"/>
  <c r="AD146" i="2"/>
  <c r="W147" i="2"/>
  <c r="X147" i="2"/>
  <c r="Y147" i="2"/>
  <c r="Z147" i="2"/>
  <c r="AA147" i="2"/>
  <c r="AB147" i="2"/>
  <c r="R147" i="2"/>
  <c r="S147" i="2"/>
  <c r="T147" i="2"/>
  <c r="P148" i="2"/>
  <c r="Q147" i="2"/>
  <c r="AC147" i="2" s="1"/>
  <c r="L131" i="3" l="1"/>
  <c r="AH132" i="2"/>
  <c r="AG133" i="2"/>
  <c r="AF133" i="2"/>
  <c r="AE134" i="2"/>
  <c r="AD147" i="2"/>
  <c r="W148" i="2"/>
  <c r="X148" i="2"/>
  <c r="Y148" i="2"/>
  <c r="Z148" i="2"/>
  <c r="AA148" i="2"/>
  <c r="AB148" i="2"/>
  <c r="R148" i="2"/>
  <c r="S148" i="2"/>
  <c r="T148" i="2"/>
  <c r="P149" i="2"/>
  <c r="Q148" i="2"/>
  <c r="AC148" i="2" s="1"/>
  <c r="M130" i="3" l="1"/>
  <c r="L132" i="3"/>
  <c r="M131" i="3"/>
  <c r="AF134" i="2"/>
  <c r="AG134" i="2"/>
  <c r="AE135" i="2"/>
  <c r="AH133" i="2"/>
  <c r="AD148" i="2"/>
  <c r="X149" i="2"/>
  <c r="W149" i="2"/>
  <c r="Y149" i="2"/>
  <c r="Z149" i="2"/>
  <c r="AB149" i="2"/>
  <c r="AA149" i="2"/>
  <c r="R149" i="2"/>
  <c r="S149" i="2"/>
  <c r="T149" i="2"/>
  <c r="P150" i="2"/>
  <c r="Q149" i="2"/>
  <c r="AC149" i="2" s="1"/>
  <c r="L133" i="3" l="1"/>
  <c r="AH134" i="2"/>
  <c r="AG135" i="2"/>
  <c r="AF135" i="2"/>
  <c r="AE136" i="2"/>
  <c r="AD149" i="2"/>
  <c r="X150" i="2"/>
  <c r="W150" i="2"/>
  <c r="Y150" i="2"/>
  <c r="Z150" i="2"/>
  <c r="AA150" i="2"/>
  <c r="AB150" i="2"/>
  <c r="R150" i="2"/>
  <c r="S150" i="2"/>
  <c r="T150" i="2"/>
  <c r="P151" i="2"/>
  <c r="Q150" i="2"/>
  <c r="AC150" i="2" s="1"/>
  <c r="M132" i="3" l="1"/>
  <c r="L134" i="3"/>
  <c r="M133" i="3"/>
  <c r="AH135" i="2"/>
  <c r="AF136" i="2"/>
  <c r="AG136" i="2"/>
  <c r="AE137" i="2"/>
  <c r="AD150" i="2"/>
  <c r="W151" i="2"/>
  <c r="X151" i="2"/>
  <c r="Y151" i="2"/>
  <c r="Z151" i="2"/>
  <c r="AA151" i="2"/>
  <c r="AB151" i="2"/>
  <c r="R151" i="2"/>
  <c r="S151" i="2"/>
  <c r="T151" i="2"/>
  <c r="P152" i="2"/>
  <c r="Q151" i="2"/>
  <c r="AC151" i="2" s="1"/>
  <c r="L135" i="3" l="1"/>
  <c r="AH136" i="2"/>
  <c r="AF137" i="2"/>
  <c r="AG137" i="2"/>
  <c r="AE138" i="2"/>
  <c r="AD151" i="2"/>
  <c r="W152" i="2"/>
  <c r="X152" i="2"/>
  <c r="Y152" i="2"/>
  <c r="Z152" i="2"/>
  <c r="AB152" i="2"/>
  <c r="AA152" i="2"/>
  <c r="R152" i="2"/>
  <c r="S152" i="2"/>
  <c r="T152" i="2"/>
  <c r="P153" i="2"/>
  <c r="Q152" i="2"/>
  <c r="AC152" i="2" s="1"/>
  <c r="M134" i="3" l="1"/>
  <c r="L136" i="3"/>
  <c r="M135" i="3"/>
  <c r="AH137" i="2"/>
  <c r="AF138" i="2"/>
  <c r="AG138" i="2"/>
  <c r="AE139" i="2"/>
  <c r="AD152" i="2"/>
  <c r="X153" i="2"/>
  <c r="W153" i="2"/>
  <c r="Y153" i="2"/>
  <c r="Z153" i="2"/>
  <c r="AA153" i="2"/>
  <c r="AB153" i="2"/>
  <c r="R153" i="2"/>
  <c r="S153" i="2"/>
  <c r="T153" i="2"/>
  <c r="P154" i="2"/>
  <c r="Q153" i="2"/>
  <c r="AC153" i="2" s="1"/>
  <c r="L137" i="3" l="1"/>
  <c r="AH138" i="2"/>
  <c r="AF139" i="2"/>
  <c r="AG139" i="2"/>
  <c r="AE140" i="2"/>
  <c r="AD153" i="2"/>
  <c r="X154" i="2"/>
  <c r="W154" i="2"/>
  <c r="Y154" i="2"/>
  <c r="Z154" i="2"/>
  <c r="AB154" i="2"/>
  <c r="AA154" i="2"/>
  <c r="R154" i="2"/>
  <c r="S154" i="2"/>
  <c r="T154" i="2"/>
  <c r="P155" i="2"/>
  <c r="Q154" i="2"/>
  <c r="AC154" i="2" s="1"/>
  <c r="M136" i="3" l="1"/>
  <c r="L138" i="3"/>
  <c r="M137" i="3"/>
  <c r="AH139" i="2"/>
  <c r="AF140" i="2"/>
  <c r="AG140" i="2"/>
  <c r="AH140" i="2" s="1"/>
  <c r="AE141" i="2"/>
  <c r="AD154" i="2"/>
  <c r="W155" i="2"/>
  <c r="X155" i="2"/>
  <c r="Y155" i="2"/>
  <c r="Z155" i="2"/>
  <c r="AA155" i="2"/>
  <c r="AB155" i="2"/>
  <c r="R155" i="2"/>
  <c r="S155" i="2"/>
  <c r="T155" i="2"/>
  <c r="P156" i="2"/>
  <c r="Q155" i="2"/>
  <c r="AC155" i="2" s="1"/>
  <c r="L139" i="3" l="1"/>
  <c r="AF141" i="2"/>
  <c r="AG141" i="2"/>
  <c r="AE142" i="2"/>
  <c r="AD155" i="2"/>
  <c r="W156" i="2"/>
  <c r="X156" i="2"/>
  <c r="Y156" i="2"/>
  <c r="Z156" i="2"/>
  <c r="AB156" i="2"/>
  <c r="AA156" i="2"/>
  <c r="R156" i="2"/>
  <c r="S156" i="2"/>
  <c r="T156" i="2"/>
  <c r="P157" i="2"/>
  <c r="Q156" i="2"/>
  <c r="AC156" i="2" s="1"/>
  <c r="M138" i="3" l="1"/>
  <c r="L140" i="3"/>
  <c r="M139" i="3"/>
  <c r="AH141" i="2"/>
  <c r="AG142" i="2"/>
  <c r="AF142" i="2"/>
  <c r="AE143" i="2"/>
  <c r="AD156" i="2"/>
  <c r="X157" i="2"/>
  <c r="W157" i="2"/>
  <c r="Y157" i="2"/>
  <c r="Z157" i="2"/>
  <c r="AB157" i="2"/>
  <c r="AA157" i="2"/>
  <c r="R157" i="2"/>
  <c r="S157" i="2"/>
  <c r="T157" i="2"/>
  <c r="P158" i="2"/>
  <c r="Q157" i="2"/>
  <c r="AC157" i="2" s="1"/>
  <c r="L141" i="3" l="1"/>
  <c r="AH142" i="2"/>
  <c r="AG143" i="2"/>
  <c r="AF143" i="2"/>
  <c r="AE144" i="2"/>
  <c r="AD157" i="2"/>
  <c r="X158" i="2"/>
  <c r="W158" i="2"/>
  <c r="Y158" i="2"/>
  <c r="Z158" i="2"/>
  <c r="AA158" i="2"/>
  <c r="AB158" i="2"/>
  <c r="R158" i="2"/>
  <c r="S158" i="2"/>
  <c r="T158" i="2"/>
  <c r="P159" i="2"/>
  <c r="Q158" i="2"/>
  <c r="AC158" i="2" s="1"/>
  <c r="M140" i="3" l="1"/>
  <c r="L142" i="3"/>
  <c r="M141" i="3"/>
  <c r="AH143" i="2"/>
  <c r="AG144" i="2"/>
  <c r="AF144" i="2"/>
  <c r="AE145" i="2"/>
  <c r="AD158" i="2"/>
  <c r="W159" i="2"/>
  <c r="X159" i="2"/>
  <c r="Y159" i="2"/>
  <c r="Z159" i="2"/>
  <c r="AA159" i="2"/>
  <c r="AB159" i="2"/>
  <c r="R159" i="2"/>
  <c r="S159" i="2"/>
  <c r="T159" i="2"/>
  <c r="P160" i="2"/>
  <c r="Q159" i="2"/>
  <c r="AC159" i="2" s="1"/>
  <c r="L143" i="3" l="1"/>
  <c r="AG145" i="2"/>
  <c r="AF145" i="2"/>
  <c r="AE146" i="2"/>
  <c r="AH144" i="2"/>
  <c r="AD159" i="2"/>
  <c r="W160" i="2"/>
  <c r="X160" i="2"/>
  <c r="Y160" i="2"/>
  <c r="Z160" i="2"/>
  <c r="AA160" i="2"/>
  <c r="AB160" i="2"/>
  <c r="R160" i="2"/>
  <c r="S160" i="2"/>
  <c r="T160" i="2"/>
  <c r="P161" i="2"/>
  <c r="Q160" i="2"/>
  <c r="AC160" i="2" s="1"/>
  <c r="M142" i="3" l="1"/>
  <c r="L144" i="3"/>
  <c r="M143" i="3"/>
  <c r="AH145" i="2"/>
  <c r="AG146" i="2"/>
  <c r="AF146" i="2"/>
  <c r="AE147" i="2"/>
  <c r="AD160" i="2"/>
  <c r="X161" i="2"/>
  <c r="W161" i="2"/>
  <c r="Y161" i="2"/>
  <c r="Z161" i="2"/>
  <c r="AB161" i="2"/>
  <c r="AA161" i="2"/>
  <c r="R161" i="2"/>
  <c r="S161" i="2"/>
  <c r="T161" i="2"/>
  <c r="P162" i="2"/>
  <c r="Q161" i="2"/>
  <c r="AC161" i="2" s="1"/>
  <c r="L145" i="3" l="1"/>
  <c r="AG147" i="2"/>
  <c r="AF147" i="2"/>
  <c r="AE148" i="2"/>
  <c r="AH146" i="2"/>
  <c r="AD161" i="2"/>
  <c r="X162" i="2"/>
  <c r="W162" i="2"/>
  <c r="Y162" i="2"/>
  <c r="Z162" i="2"/>
  <c r="AB162" i="2"/>
  <c r="AA162" i="2"/>
  <c r="R162" i="2"/>
  <c r="S162" i="2"/>
  <c r="T162" i="2"/>
  <c r="P163" i="2"/>
  <c r="Q162" i="2"/>
  <c r="AC162" i="2" s="1"/>
  <c r="M144" i="3" l="1"/>
  <c r="L146" i="3"/>
  <c r="M145" i="3"/>
  <c r="AG148" i="2"/>
  <c r="AF148" i="2"/>
  <c r="AE149" i="2"/>
  <c r="AH147" i="2"/>
  <c r="AD162" i="2"/>
  <c r="W163" i="2"/>
  <c r="X163" i="2"/>
  <c r="Y163" i="2"/>
  <c r="Z163" i="2"/>
  <c r="AB163" i="2"/>
  <c r="AA163" i="2"/>
  <c r="R163" i="2"/>
  <c r="S163" i="2"/>
  <c r="T163" i="2"/>
  <c r="P164" i="2"/>
  <c r="Q163" i="2"/>
  <c r="AC163" i="2" s="1"/>
  <c r="L147" i="3" l="1"/>
  <c r="AH148" i="2"/>
  <c r="AG149" i="2"/>
  <c r="AF149" i="2"/>
  <c r="AE150" i="2"/>
  <c r="AD163" i="2"/>
  <c r="W164" i="2"/>
  <c r="X164" i="2"/>
  <c r="Y164" i="2"/>
  <c r="Z164" i="2"/>
  <c r="AB164" i="2"/>
  <c r="AA164" i="2"/>
  <c r="R164" i="2"/>
  <c r="S164" i="2"/>
  <c r="T164" i="2"/>
  <c r="P165" i="2"/>
  <c r="Q164" i="2"/>
  <c r="AC164" i="2" s="1"/>
  <c r="M146" i="3" l="1"/>
  <c r="L148" i="3"/>
  <c r="M147" i="3"/>
  <c r="AH149" i="2"/>
  <c r="AG150" i="2"/>
  <c r="AF150" i="2"/>
  <c r="AE151" i="2"/>
  <c r="AD164" i="2"/>
  <c r="X165" i="2"/>
  <c r="W165" i="2"/>
  <c r="Y165" i="2"/>
  <c r="Z165" i="2"/>
  <c r="AA165" i="2"/>
  <c r="AB165" i="2"/>
  <c r="R165" i="2"/>
  <c r="S165" i="2"/>
  <c r="T165" i="2"/>
  <c r="P166" i="2"/>
  <c r="Q165" i="2"/>
  <c r="AC165" i="2" s="1"/>
  <c r="L149" i="3" l="1"/>
  <c r="AH150" i="2"/>
  <c r="AG151" i="2"/>
  <c r="AF151" i="2"/>
  <c r="AE152" i="2"/>
  <c r="AD165" i="2"/>
  <c r="X166" i="2"/>
  <c r="W166" i="2"/>
  <c r="Y166" i="2"/>
  <c r="Z166" i="2"/>
  <c r="AA166" i="2"/>
  <c r="AB166" i="2"/>
  <c r="R166" i="2"/>
  <c r="S166" i="2"/>
  <c r="T166" i="2"/>
  <c r="P167" i="2"/>
  <c r="Q166" i="2"/>
  <c r="AC166" i="2" s="1"/>
  <c r="M148" i="3" l="1"/>
  <c r="L150" i="3"/>
  <c r="M149" i="3"/>
  <c r="AG152" i="2"/>
  <c r="AF152" i="2"/>
  <c r="AE153" i="2"/>
  <c r="AH151" i="2"/>
  <c r="AD166" i="2"/>
  <c r="W167" i="2"/>
  <c r="X167" i="2"/>
  <c r="Y167" i="2"/>
  <c r="Z167" i="2"/>
  <c r="AA167" i="2"/>
  <c r="AB167" i="2"/>
  <c r="R167" i="2"/>
  <c r="S167" i="2"/>
  <c r="T167" i="2"/>
  <c r="P168" i="2"/>
  <c r="Q167" i="2"/>
  <c r="AC167" i="2" s="1"/>
  <c r="L151" i="3" l="1"/>
  <c r="AH152" i="2"/>
  <c r="AG153" i="2"/>
  <c r="AF153" i="2"/>
  <c r="AE154" i="2"/>
  <c r="AD167" i="2"/>
  <c r="W168" i="2"/>
  <c r="X168" i="2"/>
  <c r="Y168" i="2"/>
  <c r="Z168" i="2"/>
  <c r="AB168" i="2"/>
  <c r="AA168" i="2"/>
  <c r="R168" i="2"/>
  <c r="S168" i="2"/>
  <c r="T168" i="2"/>
  <c r="P169" i="2"/>
  <c r="Q168" i="2"/>
  <c r="AC168" i="2" s="1"/>
  <c r="M150" i="3" l="1"/>
  <c r="L152" i="3"/>
  <c r="M151" i="3"/>
  <c r="AF154" i="2"/>
  <c r="AG154" i="2"/>
  <c r="AE155" i="2"/>
  <c r="AH153" i="2"/>
  <c r="AD168" i="2"/>
  <c r="X169" i="2"/>
  <c r="W169" i="2"/>
  <c r="Y169" i="2"/>
  <c r="Z169" i="2"/>
  <c r="AB169" i="2"/>
  <c r="AA169" i="2"/>
  <c r="R169" i="2"/>
  <c r="S169" i="2"/>
  <c r="T169" i="2"/>
  <c r="P170" i="2"/>
  <c r="Q169" i="2"/>
  <c r="AC169" i="2" s="1"/>
  <c r="L153" i="3" l="1"/>
  <c r="AH154" i="2"/>
  <c r="AG155" i="2"/>
  <c r="AF155" i="2"/>
  <c r="AE156" i="2"/>
  <c r="AD169" i="2"/>
  <c r="X170" i="2"/>
  <c r="W170" i="2"/>
  <c r="Y170" i="2"/>
  <c r="Z170" i="2"/>
  <c r="AA170" i="2"/>
  <c r="AB170" i="2"/>
  <c r="R170" i="2"/>
  <c r="S170" i="2"/>
  <c r="T170" i="2"/>
  <c r="P171" i="2"/>
  <c r="Q170" i="2"/>
  <c r="AC170" i="2" s="1"/>
  <c r="M152" i="3" l="1"/>
  <c r="L154" i="3"/>
  <c r="M153" i="3"/>
  <c r="AG156" i="2"/>
  <c r="AF156" i="2"/>
  <c r="AE157" i="2"/>
  <c r="AH155" i="2"/>
  <c r="AD170" i="2"/>
  <c r="W171" i="2"/>
  <c r="X171" i="2"/>
  <c r="Y171" i="2"/>
  <c r="Z171" i="2"/>
  <c r="AA171" i="2"/>
  <c r="AB171" i="2"/>
  <c r="R171" i="2"/>
  <c r="S171" i="2"/>
  <c r="T171" i="2"/>
  <c r="P172" i="2"/>
  <c r="Q171" i="2"/>
  <c r="AC171" i="2" s="1"/>
  <c r="L155" i="3" l="1"/>
  <c r="AF157" i="2"/>
  <c r="AG157" i="2"/>
  <c r="AE158" i="2"/>
  <c r="AH156" i="2"/>
  <c r="AD171" i="2"/>
  <c r="W172" i="2"/>
  <c r="X172" i="2"/>
  <c r="Y172" i="2"/>
  <c r="Z172" i="2"/>
  <c r="AA172" i="2"/>
  <c r="AB172" i="2"/>
  <c r="R172" i="2"/>
  <c r="S172" i="2"/>
  <c r="T172" i="2"/>
  <c r="P173" i="2"/>
  <c r="Q172" i="2"/>
  <c r="AC172" i="2" s="1"/>
  <c r="M154" i="3" l="1"/>
  <c r="L156" i="3"/>
  <c r="M155" i="3"/>
  <c r="AH157" i="2"/>
  <c r="AF158" i="2"/>
  <c r="AG158" i="2"/>
  <c r="AE159" i="2"/>
  <c r="AD172" i="2"/>
  <c r="X173" i="2"/>
  <c r="W173" i="2"/>
  <c r="Y173" i="2"/>
  <c r="Z173" i="2"/>
  <c r="AB173" i="2"/>
  <c r="AA173" i="2"/>
  <c r="R173" i="2"/>
  <c r="S173" i="2"/>
  <c r="T173" i="2"/>
  <c r="P174" i="2"/>
  <c r="Q173" i="2"/>
  <c r="AC173" i="2" s="1"/>
  <c r="L157" i="3" l="1"/>
  <c r="AH158" i="2"/>
  <c r="AF159" i="2"/>
  <c r="AG159" i="2"/>
  <c r="AE160" i="2"/>
  <c r="AD173" i="2"/>
  <c r="X174" i="2"/>
  <c r="W174" i="2"/>
  <c r="Y174" i="2"/>
  <c r="Z174" i="2"/>
  <c r="AA174" i="2"/>
  <c r="AB174" i="2"/>
  <c r="R174" i="2"/>
  <c r="S174" i="2"/>
  <c r="T174" i="2"/>
  <c r="P175" i="2"/>
  <c r="Q174" i="2"/>
  <c r="AC174" i="2" s="1"/>
  <c r="M156" i="3" l="1"/>
  <c r="L158" i="3"/>
  <c r="M157" i="3"/>
  <c r="AH159" i="2"/>
  <c r="AF160" i="2"/>
  <c r="AG160" i="2"/>
  <c r="AE161" i="2"/>
  <c r="AD174" i="2"/>
  <c r="W175" i="2"/>
  <c r="X175" i="2"/>
  <c r="Y175" i="2"/>
  <c r="Z175" i="2"/>
  <c r="AB175" i="2"/>
  <c r="AA175" i="2"/>
  <c r="R175" i="2"/>
  <c r="S175" i="2"/>
  <c r="T175" i="2"/>
  <c r="P176" i="2"/>
  <c r="Q175" i="2"/>
  <c r="AC175" i="2" s="1"/>
  <c r="L159" i="3" l="1"/>
  <c r="AH160" i="2"/>
  <c r="AF161" i="2"/>
  <c r="AG161" i="2"/>
  <c r="AE162" i="2"/>
  <c r="AD175" i="2"/>
  <c r="W176" i="2"/>
  <c r="X176" i="2"/>
  <c r="Y176" i="2"/>
  <c r="Z176" i="2"/>
  <c r="AB176" i="2"/>
  <c r="AA176" i="2"/>
  <c r="R176" i="2"/>
  <c r="S176" i="2"/>
  <c r="T176" i="2"/>
  <c r="P177" i="2"/>
  <c r="Q176" i="2"/>
  <c r="AC176" i="2" s="1"/>
  <c r="M158" i="3" l="1"/>
  <c r="L160" i="3"/>
  <c r="M159" i="3"/>
  <c r="AH161" i="2"/>
  <c r="AG162" i="2"/>
  <c r="AF162" i="2"/>
  <c r="AE163" i="2"/>
  <c r="AD176" i="2"/>
  <c r="X177" i="2"/>
  <c r="W177" i="2"/>
  <c r="Y177" i="2"/>
  <c r="Z177" i="2"/>
  <c r="AB177" i="2"/>
  <c r="AA177" i="2"/>
  <c r="R177" i="2"/>
  <c r="S177" i="2"/>
  <c r="T177" i="2"/>
  <c r="P178" i="2"/>
  <c r="Q177" i="2"/>
  <c r="AC177" i="2" s="1"/>
  <c r="L161" i="3" l="1"/>
  <c r="AH162" i="2"/>
  <c r="AG163" i="2"/>
  <c r="AF163" i="2"/>
  <c r="AE164" i="2"/>
  <c r="AD177" i="2"/>
  <c r="X178" i="2"/>
  <c r="W178" i="2"/>
  <c r="Y178" i="2"/>
  <c r="Z178" i="2"/>
  <c r="AA178" i="2"/>
  <c r="AB178" i="2"/>
  <c r="R178" i="2"/>
  <c r="S178" i="2"/>
  <c r="T178" i="2"/>
  <c r="P179" i="2"/>
  <c r="Q178" i="2"/>
  <c r="AC178" i="2" s="1"/>
  <c r="M160" i="3" l="1"/>
  <c r="L162" i="3"/>
  <c r="M161" i="3"/>
  <c r="AG164" i="2"/>
  <c r="AF164" i="2"/>
  <c r="AE165" i="2"/>
  <c r="AH163" i="2"/>
  <c r="AD178" i="2"/>
  <c r="X179" i="2"/>
  <c r="W179" i="2"/>
  <c r="Y179" i="2"/>
  <c r="Z179" i="2"/>
  <c r="AB179" i="2"/>
  <c r="AA179" i="2"/>
  <c r="R179" i="2"/>
  <c r="S179" i="2"/>
  <c r="T179" i="2"/>
  <c r="P180" i="2"/>
  <c r="Q179" i="2"/>
  <c r="AC179" i="2" s="1"/>
  <c r="L163" i="3" l="1"/>
  <c r="AH164" i="2"/>
  <c r="AG165" i="2"/>
  <c r="AF165" i="2"/>
  <c r="AE166" i="2"/>
  <c r="AD179" i="2"/>
  <c r="W180" i="2"/>
  <c r="X180" i="2"/>
  <c r="Y180" i="2"/>
  <c r="Z180" i="2"/>
  <c r="AB180" i="2"/>
  <c r="AA180" i="2"/>
  <c r="R180" i="2"/>
  <c r="S180" i="2"/>
  <c r="T180" i="2"/>
  <c r="P181" i="2"/>
  <c r="Q180" i="2"/>
  <c r="AC180" i="2" s="1"/>
  <c r="M162" i="3" l="1"/>
  <c r="L164" i="3"/>
  <c r="M163" i="3"/>
  <c r="AH165" i="2"/>
  <c r="AG166" i="2"/>
  <c r="AF166" i="2"/>
  <c r="AE167" i="2"/>
  <c r="AD180" i="2"/>
  <c r="X181" i="2"/>
  <c r="W181" i="2"/>
  <c r="Y181" i="2"/>
  <c r="Z181" i="2"/>
  <c r="AA181" i="2"/>
  <c r="AB181" i="2"/>
  <c r="R181" i="2"/>
  <c r="S181" i="2"/>
  <c r="T181" i="2"/>
  <c r="P182" i="2"/>
  <c r="Q181" i="2"/>
  <c r="AC181" i="2" s="1"/>
  <c r="L165" i="3" l="1"/>
  <c r="AG167" i="2"/>
  <c r="AF167" i="2"/>
  <c r="AE168" i="2"/>
  <c r="AH166" i="2"/>
  <c r="AD181" i="2"/>
  <c r="X182" i="2"/>
  <c r="W182" i="2"/>
  <c r="Y182" i="2"/>
  <c r="Z182" i="2"/>
  <c r="AB182" i="2"/>
  <c r="AA182" i="2"/>
  <c r="R182" i="2"/>
  <c r="S182" i="2"/>
  <c r="T182" i="2"/>
  <c r="P183" i="2"/>
  <c r="Q182" i="2"/>
  <c r="AC182" i="2" s="1"/>
  <c r="M164" i="3" l="1"/>
  <c r="L166" i="3"/>
  <c r="M165" i="3"/>
  <c r="AH167" i="2"/>
  <c r="AG168" i="2"/>
  <c r="AF168" i="2"/>
  <c r="AE169" i="2"/>
  <c r="AD182" i="2"/>
  <c r="W183" i="2"/>
  <c r="X183" i="2"/>
  <c r="Y183" i="2"/>
  <c r="Z183" i="2"/>
  <c r="AA183" i="2"/>
  <c r="AB183" i="2"/>
  <c r="R183" i="2"/>
  <c r="S183" i="2"/>
  <c r="T183" i="2"/>
  <c r="P184" i="2"/>
  <c r="Q183" i="2"/>
  <c r="AC183" i="2" s="1"/>
  <c r="L167" i="3" l="1"/>
  <c r="AG169" i="2"/>
  <c r="AF169" i="2"/>
  <c r="AE170" i="2"/>
  <c r="AH168" i="2"/>
  <c r="AD183" i="2"/>
  <c r="W184" i="2"/>
  <c r="X184" i="2"/>
  <c r="Y184" i="2"/>
  <c r="Z184" i="2"/>
  <c r="AB184" i="2"/>
  <c r="AA184" i="2"/>
  <c r="R184" i="2"/>
  <c r="S184" i="2"/>
  <c r="T184" i="2"/>
  <c r="P185" i="2"/>
  <c r="Q184" i="2"/>
  <c r="AC184" i="2" s="1"/>
  <c r="M166" i="3" l="1"/>
  <c r="L168" i="3"/>
  <c r="M167" i="3"/>
  <c r="AG170" i="2"/>
  <c r="AF170" i="2"/>
  <c r="AE171" i="2"/>
  <c r="AH169" i="2"/>
  <c r="AD184" i="2"/>
  <c r="X185" i="2"/>
  <c r="W185" i="2"/>
  <c r="Y185" i="2"/>
  <c r="Z185" i="2"/>
  <c r="AB185" i="2"/>
  <c r="AA185" i="2"/>
  <c r="R185" i="2"/>
  <c r="S185" i="2"/>
  <c r="T185" i="2"/>
  <c r="P186" i="2"/>
  <c r="Q185" i="2"/>
  <c r="AC185" i="2" s="1"/>
  <c r="L169" i="3" l="1"/>
  <c r="AH170" i="2"/>
  <c r="AG171" i="2"/>
  <c r="AF171" i="2"/>
  <c r="AE172" i="2"/>
  <c r="AD185" i="2"/>
  <c r="X186" i="2"/>
  <c r="W186" i="2"/>
  <c r="Y186" i="2"/>
  <c r="Z186" i="2"/>
  <c r="AA186" i="2"/>
  <c r="AB186" i="2"/>
  <c r="R186" i="2"/>
  <c r="S186" i="2"/>
  <c r="T186" i="2"/>
  <c r="P187" i="2"/>
  <c r="Q186" i="2"/>
  <c r="AC186" i="2" s="1"/>
  <c r="M168" i="3" l="1"/>
  <c r="L170" i="3"/>
  <c r="M169" i="3"/>
  <c r="AG172" i="2"/>
  <c r="AF172" i="2"/>
  <c r="AE173" i="2"/>
  <c r="AH171" i="2"/>
  <c r="AD186" i="2"/>
  <c r="W187" i="2"/>
  <c r="X187" i="2"/>
  <c r="Y187" i="2"/>
  <c r="Z187" i="2"/>
  <c r="AB187" i="2"/>
  <c r="AA187" i="2"/>
  <c r="R187" i="2"/>
  <c r="S187" i="2"/>
  <c r="T187" i="2"/>
  <c r="P188" i="2"/>
  <c r="Q187" i="2"/>
  <c r="AC187" i="2" s="1"/>
  <c r="L171" i="3" l="1"/>
  <c r="AH172" i="2"/>
  <c r="AG173" i="2"/>
  <c r="AF173" i="2"/>
  <c r="AE174" i="2"/>
  <c r="AD187" i="2"/>
  <c r="W188" i="2"/>
  <c r="X188" i="2"/>
  <c r="Y188" i="2"/>
  <c r="Z188" i="2"/>
  <c r="AB188" i="2"/>
  <c r="AA188" i="2"/>
  <c r="R188" i="2"/>
  <c r="S188" i="2"/>
  <c r="T188" i="2"/>
  <c r="P189" i="2"/>
  <c r="Q188" i="2"/>
  <c r="AC188" i="2" s="1"/>
  <c r="M170" i="3" l="1"/>
  <c r="L172" i="3"/>
  <c r="M171" i="3"/>
  <c r="AH173" i="2"/>
  <c r="AG174" i="2"/>
  <c r="AF174" i="2"/>
  <c r="AE175" i="2"/>
  <c r="AD188" i="2"/>
  <c r="X189" i="2"/>
  <c r="W189" i="2"/>
  <c r="Y189" i="2"/>
  <c r="Z189" i="2"/>
  <c r="AB189" i="2"/>
  <c r="AA189" i="2"/>
  <c r="R189" i="2"/>
  <c r="S189" i="2"/>
  <c r="T189" i="2"/>
  <c r="P190" i="2"/>
  <c r="Q189" i="2"/>
  <c r="AC189" i="2" s="1"/>
  <c r="L173" i="3" l="1"/>
  <c r="AG175" i="2"/>
  <c r="AF175" i="2"/>
  <c r="AE176" i="2"/>
  <c r="AH174" i="2"/>
  <c r="AD189" i="2"/>
  <c r="X190" i="2"/>
  <c r="W190" i="2"/>
  <c r="Y190" i="2"/>
  <c r="Z190" i="2"/>
  <c r="AB190" i="2"/>
  <c r="AA190" i="2"/>
  <c r="R190" i="2"/>
  <c r="S190" i="2"/>
  <c r="T190" i="2"/>
  <c r="P191" i="2"/>
  <c r="Q190" i="2"/>
  <c r="AC190" i="2" s="1"/>
  <c r="M172" i="3" l="1"/>
  <c r="L174" i="3"/>
  <c r="M173" i="3"/>
  <c r="AH175" i="2"/>
  <c r="AG176" i="2"/>
  <c r="AF176" i="2"/>
  <c r="AE177" i="2"/>
  <c r="AD190" i="2"/>
  <c r="X191" i="2"/>
  <c r="W191" i="2"/>
  <c r="Y191" i="2"/>
  <c r="Z191" i="2"/>
  <c r="AB191" i="2"/>
  <c r="AA191" i="2"/>
  <c r="R191" i="2"/>
  <c r="S191" i="2"/>
  <c r="T191" i="2"/>
  <c r="P192" i="2"/>
  <c r="Q191" i="2"/>
  <c r="AC191" i="2" s="1"/>
  <c r="L175" i="3" l="1"/>
  <c r="AF177" i="2"/>
  <c r="AG177" i="2"/>
  <c r="AE178" i="2"/>
  <c r="AH176" i="2"/>
  <c r="AD191" i="2"/>
  <c r="W192" i="2"/>
  <c r="X192" i="2"/>
  <c r="Y192" i="2"/>
  <c r="Z192" i="2"/>
  <c r="AB192" i="2"/>
  <c r="AA192" i="2"/>
  <c r="R192" i="2"/>
  <c r="S192" i="2"/>
  <c r="T192" i="2"/>
  <c r="P193" i="2"/>
  <c r="Q192" i="2"/>
  <c r="AC192" i="2" s="1"/>
  <c r="M174" i="3" l="1"/>
  <c r="L176" i="3"/>
  <c r="M175" i="3"/>
  <c r="AH177" i="2"/>
  <c r="AF178" i="2"/>
  <c r="AG178" i="2"/>
  <c r="AE179" i="2"/>
  <c r="AD192" i="2"/>
  <c r="X193" i="2"/>
  <c r="W193" i="2"/>
  <c r="Y193" i="2"/>
  <c r="Z193" i="2"/>
  <c r="AB193" i="2"/>
  <c r="AA193" i="2"/>
  <c r="R193" i="2"/>
  <c r="S193" i="2"/>
  <c r="T193" i="2"/>
  <c r="P194" i="2"/>
  <c r="Q193" i="2"/>
  <c r="AC193" i="2" s="1"/>
  <c r="L177" i="3" l="1"/>
  <c r="AH178" i="2"/>
  <c r="AF179" i="2"/>
  <c r="AG179" i="2"/>
  <c r="AE180" i="2"/>
  <c r="AD193" i="2"/>
  <c r="X194" i="2"/>
  <c r="W194" i="2"/>
  <c r="Y194" i="2"/>
  <c r="Z194" i="2"/>
  <c r="AA194" i="2"/>
  <c r="AB194" i="2"/>
  <c r="R194" i="2"/>
  <c r="S194" i="2"/>
  <c r="T194" i="2"/>
  <c r="P195" i="2"/>
  <c r="Q194" i="2"/>
  <c r="AC194" i="2" s="1"/>
  <c r="M177" i="3" l="1"/>
  <c r="L178" i="3"/>
  <c r="M176" i="3"/>
  <c r="AH179" i="2"/>
  <c r="AF180" i="2"/>
  <c r="AG180" i="2"/>
  <c r="AE181" i="2"/>
  <c r="AD194" i="2"/>
  <c r="W195" i="2"/>
  <c r="X195" i="2"/>
  <c r="Y195" i="2"/>
  <c r="Z195" i="2"/>
  <c r="AB195" i="2"/>
  <c r="AA195" i="2"/>
  <c r="R195" i="2"/>
  <c r="S195" i="2"/>
  <c r="T195" i="2"/>
  <c r="P196" i="2"/>
  <c r="Q195" i="2"/>
  <c r="AC195" i="2" s="1"/>
  <c r="L179" i="3" l="1"/>
  <c r="AH180" i="2"/>
  <c r="AG181" i="2"/>
  <c r="AF181" i="2"/>
  <c r="AE182" i="2"/>
  <c r="AD195" i="2"/>
  <c r="W196" i="2"/>
  <c r="X196" i="2"/>
  <c r="Y196" i="2"/>
  <c r="Z196" i="2"/>
  <c r="AA196" i="2"/>
  <c r="AB196" i="2"/>
  <c r="R196" i="2"/>
  <c r="S196" i="2"/>
  <c r="T196" i="2"/>
  <c r="P197" i="2"/>
  <c r="Q196" i="2"/>
  <c r="AC196" i="2" s="1"/>
  <c r="M179" i="3" l="1"/>
  <c r="L180" i="3"/>
  <c r="M178" i="3"/>
  <c r="AH181" i="2"/>
  <c r="AG182" i="2"/>
  <c r="AF182" i="2"/>
  <c r="AE183" i="2"/>
  <c r="AD196" i="2"/>
  <c r="X197" i="2"/>
  <c r="W197" i="2"/>
  <c r="Y197" i="2"/>
  <c r="Z197" i="2"/>
  <c r="AA197" i="2"/>
  <c r="AB197" i="2"/>
  <c r="R197" i="2"/>
  <c r="S197" i="2"/>
  <c r="T197" i="2"/>
  <c r="P198" i="2"/>
  <c r="Q197" i="2"/>
  <c r="AC197" i="2" s="1"/>
  <c r="L181" i="3" l="1"/>
  <c r="AG183" i="2"/>
  <c r="AF183" i="2"/>
  <c r="AE184" i="2"/>
  <c r="AH182" i="2"/>
  <c r="AD197" i="2"/>
  <c r="X198" i="2"/>
  <c r="W198" i="2"/>
  <c r="Y198" i="2"/>
  <c r="Z198" i="2"/>
  <c r="AA198" i="2"/>
  <c r="AB198" i="2"/>
  <c r="R198" i="2"/>
  <c r="S198" i="2"/>
  <c r="T198" i="2"/>
  <c r="P199" i="2"/>
  <c r="Q198" i="2"/>
  <c r="AC198" i="2" s="1"/>
  <c r="M181" i="3" l="1"/>
  <c r="L182" i="3"/>
  <c r="M180" i="3"/>
  <c r="AG184" i="2"/>
  <c r="AF184" i="2"/>
  <c r="AE185" i="2"/>
  <c r="AH183" i="2"/>
  <c r="AD198" i="2"/>
  <c r="W199" i="2"/>
  <c r="X199" i="2"/>
  <c r="Y199" i="2"/>
  <c r="Z199" i="2"/>
  <c r="AA199" i="2"/>
  <c r="AB199" i="2"/>
  <c r="R199" i="2"/>
  <c r="S199" i="2"/>
  <c r="T199" i="2"/>
  <c r="P200" i="2"/>
  <c r="Q199" i="2"/>
  <c r="AC199" i="2" s="1"/>
  <c r="L183" i="3" l="1"/>
  <c r="AG185" i="2"/>
  <c r="AF185" i="2"/>
  <c r="AE186" i="2"/>
  <c r="AH184" i="2"/>
  <c r="AD199" i="2"/>
  <c r="W200" i="2"/>
  <c r="X200" i="2"/>
  <c r="Y200" i="2"/>
  <c r="Z200" i="2"/>
  <c r="AB200" i="2"/>
  <c r="AA200" i="2"/>
  <c r="R200" i="2"/>
  <c r="S200" i="2"/>
  <c r="T200" i="2"/>
  <c r="P201" i="2"/>
  <c r="Q200" i="2"/>
  <c r="AC200" i="2" s="1"/>
  <c r="M183" i="3" l="1"/>
  <c r="L184" i="3"/>
  <c r="M182" i="3"/>
  <c r="AG186" i="2"/>
  <c r="AF186" i="2"/>
  <c r="AE187" i="2"/>
  <c r="AH185" i="2"/>
  <c r="AD200" i="2"/>
  <c r="X201" i="2"/>
  <c r="W201" i="2"/>
  <c r="Y201" i="2"/>
  <c r="Z201" i="2"/>
  <c r="AB201" i="2"/>
  <c r="AA201" i="2"/>
  <c r="R201" i="2"/>
  <c r="S201" i="2"/>
  <c r="T201" i="2"/>
  <c r="P202" i="2"/>
  <c r="Q201" i="2"/>
  <c r="AC201" i="2" s="1"/>
  <c r="L185" i="3" l="1"/>
  <c r="AH186" i="2"/>
  <c r="AG187" i="2"/>
  <c r="AF187" i="2"/>
  <c r="AE188" i="2"/>
  <c r="AD201" i="2"/>
  <c r="X202" i="2"/>
  <c r="W202" i="2"/>
  <c r="Y202" i="2"/>
  <c r="Z202" i="2"/>
  <c r="AA202" i="2"/>
  <c r="AB202" i="2"/>
  <c r="R202" i="2"/>
  <c r="S202" i="2"/>
  <c r="T202" i="2"/>
  <c r="P203" i="2"/>
  <c r="Q202" i="2"/>
  <c r="AC202" i="2" s="1"/>
  <c r="L186" i="3" l="1"/>
  <c r="M185" i="3"/>
  <c r="M184" i="3"/>
  <c r="AG188" i="2"/>
  <c r="AF188" i="2"/>
  <c r="AE189" i="2"/>
  <c r="AH187" i="2"/>
  <c r="AD202" i="2"/>
  <c r="W203" i="2"/>
  <c r="X203" i="2"/>
  <c r="Y203" i="2"/>
  <c r="Z203" i="2"/>
  <c r="AA203" i="2"/>
  <c r="AB203" i="2"/>
  <c r="R203" i="2"/>
  <c r="S203" i="2"/>
  <c r="T203" i="2"/>
  <c r="P204" i="2"/>
  <c r="Q203" i="2"/>
  <c r="AC203" i="2" s="1"/>
  <c r="L187" i="3" l="1"/>
  <c r="AG189" i="2"/>
  <c r="AF189" i="2"/>
  <c r="AE190" i="2"/>
  <c r="AH188" i="2"/>
  <c r="AD203" i="2"/>
  <c r="W204" i="2"/>
  <c r="X204" i="2"/>
  <c r="Y204" i="2"/>
  <c r="Z204" i="2"/>
  <c r="AB204" i="2"/>
  <c r="AA204" i="2"/>
  <c r="R204" i="2"/>
  <c r="S204" i="2"/>
  <c r="T204" i="2"/>
  <c r="P205" i="2"/>
  <c r="Q204" i="2"/>
  <c r="AC204" i="2" s="1"/>
  <c r="M187" i="3" l="1"/>
  <c r="L188" i="3"/>
  <c r="M186" i="3"/>
  <c r="AH189" i="2"/>
  <c r="AG190" i="2"/>
  <c r="AF190" i="2"/>
  <c r="AE191" i="2"/>
  <c r="AD204" i="2"/>
  <c r="X205" i="2"/>
  <c r="W205" i="2"/>
  <c r="Y205" i="2"/>
  <c r="Z205" i="2"/>
  <c r="AB205" i="2"/>
  <c r="AA205" i="2"/>
  <c r="R205" i="2"/>
  <c r="S205" i="2"/>
  <c r="T205" i="2"/>
  <c r="P206" i="2"/>
  <c r="Q205" i="2"/>
  <c r="AC205" i="2" s="1"/>
  <c r="L189" i="3" l="1"/>
  <c r="AG191" i="2"/>
  <c r="AF191" i="2"/>
  <c r="AE192" i="2"/>
  <c r="AH190" i="2"/>
  <c r="AD205" i="2"/>
  <c r="X206" i="2"/>
  <c r="W206" i="2"/>
  <c r="Y206" i="2"/>
  <c r="Z206" i="2"/>
  <c r="AA206" i="2"/>
  <c r="AB206" i="2"/>
  <c r="R206" i="2"/>
  <c r="S206" i="2"/>
  <c r="T206" i="2"/>
  <c r="P207" i="2"/>
  <c r="Q206" i="2"/>
  <c r="AC206" i="2" s="1"/>
  <c r="M188" i="3" l="1"/>
  <c r="M189" i="3"/>
  <c r="L190" i="3"/>
  <c r="AG192" i="2"/>
  <c r="AF192" i="2"/>
  <c r="AE193" i="2"/>
  <c r="AH191" i="2"/>
  <c r="AD206" i="2"/>
  <c r="W207" i="2"/>
  <c r="X207" i="2"/>
  <c r="Y207" i="2"/>
  <c r="Z207" i="2"/>
  <c r="AB207" i="2"/>
  <c r="AA207" i="2"/>
  <c r="R207" i="2"/>
  <c r="S207" i="2"/>
  <c r="T207" i="2"/>
  <c r="P208" i="2"/>
  <c r="Q207" i="2"/>
  <c r="AC207" i="2" s="1"/>
  <c r="L191" i="3" l="1"/>
  <c r="AH192" i="2"/>
  <c r="AG193" i="2"/>
  <c r="AF193" i="2"/>
  <c r="AE194" i="2"/>
  <c r="AD207" i="2"/>
  <c r="W208" i="2"/>
  <c r="X208" i="2"/>
  <c r="Y208" i="2"/>
  <c r="Z208" i="2"/>
  <c r="AA208" i="2"/>
  <c r="AB208" i="2"/>
  <c r="R208" i="2"/>
  <c r="S208" i="2"/>
  <c r="T208" i="2"/>
  <c r="P209" i="2"/>
  <c r="Q208" i="2"/>
  <c r="AC208" i="2" s="1"/>
  <c r="M191" i="3" l="1"/>
  <c r="L192" i="3"/>
  <c r="M190" i="3"/>
  <c r="AH193" i="2"/>
  <c r="AF194" i="2"/>
  <c r="AG194" i="2"/>
  <c r="AE195" i="2"/>
  <c r="AD208" i="2"/>
  <c r="X209" i="2"/>
  <c r="W209" i="2"/>
  <c r="Y209" i="2"/>
  <c r="Z209" i="2"/>
  <c r="AB209" i="2"/>
  <c r="AA209" i="2"/>
  <c r="R209" i="2"/>
  <c r="S209" i="2"/>
  <c r="T209" i="2"/>
  <c r="P210" i="2"/>
  <c r="Q209" i="2"/>
  <c r="AC209" i="2" s="1"/>
  <c r="L193" i="3" l="1"/>
  <c r="AH194" i="2"/>
  <c r="AG195" i="2"/>
  <c r="AF195" i="2"/>
  <c r="AE196" i="2"/>
  <c r="AD209" i="2"/>
  <c r="X210" i="2"/>
  <c r="W210" i="2"/>
  <c r="Y210" i="2"/>
  <c r="Z210" i="2"/>
  <c r="AB210" i="2"/>
  <c r="AA210" i="2"/>
  <c r="R210" i="2"/>
  <c r="S210" i="2"/>
  <c r="T210" i="2"/>
  <c r="P211" i="2"/>
  <c r="Q210" i="2"/>
  <c r="AC210" i="2" s="1"/>
  <c r="M192" i="3" l="1"/>
  <c r="L194" i="3"/>
  <c r="M193" i="3"/>
  <c r="AH195" i="2"/>
  <c r="AF196" i="2"/>
  <c r="AG196" i="2"/>
  <c r="AE197" i="2"/>
  <c r="AD210" i="2"/>
  <c r="W211" i="2"/>
  <c r="X211" i="2"/>
  <c r="Y211" i="2"/>
  <c r="Z211" i="2"/>
  <c r="AB211" i="2"/>
  <c r="AA211" i="2"/>
  <c r="R211" i="2"/>
  <c r="S211" i="2"/>
  <c r="T211" i="2"/>
  <c r="P212" i="2"/>
  <c r="Q211" i="2"/>
  <c r="AC211" i="2" s="1"/>
  <c r="L195" i="3" l="1"/>
  <c r="AH196" i="2"/>
  <c r="AF197" i="2"/>
  <c r="AG197" i="2"/>
  <c r="AE198" i="2"/>
  <c r="AD211" i="2"/>
  <c r="W212" i="2"/>
  <c r="X212" i="2"/>
  <c r="Y212" i="2"/>
  <c r="Z212" i="2"/>
  <c r="AB212" i="2"/>
  <c r="AA212" i="2"/>
  <c r="R212" i="2"/>
  <c r="S212" i="2"/>
  <c r="T212" i="2"/>
  <c r="P213" i="2"/>
  <c r="Q212" i="2"/>
  <c r="AC212" i="2" s="1"/>
  <c r="M194" i="3" l="1"/>
  <c r="M195" i="3"/>
  <c r="L196" i="3"/>
  <c r="AH197" i="2"/>
  <c r="AF198" i="2"/>
  <c r="AG198" i="2"/>
  <c r="AE199" i="2"/>
  <c r="AD212" i="2"/>
  <c r="X213" i="2"/>
  <c r="W213" i="2"/>
  <c r="Y213" i="2"/>
  <c r="Z213" i="2"/>
  <c r="AA213" i="2"/>
  <c r="AB213" i="2"/>
  <c r="R213" i="2"/>
  <c r="S213" i="2"/>
  <c r="T213" i="2"/>
  <c r="P214" i="2"/>
  <c r="Q213" i="2"/>
  <c r="AC213" i="2" s="1"/>
  <c r="L197" i="3" l="1"/>
  <c r="AH198" i="2"/>
  <c r="AF199" i="2"/>
  <c r="AG199" i="2"/>
  <c r="AE200" i="2"/>
  <c r="AD213" i="2"/>
  <c r="X214" i="2"/>
  <c r="W214" i="2"/>
  <c r="Y214" i="2"/>
  <c r="Z214" i="2"/>
  <c r="AB214" i="2"/>
  <c r="AA214" i="2"/>
  <c r="R214" i="2"/>
  <c r="S214" i="2"/>
  <c r="T214" i="2"/>
  <c r="P215" i="2"/>
  <c r="Q214" i="2"/>
  <c r="AC214" i="2" s="1"/>
  <c r="M197" i="3" l="1"/>
  <c r="L198" i="3"/>
  <c r="M196" i="3"/>
  <c r="AH199" i="2"/>
  <c r="AF200" i="2"/>
  <c r="AG200" i="2"/>
  <c r="AE201" i="2"/>
  <c r="AD214" i="2"/>
  <c r="W215" i="2"/>
  <c r="X215" i="2"/>
  <c r="Y215" i="2"/>
  <c r="Z215" i="2"/>
  <c r="AA215" i="2"/>
  <c r="AB215" i="2"/>
  <c r="R215" i="2"/>
  <c r="S215" i="2"/>
  <c r="T215" i="2"/>
  <c r="P216" i="2"/>
  <c r="Q215" i="2"/>
  <c r="AC215" i="2" s="1"/>
  <c r="L199" i="3" l="1"/>
  <c r="AH200" i="2"/>
  <c r="AF201" i="2"/>
  <c r="AG201" i="2"/>
  <c r="AE202" i="2"/>
  <c r="AD215" i="2"/>
  <c r="W216" i="2"/>
  <c r="X216" i="2"/>
  <c r="Y216" i="2"/>
  <c r="Z216" i="2"/>
  <c r="AB216" i="2"/>
  <c r="AA216" i="2"/>
  <c r="R216" i="2"/>
  <c r="S216" i="2"/>
  <c r="T216" i="2"/>
  <c r="P217" i="2"/>
  <c r="Q216" i="2"/>
  <c r="AC216" i="2" s="1"/>
  <c r="M199" i="3" l="1"/>
  <c r="L200" i="3"/>
  <c r="M198" i="3"/>
  <c r="AH201" i="2"/>
  <c r="AG202" i="2"/>
  <c r="AF202" i="2"/>
  <c r="AE203" i="2"/>
  <c r="AD216" i="2"/>
  <c r="X217" i="2"/>
  <c r="W217" i="2"/>
  <c r="Y217" i="2"/>
  <c r="Z217" i="2"/>
  <c r="AB217" i="2"/>
  <c r="AA217" i="2"/>
  <c r="R217" i="2"/>
  <c r="S217" i="2"/>
  <c r="T217" i="2"/>
  <c r="P218" i="2"/>
  <c r="Q217" i="2"/>
  <c r="AC217" i="2" s="1"/>
  <c r="L201" i="3" l="1"/>
  <c r="AG203" i="2"/>
  <c r="AF203" i="2"/>
  <c r="AE204" i="2"/>
  <c r="AH202" i="2"/>
  <c r="AD217" i="2"/>
  <c r="X218" i="2"/>
  <c r="W218" i="2"/>
  <c r="Y218" i="2"/>
  <c r="Z218" i="2"/>
  <c r="AB218" i="2"/>
  <c r="AA218" i="2"/>
  <c r="R218" i="2"/>
  <c r="S218" i="2"/>
  <c r="T218" i="2"/>
  <c r="P219" i="2"/>
  <c r="Q218" i="2"/>
  <c r="AC218" i="2" s="1"/>
  <c r="L202" i="3" l="1"/>
  <c r="M201" i="3"/>
  <c r="M200" i="3"/>
  <c r="AH203" i="2"/>
  <c r="AG204" i="2"/>
  <c r="AF204" i="2"/>
  <c r="AE205" i="2"/>
  <c r="AD218" i="2"/>
  <c r="X219" i="2"/>
  <c r="W219" i="2"/>
  <c r="Y219" i="2"/>
  <c r="Z219" i="2"/>
  <c r="AA219" i="2"/>
  <c r="AB219" i="2"/>
  <c r="R219" i="2"/>
  <c r="S219" i="2"/>
  <c r="T219" i="2"/>
  <c r="P220" i="2"/>
  <c r="Q219" i="2"/>
  <c r="AC219" i="2" s="1"/>
  <c r="L203" i="3" l="1"/>
  <c r="AH204" i="2"/>
  <c r="AG205" i="2"/>
  <c r="AF205" i="2"/>
  <c r="AE206" i="2"/>
  <c r="AD219" i="2"/>
  <c r="W220" i="2"/>
  <c r="X220" i="2"/>
  <c r="Y220" i="2"/>
  <c r="Z220" i="2"/>
  <c r="AB220" i="2"/>
  <c r="AA220" i="2"/>
  <c r="R220" i="2"/>
  <c r="S220" i="2"/>
  <c r="T220" i="2"/>
  <c r="P221" i="2"/>
  <c r="Q220" i="2"/>
  <c r="AC220" i="2" s="1"/>
  <c r="M203" i="3" l="1"/>
  <c r="L204" i="3"/>
  <c r="M202" i="3"/>
  <c r="AG206" i="2"/>
  <c r="AF206" i="2"/>
  <c r="AE207" i="2"/>
  <c r="AH205" i="2"/>
  <c r="AD220" i="2"/>
  <c r="X221" i="2"/>
  <c r="W221" i="2"/>
  <c r="Y221" i="2"/>
  <c r="Z221" i="2"/>
  <c r="AB221" i="2"/>
  <c r="AA221" i="2"/>
  <c r="R221" i="2"/>
  <c r="S221" i="2"/>
  <c r="T221" i="2"/>
  <c r="P222" i="2"/>
  <c r="Q221" i="2"/>
  <c r="AC221" i="2" s="1"/>
  <c r="L205" i="3" l="1"/>
  <c r="AG207" i="2"/>
  <c r="AF207" i="2"/>
  <c r="AE208" i="2"/>
  <c r="AH206" i="2"/>
  <c r="AD221" i="2"/>
  <c r="X222" i="2"/>
  <c r="W222" i="2"/>
  <c r="Y222" i="2"/>
  <c r="Z222" i="2"/>
  <c r="AA222" i="2"/>
  <c r="AB222" i="2"/>
  <c r="R222" i="2"/>
  <c r="S222" i="2"/>
  <c r="T222" i="2"/>
  <c r="P223" i="2"/>
  <c r="Q222" i="2"/>
  <c r="AC222" i="2" s="1"/>
  <c r="M204" i="3" l="1"/>
  <c r="M205" i="3"/>
  <c r="L206" i="3"/>
  <c r="AH207" i="2"/>
  <c r="AG208" i="2"/>
  <c r="AF208" i="2"/>
  <c r="AE209" i="2"/>
  <c r="AD222" i="2"/>
  <c r="W223" i="2"/>
  <c r="X223" i="2"/>
  <c r="Y223" i="2"/>
  <c r="Z223" i="2"/>
  <c r="AB223" i="2"/>
  <c r="AA223" i="2"/>
  <c r="R223" i="2"/>
  <c r="S223" i="2"/>
  <c r="T223" i="2"/>
  <c r="P224" i="2"/>
  <c r="Q223" i="2"/>
  <c r="AC223" i="2" s="1"/>
  <c r="L207" i="3" l="1"/>
  <c r="AG209" i="2"/>
  <c r="AF209" i="2"/>
  <c r="AE210" i="2"/>
  <c r="AH208" i="2"/>
  <c r="AD223" i="2"/>
  <c r="W224" i="2"/>
  <c r="X224" i="2"/>
  <c r="Y224" i="2"/>
  <c r="Z224" i="2"/>
  <c r="AA224" i="2"/>
  <c r="AB224" i="2"/>
  <c r="R224" i="2"/>
  <c r="S224" i="2"/>
  <c r="T224" i="2"/>
  <c r="P225" i="2"/>
  <c r="Q224" i="2"/>
  <c r="AC224" i="2" s="1"/>
  <c r="M207" i="3" l="1"/>
  <c r="L208" i="3"/>
  <c r="M206" i="3"/>
  <c r="AG210" i="2"/>
  <c r="AF210" i="2"/>
  <c r="AE211" i="2"/>
  <c r="AH209" i="2"/>
  <c r="AD224" i="2"/>
  <c r="X225" i="2"/>
  <c r="W225" i="2"/>
  <c r="Y225" i="2"/>
  <c r="Z225" i="2"/>
  <c r="AB225" i="2"/>
  <c r="AA225" i="2"/>
  <c r="R225" i="2"/>
  <c r="S225" i="2"/>
  <c r="T225" i="2"/>
  <c r="P226" i="2"/>
  <c r="Q225" i="2"/>
  <c r="AC225" i="2" s="1"/>
  <c r="L209" i="3" l="1"/>
  <c r="AH210" i="2"/>
  <c r="AG211" i="2"/>
  <c r="AF211" i="2"/>
  <c r="AE212" i="2"/>
  <c r="AD225" i="2"/>
  <c r="X226" i="2"/>
  <c r="W226" i="2"/>
  <c r="Y226" i="2"/>
  <c r="Z226" i="2"/>
  <c r="AB226" i="2"/>
  <c r="AA226" i="2"/>
  <c r="R226" i="2"/>
  <c r="S226" i="2"/>
  <c r="T226" i="2"/>
  <c r="P227" i="2"/>
  <c r="Q226" i="2"/>
  <c r="AC226" i="2" s="1"/>
  <c r="M209" i="3" l="1"/>
  <c r="L210" i="3"/>
  <c r="M208" i="3"/>
  <c r="AG212" i="2"/>
  <c r="AF212" i="2"/>
  <c r="AE213" i="2"/>
  <c r="AH211" i="2"/>
  <c r="AD226" i="2"/>
  <c r="W227" i="2"/>
  <c r="X227" i="2"/>
  <c r="Y227" i="2"/>
  <c r="Z227" i="2"/>
  <c r="AB227" i="2"/>
  <c r="AA227" i="2"/>
  <c r="R227" i="2"/>
  <c r="S227" i="2"/>
  <c r="T227" i="2"/>
  <c r="P228" i="2"/>
  <c r="Q227" i="2"/>
  <c r="AC227" i="2" s="1"/>
  <c r="L211" i="3" l="1"/>
  <c r="AH212" i="2"/>
  <c r="AG213" i="2"/>
  <c r="AF213" i="2"/>
  <c r="AE214" i="2"/>
  <c r="AD227" i="2"/>
  <c r="W228" i="2"/>
  <c r="X228" i="2"/>
  <c r="Y228" i="2"/>
  <c r="Z228" i="2"/>
  <c r="AA228" i="2"/>
  <c r="AB228" i="2"/>
  <c r="R228" i="2"/>
  <c r="S228" i="2"/>
  <c r="T228" i="2"/>
  <c r="P229" i="2"/>
  <c r="Q228" i="2"/>
  <c r="AC228" i="2" s="1"/>
  <c r="M210" i="3" l="1"/>
  <c r="M211" i="3"/>
  <c r="L212" i="3"/>
  <c r="AG214" i="2"/>
  <c r="AF214" i="2"/>
  <c r="AE215" i="2"/>
  <c r="AH213" i="2"/>
  <c r="AD228" i="2"/>
  <c r="X229" i="2"/>
  <c r="W229" i="2"/>
  <c r="Y229" i="2"/>
  <c r="Z229" i="2"/>
  <c r="AA229" i="2"/>
  <c r="AB229" i="2"/>
  <c r="R229" i="2"/>
  <c r="S229" i="2"/>
  <c r="T229" i="2"/>
  <c r="P230" i="2"/>
  <c r="Q229" i="2"/>
  <c r="AC229" i="2" s="1"/>
  <c r="L213" i="3" l="1"/>
  <c r="AH214" i="2"/>
  <c r="AG215" i="2"/>
  <c r="AF215" i="2"/>
  <c r="AE216" i="2"/>
  <c r="AD229" i="2"/>
  <c r="X230" i="2"/>
  <c r="W230" i="2"/>
  <c r="Y230" i="2"/>
  <c r="Z230" i="2"/>
  <c r="AB230" i="2"/>
  <c r="AA230" i="2"/>
  <c r="R230" i="2"/>
  <c r="S230" i="2"/>
  <c r="T230" i="2"/>
  <c r="P231" i="2"/>
  <c r="Q230" i="2"/>
  <c r="AC230" i="2" s="1"/>
  <c r="M212" i="3" l="1"/>
  <c r="M213" i="3"/>
  <c r="L214" i="3"/>
  <c r="AH215" i="2"/>
  <c r="AF216" i="2"/>
  <c r="AG216" i="2"/>
  <c r="AE217" i="2"/>
  <c r="AD230" i="2"/>
  <c r="W231" i="2"/>
  <c r="X231" i="2"/>
  <c r="Y231" i="2"/>
  <c r="Z231" i="2"/>
  <c r="AA231" i="2"/>
  <c r="AB231" i="2"/>
  <c r="R231" i="2"/>
  <c r="S231" i="2"/>
  <c r="T231" i="2"/>
  <c r="P232" i="2"/>
  <c r="Q231" i="2"/>
  <c r="AC231" i="2" s="1"/>
  <c r="L215" i="3" l="1"/>
  <c r="AH216" i="2"/>
  <c r="AF217" i="2"/>
  <c r="AG217" i="2"/>
  <c r="AE218" i="2"/>
  <c r="AD231" i="2"/>
  <c r="W232" i="2"/>
  <c r="X232" i="2"/>
  <c r="Y232" i="2"/>
  <c r="Z232" i="2"/>
  <c r="AA232" i="2"/>
  <c r="AB232" i="2"/>
  <c r="R232" i="2"/>
  <c r="S232" i="2"/>
  <c r="T232" i="2"/>
  <c r="P233" i="2"/>
  <c r="Q232" i="2"/>
  <c r="AC232" i="2" s="1"/>
  <c r="M215" i="3" l="1"/>
  <c r="L216" i="3"/>
  <c r="M214" i="3"/>
  <c r="AH217" i="2"/>
  <c r="AF218" i="2"/>
  <c r="AG218" i="2"/>
  <c r="AE219" i="2"/>
  <c r="AD232" i="2"/>
  <c r="X233" i="2"/>
  <c r="W233" i="2"/>
  <c r="Y233" i="2"/>
  <c r="Z233" i="2"/>
  <c r="AB233" i="2"/>
  <c r="AA233" i="2"/>
  <c r="R233" i="2"/>
  <c r="S233" i="2"/>
  <c r="T233" i="2"/>
  <c r="P234" i="2"/>
  <c r="Q233" i="2"/>
  <c r="AC233" i="2" s="1"/>
  <c r="L217" i="3" l="1"/>
  <c r="AH218" i="2"/>
  <c r="AG219" i="2"/>
  <c r="AF219" i="2"/>
  <c r="AE220" i="2"/>
  <c r="AD233" i="2"/>
  <c r="X234" i="2"/>
  <c r="W234" i="2"/>
  <c r="Y234" i="2"/>
  <c r="Z234" i="2"/>
  <c r="AA234" i="2"/>
  <c r="AB234" i="2"/>
  <c r="R234" i="2"/>
  <c r="S234" i="2"/>
  <c r="T234" i="2"/>
  <c r="P235" i="2"/>
  <c r="Q234" i="2"/>
  <c r="AC234" i="2" s="1"/>
  <c r="L218" i="3" l="1"/>
  <c r="M217" i="3"/>
  <c r="M216" i="3"/>
  <c r="AF220" i="2"/>
  <c r="AG220" i="2"/>
  <c r="AE221" i="2"/>
  <c r="AH219" i="2"/>
  <c r="AD234" i="2"/>
  <c r="X235" i="2"/>
  <c r="W235" i="2"/>
  <c r="Y235" i="2"/>
  <c r="Z235" i="2"/>
  <c r="AB235" i="2"/>
  <c r="AA235" i="2"/>
  <c r="R235" i="2"/>
  <c r="S235" i="2"/>
  <c r="T235" i="2"/>
  <c r="P236" i="2"/>
  <c r="Q235" i="2"/>
  <c r="AC235" i="2" s="1"/>
  <c r="L219" i="3" l="1"/>
  <c r="AH220" i="2"/>
  <c r="AF221" i="2"/>
  <c r="AG221" i="2"/>
  <c r="AE222" i="2"/>
  <c r="AD235" i="2"/>
  <c r="W236" i="2"/>
  <c r="X236" i="2"/>
  <c r="Y236" i="2"/>
  <c r="Z236" i="2"/>
  <c r="AB236" i="2"/>
  <c r="AA236" i="2"/>
  <c r="R236" i="2"/>
  <c r="S236" i="2"/>
  <c r="T236" i="2"/>
  <c r="P237" i="2"/>
  <c r="Q236" i="2"/>
  <c r="AC236" i="2" s="1"/>
  <c r="M219" i="3" l="1"/>
  <c r="L220" i="3"/>
  <c r="M218" i="3"/>
  <c r="AH221" i="2"/>
  <c r="AG222" i="2"/>
  <c r="AF222" i="2"/>
  <c r="AE223" i="2"/>
  <c r="AD236" i="2"/>
  <c r="X237" i="2"/>
  <c r="W237" i="2"/>
  <c r="Y237" i="2"/>
  <c r="Z237" i="2"/>
  <c r="AB237" i="2"/>
  <c r="AA237" i="2"/>
  <c r="R237" i="2"/>
  <c r="S237" i="2"/>
  <c r="T237" i="2"/>
  <c r="P238" i="2"/>
  <c r="Q237" i="2"/>
  <c r="AC237" i="2" s="1"/>
  <c r="L221" i="3" l="1"/>
  <c r="AH222" i="2"/>
  <c r="AG223" i="2"/>
  <c r="AF223" i="2"/>
  <c r="AE224" i="2"/>
  <c r="AD237" i="2"/>
  <c r="X238" i="2"/>
  <c r="W238" i="2"/>
  <c r="Y238" i="2"/>
  <c r="Z238" i="2"/>
  <c r="AB238" i="2"/>
  <c r="AA238" i="2"/>
  <c r="R238" i="2"/>
  <c r="S238" i="2"/>
  <c r="T238" i="2"/>
  <c r="P239" i="2"/>
  <c r="Q238" i="2"/>
  <c r="AC238" i="2" s="1"/>
  <c r="M220" i="3" l="1"/>
  <c r="M221" i="3"/>
  <c r="L222" i="3"/>
  <c r="AG224" i="2"/>
  <c r="AF224" i="2"/>
  <c r="AE225" i="2"/>
  <c r="AH223" i="2"/>
  <c r="AD238" i="2"/>
  <c r="W239" i="2"/>
  <c r="X239" i="2"/>
  <c r="Y239" i="2"/>
  <c r="Z239" i="2"/>
  <c r="AB239" i="2"/>
  <c r="AA239" i="2"/>
  <c r="R239" i="2"/>
  <c r="S239" i="2"/>
  <c r="T239" i="2"/>
  <c r="P240" i="2"/>
  <c r="Q239" i="2"/>
  <c r="AC239" i="2" s="1"/>
  <c r="L223" i="3" l="1"/>
  <c r="AH224" i="2"/>
  <c r="AG225" i="2"/>
  <c r="AF225" i="2"/>
  <c r="AE226" i="2"/>
  <c r="AD239" i="2"/>
  <c r="W240" i="2"/>
  <c r="X240" i="2"/>
  <c r="Y240" i="2"/>
  <c r="Z240" i="2"/>
  <c r="AB240" i="2"/>
  <c r="AA240" i="2"/>
  <c r="R240" i="2"/>
  <c r="S240" i="2"/>
  <c r="T240" i="2"/>
  <c r="P241" i="2"/>
  <c r="Q240" i="2"/>
  <c r="AC240" i="2" s="1"/>
  <c r="M223" i="3" l="1"/>
  <c r="L224" i="3"/>
  <c r="M222" i="3"/>
  <c r="AH225" i="2"/>
  <c r="AG226" i="2"/>
  <c r="AF226" i="2"/>
  <c r="AE227" i="2"/>
  <c r="AD240" i="2"/>
  <c r="X241" i="2"/>
  <c r="W241" i="2"/>
  <c r="Y241" i="2"/>
  <c r="Z241" i="2"/>
  <c r="AB241" i="2"/>
  <c r="AA241" i="2"/>
  <c r="R241" i="2"/>
  <c r="S241" i="2"/>
  <c r="T241" i="2"/>
  <c r="P242" i="2"/>
  <c r="Q241" i="2"/>
  <c r="AC241" i="2" s="1"/>
  <c r="L225" i="3" l="1"/>
  <c r="AH226" i="2"/>
  <c r="AG227" i="2"/>
  <c r="AF227" i="2"/>
  <c r="AE228" i="2"/>
  <c r="AD241" i="2"/>
  <c r="X242" i="2"/>
  <c r="W242" i="2"/>
  <c r="Y242" i="2"/>
  <c r="Z242" i="2"/>
  <c r="AB242" i="2"/>
  <c r="AA242" i="2"/>
  <c r="R242" i="2"/>
  <c r="S242" i="2"/>
  <c r="T242" i="2"/>
  <c r="P243" i="2"/>
  <c r="Q242" i="2"/>
  <c r="AC242" i="2" s="1"/>
  <c r="L226" i="3" l="1"/>
  <c r="M225" i="3"/>
  <c r="M224" i="3"/>
  <c r="AH227" i="2"/>
  <c r="AG228" i="2"/>
  <c r="AF228" i="2"/>
  <c r="AE229" i="2"/>
  <c r="AD242" i="2"/>
  <c r="W243" i="2"/>
  <c r="X243" i="2"/>
  <c r="Y243" i="2"/>
  <c r="Z243" i="2"/>
  <c r="AB243" i="2"/>
  <c r="AA243" i="2"/>
  <c r="R243" i="2"/>
  <c r="S243" i="2"/>
  <c r="T243" i="2"/>
  <c r="P244" i="2"/>
  <c r="Q243" i="2"/>
  <c r="AC243" i="2" s="1"/>
  <c r="L227" i="3" l="1"/>
  <c r="AH228" i="2"/>
  <c r="AG229" i="2"/>
  <c r="AF229" i="2"/>
  <c r="AE230" i="2"/>
  <c r="AD243" i="2"/>
  <c r="W244" i="2"/>
  <c r="X244" i="2"/>
  <c r="Y244" i="2"/>
  <c r="Z244" i="2"/>
  <c r="AB244" i="2"/>
  <c r="AA244" i="2"/>
  <c r="R244" i="2"/>
  <c r="S244" i="2"/>
  <c r="T244" i="2"/>
  <c r="P245" i="2"/>
  <c r="Q244" i="2"/>
  <c r="AC244" i="2" s="1"/>
  <c r="M227" i="3" l="1"/>
  <c r="L228" i="3"/>
  <c r="M226" i="3"/>
  <c r="AG230" i="2"/>
  <c r="AF230" i="2"/>
  <c r="AE231" i="2"/>
  <c r="AH229" i="2"/>
  <c r="AD244" i="2"/>
  <c r="X245" i="2"/>
  <c r="W245" i="2"/>
  <c r="Y245" i="2"/>
  <c r="Z245" i="2"/>
  <c r="AA245" i="2"/>
  <c r="AB245" i="2"/>
  <c r="R245" i="2"/>
  <c r="S245" i="2"/>
  <c r="T245" i="2"/>
  <c r="P246" i="2"/>
  <c r="Q245" i="2"/>
  <c r="AC245" i="2" s="1"/>
  <c r="L229" i="3" l="1"/>
  <c r="AH230" i="2"/>
  <c r="AG231" i="2"/>
  <c r="AF231" i="2"/>
  <c r="AE232" i="2"/>
  <c r="AD245" i="2"/>
  <c r="X246" i="2"/>
  <c r="W246" i="2"/>
  <c r="Y246" i="2"/>
  <c r="Z246" i="2"/>
  <c r="AB246" i="2"/>
  <c r="AA246" i="2"/>
  <c r="R246" i="2"/>
  <c r="S246" i="2"/>
  <c r="T246" i="2"/>
  <c r="P247" i="2"/>
  <c r="Q246" i="2"/>
  <c r="AC246" i="2" s="1"/>
  <c r="M228" i="3" l="1"/>
  <c r="M229" i="3"/>
  <c r="L230" i="3"/>
  <c r="AG232" i="2"/>
  <c r="AF232" i="2"/>
  <c r="AE233" i="2"/>
  <c r="AH231" i="2"/>
  <c r="AD246" i="2"/>
  <c r="X247" i="2"/>
  <c r="W247" i="2"/>
  <c r="Y247" i="2"/>
  <c r="Z247" i="2"/>
  <c r="AA247" i="2"/>
  <c r="AB247" i="2"/>
  <c r="R247" i="2"/>
  <c r="S247" i="2"/>
  <c r="T247" i="2"/>
  <c r="P248" i="2"/>
  <c r="Q247" i="2"/>
  <c r="AC247" i="2" s="1"/>
  <c r="L231" i="3" l="1"/>
  <c r="AG233" i="2"/>
  <c r="AF233" i="2"/>
  <c r="AE234" i="2"/>
  <c r="AH232" i="2"/>
  <c r="AD247" i="2"/>
  <c r="W248" i="2"/>
  <c r="X248" i="2"/>
  <c r="Y248" i="2"/>
  <c r="Z248" i="2"/>
  <c r="AB248" i="2"/>
  <c r="AA248" i="2"/>
  <c r="R248" i="2"/>
  <c r="S248" i="2"/>
  <c r="T248" i="2"/>
  <c r="P249" i="2"/>
  <c r="Q248" i="2"/>
  <c r="AC248" i="2" s="1"/>
  <c r="M231" i="3" l="1"/>
  <c r="L232" i="3"/>
  <c r="M230" i="3"/>
  <c r="AH233" i="2"/>
  <c r="AF234" i="2"/>
  <c r="AG234" i="2"/>
  <c r="AE235" i="2"/>
  <c r="AD248" i="2"/>
  <c r="X249" i="2"/>
  <c r="W249" i="2"/>
  <c r="Y249" i="2"/>
  <c r="Z249" i="2"/>
  <c r="AB249" i="2"/>
  <c r="AA249" i="2"/>
  <c r="R249" i="2"/>
  <c r="S249" i="2"/>
  <c r="T249" i="2"/>
  <c r="P250" i="2"/>
  <c r="Q249" i="2"/>
  <c r="AC249" i="2" s="1"/>
  <c r="L233" i="3" l="1"/>
  <c r="AH234" i="2"/>
  <c r="AG235" i="2"/>
  <c r="AF235" i="2"/>
  <c r="AE236" i="2"/>
  <c r="AD249" i="2"/>
  <c r="X250" i="2"/>
  <c r="W250" i="2"/>
  <c r="Y250" i="2"/>
  <c r="Z250" i="2"/>
  <c r="AA250" i="2"/>
  <c r="AB250" i="2"/>
  <c r="R250" i="2"/>
  <c r="S250" i="2"/>
  <c r="T250" i="2"/>
  <c r="P251" i="2"/>
  <c r="Q250" i="2"/>
  <c r="AC250" i="2" s="1"/>
  <c r="L234" i="3" l="1"/>
  <c r="M233" i="3"/>
  <c r="M232" i="3"/>
  <c r="AH235" i="2"/>
  <c r="AF236" i="2"/>
  <c r="AG236" i="2"/>
  <c r="AE237" i="2"/>
  <c r="AD250" i="2"/>
  <c r="W251" i="2"/>
  <c r="X251" i="2"/>
  <c r="X24" i="2" s="1"/>
  <c r="W24" i="2"/>
  <c r="Y251" i="2"/>
  <c r="Y24" i="2" s="1"/>
  <c r="Z251" i="2"/>
  <c r="Z24" i="2" s="1"/>
  <c r="AA251" i="2"/>
  <c r="AA24" i="2" s="1"/>
  <c r="AB251" i="2"/>
  <c r="AB24" i="2" s="1"/>
  <c r="R251" i="2"/>
  <c r="S251" i="2"/>
  <c r="T251" i="2"/>
  <c r="Q251" i="2"/>
  <c r="P20" i="2" s="1"/>
  <c r="L235" i="3" l="1"/>
  <c r="AH236" i="2"/>
  <c r="AF237" i="2"/>
  <c r="AG237" i="2"/>
  <c r="AE238" i="2"/>
  <c r="AC251" i="2"/>
  <c r="AC24" i="2" s="1"/>
  <c r="Q24" i="2"/>
  <c r="M235" i="3" l="1"/>
  <c r="L236" i="3"/>
  <c r="M234" i="3"/>
  <c r="AH237" i="2"/>
  <c r="AF238" i="2"/>
  <c r="AG238" i="2"/>
  <c r="AE239" i="2"/>
  <c r="AD251" i="2"/>
  <c r="AD24" i="2"/>
  <c r="Q19" i="2"/>
  <c r="E19" i="1" s="1"/>
  <c r="L237" i="3" l="1"/>
  <c r="AH238" i="2"/>
  <c r="AF239" i="2"/>
  <c r="AG239" i="2"/>
  <c r="AE240" i="2"/>
  <c r="M236" i="3" l="1"/>
  <c r="M237" i="3"/>
  <c r="L238" i="3"/>
  <c r="AH239" i="2"/>
  <c r="AF240" i="2"/>
  <c r="AG240" i="2"/>
  <c r="AE241" i="2"/>
  <c r="L239" i="3" l="1"/>
  <c r="AH240" i="2"/>
  <c r="AG241" i="2"/>
  <c r="AF241" i="2"/>
  <c r="AE242" i="2"/>
  <c r="M238" i="3" l="1"/>
  <c r="L240" i="3"/>
  <c r="M239" i="3"/>
  <c r="AG242" i="2"/>
  <c r="AF242" i="2"/>
  <c r="AE243" i="2"/>
  <c r="AH241" i="2"/>
  <c r="L241" i="3" l="1"/>
  <c r="AG243" i="2"/>
  <c r="AF243" i="2"/>
  <c r="AE244" i="2"/>
  <c r="AH242" i="2"/>
  <c r="M241" i="3" l="1"/>
  <c r="L242" i="3"/>
  <c r="M240" i="3"/>
  <c r="AF244" i="2"/>
  <c r="AG244" i="2"/>
  <c r="AE245" i="2"/>
  <c r="AH243" i="2"/>
  <c r="L243" i="3" l="1"/>
  <c r="AH244" i="2"/>
  <c r="AG245" i="2"/>
  <c r="AF245" i="2"/>
  <c r="AE246" i="2"/>
  <c r="M242" i="3" l="1"/>
  <c r="M243" i="3"/>
  <c r="L244" i="3"/>
  <c r="AG246" i="2"/>
  <c r="AF246" i="2"/>
  <c r="AE247" i="2"/>
  <c r="AH245" i="2"/>
  <c r="L245" i="3" l="1"/>
  <c r="AG247" i="2"/>
  <c r="AF247" i="2"/>
  <c r="AE248" i="2"/>
  <c r="AH246" i="2"/>
  <c r="M244" i="3" l="1"/>
  <c r="M245" i="3"/>
  <c r="L246" i="3"/>
  <c r="AG248" i="2"/>
  <c r="AF248" i="2"/>
  <c r="AE249" i="2"/>
  <c r="AH247" i="2"/>
  <c r="L247" i="3" l="1"/>
  <c r="AG249" i="2"/>
  <c r="AF249" i="2"/>
  <c r="AE250" i="2"/>
  <c r="AH248" i="2"/>
  <c r="L248" i="3" l="1"/>
  <c r="M247" i="3"/>
  <c r="M246" i="3"/>
  <c r="AG250" i="2"/>
  <c r="AF250" i="2"/>
  <c r="AE251" i="2"/>
  <c r="AH249" i="2"/>
  <c r="L249" i="3" l="1"/>
  <c r="AG251" i="2"/>
  <c r="AF251" i="2"/>
  <c r="AH250" i="2"/>
  <c r="L250" i="3" l="1"/>
  <c r="M249" i="3"/>
  <c r="M248" i="3"/>
  <c r="AH251" i="2"/>
  <c r="L251" i="3" l="1"/>
  <c r="M251" i="3" l="1"/>
  <c r="L252" i="3"/>
  <c r="M250" i="3"/>
  <c r="L253" i="3" l="1"/>
  <c r="M252" i="3" l="1"/>
  <c r="M253" i="3"/>
  <c r="L254" i="3"/>
  <c r="L255" i="3" l="1"/>
  <c r="L256" i="3" l="1"/>
  <c r="M255" i="3"/>
  <c r="M254" i="3"/>
  <c r="L257" i="3" l="1"/>
  <c r="M257" i="3" l="1"/>
  <c r="L258" i="3"/>
  <c r="M256" i="3"/>
  <c r="L259" i="3" l="1"/>
  <c r="M259" i="3" l="1"/>
  <c r="L260" i="3"/>
  <c r="M258" i="3"/>
  <c r="L261" i="3" l="1"/>
  <c r="M260" i="3" l="1"/>
  <c r="M261" i="3"/>
  <c r="L262" i="3"/>
  <c r="L263" i="3" l="1"/>
  <c r="L264" i="3" l="1"/>
  <c r="M263" i="3"/>
  <c r="M262" i="3"/>
  <c r="L265" i="3" l="1"/>
  <c r="L266" i="3" l="1"/>
  <c r="M265" i="3"/>
  <c r="M264" i="3"/>
  <c r="L267" i="3" l="1"/>
  <c r="M267" i="3" l="1"/>
  <c r="L268" i="3"/>
  <c r="M266" i="3"/>
  <c r="L269" i="3" l="1"/>
  <c r="M268" i="3" l="1"/>
  <c r="M269" i="3"/>
  <c r="L270" i="3"/>
  <c r="L271" i="3" l="1"/>
  <c r="M270" i="3" l="1"/>
  <c r="L272" i="3"/>
  <c r="M271" i="3"/>
  <c r="L273" i="3" l="1"/>
  <c r="M273" i="3" l="1"/>
  <c r="L274" i="3"/>
  <c r="M272" i="3"/>
  <c r="L275" i="3" l="1"/>
  <c r="M275" i="3" l="1"/>
  <c r="L276" i="3"/>
  <c r="M274" i="3"/>
  <c r="L277" i="3" l="1"/>
  <c r="M276" i="3" l="1"/>
  <c r="M277" i="3"/>
  <c r="L278" i="3"/>
  <c r="L279" i="3" l="1"/>
  <c r="L280" i="3" l="1"/>
  <c r="M279" i="3"/>
  <c r="M278" i="3"/>
  <c r="L281" i="3" l="1"/>
  <c r="L282" i="3" l="1"/>
  <c r="M281" i="3"/>
  <c r="M280" i="3"/>
  <c r="L283" i="3" l="1"/>
  <c r="M283" i="3" l="1"/>
  <c r="L284" i="3"/>
  <c r="M282" i="3"/>
  <c r="L285" i="3" l="1"/>
  <c r="M284" i="3" l="1"/>
  <c r="M285" i="3"/>
  <c r="L286" i="3"/>
  <c r="L287" i="3" l="1"/>
  <c r="L288" i="3" l="1"/>
  <c r="M287" i="3"/>
  <c r="M286" i="3"/>
  <c r="L289" i="3" l="1"/>
  <c r="M289" i="3" l="1"/>
  <c r="L290" i="3"/>
  <c r="M288" i="3"/>
  <c r="L291" i="3" l="1"/>
  <c r="M291" i="3" l="1"/>
  <c r="L292" i="3"/>
  <c r="M290" i="3"/>
  <c r="L293" i="3" l="1"/>
  <c r="M292" i="3" l="1"/>
  <c r="M293" i="3"/>
  <c r="L294" i="3"/>
  <c r="L295" i="3" l="1"/>
  <c r="L296" i="3" l="1"/>
  <c r="M295" i="3"/>
  <c r="M294" i="3"/>
  <c r="L297" i="3" l="1"/>
  <c r="L298" i="3" l="1"/>
  <c r="M297" i="3"/>
  <c r="M296" i="3"/>
  <c r="L299" i="3" l="1"/>
  <c r="M299" i="3" l="1"/>
  <c r="L300" i="3"/>
  <c r="M298" i="3"/>
  <c r="L301" i="3" l="1"/>
  <c r="M300" i="3" l="1"/>
  <c r="M301" i="3"/>
  <c r="L302" i="3"/>
  <c r="L303" i="3" l="1"/>
  <c r="L304" i="3" l="1"/>
  <c r="M303" i="3"/>
  <c r="M302" i="3"/>
  <c r="L305" i="3" l="1"/>
  <c r="M305" i="3" l="1"/>
  <c r="L306" i="3"/>
  <c r="M304" i="3"/>
  <c r="L307" i="3" l="1"/>
  <c r="M307" i="3" l="1"/>
  <c r="L308" i="3"/>
  <c r="M306" i="3"/>
  <c r="L309" i="3" l="1"/>
  <c r="M308" i="3" l="1"/>
  <c r="M309" i="3"/>
  <c r="L310" i="3"/>
  <c r="L311" i="3" l="1"/>
  <c r="L312" i="3" l="1"/>
  <c r="M311" i="3"/>
  <c r="M310" i="3"/>
  <c r="L313" i="3" l="1"/>
  <c r="L314" i="3" l="1"/>
  <c r="M313" i="3"/>
  <c r="M312" i="3"/>
  <c r="L315" i="3" l="1"/>
  <c r="M315" i="3" l="1"/>
  <c r="L316" i="3"/>
  <c r="M314" i="3"/>
  <c r="L317" i="3" l="1"/>
  <c r="M316" i="3" l="1"/>
  <c r="L318" i="3"/>
  <c r="M317" i="3"/>
  <c r="L319" i="3" l="1"/>
  <c r="L320" i="3" l="1"/>
  <c r="M319" i="3"/>
  <c r="M318" i="3"/>
  <c r="L321" i="3" l="1"/>
  <c r="M320" i="3" l="1"/>
  <c r="M321" i="3"/>
  <c r="L322" i="3"/>
  <c r="L323" i="3" l="1"/>
  <c r="M323" i="3" l="1"/>
  <c r="L324" i="3"/>
  <c r="M322" i="3"/>
  <c r="L325" i="3" l="1"/>
  <c r="M324" i="3" l="1"/>
  <c r="L326" i="3"/>
  <c r="M325" i="3"/>
  <c r="L327" i="3" l="1"/>
  <c r="L328" i="3" l="1"/>
  <c r="M327" i="3"/>
  <c r="M326" i="3"/>
  <c r="L329" i="3" l="1"/>
  <c r="M328" i="3" l="1"/>
  <c r="L330" i="3"/>
  <c r="M329" i="3"/>
  <c r="L331" i="3" l="1"/>
  <c r="L332" i="3" l="1"/>
  <c r="M331" i="3"/>
  <c r="M330" i="3"/>
  <c r="L333" i="3" l="1"/>
  <c r="M332" i="3" l="1"/>
  <c r="M333" i="3"/>
  <c r="L334" i="3"/>
  <c r="L335" i="3" l="1"/>
  <c r="M334" i="3" l="1"/>
  <c r="L336" i="3"/>
  <c r="M335" i="3"/>
  <c r="L337" i="3" l="1"/>
  <c r="M337" i="3" l="1"/>
  <c r="L338" i="3"/>
  <c r="M336" i="3"/>
  <c r="L339" i="3" l="1"/>
  <c r="M338" i="3" l="1"/>
  <c r="L340" i="3"/>
  <c r="M339" i="3"/>
  <c r="L341" i="3" l="1"/>
  <c r="M341" i="3" l="1"/>
  <c r="L342" i="3"/>
  <c r="M340" i="3"/>
  <c r="L343" i="3" l="1"/>
  <c r="L344" i="3" l="1"/>
  <c r="M343" i="3"/>
  <c r="M342" i="3"/>
  <c r="L345" i="3" l="1"/>
  <c r="L346" i="3" l="1"/>
  <c r="M345" i="3"/>
  <c r="M344" i="3"/>
  <c r="L347" i="3" l="1"/>
  <c r="M347" i="3" l="1"/>
  <c r="L348" i="3"/>
  <c r="M346" i="3"/>
  <c r="L349" i="3" l="1"/>
  <c r="M348" i="3" l="1"/>
  <c r="M349" i="3"/>
  <c r="L350" i="3"/>
  <c r="L351" i="3" l="1"/>
  <c r="M350" i="3" l="1"/>
  <c r="L352" i="3"/>
  <c r="M351" i="3"/>
  <c r="L353" i="3" l="1"/>
  <c r="M353" i="3" l="1"/>
  <c r="L354" i="3"/>
  <c r="M352" i="3"/>
  <c r="L355" i="3" l="1"/>
  <c r="M354" i="3" l="1"/>
  <c r="M355" i="3"/>
  <c r="L356" i="3"/>
  <c r="L357" i="3" l="1"/>
  <c r="M356" i="3" l="1"/>
  <c r="M357" i="3"/>
  <c r="L358" i="3"/>
  <c r="L359" i="3" l="1"/>
  <c r="M358" i="3" l="1"/>
  <c r="L360" i="3"/>
  <c r="M359" i="3"/>
  <c r="L361" i="3" l="1"/>
  <c r="M360" i="3" l="1"/>
  <c r="L362" i="3"/>
  <c r="M361" i="3"/>
  <c r="L363" i="3" l="1"/>
  <c r="M362" i="3" l="1"/>
  <c r="M363" i="3"/>
  <c r="L364" i="3"/>
  <c r="L365" i="3" l="1"/>
  <c r="M364" i="3" l="1"/>
  <c r="M365" i="3"/>
  <c r="L366" i="3"/>
  <c r="L367" i="3" l="1"/>
  <c r="M366" i="3" l="1"/>
  <c r="M367" i="3"/>
  <c r="L368" i="3"/>
  <c r="L369" i="3" l="1"/>
  <c r="M369" i="3" l="1"/>
  <c r="L370" i="3"/>
  <c r="M368" i="3"/>
  <c r="L371" i="3" l="1"/>
  <c r="L372" i="3" l="1"/>
  <c r="M371" i="3"/>
  <c r="M370" i="3"/>
  <c r="L373" i="3" l="1"/>
  <c r="M373" i="3" l="1"/>
  <c r="L374" i="3"/>
  <c r="M372" i="3"/>
  <c r="L375" i="3" l="1"/>
  <c r="L376" i="3" l="1"/>
  <c r="M375" i="3"/>
  <c r="M374" i="3"/>
  <c r="L377" i="3" l="1"/>
  <c r="M377" i="3" l="1"/>
  <c r="L378" i="3"/>
  <c r="M376" i="3"/>
  <c r="L379" i="3" l="1"/>
  <c r="L380" i="3" l="1"/>
  <c r="M379" i="3"/>
  <c r="M378" i="3"/>
  <c r="L381" i="3" l="1"/>
  <c r="M381" i="3" l="1"/>
  <c r="L382" i="3"/>
  <c r="M380" i="3"/>
  <c r="L383" i="3" l="1"/>
  <c r="L384" i="3" l="1"/>
  <c r="M383" i="3"/>
  <c r="M382" i="3"/>
  <c r="L385" i="3" l="1"/>
  <c r="M385" i="3" l="1"/>
  <c r="L386" i="3"/>
  <c r="M384" i="3"/>
  <c r="L387" i="3" l="1"/>
  <c r="M387" i="3" l="1"/>
  <c r="L388" i="3"/>
  <c r="M386" i="3"/>
  <c r="L389" i="3" l="1"/>
  <c r="M389" i="3" l="1"/>
  <c r="L390" i="3"/>
  <c r="M388" i="3"/>
  <c r="L391" i="3" l="1"/>
  <c r="M391" i="3" l="1"/>
  <c r="L392" i="3"/>
  <c r="M390" i="3"/>
  <c r="L393" i="3" l="1"/>
  <c r="M392" i="3" l="1"/>
  <c r="M393" i="3"/>
  <c r="L394" i="3"/>
  <c r="L395" i="3" l="1"/>
  <c r="M394" i="3" l="1"/>
  <c r="M395" i="3"/>
  <c r="L396" i="3"/>
  <c r="L397" i="3" l="1"/>
  <c r="M397" i="3" l="1"/>
  <c r="L398" i="3"/>
  <c r="M396" i="3"/>
  <c r="L399" i="3" l="1"/>
  <c r="L400" i="3" l="1"/>
  <c r="M399" i="3"/>
  <c r="M398" i="3"/>
  <c r="L401" i="3" l="1"/>
  <c r="L402" i="3" l="1"/>
  <c r="M401" i="3"/>
  <c r="M400" i="3"/>
  <c r="L403" i="3" l="1"/>
  <c r="M402" i="3" l="1"/>
  <c r="M403" i="3"/>
  <c r="L404" i="3"/>
  <c r="L405" i="3" l="1"/>
  <c r="M405" i="3" l="1"/>
  <c r="L406" i="3"/>
  <c r="M404" i="3"/>
  <c r="L407" i="3" l="1"/>
  <c r="M406" i="3" l="1"/>
  <c r="M407" i="3"/>
  <c r="L408" i="3"/>
  <c r="L409" i="3" l="1"/>
  <c r="L410" i="3" l="1"/>
  <c r="M409" i="3"/>
  <c r="M408" i="3"/>
  <c r="L411" i="3" l="1"/>
  <c r="M410" i="3" l="1"/>
  <c r="M411" i="3"/>
  <c r="L412" i="3"/>
  <c r="L413" i="3" l="1"/>
  <c r="L414" i="3" l="1"/>
  <c r="M413" i="3"/>
  <c r="M412" i="3"/>
  <c r="L415" i="3" l="1"/>
  <c r="M414" i="3" l="1"/>
  <c r="M415" i="3"/>
  <c r="L416" i="3"/>
  <c r="L417" i="3" l="1"/>
  <c r="L418" i="3" l="1"/>
  <c r="M417" i="3"/>
  <c r="M416" i="3"/>
  <c r="L419" i="3" l="1"/>
  <c r="M419" i="3" l="1"/>
  <c r="L420" i="3"/>
  <c r="M418" i="3"/>
  <c r="L421" i="3" l="1"/>
  <c r="M420" i="3" l="1"/>
  <c r="M421" i="3"/>
  <c r="L422" i="3"/>
  <c r="L423" i="3" l="1"/>
  <c r="M422" i="3" l="1"/>
  <c r="M423" i="3"/>
  <c r="L424" i="3"/>
  <c r="L425" i="3" l="1"/>
  <c r="L426" i="3" l="1"/>
  <c r="M425" i="3"/>
  <c r="M424" i="3"/>
  <c r="L427" i="3" l="1"/>
  <c r="M426" i="3" l="1"/>
  <c r="M427" i="3"/>
  <c r="L428" i="3"/>
  <c r="L429" i="3" l="1"/>
  <c r="M428" i="3" l="1"/>
  <c r="M429" i="3"/>
  <c r="L430" i="3"/>
  <c r="L431" i="3" l="1"/>
  <c r="M430" i="3" l="1"/>
  <c r="L432" i="3"/>
  <c r="M431" i="3"/>
  <c r="L433" i="3" l="1"/>
  <c r="L434" i="3" l="1"/>
  <c r="M433" i="3"/>
  <c r="M432" i="3"/>
  <c r="L435" i="3" l="1"/>
  <c r="M435" i="3" l="1"/>
  <c r="L436" i="3"/>
  <c r="M434" i="3"/>
  <c r="L437" i="3" l="1"/>
  <c r="M436" i="3" l="1"/>
  <c r="M437" i="3"/>
  <c r="L438" i="3"/>
  <c r="L439" i="3" l="1"/>
  <c r="M438" i="3" l="1"/>
  <c r="M439" i="3"/>
  <c r="L440" i="3"/>
  <c r="L441" i="3" l="1"/>
  <c r="L442" i="3" l="1"/>
  <c r="M441" i="3"/>
  <c r="M440" i="3"/>
  <c r="L443" i="3" l="1"/>
  <c r="L444" i="3" l="1"/>
  <c r="M443" i="3"/>
  <c r="M442" i="3"/>
  <c r="L445" i="3" l="1"/>
  <c r="M444" i="3" l="1"/>
  <c r="M445" i="3"/>
  <c r="L446" i="3"/>
  <c r="L447" i="3" l="1"/>
  <c r="M446" i="3" l="1"/>
  <c r="L448" i="3"/>
  <c r="M447" i="3"/>
  <c r="L449" i="3" l="1"/>
  <c r="L450" i="3" l="1"/>
  <c r="M449" i="3"/>
  <c r="M448" i="3"/>
  <c r="L451" i="3" l="1"/>
  <c r="M450" i="3" l="1"/>
  <c r="M451" i="3"/>
  <c r="L452" i="3"/>
  <c r="L453" i="3" l="1"/>
  <c r="M452" i="3" l="1"/>
  <c r="M453" i="3"/>
  <c r="L454" i="3"/>
  <c r="L455" i="3" l="1"/>
  <c r="M454" i="3" l="1"/>
  <c r="M455" i="3"/>
  <c r="L456" i="3"/>
  <c r="L457" i="3" l="1"/>
  <c r="M456" i="3" l="1"/>
  <c r="L458" i="3"/>
  <c r="M457" i="3"/>
  <c r="L459" i="3" l="1"/>
  <c r="M458" i="3" l="1"/>
  <c r="L460" i="3"/>
  <c r="M459" i="3"/>
  <c r="L461" i="3" l="1"/>
  <c r="M461" i="3" l="1"/>
  <c r="L462" i="3"/>
  <c r="M460" i="3"/>
  <c r="L463" i="3" l="1"/>
  <c r="M462" i="3" l="1"/>
  <c r="L464" i="3"/>
  <c r="M463" i="3"/>
  <c r="L465" i="3" l="1"/>
  <c r="L466" i="3" l="1"/>
  <c r="M465" i="3"/>
  <c r="M464" i="3"/>
  <c r="L467" i="3" l="1"/>
  <c r="M466" i="3" l="1"/>
  <c r="M467" i="3"/>
  <c r="L468" i="3"/>
  <c r="L469" i="3" l="1"/>
  <c r="M469" i="3" l="1"/>
  <c r="L470" i="3"/>
  <c r="M468" i="3"/>
  <c r="L471" i="3" l="1"/>
  <c r="M471" i="3" l="1"/>
  <c r="L472" i="3"/>
  <c r="M470" i="3"/>
  <c r="L473" i="3" l="1"/>
  <c r="M473" i="3" l="1"/>
  <c r="L474" i="3"/>
  <c r="M472" i="3"/>
  <c r="L475" i="3" l="1"/>
  <c r="M474" i="3" l="1"/>
  <c r="M475" i="3"/>
  <c r="L476" i="3"/>
  <c r="L477" i="3" l="1"/>
  <c r="M477" i="3" l="1"/>
  <c r="L478" i="3"/>
  <c r="M476" i="3"/>
  <c r="L479" i="3" l="1"/>
  <c r="M478" i="3" l="1"/>
  <c r="L480" i="3"/>
  <c r="M479" i="3"/>
  <c r="L481" i="3" l="1"/>
  <c r="M480" i="3" l="1"/>
  <c r="L482" i="3"/>
  <c r="M481" i="3"/>
  <c r="L483" i="3" l="1"/>
  <c r="M483" i="3" l="1"/>
  <c r="L484" i="3"/>
  <c r="M482" i="3"/>
  <c r="L485" i="3" l="1"/>
  <c r="L486" i="3" l="1"/>
  <c r="M485" i="3"/>
  <c r="M484" i="3"/>
  <c r="L487" i="3" l="1"/>
  <c r="L488" i="3" l="1"/>
  <c r="M487" i="3"/>
  <c r="M486" i="3"/>
  <c r="L489" i="3" l="1"/>
  <c r="L490" i="3" l="1"/>
  <c r="M489" i="3"/>
  <c r="M488" i="3"/>
  <c r="L491" i="3" l="1"/>
  <c r="M490" i="3" l="1"/>
  <c r="M491" i="3"/>
  <c r="L492" i="3"/>
  <c r="M49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tc={9A9B53D7-1F12-41EA-B10D-0EB04DEE4416}</author>
  </authors>
  <commentList>
    <comment ref="B17" authorId="0" shapeId="0" xr:uid="{9A9B53D7-1F12-41EA-B10D-0EB04DEE4416}">
      <text>
        <t>[Threaded comment]
Your version of Excel allows you to read this threaded comment; however, any edits to it will get removed if the file is opened in a newer version of Excel. Learn more: https://go.microsoft.com/fwlink/?linkid=870924
Comment:
    Taken from NZ_Erosivity_Data (Klik et al) from DMTW tool.</t>
      </text>
    </comment>
  </commentList>
</comments>
</file>

<file path=xl/sharedStrings.xml><?xml version="1.0" encoding="utf-8"?>
<sst xmlns="http://schemas.openxmlformats.org/spreadsheetml/2006/main" count="1698" uniqueCount="433">
  <si>
    <t>Inputs</t>
  </si>
  <si>
    <t>Crop Type</t>
  </si>
  <si>
    <t>Region</t>
  </si>
  <si>
    <t>Units</t>
  </si>
  <si>
    <t>The inputs below are considered to constitute the bare minimum requirement for generating a nitrogen budget.</t>
  </si>
  <si>
    <t>t/ha</t>
  </si>
  <si>
    <t>Soil mineralisation</t>
  </si>
  <si>
    <t>kg N/ha</t>
  </si>
  <si>
    <t>Mineral N at planting</t>
  </si>
  <si>
    <t>Mineral N at harvest</t>
  </si>
  <si>
    <t>Inputs - Level 1</t>
  </si>
  <si>
    <t>Inputs - Level 2</t>
  </si>
  <si>
    <t>1 (minimum)</t>
  </si>
  <si>
    <t>Input level</t>
  </si>
  <si>
    <t>2 (standard)</t>
  </si>
  <si>
    <t>3 (advanced)</t>
  </si>
  <si>
    <t>Inputs - Level 3</t>
  </si>
  <si>
    <t>Crop residue</t>
  </si>
  <si>
    <t>Crop N content</t>
  </si>
  <si>
    <t>Planting date</t>
  </si>
  <si>
    <t>% N</t>
  </si>
  <si>
    <t>Predicted N leaching</t>
  </si>
  <si>
    <t>Predicted rainfall</t>
  </si>
  <si>
    <t>(over crop growth period)</t>
  </si>
  <si>
    <t>Harvest date</t>
  </si>
  <si>
    <t>The inputs below increase the accuracy of the calculated plant uptake curves and nutrient budget but require additional information from the grower. The data fields are populated with default figures that can be overwritten.</t>
  </si>
  <si>
    <t>No. of side dressings</t>
  </si>
  <si>
    <t>Crop uptake</t>
  </si>
  <si>
    <t>Lettuce</t>
  </si>
  <si>
    <t>Onion</t>
  </si>
  <si>
    <t>Potato</t>
  </si>
  <si>
    <t>Northland</t>
  </si>
  <si>
    <t>Pukekohe</t>
  </si>
  <si>
    <t>Matamata</t>
  </si>
  <si>
    <t>Bay of Plenty</t>
  </si>
  <si>
    <t>Soil texture</t>
  </si>
  <si>
    <t>Default rainfall</t>
  </si>
  <si>
    <t>Default soil texture</t>
  </si>
  <si>
    <t>mm</t>
  </si>
  <si>
    <t>Taranaki</t>
  </si>
  <si>
    <t>Hawke's Bay</t>
  </si>
  <si>
    <t>Levin</t>
  </si>
  <si>
    <t>Wairarapa</t>
  </si>
  <si>
    <t>Nelson</t>
  </si>
  <si>
    <t>Marlborough</t>
  </si>
  <si>
    <t>Canterbury</t>
  </si>
  <si>
    <t>West Coast</t>
  </si>
  <si>
    <t>Otago</t>
  </si>
  <si>
    <t>Central Otago</t>
  </si>
  <si>
    <t>Southland</t>
  </si>
  <si>
    <t>Clay Loam</t>
  </si>
  <si>
    <t>Silt Loam</t>
  </si>
  <si>
    <t>Gisborne</t>
  </si>
  <si>
    <t>N per application</t>
  </si>
  <si>
    <t>1st application</t>
  </si>
  <si>
    <t>2nd application</t>
  </si>
  <si>
    <t>3rd application</t>
  </si>
  <si>
    <t>4th application</t>
  </si>
  <si>
    <t>Cauliflower</t>
  </si>
  <si>
    <t>Crop variety</t>
  </si>
  <si>
    <t>Leaching assumption</t>
  </si>
  <si>
    <t>Mineralisation assumption</t>
  </si>
  <si>
    <t>Summer</t>
  </si>
  <si>
    <t>kgN/ha over 3 months</t>
  </si>
  <si>
    <t>Winter</t>
  </si>
  <si>
    <t>If rainfall &gt; 800 mm during crop growth period then assumed 30% of applied N is also leached</t>
  </si>
  <si>
    <t>Assumed that leaching is equivalent to 80% of mineralisation.</t>
  </si>
  <si>
    <t>N uptake</t>
  </si>
  <si>
    <t>Previous crop residue</t>
  </si>
  <si>
    <t>Previous crop harvest</t>
  </si>
  <si>
    <t>Previous crop</t>
  </si>
  <si>
    <t>Outputs</t>
  </si>
  <si>
    <t>Fertiliser</t>
  </si>
  <si>
    <t>Leaching</t>
  </si>
  <si>
    <t>Exported crop</t>
  </si>
  <si>
    <t>Soil mineral N</t>
  </si>
  <si>
    <t>Fert 1</t>
  </si>
  <si>
    <t>Fert 2</t>
  </si>
  <si>
    <t>Fert 3</t>
  </si>
  <si>
    <t>Fert 4</t>
  </si>
  <si>
    <t>Crop uptake assumptions</t>
  </si>
  <si>
    <t>First 20% of crop accounts for 10% of uptake</t>
  </si>
  <si>
    <t>2nd 20% accounts for 40% of uptake</t>
  </si>
  <si>
    <t>4th 20% accounts for 15% of uptake</t>
  </si>
  <si>
    <t>Stage</t>
  </si>
  <si>
    <t>Date</t>
  </si>
  <si>
    <t>Fert application</t>
  </si>
  <si>
    <t>This guidance is based on the inputs entered in the data fields to the left. They are based on crop nitrogen requirements from the Nutrient Management for Vegetable Crops in New Zealand guide, adjusted for input values.</t>
  </si>
  <si>
    <t xml:space="preserve">Lettuce </t>
  </si>
  <si>
    <t>Reid &amp; Morton - pg 74</t>
  </si>
  <si>
    <t>Soil avail. N</t>
  </si>
  <si>
    <t>multiplier</t>
  </si>
  <si>
    <t>heads/ha</t>
  </si>
  <si>
    <t>Target Yield</t>
  </si>
  <si>
    <t>Average head wt.</t>
  </si>
  <si>
    <t>Harvest index</t>
  </si>
  <si>
    <t>Yield metric</t>
  </si>
  <si>
    <t>Heads planted</t>
  </si>
  <si>
    <t>units</t>
  </si>
  <si>
    <t>Heads/ha</t>
  </si>
  <si>
    <t>Potential Yield</t>
  </si>
  <si>
    <t>Fert guidance</t>
  </si>
  <si>
    <t>kgN/ha</t>
  </si>
  <si>
    <t># side dressings</t>
  </si>
  <si>
    <t>table 7-1 Harvested</t>
  </si>
  <si>
    <t>N</t>
  </si>
  <si>
    <t>kgN/t removed</t>
  </si>
  <si>
    <t>table 7-2 pg 79 Reid &amp; Morton</t>
  </si>
  <si>
    <t>Dry mass (g/plant)</t>
  </si>
  <si>
    <t>Fresh mass (g/plant)</t>
  </si>
  <si>
    <t>DW% of FW</t>
  </si>
  <si>
    <t>N% of DM</t>
  </si>
  <si>
    <t>N% of FW</t>
  </si>
  <si>
    <t>Crop N</t>
  </si>
  <si>
    <t>Crop N%</t>
  </si>
  <si>
    <t>Harvested Yield</t>
  </si>
  <si>
    <t>Field Yield</t>
  </si>
  <si>
    <t>Marketable Yield</t>
  </si>
  <si>
    <t>Harvested</t>
  </si>
  <si>
    <t>Marketable %</t>
  </si>
  <si>
    <t>Crop N removed</t>
  </si>
  <si>
    <t>Crop N residue</t>
  </si>
  <si>
    <t>N required kgN/ha</t>
  </si>
  <si>
    <r>
      <t xml:space="preserve">This file is a demonstrator for planned functions, inputs, and outputs of the NSight tool at the minimum viable level of input complexity.
</t>
    </r>
    <r>
      <rPr>
        <b/>
        <sz val="11"/>
        <color theme="1"/>
        <rFont val="Calibri"/>
        <family val="2"/>
        <scheme val="minor"/>
      </rPr>
      <t>This is not the N-Sight tool itself</t>
    </r>
    <r>
      <rPr>
        <sz val="11"/>
        <color theme="1"/>
        <rFont val="Calibri"/>
        <family val="2"/>
        <scheme val="minor"/>
      </rPr>
      <t xml:space="preserve"> - the tool when released will look and function differently to this demonstrator.</t>
    </r>
  </si>
  <si>
    <t>Reid &amp; Morton - pg 97</t>
  </si>
  <si>
    <t>Fert N guidance</t>
  </si>
  <si>
    <t>table 10-2</t>
  </si>
  <si>
    <t>Multiplier</t>
  </si>
  <si>
    <t>Harvested crop</t>
  </si>
  <si>
    <t>Iceburg</t>
  </si>
  <si>
    <t>(HWON test - over crop growth period)</t>
  </si>
  <si>
    <t>Clay loam</t>
  </si>
  <si>
    <t>Fertiliser guidance</t>
  </si>
  <si>
    <r>
      <rPr>
        <b/>
        <sz val="18"/>
        <color theme="1"/>
        <rFont val="Calibri"/>
        <family val="2"/>
        <scheme val="minor"/>
      </rPr>
      <t>Sustainable Vegetable Systems: N-Sight Tool</t>
    </r>
    <r>
      <rPr>
        <b/>
        <sz val="14"/>
        <color theme="1"/>
        <rFont val="Calibri"/>
        <family val="2"/>
        <scheme val="minor"/>
      </rPr>
      <t xml:space="preserve">
</t>
    </r>
    <r>
      <rPr>
        <b/>
        <i/>
        <sz val="14"/>
        <color theme="1"/>
        <rFont val="Calibri"/>
        <family val="2"/>
        <scheme val="minor"/>
      </rPr>
      <t>Concept Demonstrator - Level Complexity</t>
    </r>
  </si>
  <si>
    <t>Planned N fert</t>
  </si>
  <si>
    <t>kg/head</t>
  </si>
  <si>
    <t>3rd 20% accounts for 35% of uptake</t>
  </si>
  <si>
    <t>N fert. required</t>
  </si>
  <si>
    <t>Release rates</t>
  </si>
  <si>
    <t>80% release rates - days</t>
  </si>
  <si>
    <t>crop length - days</t>
  </si>
  <si>
    <t>Release rate kgN/day</t>
  </si>
  <si>
    <t>N released per application</t>
  </si>
  <si>
    <t>Soil N</t>
  </si>
  <si>
    <t>Mineral N - crop growth</t>
  </si>
  <si>
    <t>Soil test date</t>
  </si>
  <si>
    <t>Soil N - reset</t>
  </si>
  <si>
    <t>Uncertainty 1</t>
  </si>
  <si>
    <t>Uncertainty 2</t>
  </si>
  <si>
    <t>Lower</t>
  </si>
  <si>
    <t>Actual</t>
  </si>
  <si>
    <t>Upper - 90 days</t>
  </si>
  <si>
    <t>Max Date</t>
  </si>
  <si>
    <t>Variability</t>
  </si>
  <si>
    <t>Reid &amp; Morton - pg 81</t>
  </si>
  <si>
    <t>t/ha (dry)</t>
  </si>
  <si>
    <t>t/ha (wet)</t>
  </si>
  <si>
    <t>Dry mass (t/ha)</t>
  </si>
  <si>
    <t>Fresh mass (t/ha)</t>
  </si>
  <si>
    <t>table 8-1 pg87 Reid &amp; Morton</t>
  </si>
  <si>
    <t>Config</t>
  </si>
  <si>
    <t>Model Inputs</t>
  </si>
  <si>
    <t>User Inputs</t>
  </si>
  <si>
    <t>Soil Mineral N Tests</t>
  </si>
  <si>
    <t>MeanT</t>
  </si>
  <si>
    <t>InitialN</t>
  </si>
  <si>
    <t>Value</t>
  </si>
  <si>
    <t>Seed</t>
  </si>
  <si>
    <t>Vegetative</t>
  </si>
  <si>
    <t>Prior</t>
  </si>
  <si>
    <t>CropName</t>
  </si>
  <si>
    <t>Annual ryegrass Fodder General</t>
  </si>
  <si>
    <t>Seedling</t>
  </si>
  <si>
    <t>EarlyReproductive</t>
  </si>
  <si>
    <t>SaleableYield</t>
  </si>
  <si>
    <t>MidReproductive</t>
  </si>
  <si>
    <t>LateReproductive</t>
  </si>
  <si>
    <t>FieldLoss</t>
  </si>
  <si>
    <t>Maturity</t>
  </si>
  <si>
    <t>DressingLoss</t>
  </si>
  <si>
    <t>MoistureContent</t>
  </si>
  <si>
    <t>EstablishDate</t>
  </si>
  <si>
    <t>EstablishStage</t>
  </si>
  <si>
    <t>HarvestDate</t>
  </si>
  <si>
    <t>HarvestStage</t>
  </si>
  <si>
    <t>ResidueTreatment</t>
  </si>
  <si>
    <t>EstablishN</t>
  </si>
  <si>
    <t>Current</t>
  </si>
  <si>
    <t>Following</t>
  </si>
  <si>
    <t>Oat Grain General</t>
  </si>
  <si>
    <t>HWEON</t>
  </si>
  <si>
    <t>Trigger</t>
  </si>
  <si>
    <t>Efficiency</t>
  </si>
  <si>
    <t>Splits</t>
  </si>
  <si>
    <t>Family</t>
  </si>
  <si>
    <t>Genus</t>
  </si>
  <si>
    <t>Specific epithet</t>
  </si>
  <si>
    <t>Sub species</t>
  </si>
  <si>
    <t>Species name</t>
  </si>
  <si>
    <t>Epithet and sub species</t>
  </si>
  <si>
    <t>EndUse</t>
  </si>
  <si>
    <t>Group</t>
  </si>
  <si>
    <t>Colloquial Name</t>
  </si>
  <si>
    <t>Type</t>
  </si>
  <si>
    <t>UniqueName</t>
  </si>
  <si>
    <t>Pos</t>
  </si>
  <si>
    <t>Typical Establish Stage</t>
  </si>
  <si>
    <t>Typical Establish month</t>
  </si>
  <si>
    <t>Typical Harvest Stage</t>
  </si>
  <si>
    <t>Typical Harvest month</t>
  </si>
  <si>
    <t>Typical Yield</t>
  </si>
  <si>
    <t>Typical Yield Units</t>
  </si>
  <si>
    <t>Yield type</t>
  </si>
  <si>
    <t>TotalOrDry</t>
  </si>
  <si>
    <t>Typical Dressing Loss %</t>
  </si>
  <si>
    <t>Typical Field Loss %</t>
  </si>
  <si>
    <t>Typical HI</t>
  </si>
  <si>
    <t>HI Range</t>
  </si>
  <si>
    <t>Moisture %</t>
  </si>
  <si>
    <t>P Root</t>
  </si>
  <si>
    <t>Max RD</t>
  </si>
  <si>
    <t>A cover</t>
  </si>
  <si>
    <t>rCover</t>
  </si>
  <si>
    <t>Root [N]</t>
  </si>
  <si>
    <t>Stover [N]</t>
  </si>
  <si>
    <t>Product [N]</t>
  </si>
  <si>
    <t>Lilliaceae</t>
  </si>
  <si>
    <t>Tulipa</t>
  </si>
  <si>
    <t>x</t>
  </si>
  <si>
    <t/>
  </si>
  <si>
    <t>Bulb</t>
  </si>
  <si>
    <t>Ornamental</t>
  </si>
  <si>
    <t>Tulip</t>
  </si>
  <si>
    <t>General</t>
  </si>
  <si>
    <t>May</t>
  </si>
  <si>
    <t>Feb</t>
  </si>
  <si>
    <t xml:space="preserve">Saleable bulb </t>
  </si>
  <si>
    <t>Total</t>
  </si>
  <si>
    <t xml:space="preserve">Cannabaceae </t>
  </si>
  <si>
    <t>Cannabis</t>
  </si>
  <si>
    <t>Fibre</t>
  </si>
  <si>
    <t>Hemp</t>
  </si>
  <si>
    <t>Oct</t>
  </si>
  <si>
    <t xml:space="preserve">Baled straw </t>
  </si>
  <si>
    <t xml:space="preserve">Poaceae </t>
  </si>
  <si>
    <t>Avena</t>
  </si>
  <si>
    <t>sativa</t>
  </si>
  <si>
    <t>Fodder</t>
  </si>
  <si>
    <t>Cereal</t>
  </si>
  <si>
    <t>Oat</t>
  </si>
  <si>
    <t>Jul</t>
  </si>
  <si>
    <t>Nov</t>
  </si>
  <si>
    <t>Standing DM</t>
  </si>
  <si>
    <t>Dry</t>
  </si>
  <si>
    <t xml:space="preserve">Amaranthaceae </t>
  </si>
  <si>
    <t>Beta</t>
  </si>
  <si>
    <t>vulgaris</t>
  </si>
  <si>
    <t>crassa</t>
  </si>
  <si>
    <t>Fodder beet</t>
  </si>
  <si>
    <t>Brassicaceae</t>
  </si>
  <si>
    <t>Brassica</t>
  </si>
  <si>
    <t>napus</t>
  </si>
  <si>
    <t>napobrassica</t>
  </si>
  <si>
    <t>Swede</t>
  </si>
  <si>
    <t>Leafy brassica</t>
  </si>
  <si>
    <t>Rape</t>
  </si>
  <si>
    <t>Jan</t>
  </si>
  <si>
    <t>oleracea</t>
  </si>
  <si>
    <t>acephala</t>
  </si>
  <si>
    <t>Kale</t>
  </si>
  <si>
    <t>rapa</t>
  </si>
  <si>
    <t>Turnip</t>
  </si>
  <si>
    <t>Dec</t>
  </si>
  <si>
    <t>rapa x napus</t>
  </si>
  <si>
    <t>Leafy</t>
  </si>
  <si>
    <t>Mar</t>
  </si>
  <si>
    <t>Hordeum</t>
  </si>
  <si>
    <t>vulgure</t>
  </si>
  <si>
    <t>Barley</t>
  </si>
  <si>
    <t>Lolium</t>
  </si>
  <si>
    <t>multiflorum</t>
  </si>
  <si>
    <t>Grass</t>
  </si>
  <si>
    <t>Annual ryegrass</t>
  </si>
  <si>
    <t>Apr</t>
  </si>
  <si>
    <t>Secale</t>
  </si>
  <si>
    <t>cereale</t>
  </si>
  <si>
    <t>Rye corn</t>
  </si>
  <si>
    <t>Sep</t>
  </si>
  <si>
    <t>Triticum</t>
  </si>
  <si>
    <t>astevium</t>
  </si>
  <si>
    <t>Wheat</t>
  </si>
  <si>
    <t>Triticum x Secale</t>
  </si>
  <si>
    <t>Triticale</t>
  </si>
  <si>
    <t>Zea</t>
  </si>
  <si>
    <t>mays</t>
  </si>
  <si>
    <t>Maize</t>
  </si>
  <si>
    <t>Grain</t>
  </si>
  <si>
    <t xml:space="preserve">Saleable grain </t>
  </si>
  <si>
    <t>Oilseed</t>
  </si>
  <si>
    <t>Canola</t>
  </si>
  <si>
    <t xml:space="preserve">Fabaceae </t>
  </si>
  <si>
    <t>Cicer</t>
  </si>
  <si>
    <t>arietinum</t>
  </si>
  <si>
    <t>Pulse</t>
  </si>
  <si>
    <t>Chickpea</t>
  </si>
  <si>
    <t xml:space="preserve">Asteraceae </t>
  </si>
  <si>
    <t>Helianthus</t>
  </si>
  <si>
    <t>annus</t>
  </si>
  <si>
    <t>Sunflower</t>
  </si>
  <si>
    <t>Lens</t>
  </si>
  <si>
    <t>culinaris</t>
  </si>
  <si>
    <t>Lentil</t>
  </si>
  <si>
    <t xml:space="preserve">Linaceae </t>
  </si>
  <si>
    <t>Linum</t>
  </si>
  <si>
    <t>usitatissimum</t>
  </si>
  <si>
    <t>Linseed</t>
  </si>
  <si>
    <t>Phaseolus</t>
  </si>
  <si>
    <t>Bean</t>
  </si>
  <si>
    <t>Pisum</t>
  </si>
  <si>
    <t>sativum</t>
  </si>
  <si>
    <t>Pea</t>
  </si>
  <si>
    <t>Breed</t>
  </si>
  <si>
    <t>Feed</t>
  </si>
  <si>
    <t>Green manure</t>
  </si>
  <si>
    <t>Lupinus</t>
  </si>
  <si>
    <t>angustifolius</t>
  </si>
  <si>
    <t>Lupin</t>
  </si>
  <si>
    <t xml:space="preserve">Boraginaceae </t>
  </si>
  <si>
    <t>Phacelia</t>
  </si>
  <si>
    <t>tanacetifolia</t>
  </si>
  <si>
    <t>Sinapis</t>
  </si>
  <si>
    <t>alba</t>
  </si>
  <si>
    <t>Mustard</t>
  </si>
  <si>
    <t>conditiva</t>
  </si>
  <si>
    <t>Vegetable, root</t>
  </si>
  <si>
    <t>Red beet</t>
  </si>
  <si>
    <t xml:space="preserve">Saleable seed </t>
  </si>
  <si>
    <t>chinensis</t>
  </si>
  <si>
    <t>Vegetable, green</t>
  </si>
  <si>
    <t>Pak choi</t>
  </si>
  <si>
    <t>Dactylus</t>
  </si>
  <si>
    <t>glomerata</t>
  </si>
  <si>
    <t>Forage</t>
  </si>
  <si>
    <t>Cocksfoot</t>
  </si>
  <si>
    <t xml:space="preserve">Apiaceae </t>
  </si>
  <si>
    <t>Daucus</t>
  </si>
  <si>
    <t>carota</t>
  </si>
  <si>
    <t>Carrot</t>
  </si>
  <si>
    <t>perenne</t>
  </si>
  <si>
    <t>Ryegrass</t>
  </si>
  <si>
    <t>Raphanus</t>
  </si>
  <si>
    <t>raphanistrum</t>
  </si>
  <si>
    <t>Radish</t>
  </si>
  <si>
    <t>Open pollinated</t>
  </si>
  <si>
    <t>Trifolium</t>
  </si>
  <si>
    <t>repens</t>
  </si>
  <si>
    <t>White clover</t>
  </si>
  <si>
    <t>Amaryllidaceae</t>
  </si>
  <si>
    <t>Allium</t>
  </si>
  <si>
    <t>ampeloprasum</t>
  </si>
  <si>
    <t>Vegetable</t>
  </si>
  <si>
    <t>Green</t>
  </si>
  <si>
    <t>Leek</t>
  </si>
  <si>
    <t xml:space="preserve">Saleable product </t>
  </si>
  <si>
    <t>cepa</t>
  </si>
  <si>
    <t>Root</t>
  </si>
  <si>
    <t>Brown</t>
  </si>
  <si>
    <t>Red</t>
  </si>
  <si>
    <t>Shallot</t>
  </si>
  <si>
    <t>fistulosum</t>
  </si>
  <si>
    <t>Spring onion</t>
  </si>
  <si>
    <t>Garlic</t>
  </si>
  <si>
    <t>Jun</t>
  </si>
  <si>
    <t>Apium</t>
  </si>
  <si>
    <t>graveolens</t>
  </si>
  <si>
    <t>Celery</t>
  </si>
  <si>
    <t>cicla</t>
  </si>
  <si>
    <t>Silver beet</t>
  </si>
  <si>
    <t>botrytis</t>
  </si>
  <si>
    <t>capitata</t>
  </si>
  <si>
    <t>Cabbage</t>
  </si>
  <si>
    <t>gemmifera</t>
  </si>
  <si>
    <t xml:space="preserve">Brussel sprout </t>
  </si>
  <si>
    <t>italica</t>
  </si>
  <si>
    <t>Broccoli</t>
  </si>
  <si>
    <t>Head only</t>
  </si>
  <si>
    <t>Chinese cut</t>
  </si>
  <si>
    <t>Aug</t>
  </si>
  <si>
    <t>parachinensis</t>
  </si>
  <si>
    <t>Choy sum</t>
  </si>
  <si>
    <t>pekinensis</t>
  </si>
  <si>
    <t>Wong bok</t>
  </si>
  <si>
    <t>Coriandrum</t>
  </si>
  <si>
    <t>Coriander</t>
  </si>
  <si>
    <t>Cucurbitaceae</t>
  </si>
  <si>
    <t>Cucumis</t>
  </si>
  <si>
    <t>lanatus</t>
  </si>
  <si>
    <t>Fruit</t>
  </si>
  <si>
    <t>Water melon</t>
  </si>
  <si>
    <t>melo</t>
  </si>
  <si>
    <t>Rock melon</t>
  </si>
  <si>
    <t>Cucurbita</t>
  </si>
  <si>
    <t>argyrosperma</t>
  </si>
  <si>
    <t>Squash</t>
  </si>
  <si>
    <t>pepo</t>
  </si>
  <si>
    <t>Pumpkin</t>
  </si>
  <si>
    <t>Zucchini</t>
  </si>
  <si>
    <t>Convolvulaceae</t>
  </si>
  <si>
    <t>Ipomoea</t>
  </si>
  <si>
    <t>batatas</t>
  </si>
  <si>
    <t>Kumara</t>
  </si>
  <si>
    <t>Lactuca</t>
  </si>
  <si>
    <t>Ice berg</t>
  </si>
  <si>
    <t>Leafy-salad</t>
  </si>
  <si>
    <t>Pastinaca</t>
  </si>
  <si>
    <t>Parsnip</t>
  </si>
  <si>
    <t>Solanaceae</t>
  </si>
  <si>
    <t xml:space="preserve">Solanum </t>
  </si>
  <si>
    <t>lycopersicum</t>
  </si>
  <si>
    <t>Tomato</t>
  </si>
  <si>
    <t>tuberosum</t>
  </si>
  <si>
    <t>Spinacia</t>
  </si>
  <si>
    <t>loeracea</t>
  </si>
  <si>
    <t>Spinach</t>
  </si>
  <si>
    <t>Vicia</t>
  </si>
  <si>
    <t>faba</t>
  </si>
  <si>
    <t>Broad bean</t>
  </si>
  <si>
    <t>Sweetcorn</t>
  </si>
  <si>
    <t>Crop</t>
  </si>
  <si>
    <t>Variety</t>
  </si>
  <si>
    <t>DOY</t>
  </si>
  <si>
    <t>Linocln</t>
  </si>
  <si>
    <t>Hastings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</si>
</sst>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0.0%"/>
    <numFmt numFmtId="167" formatCode="0.0"/>
    <numFmt numFmtId="168" formatCode="_-* #,##0.0_-;\-* #,##0.0_-;_-* &quot;-&quot;??_-;_-@_-"/>
    <numFmt numFmtId="169" formatCode="0.0000000"/>
  </numFmts>
  <fonts count="13"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b/>
      <i/>
      <sz val="14"/>
      <color theme="1"/>
      <name val="Calibri"/>
      <family val="2"/>
      <scheme val="minor"/>
    </font>
    <font>
      <b/>
      <sz val="18"/>
      <color theme="1"/>
      <name val="Calibri"/>
      <family val="2"/>
      <scheme val="minor"/>
    </font>
    <font>
      <i/>
      <sz val="10"/>
      <color theme="1"/>
      <name val="Calibri"/>
      <family val="2"/>
      <scheme val="minor"/>
    </font>
    <font>
      <sz val="11"/>
      <color theme="9" tint="0.79998168889431442"/>
      <name val="Calibri"/>
      <family val="2"/>
      <scheme val="minor"/>
    </font>
    <font>
      <b/>
      <sz val="11"/>
      <color theme="9" tint="0.79998168889431442"/>
      <name val="Calibri"/>
      <family val="2"/>
      <scheme val="minor"/>
    </font>
    <font>
      <sz val="11"/>
      <color theme="1"/>
      <name val="Calibri"/>
      <family val="2"/>
    </font>
    <font>
      <sz val="11"/>
      <name val="Calibri"/>
      <family val="2"/>
      <scheme val="minor"/>
    </font>
    <font>
      <b/>
      <sz val="11"/>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bgColor indexed="64"/>
      </patternFill>
    </fill>
    <fill>
      <patternFill patternType="solid">
        <fgColor theme="9" tint="0.59999389629810485"/>
        <bgColor indexed="64"/>
      </patternFill>
    </fill>
  </fills>
  <borders count="29">
    <border>
      <left/>
      <right/>
      <top/>
      <bottom/>
      <diagonal/>
    </border>
    <border>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thin">
        <color theme="4"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34">
    <xf numFmtId="0" fontId="0" fillId="0" borderId="0" xfId="0"/>
    <xf numFmtId="0" fontId="0" fillId="3" borderId="0" xfId="0" applyFill="1"/>
    <xf numFmtId="0" fontId="0" fillId="3" borderId="0" xfId="0" applyFill="1" applyAlignment="1">
      <alignment horizontal="center"/>
    </xf>
    <xf numFmtId="0" fontId="0" fillId="3" borderId="0" xfId="0" applyFill="1" applyAlignment="1"/>
    <xf numFmtId="0" fontId="0" fillId="3" borderId="7" xfId="0" applyFill="1" applyBorder="1" applyAlignment="1">
      <alignment horizontal="center"/>
    </xf>
    <xf numFmtId="0" fontId="0" fillId="0" borderId="0" xfId="0" applyFont="1"/>
    <xf numFmtId="0" fontId="3" fillId="0" borderId="0" xfId="0" applyFont="1"/>
    <xf numFmtId="0" fontId="3" fillId="3" borderId="0" xfId="0" applyFont="1" applyFill="1" applyBorder="1" applyAlignment="1">
      <alignment horizontal="center" vertical="center"/>
    </xf>
    <xf numFmtId="164" fontId="0" fillId="0" borderId="0" xfId="1" applyNumberFormat="1" applyFont="1"/>
    <xf numFmtId="0" fontId="3" fillId="3" borderId="0" xfId="0" applyFont="1" applyFill="1"/>
    <xf numFmtId="166" fontId="0" fillId="0" borderId="0" xfId="2" applyNumberFormat="1" applyFont="1"/>
    <xf numFmtId="9" fontId="0" fillId="0" borderId="0" xfId="0" applyNumberFormat="1"/>
    <xf numFmtId="0" fontId="8" fillId="3" borderId="0" xfId="0" applyFont="1" applyFill="1" applyAlignment="1">
      <alignment horizontal="center"/>
    </xf>
    <xf numFmtId="167" fontId="0" fillId="0" borderId="0" xfId="0" applyNumberFormat="1"/>
    <xf numFmtId="167" fontId="0" fillId="3" borderId="0" xfId="0" applyNumberFormat="1" applyFill="1"/>
    <xf numFmtId="0" fontId="8" fillId="3" borderId="0" xfId="0" applyFont="1" applyFill="1" applyBorder="1" applyAlignment="1">
      <alignment horizontal="center"/>
    </xf>
    <xf numFmtId="14" fontId="0" fillId="0" borderId="0" xfId="0" applyNumberFormat="1"/>
    <xf numFmtId="0" fontId="2" fillId="0" borderId="0" xfId="0" applyFont="1"/>
    <xf numFmtId="0" fontId="8" fillId="3" borderId="0" xfId="0" applyFont="1" applyFill="1"/>
    <xf numFmtId="168" fontId="0" fillId="0" borderId="0" xfId="1" applyNumberFormat="1" applyFont="1"/>
    <xf numFmtId="168" fontId="0" fillId="0" borderId="0" xfId="0" applyNumberFormat="1"/>
    <xf numFmtId="164" fontId="0" fillId="0" borderId="0" xfId="0" applyNumberFormat="1"/>
    <xf numFmtId="164" fontId="10" fillId="0" borderId="0" xfId="0" applyNumberFormat="1" applyFont="1" applyAlignment="1">
      <alignment vertical="center"/>
    </xf>
    <xf numFmtId="2" fontId="0" fillId="0" borderId="0" xfId="0" applyNumberFormat="1"/>
    <xf numFmtId="1" fontId="0" fillId="0" borderId="0" xfId="0" applyNumberFormat="1"/>
    <xf numFmtId="0" fontId="0" fillId="0" borderId="0" xfId="0" applyFont="1" applyAlignment="1">
      <alignment wrapText="1"/>
    </xf>
    <xf numFmtId="0" fontId="0" fillId="0" borderId="0" xfId="0" applyAlignment="1">
      <alignment horizontal="right" wrapText="1"/>
    </xf>
    <xf numFmtId="0" fontId="0" fillId="0" borderId="0" xfId="0" applyFont="1" applyAlignment="1">
      <alignment horizontal="right" wrapText="1"/>
    </xf>
    <xf numFmtId="0" fontId="0" fillId="0" borderId="0" xfId="0" applyAlignment="1">
      <alignment horizontal="right"/>
    </xf>
    <xf numFmtId="10" fontId="0" fillId="0" borderId="0" xfId="2" applyNumberFormat="1" applyFont="1"/>
    <xf numFmtId="1" fontId="0" fillId="0" borderId="0" xfId="1" applyNumberFormat="1" applyFont="1" applyAlignment="1"/>
    <xf numFmtId="2" fontId="0" fillId="0" borderId="0" xfId="2" applyNumberFormat="1" applyFont="1"/>
    <xf numFmtId="0" fontId="12" fillId="3" borderId="0" xfId="0" applyFont="1" applyFill="1" applyBorder="1" applyAlignment="1">
      <alignment horizontal="center" vertical="center"/>
    </xf>
    <xf numFmtId="0" fontId="12" fillId="3" borderId="1" xfId="0" applyFont="1" applyFill="1" applyBorder="1" applyAlignment="1">
      <alignment horizontal="center" vertical="center"/>
    </xf>
    <xf numFmtId="0" fontId="11" fillId="3" borderId="0" xfId="0" applyFont="1" applyFill="1" applyAlignment="1">
      <alignment horizontal="center"/>
    </xf>
    <xf numFmtId="0" fontId="0" fillId="3" borderId="0" xfId="0" applyFill="1" applyBorder="1" applyAlignment="1">
      <alignment horizontal="center"/>
    </xf>
    <xf numFmtId="9" fontId="0" fillId="0" borderId="0" xfId="2" applyFont="1"/>
    <xf numFmtId="14" fontId="8" fillId="3" borderId="0" xfId="0" applyNumberFormat="1" applyFont="1" applyFill="1"/>
    <xf numFmtId="0" fontId="3" fillId="3" borderId="0" xfId="0" applyFont="1" applyFill="1" applyAlignment="1">
      <alignment horizontal="center"/>
    </xf>
    <xf numFmtId="0" fontId="3" fillId="3" borderId="0" xfId="0" applyFont="1" applyFill="1" applyAlignment="1">
      <alignment horizontal="center" vertical="center"/>
    </xf>
    <xf numFmtId="0" fontId="7" fillId="3" borderId="0" xfId="0" applyFont="1" applyFill="1" applyAlignment="1">
      <alignment horizontal="left" vertical="center" wrapText="1"/>
    </xf>
    <xf numFmtId="0" fontId="3" fillId="3" borderId="0" xfId="0" applyFont="1" applyFill="1" applyBorder="1" applyAlignment="1">
      <alignment horizontal="center"/>
    </xf>
    <xf numFmtId="169" fontId="0" fillId="0" borderId="0" xfId="0" applyNumberFormat="1"/>
    <xf numFmtId="0" fontId="3" fillId="0" borderId="0" xfId="0" quotePrefix="1" applyFont="1"/>
    <xf numFmtId="0" fontId="0" fillId="0" borderId="2" xfId="0" applyBorder="1"/>
    <xf numFmtId="0" fontId="0" fillId="0" borderId="3" xfId="0" applyBorder="1"/>
    <xf numFmtId="16" fontId="0" fillId="0" borderId="0" xfId="0" applyNumberFormat="1"/>
    <xf numFmtId="0" fontId="0" fillId="7" borderId="17" xfId="0" applyFill="1" applyBorder="1"/>
    <xf numFmtId="0" fontId="0" fillId="7" borderId="18" xfId="0" applyFill="1" applyBorder="1"/>
    <xf numFmtId="0" fontId="0" fillId="8" borderId="19" xfId="0" applyFill="1" applyBorder="1"/>
    <xf numFmtId="0" fontId="0" fillId="7" borderId="20" xfId="0" applyFill="1" applyBorder="1"/>
    <xf numFmtId="0" fontId="0" fillId="7" borderId="21" xfId="0" applyFill="1" applyBorder="1"/>
    <xf numFmtId="0" fontId="0" fillId="9" borderId="0" xfId="0" applyFill="1" applyAlignment="1">
      <alignment horizontal="right"/>
    </xf>
    <xf numFmtId="16" fontId="0" fillId="7" borderId="21" xfId="0" applyNumberFormat="1" applyFill="1" applyBorder="1"/>
    <xf numFmtId="16" fontId="0" fillId="8" borderId="19" xfId="0" applyNumberFormat="1" applyFill="1" applyBorder="1" applyAlignment="1">
      <alignment horizontal="right"/>
    </xf>
    <xf numFmtId="0" fontId="0" fillId="7" borderId="22" xfId="0" applyFill="1" applyBorder="1"/>
    <xf numFmtId="0" fontId="0" fillId="7" borderId="23" xfId="0" applyFill="1" applyBorder="1"/>
    <xf numFmtId="0" fontId="0" fillId="10" borderId="17" xfId="0" applyFill="1" applyBorder="1"/>
    <xf numFmtId="0" fontId="0" fillId="10" borderId="18" xfId="0" applyFill="1" applyBorder="1"/>
    <xf numFmtId="0" fontId="0" fillId="8" borderId="19" xfId="0" applyFill="1" applyBorder="1" applyAlignment="1">
      <alignment horizontal="right"/>
    </xf>
    <xf numFmtId="0" fontId="0" fillId="10" borderId="20" xfId="0" applyFill="1" applyBorder="1"/>
    <xf numFmtId="0" fontId="0" fillId="10" borderId="21" xfId="0" applyFill="1" applyBorder="1"/>
    <xf numFmtId="16" fontId="0" fillId="10" borderId="21" xfId="0" applyNumberFormat="1" applyFill="1" applyBorder="1"/>
    <xf numFmtId="0" fontId="0" fillId="10" borderId="22" xfId="0" applyFill="1" applyBorder="1"/>
    <xf numFmtId="0" fontId="0" fillId="10" borderId="23" xfId="0" applyFill="1" applyBorder="1"/>
    <xf numFmtId="0" fontId="0" fillId="0" borderId="0" xfId="0" quotePrefix="1"/>
    <xf numFmtId="0" fontId="0" fillId="0" borderId="17" xfId="0" applyBorder="1"/>
    <xf numFmtId="0" fontId="0" fillId="0" borderId="18"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3" fillId="10" borderId="0" xfId="0" applyFont="1" applyFill="1"/>
    <xf numFmtId="0" fontId="3" fillId="7" borderId="0" xfId="0" applyFont="1" applyFill="1"/>
    <xf numFmtId="0" fontId="3" fillId="10" borderId="21" xfId="0" applyFont="1" applyFill="1" applyBorder="1"/>
    <xf numFmtId="0" fontId="3" fillId="10" borderId="20" xfId="0" applyFont="1" applyFill="1" applyBorder="1"/>
    <xf numFmtId="0" fontId="0" fillId="10" borderId="0" xfId="0" applyFill="1"/>
    <xf numFmtId="0" fontId="3" fillId="10" borderId="27" xfId="0" applyFont="1" applyFill="1" applyBorder="1"/>
    <xf numFmtId="0" fontId="0" fillId="10" borderId="27" xfId="0" applyFill="1" applyBorder="1"/>
    <xf numFmtId="0" fontId="3" fillId="10" borderId="18" xfId="0" applyFont="1" applyFill="1" applyBorder="1"/>
    <xf numFmtId="0" fontId="3" fillId="10" borderId="24" xfId="0" applyFont="1" applyFill="1" applyBorder="1"/>
    <xf numFmtId="0" fontId="3" fillId="10" borderId="17" xfId="0" applyFont="1" applyFill="1" applyBorder="1"/>
    <xf numFmtId="0" fontId="0" fillId="0" borderId="0" xfId="0" applyAlignment="1">
      <alignment horizontal="left" indent="1"/>
    </xf>
    <xf numFmtId="0" fontId="0" fillId="5" borderId="4" xfId="0" applyFill="1" applyBorder="1" applyAlignment="1" applyProtection="1">
      <protection locked="0"/>
    </xf>
    <xf numFmtId="0" fontId="3" fillId="3" borderId="0" xfId="0" applyFont="1" applyFill="1" applyAlignment="1"/>
    <xf numFmtId="0" fontId="3" fillId="3" borderId="0" xfId="0" applyFont="1" applyFill="1" applyAlignment="1">
      <alignment vertical="center"/>
    </xf>
    <xf numFmtId="0" fontId="3" fillId="3" borderId="1" xfId="0" applyFont="1" applyFill="1" applyBorder="1" applyAlignment="1">
      <alignment vertical="center"/>
    </xf>
    <xf numFmtId="0" fontId="0" fillId="5" borderId="5" xfId="0" applyFill="1" applyBorder="1" applyAlignment="1" applyProtection="1">
      <alignment vertical="center"/>
      <protection locked="0"/>
    </xf>
    <xf numFmtId="0" fontId="3" fillId="4" borderId="2" xfId="0" applyFont="1" applyFill="1" applyBorder="1" applyAlignment="1"/>
    <xf numFmtId="0" fontId="3" fillId="4" borderId="3" xfId="0" applyFont="1" applyFill="1" applyBorder="1" applyAlignment="1"/>
    <xf numFmtId="0" fontId="0" fillId="5" borderId="5" xfId="0" applyFill="1" applyBorder="1" applyAlignment="1" applyProtection="1">
      <protection locked="0"/>
    </xf>
    <xf numFmtId="0" fontId="0" fillId="5" borderId="6" xfId="0" applyFill="1" applyBorder="1" applyAlignment="1" applyProtection="1">
      <protection locked="0"/>
    </xf>
    <xf numFmtId="0" fontId="7" fillId="3" borderId="0" xfId="0" applyFont="1" applyFill="1" applyAlignment="1">
      <alignment vertical="center" wrapText="1"/>
    </xf>
    <xf numFmtId="9" fontId="0" fillId="5" borderId="5" xfId="0" applyNumberFormat="1" applyFill="1" applyBorder="1" applyAlignment="1" applyProtection="1">
      <protection locked="0"/>
    </xf>
    <xf numFmtId="0" fontId="3" fillId="3" borderId="1" xfId="0" applyFont="1" applyFill="1" applyBorder="1" applyAlignment="1"/>
    <xf numFmtId="14" fontId="0" fillId="5" borderId="5" xfId="0" applyNumberFormat="1" applyFill="1" applyBorder="1" applyAlignment="1" applyProtection="1">
      <protection locked="0"/>
    </xf>
    <xf numFmtId="3" fontId="0" fillId="5" borderId="4" xfId="0" applyNumberFormat="1" applyFill="1" applyBorder="1" applyAlignment="1" applyProtection="1">
      <protection locked="0"/>
    </xf>
    <xf numFmtId="0" fontId="4" fillId="2" borderId="9" xfId="0" applyFont="1" applyFill="1" applyBorder="1" applyAlignment="1">
      <alignment vertical="center" wrapText="1"/>
    </xf>
    <xf numFmtId="0" fontId="4" fillId="2" borderId="10" xfId="0" applyFont="1" applyFill="1" applyBorder="1" applyAlignment="1">
      <alignment vertical="center" wrapText="1"/>
    </xf>
    <xf numFmtId="0" fontId="4" fillId="2" borderId="11" xfId="0" applyFont="1" applyFill="1" applyBorder="1" applyAlignment="1">
      <alignment vertical="center" wrapText="1"/>
    </xf>
    <xf numFmtId="0" fontId="4" fillId="2" borderId="12" xfId="0" applyFont="1" applyFill="1" applyBorder="1" applyAlignment="1">
      <alignment vertical="center" wrapText="1"/>
    </xf>
    <xf numFmtId="0" fontId="4" fillId="2" borderId="4" xfId="0" applyFont="1" applyFill="1" applyBorder="1" applyAlignment="1">
      <alignment vertical="center" wrapText="1"/>
    </xf>
    <xf numFmtId="0" fontId="4" fillId="2" borderId="13" xfId="0" applyFont="1" applyFill="1" applyBorder="1" applyAlignment="1">
      <alignment vertical="center" wrapText="1"/>
    </xf>
    <xf numFmtId="0" fontId="0" fillId="2" borderId="12" xfId="0" applyFill="1" applyBorder="1" applyAlignment="1">
      <alignment vertical="center" wrapText="1"/>
    </xf>
    <xf numFmtId="0" fontId="0" fillId="2" borderId="4" xfId="0" applyFill="1" applyBorder="1" applyAlignment="1">
      <alignment vertical="center" wrapText="1"/>
    </xf>
    <xf numFmtId="0" fontId="0" fillId="2" borderId="13" xfId="0" applyFill="1" applyBorder="1" applyAlignment="1">
      <alignment vertical="center" wrapText="1"/>
    </xf>
    <xf numFmtId="0" fontId="0" fillId="2" borderId="14" xfId="0" applyFill="1" applyBorder="1" applyAlignment="1">
      <alignment vertical="center" wrapText="1"/>
    </xf>
    <xf numFmtId="0" fontId="0" fillId="2" borderId="15" xfId="0" applyFill="1" applyBorder="1" applyAlignment="1">
      <alignment vertical="center" wrapText="1"/>
    </xf>
    <xf numFmtId="0" fontId="0" fillId="2" borderId="16" xfId="0" applyFill="1" applyBorder="1" applyAlignment="1">
      <alignment vertical="center" wrapText="1"/>
    </xf>
    <xf numFmtId="14" fontId="0" fillId="6" borderId="5" xfId="0" applyNumberFormat="1" applyFill="1" applyBorder="1" applyAlignment="1"/>
    <xf numFmtId="14" fontId="0" fillId="6" borderId="6" xfId="0" applyNumberFormat="1" applyFill="1" applyBorder="1" applyAlignment="1"/>
    <xf numFmtId="1" fontId="0" fillId="6" borderId="5" xfId="0" applyNumberFormat="1" applyFill="1" applyBorder="1" applyAlignment="1"/>
    <xf numFmtId="1" fontId="0" fillId="6" borderId="6" xfId="0" applyNumberFormat="1" applyFill="1" applyBorder="1" applyAlignment="1"/>
    <xf numFmtId="1" fontId="0" fillId="6" borderId="4" xfId="0" applyNumberFormat="1" applyFill="1" applyBorder="1" applyAlignment="1"/>
    <xf numFmtId="0" fontId="9" fillId="3" borderId="0" xfId="0" applyFont="1" applyFill="1" applyBorder="1" applyAlignment="1"/>
    <xf numFmtId="0" fontId="0" fillId="5" borderId="4" xfId="0" applyFill="1" applyBorder="1" applyAlignment="1"/>
    <xf numFmtId="0" fontId="3" fillId="3" borderId="0" xfId="0" applyFont="1" applyFill="1" applyBorder="1" applyAlignment="1"/>
    <xf numFmtId="167" fontId="8" fillId="3" borderId="0" xfId="0" applyNumberFormat="1" applyFont="1" applyFill="1" applyBorder="1" applyAlignment="1"/>
    <xf numFmtId="0" fontId="3" fillId="4" borderId="8" xfId="0" applyFont="1" applyFill="1" applyBorder="1" applyAlignment="1"/>
    <xf numFmtId="167" fontId="0" fillId="5" borderId="5" xfId="0" applyNumberFormat="1" applyFill="1" applyBorder="1" applyAlignment="1" applyProtection="1">
      <protection locked="0"/>
    </xf>
    <xf numFmtId="165" fontId="0" fillId="5" borderId="5" xfId="0" applyNumberFormat="1" applyFill="1" applyBorder="1" applyAlignment="1" applyProtection="1">
      <protection locked="0"/>
    </xf>
    <xf numFmtId="166" fontId="0" fillId="5" borderId="5" xfId="2" applyNumberFormat="1" applyFont="1" applyFill="1" applyBorder="1" applyAlignment="1" applyProtection="1">
      <protection locked="0"/>
    </xf>
    <xf numFmtId="0" fontId="3" fillId="0" borderId="28" xfId="0" applyFont="1" applyBorder="1" applyAlignment="1">
      <alignment horizontal="left"/>
    </xf>
    <xf numFmtId="0" fontId="0" fillId="11" borderId="20" xfId="0" applyFill="1" applyBorder="1"/>
    <xf numFmtId="0" fontId="0" fillId="11" borderId="21" xfId="0" applyFill="1" applyBorder="1"/>
    <xf numFmtId="16" fontId="0" fillId="11" borderId="20" xfId="0" applyNumberFormat="1" applyFill="1" applyBorder="1"/>
    <xf numFmtId="0" fontId="0" fillId="11" borderId="22" xfId="0" applyFill="1" applyBorder="1"/>
    <xf numFmtId="0" fontId="0" fillId="11" borderId="23" xfId="0" applyFill="1" applyBorder="1"/>
    <xf numFmtId="0" fontId="7" fillId="3" borderId="0" xfId="0" applyFont="1" applyFill="1" applyAlignment="1">
      <alignment horizontal="center" vertical="center" wrapText="1"/>
    </xf>
    <xf numFmtId="0" fontId="0" fillId="11" borderId="17" xfId="0" applyFill="1" applyBorder="1" applyAlignment="1">
      <alignment horizontal="center"/>
    </xf>
    <xf numFmtId="0" fontId="0" fillId="11" borderId="18" xfId="0" applyFill="1" applyBorder="1" applyAlignment="1">
      <alignment horizontal="center"/>
    </xf>
  </cellXfs>
  <cellStyles count="3">
    <cellStyle name="Comma" xfId="1" builtinId="3"/>
    <cellStyle name="Normal" xfId="0" builtinId="0"/>
    <cellStyle name="Percent" xfId="2" builtinId="5"/>
  </cellStyles>
  <dxfs count="4">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top style="thin">
          <color auto="1"/>
        </top>
        <vertical/>
        <horizontal/>
      </border>
    </dxf>
    <dxf>
      <font>
        <color theme="9" tint="0.79998168889431442"/>
      </font>
      <fill>
        <patternFill>
          <bgColor theme="9" tint="0.79998168889431442"/>
        </patternFill>
      </fill>
      <border>
        <left/>
        <right/>
        <top/>
        <bottom/>
        <vertical/>
        <horizontal/>
      </border>
    </dxf>
  </dxfs>
  <tableStyles count="0" defaultTableStyle="TableStyleMedium2" defaultPivotStyle="PivotStyleLight16"/>
  <colors>
    <mruColors>
      <color rgb="FFFBFB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b="1"/>
              <a:t>Crop</a:t>
            </a:r>
            <a:r>
              <a:rPr lang="en-NZ" b="1" baseline="0"/>
              <a:t> Nitrogen Budget - Planned</a:t>
            </a:r>
            <a:endParaRPr lang="en-NZ"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424554330708662"/>
          <c:y val="6.7661892329509005E-2"/>
          <c:w val="0.82604128083989503"/>
          <c:h val="0.86205778438857628"/>
        </c:manualLayout>
      </c:layout>
      <c:barChart>
        <c:barDir val="col"/>
        <c:grouping val="stacked"/>
        <c:varyColors val="0"/>
        <c:ser>
          <c:idx val="0"/>
          <c:order val="0"/>
          <c:tx>
            <c:strRef>
              <c:f>Backend!$F$19</c:f>
              <c:strCache>
                <c:ptCount val="1"/>
                <c:pt idx="0">
                  <c:v>Soil mineral N</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Backend!$E$20:$E$21</c:f>
              <c:strCache>
                <c:ptCount val="2"/>
                <c:pt idx="0">
                  <c:v>Inputs</c:v>
                </c:pt>
                <c:pt idx="1">
                  <c:v>Outputs</c:v>
                </c:pt>
              </c:strCache>
            </c:strRef>
          </c:cat>
          <c:val>
            <c:numRef>
              <c:f>Backend!$F$20:$F$21</c:f>
              <c:numCache>
                <c:formatCode>0</c:formatCode>
                <c:ptCount val="2"/>
                <c:pt idx="0">
                  <c:v>20</c:v>
                </c:pt>
                <c:pt idx="1">
                  <c:v>94.615051489285634</c:v>
                </c:pt>
              </c:numCache>
            </c:numRef>
          </c:val>
          <c:extLst>
            <c:ext xmlns:c16="http://schemas.microsoft.com/office/drawing/2014/chart" uri="{C3380CC4-5D6E-409C-BE32-E72D297353CC}">
              <c16:uniqueId val="{00000000-F8A2-4807-BF3D-7B70C143FF8D}"/>
            </c:ext>
          </c:extLst>
        </c:ser>
        <c:ser>
          <c:idx val="1"/>
          <c:order val="1"/>
          <c:tx>
            <c:strRef>
              <c:f>Backend!$G$19</c:f>
              <c:strCache>
                <c:ptCount val="1"/>
                <c:pt idx="0">
                  <c:v>Previous crop residue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Backend!$E$20:$E$21</c:f>
              <c:strCache>
                <c:ptCount val="2"/>
                <c:pt idx="0">
                  <c:v>Inputs</c:v>
                </c:pt>
                <c:pt idx="1">
                  <c:v>Outputs</c:v>
                </c:pt>
              </c:strCache>
            </c:strRef>
          </c:cat>
          <c:val>
            <c:numRef>
              <c:f>Backend!$G$20:$G$21</c:f>
              <c:numCache>
                <c:formatCode>0</c:formatCode>
                <c:ptCount val="2"/>
                <c:pt idx="0">
                  <c:v>10</c:v>
                </c:pt>
              </c:numCache>
            </c:numRef>
          </c:val>
          <c:extLst>
            <c:ext xmlns:c16="http://schemas.microsoft.com/office/drawing/2014/chart" uri="{C3380CC4-5D6E-409C-BE32-E72D297353CC}">
              <c16:uniqueId val="{00000001-F8A2-4807-BF3D-7B70C143FF8D}"/>
            </c:ext>
          </c:extLst>
        </c:ser>
        <c:ser>
          <c:idx val="2"/>
          <c:order val="2"/>
          <c:tx>
            <c:strRef>
              <c:f>Backend!$H$19</c:f>
              <c:strCache>
                <c:ptCount val="1"/>
                <c:pt idx="0">
                  <c:v>Soil mineralisation</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Backend!$E$20:$E$21</c:f>
              <c:strCache>
                <c:ptCount val="2"/>
                <c:pt idx="0">
                  <c:v>Inputs</c:v>
                </c:pt>
                <c:pt idx="1">
                  <c:v>Outputs</c:v>
                </c:pt>
              </c:strCache>
            </c:strRef>
          </c:cat>
          <c:val>
            <c:numRef>
              <c:f>Backend!$H$20:$H$21</c:f>
              <c:numCache>
                <c:formatCode>0</c:formatCode>
                <c:ptCount val="2"/>
                <c:pt idx="0">
                  <c:v>20</c:v>
                </c:pt>
              </c:numCache>
            </c:numRef>
          </c:val>
          <c:extLst>
            <c:ext xmlns:c16="http://schemas.microsoft.com/office/drawing/2014/chart" uri="{C3380CC4-5D6E-409C-BE32-E72D297353CC}">
              <c16:uniqueId val="{00000002-F8A2-4807-BF3D-7B70C143FF8D}"/>
            </c:ext>
          </c:extLst>
        </c:ser>
        <c:ser>
          <c:idx val="3"/>
          <c:order val="3"/>
          <c:tx>
            <c:strRef>
              <c:f>Backend!$I$19</c:f>
              <c:strCache>
                <c:ptCount val="1"/>
                <c:pt idx="0">
                  <c:v>Fertiliser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Backend!$E$20:$E$21</c:f>
              <c:strCache>
                <c:ptCount val="2"/>
                <c:pt idx="0">
                  <c:v>Inputs</c:v>
                </c:pt>
                <c:pt idx="1">
                  <c:v>Outputs</c:v>
                </c:pt>
              </c:strCache>
            </c:strRef>
          </c:cat>
          <c:val>
            <c:numRef>
              <c:f>Backend!$I$20:$I$21</c:f>
              <c:numCache>
                <c:formatCode>0</c:formatCode>
                <c:ptCount val="2"/>
                <c:pt idx="0">
                  <c:v>174.12244897959184</c:v>
                </c:pt>
              </c:numCache>
            </c:numRef>
          </c:val>
          <c:extLst>
            <c:ext xmlns:c16="http://schemas.microsoft.com/office/drawing/2014/chart" uri="{C3380CC4-5D6E-409C-BE32-E72D297353CC}">
              <c16:uniqueId val="{00000003-F8A2-4807-BF3D-7B70C143FF8D}"/>
            </c:ext>
          </c:extLst>
        </c:ser>
        <c:ser>
          <c:idx val="4"/>
          <c:order val="4"/>
          <c:tx>
            <c:strRef>
              <c:f>Backend!$J$19</c:f>
              <c:strCache>
                <c:ptCount val="1"/>
                <c:pt idx="0">
                  <c:v>Leaching</c:v>
                </c:pt>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Backend!$E$20:$E$21</c:f>
              <c:strCache>
                <c:ptCount val="2"/>
                <c:pt idx="0">
                  <c:v>Inputs</c:v>
                </c:pt>
                <c:pt idx="1">
                  <c:v>Outputs</c:v>
                </c:pt>
              </c:strCache>
            </c:strRef>
          </c:cat>
          <c:val>
            <c:numRef>
              <c:f>Backend!$J$20:$J$21</c:f>
              <c:numCache>
                <c:formatCode>0</c:formatCode>
                <c:ptCount val="2"/>
                <c:pt idx="1">
                  <c:v>34.824489795918367</c:v>
                </c:pt>
              </c:numCache>
            </c:numRef>
          </c:val>
          <c:extLst>
            <c:ext xmlns:c16="http://schemas.microsoft.com/office/drawing/2014/chart" uri="{C3380CC4-5D6E-409C-BE32-E72D297353CC}">
              <c16:uniqueId val="{00000004-F8A2-4807-BF3D-7B70C143FF8D}"/>
            </c:ext>
          </c:extLst>
        </c:ser>
        <c:ser>
          <c:idx val="5"/>
          <c:order val="5"/>
          <c:tx>
            <c:strRef>
              <c:f>Backend!$K$19</c:f>
              <c:strCache>
                <c:ptCount val="1"/>
                <c:pt idx="0">
                  <c:v>Exported crop</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Backend!$E$20:$E$21</c:f>
              <c:strCache>
                <c:ptCount val="2"/>
                <c:pt idx="0">
                  <c:v>Inputs</c:v>
                </c:pt>
                <c:pt idx="1">
                  <c:v>Outputs</c:v>
                </c:pt>
              </c:strCache>
            </c:strRef>
          </c:cat>
          <c:val>
            <c:numRef>
              <c:f>Backend!$K$20:$K$21</c:f>
              <c:numCache>
                <c:formatCode>0</c:formatCode>
                <c:ptCount val="2"/>
                <c:pt idx="1">
                  <c:v>69.591937155375049</c:v>
                </c:pt>
              </c:numCache>
            </c:numRef>
          </c:val>
          <c:extLst>
            <c:ext xmlns:c16="http://schemas.microsoft.com/office/drawing/2014/chart" uri="{C3380CC4-5D6E-409C-BE32-E72D297353CC}">
              <c16:uniqueId val="{00000005-F8A2-4807-BF3D-7B70C143FF8D}"/>
            </c:ext>
          </c:extLst>
        </c:ser>
        <c:ser>
          <c:idx val="6"/>
          <c:order val="6"/>
          <c:tx>
            <c:strRef>
              <c:f>Backend!$L$19</c:f>
              <c:strCache>
                <c:ptCount val="1"/>
                <c:pt idx="0">
                  <c:v>Crop residue</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Backend!$E$20:$E$21</c:f>
              <c:strCache>
                <c:ptCount val="2"/>
                <c:pt idx="0">
                  <c:v>Inputs</c:v>
                </c:pt>
                <c:pt idx="1">
                  <c:v>Outputs</c:v>
                </c:pt>
              </c:strCache>
            </c:strRef>
          </c:cat>
          <c:val>
            <c:numRef>
              <c:f>Backend!$L$20:$L$21</c:f>
              <c:numCache>
                <c:formatCode>0</c:formatCode>
                <c:ptCount val="2"/>
                <c:pt idx="1">
                  <c:v>25.090970539012787</c:v>
                </c:pt>
              </c:numCache>
            </c:numRef>
          </c:val>
          <c:extLst>
            <c:ext xmlns:c16="http://schemas.microsoft.com/office/drawing/2014/chart" uri="{C3380CC4-5D6E-409C-BE32-E72D297353CC}">
              <c16:uniqueId val="{00000006-F8A2-4807-BF3D-7B70C143FF8D}"/>
            </c:ext>
          </c:extLst>
        </c:ser>
        <c:ser>
          <c:idx val="7"/>
          <c:order val="7"/>
          <c:tx>
            <c:strRef>
              <c:f>Backend!$M$19</c:f>
              <c:strCache>
                <c:ptCount val="1"/>
              </c:strCache>
            </c:strRef>
          </c:tx>
          <c:spPr>
            <a:solidFill>
              <a:schemeClr val="accent2">
                <a:lumMod val="60000"/>
              </a:schemeClr>
            </a:solidFill>
            <a:ln>
              <a:noFill/>
            </a:ln>
            <a:effectLst/>
          </c:spPr>
          <c:invertIfNegative val="0"/>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8-F8A2-4807-BF3D-7B70C143FF8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Backend!$E$20:$E$21</c:f>
              <c:strCache>
                <c:ptCount val="2"/>
                <c:pt idx="0">
                  <c:v>Inputs</c:v>
                </c:pt>
                <c:pt idx="1">
                  <c:v>Outputs</c:v>
                </c:pt>
              </c:strCache>
            </c:strRef>
          </c:cat>
          <c:val>
            <c:numRef>
              <c:f>Backend!$M$20:$M$21</c:f>
              <c:numCache>
                <c:formatCode>General</c:formatCode>
                <c:ptCount val="2"/>
              </c:numCache>
            </c:numRef>
          </c:val>
          <c:extLst>
            <c:ext xmlns:c16="http://schemas.microsoft.com/office/drawing/2014/chart" uri="{C3380CC4-5D6E-409C-BE32-E72D297353CC}">
              <c16:uniqueId val="{00000009-F8A2-4807-BF3D-7B70C143FF8D}"/>
            </c:ext>
          </c:extLst>
        </c:ser>
        <c:dLbls>
          <c:dLblPos val="ctr"/>
          <c:showLegendKey val="0"/>
          <c:showVal val="1"/>
          <c:showCatName val="0"/>
          <c:showSerName val="0"/>
          <c:showPercent val="0"/>
          <c:showBubbleSize val="0"/>
        </c:dLbls>
        <c:gapWidth val="150"/>
        <c:overlap val="100"/>
        <c:axId val="565468608"/>
        <c:axId val="565471936"/>
      </c:barChart>
      <c:catAx>
        <c:axId val="56546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565471936"/>
        <c:crosses val="autoZero"/>
        <c:auto val="1"/>
        <c:lblAlgn val="ctr"/>
        <c:lblOffset val="100"/>
        <c:noMultiLvlLbl val="0"/>
      </c:catAx>
      <c:valAx>
        <c:axId val="565471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NZ" sz="1600"/>
                  <a:t>kg N/ha</a:t>
                </a:r>
              </a:p>
            </c:rich>
          </c:tx>
          <c:layout>
            <c:manualLayout>
              <c:xMode val="edge"/>
              <c:yMode val="edge"/>
              <c:x val="1.4483653543307084E-2"/>
              <c:y val="0.44409306361162948"/>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65468608"/>
        <c:crosses val="autoZero"/>
        <c:crossBetween val="between"/>
      </c:valAx>
      <c:spPr>
        <a:solidFill>
          <a:sysClr val="window" lastClr="FFFFFF"/>
        </a:solidFill>
        <a:ln>
          <a:no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7"/>
          <c:order val="7"/>
          <c:tx>
            <c:strRef>
              <c:f>Backend!$AF$25</c:f>
              <c:strCache>
                <c:ptCount val="1"/>
                <c:pt idx="0">
                  <c:v>Uncertainty 1</c:v>
                </c:pt>
              </c:strCache>
            </c:strRef>
          </c:tx>
          <c:spPr>
            <a:noFill/>
            <a:ln>
              <a:noFill/>
            </a:ln>
            <a:effectLst/>
          </c:spPr>
          <c:val>
            <c:numRef>
              <c:f>Backend!$AF$26:$AF$251</c:f>
              <c:numCache>
                <c:formatCode>0.00</c:formatCode>
                <c:ptCount val="226"/>
                <c:pt idx="0">
                  <c:v>17.418032786885249</c:v>
                </c:pt>
                <c:pt idx="1">
                  <c:v>16.716939890710385</c:v>
                </c:pt>
                <c:pt idx="2">
                  <c:v>17.10874316939891</c:v>
                </c:pt>
                <c:pt idx="3">
                  <c:v>17.500546448087434</c:v>
                </c:pt>
                <c:pt idx="4">
                  <c:v>17.892349726775961</c:v>
                </c:pt>
                <c:pt idx="5">
                  <c:v>18.284153005464486</c:v>
                </c:pt>
                <c:pt idx="6">
                  <c:v>18.67595628415301</c:v>
                </c:pt>
                <c:pt idx="7">
                  <c:v>19.067759562841538</c:v>
                </c:pt>
                <c:pt idx="8">
                  <c:v>19.459562841530062</c:v>
                </c:pt>
                <c:pt idx="9">
                  <c:v>19.851366120218586</c:v>
                </c:pt>
                <c:pt idx="10">
                  <c:v>19.293730107278261</c:v>
                </c:pt>
                <c:pt idx="11">
                  <c:v>18.736094094337933</c:v>
                </c:pt>
                <c:pt idx="12">
                  <c:v>18.178458081397608</c:v>
                </c:pt>
                <c:pt idx="13">
                  <c:v>17.620822068457279</c:v>
                </c:pt>
                <c:pt idx="14">
                  <c:v>17.063186055516955</c:v>
                </c:pt>
                <c:pt idx="15">
                  <c:v>16.505550042576626</c:v>
                </c:pt>
                <c:pt idx="16">
                  <c:v>15.9479140296363</c:v>
                </c:pt>
                <c:pt idx="17">
                  <c:v>15.390278016695973</c:v>
                </c:pt>
                <c:pt idx="18">
                  <c:v>16.373948126204624</c:v>
                </c:pt>
                <c:pt idx="19">
                  <c:v>17.357618235713279</c:v>
                </c:pt>
                <c:pt idx="20">
                  <c:v>18.34128834522193</c:v>
                </c:pt>
                <c:pt idx="21">
                  <c:v>19.324958454730581</c:v>
                </c:pt>
                <c:pt idx="22">
                  <c:v>20.308628564239235</c:v>
                </c:pt>
                <c:pt idx="23">
                  <c:v>21.292298673747887</c:v>
                </c:pt>
                <c:pt idx="24">
                  <c:v>22.275968783256538</c:v>
                </c:pt>
                <c:pt idx="25">
                  <c:v>23.259638892765189</c:v>
                </c:pt>
                <c:pt idx="26">
                  <c:v>22.759426055456881</c:v>
                </c:pt>
                <c:pt idx="27">
                  <c:v>22.25921321814857</c:v>
                </c:pt>
                <c:pt idx="28">
                  <c:v>21.759000380840259</c:v>
                </c:pt>
                <c:pt idx="29">
                  <c:v>21.258787543531952</c:v>
                </c:pt>
                <c:pt idx="30">
                  <c:v>20.758574706223641</c:v>
                </c:pt>
                <c:pt idx="31">
                  <c:v>20.25836186891533</c:v>
                </c:pt>
                <c:pt idx="32">
                  <c:v>19.758149031607019</c:v>
                </c:pt>
                <c:pt idx="33">
                  <c:v>20.799242316747687</c:v>
                </c:pt>
                <c:pt idx="34">
                  <c:v>21.840335601888359</c:v>
                </c:pt>
                <c:pt idx="35">
                  <c:v>22.881428887029024</c:v>
                </c:pt>
                <c:pt idx="36">
                  <c:v>23.922522172169689</c:v>
                </c:pt>
                <c:pt idx="37">
                  <c:v>24.963615457310354</c:v>
                </c:pt>
                <c:pt idx="38">
                  <c:v>26.004708742451015</c:v>
                </c:pt>
                <c:pt idx="39">
                  <c:v>27.04580202759168</c:v>
                </c:pt>
                <c:pt idx="40">
                  <c:v>28.086895312732345</c:v>
                </c:pt>
                <c:pt idx="41">
                  <c:v>29.3753024223425</c:v>
                </c:pt>
                <c:pt idx="42">
                  <c:v>30.663709531952666</c:v>
                </c:pt>
                <c:pt idx="43">
                  <c:v>31.952116641562831</c:v>
                </c:pt>
                <c:pt idx="44">
                  <c:v>33.240523751172994</c:v>
                </c:pt>
                <c:pt idx="45">
                  <c:v>34.528930860783163</c:v>
                </c:pt>
                <c:pt idx="46">
                  <c:v>37.358644092842304</c:v>
                </c:pt>
                <c:pt idx="47">
                  <c:v>40.188357324901446</c:v>
                </c:pt>
                <c:pt idx="48">
                  <c:v>41.476764434511608</c:v>
                </c:pt>
                <c:pt idx="49">
                  <c:v>42.765171544121785</c:v>
                </c:pt>
                <c:pt idx="50">
                  <c:v>44.053578653731947</c:v>
                </c:pt>
                <c:pt idx="51">
                  <c:v>45.341985763342109</c:v>
                </c:pt>
                <c:pt idx="52">
                  <c:v>46.630392872952271</c:v>
                </c:pt>
                <c:pt idx="53">
                  <c:v>47.91879998256244</c:v>
                </c:pt>
                <c:pt idx="54">
                  <c:v>49.207207092172602</c:v>
                </c:pt>
                <c:pt idx="55">
                  <c:v>50.495614201782772</c:v>
                </c:pt>
                <c:pt idx="56">
                  <c:v>52.773276609270908</c:v>
                </c:pt>
                <c:pt idx="57">
                  <c:v>55.050939016759038</c:v>
                </c:pt>
                <c:pt idx="58">
                  <c:v>57.328601424247175</c:v>
                </c:pt>
                <c:pt idx="59">
                  <c:v>59.606263831735312</c:v>
                </c:pt>
                <c:pt idx="60">
                  <c:v>61.883926239223449</c:v>
                </c:pt>
                <c:pt idx="61">
                  <c:v>63.769785368023058</c:v>
                </c:pt>
                <c:pt idx="62">
                  <c:v>65.655644496822674</c:v>
                </c:pt>
                <c:pt idx="63">
                  <c:v>66.000197503173311</c:v>
                </c:pt>
                <c:pt idx="64">
                  <c:v>66.344750509523948</c:v>
                </c:pt>
                <c:pt idx="65">
                  <c:v>66.689303515874599</c:v>
                </c:pt>
                <c:pt idx="66">
                  <c:v>67.033856522225236</c:v>
                </c:pt>
                <c:pt idx="67">
                  <c:v>67.378409528575872</c:v>
                </c:pt>
                <c:pt idx="68">
                  <c:v>67.722962534926509</c:v>
                </c:pt>
                <c:pt idx="69">
                  <c:v>68.067515541277146</c:v>
                </c:pt>
                <c:pt idx="70">
                  <c:v>68.412068547627797</c:v>
                </c:pt>
                <c:pt idx="71">
                  <c:v>68.756621553978434</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extLst>
            <c:ext xmlns:c16="http://schemas.microsoft.com/office/drawing/2014/chart" uri="{C3380CC4-5D6E-409C-BE32-E72D297353CC}">
              <c16:uniqueId val="{0000000A-BB71-4759-84DE-8D500B621860}"/>
            </c:ext>
          </c:extLst>
        </c:ser>
        <c:ser>
          <c:idx val="9"/>
          <c:order val="9"/>
          <c:tx>
            <c:strRef>
              <c:f>Backend!$AH$25</c:f>
              <c:strCache>
                <c:ptCount val="1"/>
                <c:pt idx="0">
                  <c:v>Variability</c:v>
                </c:pt>
              </c:strCache>
            </c:strRef>
          </c:tx>
          <c:spPr>
            <a:solidFill>
              <a:schemeClr val="accent2">
                <a:lumMod val="20000"/>
                <a:lumOff val="80000"/>
              </a:schemeClr>
            </a:solidFill>
            <a:ln>
              <a:noFill/>
            </a:ln>
            <a:effectLst/>
          </c:spPr>
          <c:val>
            <c:numRef>
              <c:f>Backend!$AH$26:$AH$251</c:f>
              <c:numCache>
                <c:formatCode>0.00</c:formatCode>
                <c:ptCount val="226"/>
                <c:pt idx="0">
                  <c:v>6.1475409836065538</c:v>
                </c:pt>
                <c:pt idx="1">
                  <c:v>7.4351912568305991</c:v>
                </c:pt>
                <c:pt idx="2">
                  <c:v>7.6094535519125692</c:v>
                </c:pt>
                <c:pt idx="3">
                  <c:v>7.7837158469945393</c:v>
                </c:pt>
                <c:pt idx="4">
                  <c:v>7.9579781420765023</c:v>
                </c:pt>
                <c:pt idx="5">
                  <c:v>8.1322404371584724</c:v>
                </c:pt>
                <c:pt idx="6">
                  <c:v>8.306502732240439</c:v>
                </c:pt>
                <c:pt idx="7">
                  <c:v>8.4807650273224056</c:v>
                </c:pt>
                <c:pt idx="8">
                  <c:v>8.6550273224043757</c:v>
                </c:pt>
                <c:pt idx="9">
                  <c:v>8.8292896174863422</c:v>
                </c:pt>
                <c:pt idx="10">
                  <c:v>8.581269918007024</c:v>
                </c:pt>
                <c:pt idx="11">
                  <c:v>8.3332502185277093</c:v>
                </c:pt>
                <c:pt idx="12">
                  <c:v>8.0852305190483911</c:v>
                </c:pt>
                <c:pt idx="13">
                  <c:v>7.8372108195690764</c:v>
                </c:pt>
                <c:pt idx="14">
                  <c:v>7.5891911200897582</c:v>
                </c:pt>
                <c:pt idx="15">
                  <c:v>7.3411714206104399</c:v>
                </c:pt>
                <c:pt idx="16">
                  <c:v>7.0931517211311235</c:v>
                </c:pt>
                <c:pt idx="17">
                  <c:v>6.845132021651807</c:v>
                </c:pt>
                <c:pt idx="18">
                  <c:v>7.2826388527847357</c:v>
                </c:pt>
                <c:pt idx="19">
                  <c:v>7.7201456839176608</c:v>
                </c:pt>
                <c:pt idx="20">
                  <c:v>8.1576525150505894</c:v>
                </c:pt>
                <c:pt idx="21">
                  <c:v>8.5951593461835181</c:v>
                </c:pt>
                <c:pt idx="22">
                  <c:v>9.0326661773164432</c:v>
                </c:pt>
                <c:pt idx="23">
                  <c:v>9.4701730084493718</c:v>
                </c:pt>
                <c:pt idx="24">
                  <c:v>9.9076798395823005</c:v>
                </c:pt>
                <c:pt idx="25">
                  <c:v>10.345186670715229</c:v>
                </c:pt>
                <c:pt idx="26">
                  <c:v>10.122707069853835</c:v>
                </c:pt>
                <c:pt idx="27">
                  <c:v>9.900227468992437</c:v>
                </c:pt>
                <c:pt idx="28">
                  <c:v>9.6777478681310463</c:v>
                </c:pt>
                <c:pt idx="29">
                  <c:v>9.4552682672696484</c:v>
                </c:pt>
                <c:pt idx="30">
                  <c:v>9.2327886664082541</c:v>
                </c:pt>
                <c:pt idx="31">
                  <c:v>9.0103090655468598</c:v>
                </c:pt>
                <c:pt idx="32">
                  <c:v>8.7878294646854656</c:v>
                </c:pt>
                <c:pt idx="33">
                  <c:v>9.2508763944363182</c:v>
                </c:pt>
                <c:pt idx="34">
                  <c:v>9.7139233241871636</c:v>
                </c:pt>
                <c:pt idx="35">
                  <c:v>10.176970253938016</c:v>
                </c:pt>
                <c:pt idx="36">
                  <c:v>10.640017183688865</c:v>
                </c:pt>
                <c:pt idx="37">
                  <c:v>11.103064113439707</c:v>
                </c:pt>
                <c:pt idx="38">
                  <c:v>11.56611104319056</c:v>
                </c:pt>
                <c:pt idx="39">
                  <c:v>12.029157972941402</c:v>
                </c:pt>
                <c:pt idx="40">
                  <c:v>12.492204902692251</c:v>
                </c:pt>
                <c:pt idx="41">
                  <c:v>13.065249571108822</c:v>
                </c:pt>
                <c:pt idx="42">
                  <c:v>13.63829423952539</c:v>
                </c:pt>
                <c:pt idx="43">
                  <c:v>14.211338907941965</c:v>
                </c:pt>
                <c:pt idx="44">
                  <c:v>14.784383576358536</c:v>
                </c:pt>
                <c:pt idx="45">
                  <c:v>15.3574282447751</c:v>
                </c:pt>
                <c:pt idx="46">
                  <c:v>16.615999443803922</c:v>
                </c:pt>
                <c:pt idx="47">
                  <c:v>17.874570642832737</c:v>
                </c:pt>
                <c:pt idx="48">
                  <c:v>18.447615311249308</c:v>
                </c:pt>
                <c:pt idx="49">
                  <c:v>19.020659979665879</c:v>
                </c:pt>
                <c:pt idx="50">
                  <c:v>19.593704648082451</c:v>
                </c:pt>
                <c:pt idx="51">
                  <c:v>20.166749316499022</c:v>
                </c:pt>
                <c:pt idx="52">
                  <c:v>20.739793984915593</c:v>
                </c:pt>
                <c:pt idx="53">
                  <c:v>21.312838653332157</c:v>
                </c:pt>
                <c:pt idx="54">
                  <c:v>21.885883321748743</c:v>
                </c:pt>
                <c:pt idx="55">
                  <c:v>22.458927990165307</c:v>
                </c:pt>
                <c:pt idx="56">
                  <c:v>23.471963613244753</c:v>
                </c:pt>
                <c:pt idx="57">
                  <c:v>24.484999236324207</c:v>
                </c:pt>
                <c:pt idx="58">
                  <c:v>25.498034859403653</c:v>
                </c:pt>
                <c:pt idx="59">
                  <c:v>26.511070482483113</c:v>
                </c:pt>
                <c:pt idx="60">
                  <c:v>27.524106105562559</c:v>
                </c:pt>
                <c:pt idx="61">
                  <c:v>28.362879433560046</c:v>
                </c:pt>
                <c:pt idx="62">
                  <c:v>29.201652761557526</c:v>
                </c:pt>
                <c:pt idx="63">
                  <c:v>29.354899558942776</c:v>
                </c:pt>
                <c:pt idx="64">
                  <c:v>29.508146356328027</c:v>
                </c:pt>
                <c:pt idx="65">
                  <c:v>29.661393153713249</c:v>
                </c:pt>
                <c:pt idx="66">
                  <c:v>29.814639951098499</c:v>
                </c:pt>
                <c:pt idx="67">
                  <c:v>29.96788674848375</c:v>
                </c:pt>
                <c:pt idx="68">
                  <c:v>30.121133545868986</c:v>
                </c:pt>
                <c:pt idx="69">
                  <c:v>30.274380343254236</c:v>
                </c:pt>
                <c:pt idx="70">
                  <c:v>30.427627140639473</c:v>
                </c:pt>
                <c:pt idx="71">
                  <c:v>30.580873938024709</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extLst>
            <c:ext xmlns:c16="http://schemas.microsoft.com/office/drawing/2014/chart" uri="{C3380CC4-5D6E-409C-BE32-E72D297353CC}">
              <c16:uniqueId val="{0000000C-BB71-4759-84DE-8D500B621860}"/>
            </c:ext>
          </c:extLst>
        </c:ser>
        <c:dLbls>
          <c:showLegendKey val="0"/>
          <c:showVal val="0"/>
          <c:showCatName val="0"/>
          <c:showSerName val="0"/>
          <c:showPercent val="0"/>
          <c:showBubbleSize val="0"/>
        </c:dLbls>
        <c:axId val="811186704"/>
        <c:axId val="811187536"/>
      </c:areaChart>
      <c:barChart>
        <c:barDir val="col"/>
        <c:grouping val="clustered"/>
        <c:varyColors val="0"/>
        <c:ser>
          <c:idx val="1"/>
          <c:order val="1"/>
          <c:tx>
            <c:v>Fert N</c:v>
          </c:tx>
          <c:spPr>
            <a:solidFill>
              <a:schemeClr val="accent2"/>
            </a:solidFill>
            <a:ln>
              <a:solidFill>
                <a:schemeClr val="accent2"/>
              </a:solidFill>
            </a:ln>
            <a:effectLst/>
          </c:spPr>
          <c:invertIfNegative val="0"/>
          <c:dPt>
            <c:idx val="16"/>
            <c:invertIfNegative val="0"/>
            <c:bubble3D val="0"/>
            <c:spPr>
              <a:solidFill>
                <a:schemeClr val="accent2"/>
              </a:solidFill>
              <a:ln w="19050">
                <a:solidFill>
                  <a:schemeClr val="accent2"/>
                </a:solidFill>
              </a:ln>
              <a:effectLst/>
            </c:spPr>
            <c:extLst>
              <c:ext xmlns:c16="http://schemas.microsoft.com/office/drawing/2014/chart" uri="{C3380CC4-5D6E-409C-BE32-E72D297353CC}">
                <c16:uniqueId val="{0000000B-8F3A-4CED-B35A-9EFBA0F917EB}"/>
              </c:ext>
            </c:extLst>
          </c:dPt>
          <c:dPt>
            <c:idx val="22"/>
            <c:invertIfNegative val="0"/>
            <c:bubble3D val="0"/>
            <c:spPr>
              <a:solidFill>
                <a:schemeClr val="accent2"/>
              </a:solidFill>
              <a:ln w="19050">
                <a:solidFill>
                  <a:schemeClr val="accent2"/>
                </a:solidFill>
              </a:ln>
              <a:effectLst/>
            </c:spPr>
            <c:extLst>
              <c:ext xmlns:c16="http://schemas.microsoft.com/office/drawing/2014/chart" uri="{C3380CC4-5D6E-409C-BE32-E72D297353CC}">
                <c16:uniqueId val="{00000001-8F3A-4CED-B35A-9EFBA0F917EB}"/>
              </c:ext>
            </c:extLst>
          </c:dPt>
          <c:cat>
            <c:strRef>
              <c:f>Backend!$P$26:$P$251</c:f>
              <c:strCache>
                <c:ptCount val="81"/>
                <c:pt idx="0">
                  <c:v>5/09/2021</c:v>
                </c:pt>
                <c:pt idx="1">
                  <c:v>6/09/2021</c:v>
                </c:pt>
                <c:pt idx="2">
                  <c:v>7/09/2021</c:v>
                </c:pt>
                <c:pt idx="3">
                  <c:v>8/09/2021</c:v>
                </c:pt>
                <c:pt idx="4">
                  <c:v>9/09/2021</c:v>
                </c:pt>
                <c:pt idx="5">
                  <c:v>10/09/2021</c:v>
                </c:pt>
                <c:pt idx="6">
                  <c:v>11/09/2021</c:v>
                </c:pt>
                <c:pt idx="7">
                  <c:v>12/09/2021</c:v>
                </c:pt>
                <c:pt idx="8">
                  <c:v>13/09/2021</c:v>
                </c:pt>
                <c:pt idx="9">
                  <c:v>14/09/2021</c:v>
                </c:pt>
                <c:pt idx="10">
                  <c:v>15/09/2021</c:v>
                </c:pt>
                <c:pt idx="11">
                  <c:v>16/09/2021</c:v>
                </c:pt>
                <c:pt idx="12">
                  <c:v>17/09/2021</c:v>
                </c:pt>
                <c:pt idx="13">
                  <c:v>18/09/2021</c:v>
                </c:pt>
                <c:pt idx="14">
                  <c:v>19/09/2021</c:v>
                </c:pt>
                <c:pt idx="15">
                  <c:v>20/09/2021</c:v>
                </c:pt>
                <c:pt idx="16">
                  <c:v>21/09/2021</c:v>
                </c:pt>
                <c:pt idx="17">
                  <c:v>22/09/2021</c:v>
                </c:pt>
                <c:pt idx="18">
                  <c:v>23/09/2021</c:v>
                </c:pt>
                <c:pt idx="19">
                  <c:v>24/09/2021</c:v>
                </c:pt>
                <c:pt idx="20">
                  <c:v>25/09/2021</c:v>
                </c:pt>
                <c:pt idx="21">
                  <c:v>26/09/2021</c:v>
                </c:pt>
                <c:pt idx="22">
                  <c:v>27/09/2021</c:v>
                </c:pt>
                <c:pt idx="23">
                  <c:v>28/09/2021</c:v>
                </c:pt>
                <c:pt idx="24">
                  <c:v>29/09/2021</c:v>
                </c:pt>
                <c:pt idx="25">
                  <c:v>30/09/2021</c:v>
                </c:pt>
                <c:pt idx="26">
                  <c:v>1/10/2021</c:v>
                </c:pt>
                <c:pt idx="27">
                  <c:v>2/10/2021</c:v>
                </c:pt>
                <c:pt idx="28">
                  <c:v>3/10/2021</c:v>
                </c:pt>
                <c:pt idx="29">
                  <c:v>4/10/2021</c:v>
                </c:pt>
                <c:pt idx="30">
                  <c:v>5/10/2021</c:v>
                </c:pt>
                <c:pt idx="31">
                  <c:v>6/10/2021</c:v>
                </c:pt>
                <c:pt idx="32">
                  <c:v>7/10/2021</c:v>
                </c:pt>
                <c:pt idx="33">
                  <c:v>8/10/2021</c:v>
                </c:pt>
                <c:pt idx="34">
                  <c:v>9/10/2021</c:v>
                </c:pt>
                <c:pt idx="35">
                  <c:v>10/10/2021</c:v>
                </c:pt>
                <c:pt idx="36">
                  <c:v>11/10/2021</c:v>
                </c:pt>
                <c:pt idx="37">
                  <c:v>12/10/2021</c:v>
                </c:pt>
                <c:pt idx="38">
                  <c:v>13/10/2021</c:v>
                </c:pt>
                <c:pt idx="39">
                  <c:v>14/10/2021</c:v>
                </c:pt>
                <c:pt idx="40">
                  <c:v>15/10/2021</c:v>
                </c:pt>
                <c:pt idx="41">
                  <c:v>16/10/2021</c:v>
                </c:pt>
                <c:pt idx="42">
                  <c:v>17/10/2021</c:v>
                </c:pt>
                <c:pt idx="43">
                  <c:v>18/10/2021</c:v>
                </c:pt>
                <c:pt idx="44">
                  <c:v>19/10/2021</c:v>
                </c:pt>
                <c:pt idx="45">
                  <c:v>20/10/2021</c:v>
                </c:pt>
                <c:pt idx="46">
                  <c:v>21/10/2021</c:v>
                </c:pt>
                <c:pt idx="47">
                  <c:v>22/10/2021</c:v>
                </c:pt>
                <c:pt idx="48">
                  <c:v>23/10/2021</c:v>
                </c:pt>
                <c:pt idx="49">
                  <c:v>24/10/2021</c:v>
                </c:pt>
                <c:pt idx="50">
                  <c:v>25/10/2021</c:v>
                </c:pt>
                <c:pt idx="51">
                  <c:v>26/10/2021</c:v>
                </c:pt>
                <c:pt idx="52">
                  <c:v>27/10/2021</c:v>
                </c:pt>
                <c:pt idx="53">
                  <c:v>28/10/2021</c:v>
                </c:pt>
                <c:pt idx="54">
                  <c:v>29/10/2021</c:v>
                </c:pt>
                <c:pt idx="55">
                  <c:v>30/10/2021</c:v>
                </c:pt>
                <c:pt idx="56">
                  <c:v>31/10/2021</c:v>
                </c:pt>
                <c:pt idx="57">
                  <c:v>1/11/2021</c:v>
                </c:pt>
                <c:pt idx="58">
                  <c:v>2/11/2021</c:v>
                </c:pt>
                <c:pt idx="59">
                  <c:v>3/11/2021</c:v>
                </c:pt>
                <c:pt idx="60">
                  <c:v>4/11/2021</c:v>
                </c:pt>
                <c:pt idx="61">
                  <c:v>5/11/2021</c:v>
                </c:pt>
                <c:pt idx="62">
                  <c:v>6/11/2021</c:v>
                </c:pt>
                <c:pt idx="63">
                  <c:v>7/11/2021</c:v>
                </c:pt>
                <c:pt idx="64">
                  <c:v>8/11/2021</c:v>
                </c:pt>
                <c:pt idx="65">
                  <c:v>9/11/2021</c:v>
                </c:pt>
                <c:pt idx="66">
                  <c:v>10/11/2021</c:v>
                </c:pt>
                <c:pt idx="67">
                  <c:v>11/11/2021</c:v>
                </c:pt>
                <c:pt idx="68">
                  <c:v>12/11/2021</c:v>
                </c:pt>
                <c:pt idx="69">
                  <c:v>13/11/2021</c:v>
                </c:pt>
                <c:pt idx="70">
                  <c:v>14/11/2021</c:v>
                </c:pt>
                <c:pt idx="71">
                  <c:v>15/11/2021</c:v>
                </c:pt>
                <c:pt idx="72">
                  <c:v>16/11/2021</c:v>
                </c:pt>
                <c:pt idx="73">
                  <c:v>17/11/2021</c:v>
                </c:pt>
                <c:pt idx="74">
                  <c:v>18/11/2021</c:v>
                </c:pt>
                <c:pt idx="75">
                  <c:v>19/11/2021</c:v>
                </c:pt>
                <c:pt idx="76">
                  <c:v>20/11/2021</c:v>
                </c:pt>
                <c:pt idx="77">
                  <c:v>21/11/2021</c:v>
                </c:pt>
                <c:pt idx="78">
                  <c:v>22/11/2021</c:v>
                </c:pt>
                <c:pt idx="79">
                  <c:v>23/11/2021</c:v>
                </c:pt>
                <c:pt idx="80">
                  <c:v>24/11/2021</c:v>
                </c:pt>
              </c:strCache>
            </c:strRef>
          </c:cat>
          <c:val>
            <c:numRef>
              <c:f>Backend!$R$26:$R$251</c:f>
              <c:numCache>
                <c:formatCode>0</c:formatCode>
                <c:ptCount val="2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58.04081632653061</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extLst>
            <c:ext xmlns:c16="http://schemas.microsoft.com/office/drawing/2014/chart" uri="{C3380CC4-5D6E-409C-BE32-E72D297353CC}">
              <c16:uniqueId val="{00000002-8F3A-4CED-B35A-9EFBA0F917EB}"/>
            </c:ext>
          </c:extLst>
        </c:ser>
        <c:ser>
          <c:idx val="2"/>
          <c:order val="2"/>
          <c:tx>
            <c:strRef>
              <c:f>Backend!$S$25</c:f>
              <c:strCache>
                <c:ptCount val="1"/>
                <c:pt idx="0">
                  <c:v>Fert 2</c:v>
                </c:pt>
              </c:strCache>
            </c:strRef>
          </c:tx>
          <c:spPr>
            <a:solidFill>
              <a:schemeClr val="accent2"/>
            </a:solidFill>
            <a:ln w="19050">
              <a:solidFill>
                <a:schemeClr val="accent2"/>
              </a:solidFill>
            </a:ln>
            <a:effectLst/>
          </c:spPr>
          <c:invertIfNegative val="0"/>
          <c:val>
            <c:numRef>
              <c:f>Backend!$S$26:$S$251</c:f>
              <c:numCache>
                <c:formatCode>0</c:formatCode>
                <c:ptCount val="2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58.04081632653061</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extLst>
            <c:ext xmlns:c16="http://schemas.microsoft.com/office/drawing/2014/chart" uri="{C3380CC4-5D6E-409C-BE32-E72D297353CC}">
              <c16:uniqueId val="{00000003-8F3A-4CED-B35A-9EFBA0F917EB}"/>
            </c:ext>
          </c:extLst>
        </c:ser>
        <c:ser>
          <c:idx val="3"/>
          <c:order val="3"/>
          <c:tx>
            <c:strRef>
              <c:f>Backend!$T$25</c:f>
              <c:strCache>
                <c:ptCount val="1"/>
                <c:pt idx="0">
                  <c:v>Fert 3</c:v>
                </c:pt>
              </c:strCache>
            </c:strRef>
          </c:tx>
          <c:spPr>
            <a:solidFill>
              <a:schemeClr val="accent2"/>
            </a:solidFill>
            <a:ln>
              <a:solidFill>
                <a:schemeClr val="accent2"/>
              </a:solidFill>
            </a:ln>
            <a:effectLst/>
          </c:spPr>
          <c:invertIfNegative val="0"/>
          <c:dPt>
            <c:idx val="38"/>
            <c:invertIfNegative val="0"/>
            <c:bubble3D val="0"/>
            <c:spPr>
              <a:solidFill>
                <a:schemeClr val="accent2"/>
              </a:solidFill>
              <a:ln w="19050">
                <a:solidFill>
                  <a:schemeClr val="accent2"/>
                </a:solidFill>
              </a:ln>
              <a:effectLst/>
            </c:spPr>
            <c:extLst>
              <c:ext xmlns:c16="http://schemas.microsoft.com/office/drawing/2014/chart" uri="{C3380CC4-5D6E-409C-BE32-E72D297353CC}">
                <c16:uniqueId val="{0000000D-8F3A-4CED-B35A-9EFBA0F917EB}"/>
              </c:ext>
            </c:extLst>
          </c:dPt>
          <c:dPt>
            <c:idx val="41"/>
            <c:invertIfNegative val="0"/>
            <c:bubble3D val="0"/>
            <c:spPr>
              <a:solidFill>
                <a:schemeClr val="accent2"/>
              </a:solidFill>
              <a:ln w="19050">
                <a:solidFill>
                  <a:schemeClr val="accent2"/>
                </a:solidFill>
              </a:ln>
              <a:effectLst/>
            </c:spPr>
            <c:extLst>
              <c:ext xmlns:c16="http://schemas.microsoft.com/office/drawing/2014/chart" uri="{C3380CC4-5D6E-409C-BE32-E72D297353CC}">
                <c16:uniqueId val="{00000005-8F3A-4CED-B35A-9EFBA0F917EB}"/>
              </c:ext>
            </c:extLst>
          </c:dPt>
          <c:val>
            <c:numRef>
              <c:f>Backend!$T$26:$T$251</c:f>
              <c:numCache>
                <c:formatCode>0</c:formatCode>
                <c:ptCount val="2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58.04081632653061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extLst>
            <c:ext xmlns:c16="http://schemas.microsoft.com/office/drawing/2014/chart" uri="{C3380CC4-5D6E-409C-BE32-E72D297353CC}">
              <c16:uniqueId val="{00000006-8F3A-4CED-B35A-9EFBA0F917EB}"/>
            </c:ext>
          </c:extLst>
        </c:ser>
        <c:ser>
          <c:idx val="4"/>
          <c:order val="4"/>
          <c:tx>
            <c:strRef>
              <c:f>Backend!$U$25</c:f>
              <c:strCache>
                <c:ptCount val="1"/>
                <c:pt idx="0">
                  <c:v>Fert 4</c:v>
                </c:pt>
              </c:strCache>
            </c:strRef>
          </c:tx>
          <c:spPr>
            <a:solidFill>
              <a:schemeClr val="accent2"/>
            </a:solidFill>
            <a:ln>
              <a:solidFill>
                <a:schemeClr val="accent2"/>
              </a:solidFill>
            </a:ln>
            <a:effectLst/>
          </c:spPr>
          <c:invertIfNegative val="0"/>
          <c:dPt>
            <c:idx val="47"/>
            <c:invertIfNegative val="0"/>
            <c:bubble3D val="0"/>
            <c:spPr>
              <a:solidFill>
                <a:schemeClr val="accent2"/>
              </a:solidFill>
              <a:ln w="19050">
                <a:solidFill>
                  <a:schemeClr val="accent2"/>
                </a:solidFill>
              </a:ln>
              <a:effectLst/>
            </c:spPr>
            <c:extLst>
              <c:ext xmlns:c16="http://schemas.microsoft.com/office/drawing/2014/chart" uri="{C3380CC4-5D6E-409C-BE32-E72D297353CC}">
                <c16:uniqueId val="{00000008-8F3A-4CED-B35A-9EFBA0F917EB}"/>
              </c:ext>
            </c:extLst>
          </c:dPt>
          <c:val>
            <c:numRef>
              <c:f>Backend!$U$26:$U$251</c:f>
              <c:numCache>
                <c:formatCode>0</c:formatCode>
                <c:ptCount val="2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extLst>
            <c:ext xmlns:c16="http://schemas.microsoft.com/office/drawing/2014/chart" uri="{C3380CC4-5D6E-409C-BE32-E72D297353CC}">
              <c16:uniqueId val="{00000009-8F3A-4CED-B35A-9EFBA0F917EB}"/>
            </c:ext>
          </c:extLst>
        </c:ser>
        <c:dLbls>
          <c:showLegendKey val="0"/>
          <c:showVal val="0"/>
          <c:showCatName val="0"/>
          <c:showSerName val="0"/>
          <c:showPercent val="0"/>
          <c:showBubbleSize val="0"/>
        </c:dLbls>
        <c:gapWidth val="150"/>
        <c:axId val="811186704"/>
        <c:axId val="811187536"/>
      </c:barChart>
      <c:lineChart>
        <c:grouping val="standard"/>
        <c:varyColors val="0"/>
        <c:ser>
          <c:idx val="0"/>
          <c:order val="0"/>
          <c:tx>
            <c:v>Crop N uptake</c:v>
          </c:tx>
          <c:spPr>
            <a:ln w="28575" cap="rnd">
              <a:solidFill>
                <a:srgbClr val="00B050"/>
              </a:solidFill>
              <a:round/>
            </a:ln>
            <a:effectLst/>
          </c:spPr>
          <c:marker>
            <c:symbol val="none"/>
          </c:marker>
          <c:cat>
            <c:strRef>
              <c:f>Backend!$P$26:$P$251</c:f>
              <c:strCache>
                <c:ptCount val="81"/>
                <c:pt idx="0">
                  <c:v>5/09/2021</c:v>
                </c:pt>
                <c:pt idx="1">
                  <c:v>6/09/2021</c:v>
                </c:pt>
                <c:pt idx="2">
                  <c:v>7/09/2021</c:v>
                </c:pt>
                <c:pt idx="3">
                  <c:v>8/09/2021</c:v>
                </c:pt>
                <c:pt idx="4">
                  <c:v>9/09/2021</c:v>
                </c:pt>
                <c:pt idx="5">
                  <c:v>10/09/2021</c:v>
                </c:pt>
                <c:pt idx="6">
                  <c:v>11/09/2021</c:v>
                </c:pt>
                <c:pt idx="7">
                  <c:v>12/09/2021</c:v>
                </c:pt>
                <c:pt idx="8">
                  <c:v>13/09/2021</c:v>
                </c:pt>
                <c:pt idx="9">
                  <c:v>14/09/2021</c:v>
                </c:pt>
                <c:pt idx="10">
                  <c:v>15/09/2021</c:v>
                </c:pt>
                <c:pt idx="11">
                  <c:v>16/09/2021</c:v>
                </c:pt>
                <c:pt idx="12">
                  <c:v>17/09/2021</c:v>
                </c:pt>
                <c:pt idx="13">
                  <c:v>18/09/2021</c:v>
                </c:pt>
                <c:pt idx="14">
                  <c:v>19/09/2021</c:v>
                </c:pt>
                <c:pt idx="15">
                  <c:v>20/09/2021</c:v>
                </c:pt>
                <c:pt idx="16">
                  <c:v>21/09/2021</c:v>
                </c:pt>
                <c:pt idx="17">
                  <c:v>22/09/2021</c:v>
                </c:pt>
                <c:pt idx="18">
                  <c:v>23/09/2021</c:v>
                </c:pt>
                <c:pt idx="19">
                  <c:v>24/09/2021</c:v>
                </c:pt>
                <c:pt idx="20">
                  <c:v>25/09/2021</c:v>
                </c:pt>
                <c:pt idx="21">
                  <c:v>26/09/2021</c:v>
                </c:pt>
                <c:pt idx="22">
                  <c:v>27/09/2021</c:v>
                </c:pt>
                <c:pt idx="23">
                  <c:v>28/09/2021</c:v>
                </c:pt>
                <c:pt idx="24">
                  <c:v>29/09/2021</c:v>
                </c:pt>
                <c:pt idx="25">
                  <c:v>30/09/2021</c:v>
                </c:pt>
                <c:pt idx="26">
                  <c:v>1/10/2021</c:v>
                </c:pt>
                <c:pt idx="27">
                  <c:v>2/10/2021</c:v>
                </c:pt>
                <c:pt idx="28">
                  <c:v>3/10/2021</c:v>
                </c:pt>
                <c:pt idx="29">
                  <c:v>4/10/2021</c:v>
                </c:pt>
                <c:pt idx="30">
                  <c:v>5/10/2021</c:v>
                </c:pt>
                <c:pt idx="31">
                  <c:v>6/10/2021</c:v>
                </c:pt>
                <c:pt idx="32">
                  <c:v>7/10/2021</c:v>
                </c:pt>
                <c:pt idx="33">
                  <c:v>8/10/2021</c:v>
                </c:pt>
                <c:pt idx="34">
                  <c:v>9/10/2021</c:v>
                </c:pt>
                <c:pt idx="35">
                  <c:v>10/10/2021</c:v>
                </c:pt>
                <c:pt idx="36">
                  <c:v>11/10/2021</c:v>
                </c:pt>
                <c:pt idx="37">
                  <c:v>12/10/2021</c:v>
                </c:pt>
                <c:pt idx="38">
                  <c:v>13/10/2021</c:v>
                </c:pt>
                <c:pt idx="39">
                  <c:v>14/10/2021</c:v>
                </c:pt>
                <c:pt idx="40">
                  <c:v>15/10/2021</c:v>
                </c:pt>
                <c:pt idx="41">
                  <c:v>16/10/2021</c:v>
                </c:pt>
                <c:pt idx="42">
                  <c:v>17/10/2021</c:v>
                </c:pt>
                <c:pt idx="43">
                  <c:v>18/10/2021</c:v>
                </c:pt>
                <c:pt idx="44">
                  <c:v>19/10/2021</c:v>
                </c:pt>
                <c:pt idx="45">
                  <c:v>20/10/2021</c:v>
                </c:pt>
                <c:pt idx="46">
                  <c:v>21/10/2021</c:v>
                </c:pt>
                <c:pt idx="47">
                  <c:v>22/10/2021</c:v>
                </c:pt>
                <c:pt idx="48">
                  <c:v>23/10/2021</c:v>
                </c:pt>
                <c:pt idx="49">
                  <c:v>24/10/2021</c:v>
                </c:pt>
                <c:pt idx="50">
                  <c:v>25/10/2021</c:v>
                </c:pt>
                <c:pt idx="51">
                  <c:v>26/10/2021</c:v>
                </c:pt>
                <c:pt idx="52">
                  <c:v>27/10/2021</c:v>
                </c:pt>
                <c:pt idx="53">
                  <c:v>28/10/2021</c:v>
                </c:pt>
                <c:pt idx="54">
                  <c:v>29/10/2021</c:v>
                </c:pt>
                <c:pt idx="55">
                  <c:v>30/10/2021</c:v>
                </c:pt>
                <c:pt idx="56">
                  <c:v>31/10/2021</c:v>
                </c:pt>
                <c:pt idx="57">
                  <c:v>1/11/2021</c:v>
                </c:pt>
                <c:pt idx="58">
                  <c:v>2/11/2021</c:v>
                </c:pt>
                <c:pt idx="59">
                  <c:v>3/11/2021</c:v>
                </c:pt>
                <c:pt idx="60">
                  <c:v>4/11/2021</c:v>
                </c:pt>
                <c:pt idx="61">
                  <c:v>5/11/2021</c:v>
                </c:pt>
                <c:pt idx="62">
                  <c:v>6/11/2021</c:v>
                </c:pt>
                <c:pt idx="63">
                  <c:v>7/11/2021</c:v>
                </c:pt>
                <c:pt idx="64">
                  <c:v>8/11/2021</c:v>
                </c:pt>
                <c:pt idx="65">
                  <c:v>9/11/2021</c:v>
                </c:pt>
                <c:pt idx="66">
                  <c:v>10/11/2021</c:v>
                </c:pt>
                <c:pt idx="67">
                  <c:v>11/11/2021</c:v>
                </c:pt>
                <c:pt idx="68">
                  <c:v>12/11/2021</c:v>
                </c:pt>
                <c:pt idx="69">
                  <c:v>13/11/2021</c:v>
                </c:pt>
                <c:pt idx="70">
                  <c:v>14/11/2021</c:v>
                </c:pt>
                <c:pt idx="71">
                  <c:v>15/11/2021</c:v>
                </c:pt>
                <c:pt idx="72">
                  <c:v>16/11/2021</c:v>
                </c:pt>
                <c:pt idx="73">
                  <c:v>17/11/2021</c:v>
                </c:pt>
                <c:pt idx="74">
                  <c:v>18/11/2021</c:v>
                </c:pt>
                <c:pt idx="75">
                  <c:v>19/11/2021</c:v>
                </c:pt>
                <c:pt idx="76">
                  <c:v>20/11/2021</c:v>
                </c:pt>
                <c:pt idx="77">
                  <c:v>21/11/2021</c:v>
                </c:pt>
                <c:pt idx="78">
                  <c:v>22/11/2021</c:v>
                </c:pt>
                <c:pt idx="79">
                  <c:v>23/11/2021</c:v>
                </c:pt>
                <c:pt idx="80">
                  <c:v>24/11/2021</c:v>
                </c:pt>
              </c:strCache>
            </c:strRef>
          </c:cat>
          <c:val>
            <c:numRef>
              <c:f>Backend!$Q$26:$Q$251</c:f>
              <c:numCache>
                <c:formatCode>General</c:formatCode>
                <c:ptCount val="226"/>
                <c:pt idx="0">
                  <c:v>0</c:v>
                </c:pt>
                <c:pt idx="1">
                  <c:v>0</c:v>
                </c:pt>
                <c:pt idx="2">
                  <c:v>0</c:v>
                </c:pt>
                <c:pt idx="3">
                  <c:v>0</c:v>
                </c:pt>
                <c:pt idx="4">
                  <c:v>0</c:v>
                </c:pt>
                <c:pt idx="5">
                  <c:v>0</c:v>
                </c:pt>
                <c:pt idx="6">
                  <c:v>0</c:v>
                </c:pt>
                <c:pt idx="7">
                  <c:v>0</c:v>
                </c:pt>
                <c:pt idx="8">
                  <c:v>0</c:v>
                </c:pt>
                <c:pt idx="9">
                  <c:v>0</c:v>
                </c:pt>
                <c:pt idx="10" formatCode="0.0">
                  <c:v>0.62087152586483829</c:v>
                </c:pt>
                <c:pt idx="11" formatCode="0.0">
                  <c:v>1.2417430517296766</c:v>
                </c:pt>
                <c:pt idx="12" formatCode="0.0">
                  <c:v>1.8626145775945149</c:v>
                </c:pt>
                <c:pt idx="13" formatCode="0.0">
                  <c:v>2.4834861034593532</c:v>
                </c:pt>
                <c:pt idx="14" formatCode="0.0">
                  <c:v>3.1043576293241912</c:v>
                </c:pt>
                <c:pt idx="15" formatCode="0.0">
                  <c:v>3.7252291551890293</c:v>
                </c:pt>
                <c:pt idx="16" formatCode="0.0">
                  <c:v>4.3461006810538674</c:v>
                </c:pt>
                <c:pt idx="17" formatCode="0.0">
                  <c:v>4.9669722069187054</c:v>
                </c:pt>
                <c:pt idx="18" formatCode="0.0">
                  <c:v>5.5878437327835435</c:v>
                </c:pt>
                <c:pt idx="19" formatCode="0.0">
                  <c:v>6.2087152586483816</c:v>
                </c:pt>
                <c:pt idx="20" formatCode="0.0">
                  <c:v>6.8295867845132197</c:v>
                </c:pt>
                <c:pt idx="21" formatCode="0.0">
                  <c:v>7.4504583103780577</c:v>
                </c:pt>
                <c:pt idx="22" formatCode="0.0">
                  <c:v>8.0713298362428958</c:v>
                </c:pt>
                <c:pt idx="23" formatCode="0.0">
                  <c:v>8.6922013621077348</c:v>
                </c:pt>
                <c:pt idx="24" formatCode="0.0">
                  <c:v>9.3130728879725737</c:v>
                </c:pt>
                <c:pt idx="25" formatCode="0.0">
                  <c:v>9.9339444138374127</c:v>
                </c:pt>
                <c:pt idx="26" formatCode="0.0">
                  <c:v>12.417430517296765</c:v>
                </c:pt>
                <c:pt idx="27" formatCode="0.0">
                  <c:v>14.900916620756117</c:v>
                </c:pt>
                <c:pt idx="28" formatCode="0.0">
                  <c:v>17.38440272421547</c:v>
                </c:pt>
                <c:pt idx="29" formatCode="0.0">
                  <c:v>19.867888827674822</c:v>
                </c:pt>
                <c:pt idx="30" formatCode="0.0">
                  <c:v>22.351374931134174</c:v>
                </c:pt>
                <c:pt idx="31" formatCode="0.0">
                  <c:v>24.834861034593526</c:v>
                </c:pt>
                <c:pt idx="32" formatCode="0.0">
                  <c:v>27.318347138052879</c:v>
                </c:pt>
                <c:pt idx="33" formatCode="0.0">
                  <c:v>29.801833241512231</c:v>
                </c:pt>
                <c:pt idx="34" formatCode="0.0">
                  <c:v>32.285319344971583</c:v>
                </c:pt>
                <c:pt idx="35" formatCode="0.0">
                  <c:v>34.768805448430939</c:v>
                </c:pt>
                <c:pt idx="36" formatCode="0.0">
                  <c:v>37.252291551890295</c:v>
                </c:pt>
                <c:pt idx="37" formatCode="0.0">
                  <c:v>39.735777655349651</c:v>
                </c:pt>
                <c:pt idx="38" formatCode="0.0">
                  <c:v>42.219263758809007</c:v>
                </c:pt>
                <c:pt idx="39" formatCode="0.0">
                  <c:v>44.702749862268362</c:v>
                </c:pt>
                <c:pt idx="40" formatCode="0.0">
                  <c:v>47.186235965727718</c:v>
                </c:pt>
                <c:pt idx="41" formatCode="0.0">
                  <c:v>49.359286306254653</c:v>
                </c:pt>
                <c:pt idx="42" formatCode="0.0">
                  <c:v>51.532336646781587</c:v>
                </c:pt>
                <c:pt idx="43" formatCode="0.0">
                  <c:v>53.705386987308522</c:v>
                </c:pt>
                <c:pt idx="44" formatCode="0.0">
                  <c:v>55.878437327835456</c:v>
                </c:pt>
                <c:pt idx="45" formatCode="0.0">
                  <c:v>58.051487668362391</c:v>
                </c:pt>
                <c:pt idx="46" formatCode="0.0">
                  <c:v>60.224538008889326</c:v>
                </c:pt>
                <c:pt idx="47" formatCode="0.0">
                  <c:v>62.39758834941626</c:v>
                </c:pt>
                <c:pt idx="48" formatCode="0.0">
                  <c:v>64.570638689943195</c:v>
                </c:pt>
                <c:pt idx="49" formatCode="0.0">
                  <c:v>66.743689030470122</c:v>
                </c:pt>
                <c:pt idx="50" formatCode="0.0">
                  <c:v>68.91673937099705</c:v>
                </c:pt>
                <c:pt idx="51" formatCode="0.0">
                  <c:v>71.089789711523977</c:v>
                </c:pt>
                <c:pt idx="52" formatCode="0.0">
                  <c:v>73.262840052050905</c:v>
                </c:pt>
                <c:pt idx="53" formatCode="0.0">
                  <c:v>75.435890392577832</c:v>
                </c:pt>
                <c:pt idx="54" formatCode="0.0">
                  <c:v>77.60894073310476</c:v>
                </c:pt>
                <c:pt idx="55" formatCode="0.0">
                  <c:v>79.781991073631687</c:v>
                </c:pt>
                <c:pt idx="56" formatCode="0.0">
                  <c:v>80.713298362428944</c:v>
                </c:pt>
                <c:pt idx="57" formatCode="0.0">
                  <c:v>81.6446056512262</c:v>
                </c:pt>
                <c:pt idx="58" formatCode="0.0">
                  <c:v>82.575912940023457</c:v>
                </c:pt>
                <c:pt idx="59" formatCode="0.0">
                  <c:v>83.507220228820714</c:v>
                </c:pt>
                <c:pt idx="60" formatCode="0.0">
                  <c:v>84.43852751761797</c:v>
                </c:pt>
                <c:pt idx="61" formatCode="0.0">
                  <c:v>85.369834806415227</c:v>
                </c:pt>
                <c:pt idx="62" formatCode="0.0">
                  <c:v>86.301142095212484</c:v>
                </c:pt>
                <c:pt idx="63" formatCode="0.0">
                  <c:v>87.23244938400974</c:v>
                </c:pt>
                <c:pt idx="64" formatCode="0.0">
                  <c:v>88.163756672806997</c:v>
                </c:pt>
                <c:pt idx="65" formatCode="0.0">
                  <c:v>89.095063961604254</c:v>
                </c:pt>
                <c:pt idx="66" formatCode="0.0">
                  <c:v>90.02637125040151</c:v>
                </c:pt>
                <c:pt idx="67" formatCode="0.0">
                  <c:v>90.957678539198767</c:v>
                </c:pt>
                <c:pt idx="68" formatCode="0.0">
                  <c:v>91.888985827996024</c:v>
                </c:pt>
                <c:pt idx="69" formatCode="0.0">
                  <c:v>92.82029311679328</c:v>
                </c:pt>
                <c:pt idx="70" formatCode="0.0">
                  <c:v>93.751600405590537</c:v>
                </c:pt>
                <c:pt idx="71" formatCode="0.0">
                  <c:v>94.682907694387794</c:v>
                </c:pt>
                <c:pt idx="72" formatCode="0.0">
                  <c:v>0</c:v>
                </c:pt>
                <c:pt idx="73" formatCode="0.0">
                  <c:v>0</c:v>
                </c:pt>
                <c:pt idx="74" formatCode="0.0">
                  <c:v>0</c:v>
                </c:pt>
                <c:pt idx="75" formatCode="0.0">
                  <c:v>0</c:v>
                </c:pt>
                <c:pt idx="76" formatCode="0.0">
                  <c:v>0</c:v>
                </c:pt>
                <c:pt idx="77" formatCode="0.0">
                  <c:v>0</c:v>
                </c:pt>
                <c:pt idx="78" formatCode="0.0">
                  <c:v>0</c:v>
                </c:pt>
                <c:pt idx="79" formatCode="0.0">
                  <c:v>0</c:v>
                </c:pt>
                <c:pt idx="80" formatCode="0.0">
                  <c:v>0</c:v>
                </c:pt>
                <c:pt idx="81" formatCode="0.0">
                  <c:v>0</c:v>
                </c:pt>
                <c:pt idx="82" formatCode="0.0">
                  <c:v>0</c:v>
                </c:pt>
                <c:pt idx="83" formatCode="0.0">
                  <c:v>0</c:v>
                </c:pt>
                <c:pt idx="84" formatCode="0.0">
                  <c:v>0</c:v>
                </c:pt>
                <c:pt idx="85" formatCode="0.0">
                  <c:v>0</c:v>
                </c:pt>
                <c:pt idx="86" formatCode="0.0">
                  <c:v>0</c:v>
                </c:pt>
                <c:pt idx="87" formatCode="0.0">
                  <c:v>0</c:v>
                </c:pt>
                <c:pt idx="88" formatCode="0.0">
                  <c:v>0</c:v>
                </c:pt>
                <c:pt idx="89" formatCode="0.0">
                  <c:v>0</c:v>
                </c:pt>
                <c:pt idx="90" formatCode="0.0">
                  <c:v>0</c:v>
                </c:pt>
                <c:pt idx="91" formatCode="0.0">
                  <c:v>0</c:v>
                </c:pt>
                <c:pt idx="92" formatCode="0.0">
                  <c:v>0</c:v>
                </c:pt>
                <c:pt idx="93" formatCode="0.0">
                  <c:v>0</c:v>
                </c:pt>
                <c:pt idx="94" formatCode="0.0">
                  <c:v>0</c:v>
                </c:pt>
                <c:pt idx="95" formatCode="0.0">
                  <c:v>0</c:v>
                </c:pt>
                <c:pt idx="96" formatCode="0.0">
                  <c:v>0</c:v>
                </c:pt>
                <c:pt idx="97" formatCode="0.0">
                  <c:v>0</c:v>
                </c:pt>
                <c:pt idx="98" formatCode="0.0">
                  <c:v>0</c:v>
                </c:pt>
                <c:pt idx="99" formatCode="0.0">
                  <c:v>0</c:v>
                </c:pt>
                <c:pt idx="100" formatCode="0.0">
                  <c:v>0</c:v>
                </c:pt>
                <c:pt idx="101" formatCode="0.0">
                  <c:v>0</c:v>
                </c:pt>
                <c:pt idx="102" formatCode="0.0">
                  <c:v>0</c:v>
                </c:pt>
                <c:pt idx="103" formatCode="0.0">
                  <c:v>0</c:v>
                </c:pt>
                <c:pt idx="104" formatCode="0.0">
                  <c:v>0</c:v>
                </c:pt>
                <c:pt idx="105" formatCode="0.0">
                  <c:v>0</c:v>
                </c:pt>
                <c:pt idx="106" formatCode="0.0">
                  <c:v>0</c:v>
                </c:pt>
                <c:pt idx="107" formatCode="0.0">
                  <c:v>0</c:v>
                </c:pt>
                <c:pt idx="108" formatCode="0.0">
                  <c:v>0</c:v>
                </c:pt>
                <c:pt idx="109" formatCode="0.0">
                  <c:v>0</c:v>
                </c:pt>
                <c:pt idx="110" formatCode="0.0">
                  <c:v>0</c:v>
                </c:pt>
                <c:pt idx="111" formatCode="0.0">
                  <c:v>0</c:v>
                </c:pt>
                <c:pt idx="112" formatCode="0.0">
                  <c:v>0</c:v>
                </c:pt>
                <c:pt idx="113" formatCode="0.0">
                  <c:v>0</c:v>
                </c:pt>
                <c:pt idx="114" formatCode="0.0">
                  <c:v>0</c:v>
                </c:pt>
                <c:pt idx="115" formatCode="0.0">
                  <c:v>0</c:v>
                </c:pt>
                <c:pt idx="116" formatCode="0.0">
                  <c:v>0</c:v>
                </c:pt>
                <c:pt idx="117" formatCode="0.0">
                  <c:v>0</c:v>
                </c:pt>
                <c:pt idx="118" formatCode="0.0">
                  <c:v>0</c:v>
                </c:pt>
                <c:pt idx="119" formatCode="0.0">
                  <c:v>0</c:v>
                </c:pt>
                <c:pt idx="120" formatCode="0.0">
                  <c:v>0</c:v>
                </c:pt>
                <c:pt idx="121" formatCode="0.0">
                  <c:v>0</c:v>
                </c:pt>
                <c:pt idx="122" formatCode="0.0">
                  <c:v>0</c:v>
                </c:pt>
                <c:pt idx="123" formatCode="0.0">
                  <c:v>0</c:v>
                </c:pt>
                <c:pt idx="124" formatCode="0.0">
                  <c:v>0</c:v>
                </c:pt>
                <c:pt idx="125" formatCode="0.0">
                  <c:v>0</c:v>
                </c:pt>
                <c:pt idx="126" formatCode="0.0">
                  <c:v>0</c:v>
                </c:pt>
                <c:pt idx="127" formatCode="0.0">
                  <c:v>0</c:v>
                </c:pt>
                <c:pt idx="128" formatCode="0.0">
                  <c:v>0</c:v>
                </c:pt>
                <c:pt idx="129" formatCode="0.0">
                  <c:v>0</c:v>
                </c:pt>
                <c:pt idx="130" formatCode="0.0">
                  <c:v>0</c:v>
                </c:pt>
                <c:pt idx="131" formatCode="0.0">
                  <c:v>0</c:v>
                </c:pt>
                <c:pt idx="132" formatCode="0.0">
                  <c:v>0</c:v>
                </c:pt>
                <c:pt idx="133" formatCode="0.0">
                  <c:v>0</c:v>
                </c:pt>
                <c:pt idx="134" formatCode="0.0">
                  <c:v>0</c:v>
                </c:pt>
                <c:pt idx="135" formatCode="0.0">
                  <c:v>0</c:v>
                </c:pt>
                <c:pt idx="136" formatCode="0.0">
                  <c:v>0</c:v>
                </c:pt>
                <c:pt idx="137" formatCode="0.0">
                  <c:v>0</c:v>
                </c:pt>
                <c:pt idx="138" formatCode="0.0">
                  <c:v>0</c:v>
                </c:pt>
                <c:pt idx="139" formatCode="0.0">
                  <c:v>0</c:v>
                </c:pt>
                <c:pt idx="140" formatCode="0.0">
                  <c:v>0</c:v>
                </c:pt>
                <c:pt idx="141" formatCode="0.0">
                  <c:v>0</c:v>
                </c:pt>
                <c:pt idx="142" formatCode="0.0">
                  <c:v>0</c:v>
                </c:pt>
                <c:pt idx="143" formatCode="0.0">
                  <c:v>0</c:v>
                </c:pt>
                <c:pt idx="144" formatCode="0.0">
                  <c:v>0</c:v>
                </c:pt>
                <c:pt idx="145" formatCode="0.0">
                  <c:v>0</c:v>
                </c:pt>
                <c:pt idx="146" formatCode="0.0">
                  <c:v>0</c:v>
                </c:pt>
                <c:pt idx="147" formatCode="0.0">
                  <c:v>0</c:v>
                </c:pt>
                <c:pt idx="148" formatCode="0.0">
                  <c:v>0</c:v>
                </c:pt>
                <c:pt idx="149" formatCode="0.0">
                  <c:v>0</c:v>
                </c:pt>
                <c:pt idx="150" formatCode="0.0">
                  <c:v>0</c:v>
                </c:pt>
                <c:pt idx="151" formatCode="0.0">
                  <c:v>0</c:v>
                </c:pt>
                <c:pt idx="152" formatCode="0.0">
                  <c:v>0</c:v>
                </c:pt>
                <c:pt idx="153" formatCode="0.0">
                  <c:v>0</c:v>
                </c:pt>
                <c:pt idx="154" formatCode="0.0">
                  <c:v>0</c:v>
                </c:pt>
                <c:pt idx="155" formatCode="0.0">
                  <c:v>0</c:v>
                </c:pt>
                <c:pt idx="156" formatCode="0.0">
                  <c:v>0</c:v>
                </c:pt>
                <c:pt idx="157" formatCode="0.0">
                  <c:v>0</c:v>
                </c:pt>
                <c:pt idx="158" formatCode="0.0">
                  <c:v>0</c:v>
                </c:pt>
                <c:pt idx="159" formatCode="0.0">
                  <c:v>0</c:v>
                </c:pt>
                <c:pt idx="160" formatCode="0.0">
                  <c:v>0</c:v>
                </c:pt>
                <c:pt idx="161" formatCode="0.0">
                  <c:v>0</c:v>
                </c:pt>
                <c:pt idx="162" formatCode="0.0">
                  <c:v>0</c:v>
                </c:pt>
                <c:pt idx="163" formatCode="0.0">
                  <c:v>0</c:v>
                </c:pt>
                <c:pt idx="164" formatCode="0.0">
                  <c:v>0</c:v>
                </c:pt>
                <c:pt idx="165" formatCode="0.0">
                  <c:v>0</c:v>
                </c:pt>
                <c:pt idx="166" formatCode="0.0">
                  <c:v>0</c:v>
                </c:pt>
                <c:pt idx="167" formatCode="0.0">
                  <c:v>0</c:v>
                </c:pt>
                <c:pt idx="168" formatCode="0.0">
                  <c:v>0</c:v>
                </c:pt>
                <c:pt idx="169" formatCode="0.0">
                  <c:v>0</c:v>
                </c:pt>
                <c:pt idx="170" formatCode="0.0">
                  <c:v>0</c:v>
                </c:pt>
                <c:pt idx="171" formatCode="0.0">
                  <c:v>0</c:v>
                </c:pt>
                <c:pt idx="172" formatCode="0.0">
                  <c:v>0</c:v>
                </c:pt>
                <c:pt idx="173" formatCode="0.0">
                  <c:v>0</c:v>
                </c:pt>
                <c:pt idx="174" formatCode="0.0">
                  <c:v>0</c:v>
                </c:pt>
                <c:pt idx="175" formatCode="0.0">
                  <c:v>0</c:v>
                </c:pt>
                <c:pt idx="176" formatCode="0.0">
                  <c:v>0</c:v>
                </c:pt>
                <c:pt idx="177" formatCode="0.0">
                  <c:v>0</c:v>
                </c:pt>
                <c:pt idx="178" formatCode="0.0">
                  <c:v>0</c:v>
                </c:pt>
                <c:pt idx="179" formatCode="0.0">
                  <c:v>0</c:v>
                </c:pt>
                <c:pt idx="180" formatCode="0.0">
                  <c:v>0</c:v>
                </c:pt>
                <c:pt idx="181" formatCode="0.0">
                  <c:v>0</c:v>
                </c:pt>
                <c:pt idx="182" formatCode="0.0">
                  <c:v>0</c:v>
                </c:pt>
                <c:pt idx="183" formatCode="0.0">
                  <c:v>0</c:v>
                </c:pt>
                <c:pt idx="184" formatCode="0.0">
                  <c:v>0</c:v>
                </c:pt>
                <c:pt idx="185" formatCode="0.0">
                  <c:v>0</c:v>
                </c:pt>
                <c:pt idx="186" formatCode="0.0">
                  <c:v>0</c:v>
                </c:pt>
                <c:pt idx="187" formatCode="0.0">
                  <c:v>0</c:v>
                </c:pt>
                <c:pt idx="188" formatCode="0.0">
                  <c:v>0</c:v>
                </c:pt>
                <c:pt idx="189" formatCode="0.0">
                  <c:v>0</c:v>
                </c:pt>
                <c:pt idx="190" formatCode="0.0">
                  <c:v>0</c:v>
                </c:pt>
                <c:pt idx="191" formatCode="0.0">
                  <c:v>0</c:v>
                </c:pt>
                <c:pt idx="192" formatCode="0.0">
                  <c:v>0</c:v>
                </c:pt>
                <c:pt idx="193" formatCode="0.0">
                  <c:v>0</c:v>
                </c:pt>
                <c:pt idx="194" formatCode="0.0">
                  <c:v>0</c:v>
                </c:pt>
                <c:pt idx="195" formatCode="0.0">
                  <c:v>0</c:v>
                </c:pt>
                <c:pt idx="196" formatCode="0.0">
                  <c:v>0</c:v>
                </c:pt>
                <c:pt idx="197" formatCode="0.0">
                  <c:v>0</c:v>
                </c:pt>
                <c:pt idx="198" formatCode="0.0">
                  <c:v>0</c:v>
                </c:pt>
                <c:pt idx="199" formatCode="0.0">
                  <c:v>0</c:v>
                </c:pt>
                <c:pt idx="200" formatCode="0.0">
                  <c:v>0</c:v>
                </c:pt>
                <c:pt idx="201" formatCode="0.0">
                  <c:v>0</c:v>
                </c:pt>
                <c:pt idx="202" formatCode="0.0">
                  <c:v>0</c:v>
                </c:pt>
                <c:pt idx="203" formatCode="0.0">
                  <c:v>0</c:v>
                </c:pt>
                <c:pt idx="204" formatCode="0.0">
                  <c:v>0</c:v>
                </c:pt>
                <c:pt idx="205" formatCode="0.0">
                  <c:v>0</c:v>
                </c:pt>
                <c:pt idx="206" formatCode="0.0">
                  <c:v>0</c:v>
                </c:pt>
                <c:pt idx="207" formatCode="0.0">
                  <c:v>0</c:v>
                </c:pt>
                <c:pt idx="208" formatCode="0.0">
                  <c:v>0</c:v>
                </c:pt>
                <c:pt idx="209" formatCode="0.0">
                  <c:v>0</c:v>
                </c:pt>
                <c:pt idx="210" formatCode="0.0">
                  <c:v>0</c:v>
                </c:pt>
                <c:pt idx="211" formatCode="0.0">
                  <c:v>0</c:v>
                </c:pt>
                <c:pt idx="212" formatCode="0.0">
                  <c:v>0</c:v>
                </c:pt>
                <c:pt idx="213" formatCode="0.0">
                  <c:v>0</c:v>
                </c:pt>
                <c:pt idx="214" formatCode="0.0">
                  <c:v>0</c:v>
                </c:pt>
                <c:pt idx="215" formatCode="0.0">
                  <c:v>0</c:v>
                </c:pt>
                <c:pt idx="216" formatCode="0.0">
                  <c:v>0</c:v>
                </c:pt>
                <c:pt idx="217" formatCode="0.0">
                  <c:v>0</c:v>
                </c:pt>
                <c:pt idx="218" formatCode="0.0">
                  <c:v>0</c:v>
                </c:pt>
                <c:pt idx="219" formatCode="0.0">
                  <c:v>0</c:v>
                </c:pt>
                <c:pt idx="220" formatCode="0.0">
                  <c:v>0</c:v>
                </c:pt>
                <c:pt idx="221" formatCode="0.0">
                  <c:v>0</c:v>
                </c:pt>
                <c:pt idx="222" formatCode="0.0">
                  <c:v>0</c:v>
                </c:pt>
                <c:pt idx="223" formatCode="0.0">
                  <c:v>0</c:v>
                </c:pt>
                <c:pt idx="224" formatCode="0.0">
                  <c:v>0</c:v>
                </c:pt>
                <c:pt idx="225" formatCode="0.0">
                  <c:v>0</c:v>
                </c:pt>
              </c:numCache>
            </c:numRef>
          </c:val>
          <c:smooth val="0"/>
          <c:extLst>
            <c:ext xmlns:c16="http://schemas.microsoft.com/office/drawing/2014/chart" uri="{C3380CC4-5D6E-409C-BE32-E72D297353CC}">
              <c16:uniqueId val="{0000000A-8F3A-4CED-B35A-9EFBA0F917EB}"/>
            </c:ext>
          </c:extLst>
        </c:ser>
        <c:ser>
          <c:idx val="5"/>
          <c:order val="5"/>
          <c:tx>
            <c:v>Soil mineral N</c:v>
          </c:tx>
          <c:spPr>
            <a:ln w="28575" cap="rnd">
              <a:solidFill>
                <a:schemeClr val="accent4">
                  <a:lumMod val="60000"/>
                  <a:lumOff val="40000"/>
                </a:schemeClr>
              </a:solidFill>
              <a:prstDash val="sysDash"/>
              <a:round/>
            </a:ln>
            <a:effectLst/>
          </c:spPr>
          <c:marker>
            <c:symbol val="none"/>
          </c:marker>
          <c:val>
            <c:numRef>
              <c:f>Backend!$AD$26:$AD$251</c:f>
              <c:numCache>
                <c:formatCode>0.00</c:formatCode>
                <c:ptCount val="226"/>
                <c:pt idx="0">
                  <c:v>20.491803278688526</c:v>
                </c:pt>
                <c:pt idx="1">
                  <c:v>20.983606557377051</c:v>
                </c:pt>
                <c:pt idx="2">
                  <c:v>21.475409836065577</c:v>
                </c:pt>
                <c:pt idx="3">
                  <c:v>21.967213114754102</c:v>
                </c:pt>
                <c:pt idx="4">
                  <c:v>22.459016393442628</c:v>
                </c:pt>
                <c:pt idx="5">
                  <c:v>22.950819672131153</c:v>
                </c:pt>
                <c:pt idx="6">
                  <c:v>23.442622950819679</c:v>
                </c:pt>
                <c:pt idx="7">
                  <c:v>23.934426229508205</c:v>
                </c:pt>
                <c:pt idx="8">
                  <c:v>24.42622950819673</c:v>
                </c:pt>
                <c:pt idx="9">
                  <c:v>24.918032786885256</c:v>
                </c:pt>
                <c:pt idx="10">
                  <c:v>24.218071264366017</c:v>
                </c:pt>
                <c:pt idx="11">
                  <c:v>23.518109741846779</c:v>
                </c:pt>
                <c:pt idx="12">
                  <c:v>22.81814821932754</c:v>
                </c:pt>
                <c:pt idx="13">
                  <c:v>22.118186696808301</c:v>
                </c:pt>
                <c:pt idx="14">
                  <c:v>21.418225174289063</c:v>
                </c:pt>
                <c:pt idx="15">
                  <c:v>20.718263651769824</c:v>
                </c:pt>
                <c:pt idx="16">
                  <c:v>20.018302129250586</c:v>
                </c:pt>
                <c:pt idx="17">
                  <c:v>19.318340606731347</c:v>
                </c:pt>
                <c:pt idx="18">
                  <c:v>20.553072961763128</c:v>
                </c:pt>
                <c:pt idx="19">
                  <c:v>21.787805316794909</c:v>
                </c:pt>
                <c:pt idx="20">
                  <c:v>23.02253767182669</c:v>
                </c:pt>
                <c:pt idx="21">
                  <c:v>24.257270026858471</c:v>
                </c:pt>
                <c:pt idx="22">
                  <c:v>25.492002381890252</c:v>
                </c:pt>
                <c:pt idx="23">
                  <c:v>26.726734736922033</c:v>
                </c:pt>
                <c:pt idx="24">
                  <c:v>27.961467091953814</c:v>
                </c:pt>
                <c:pt idx="25">
                  <c:v>29.196199446985595</c:v>
                </c:pt>
                <c:pt idx="26">
                  <c:v>28.568317224422863</c:v>
                </c:pt>
                <c:pt idx="27">
                  <c:v>27.940435001860131</c:v>
                </c:pt>
                <c:pt idx="28">
                  <c:v>27.312552779297398</c:v>
                </c:pt>
                <c:pt idx="29">
                  <c:v>26.684670556734666</c:v>
                </c:pt>
                <c:pt idx="30">
                  <c:v>26.056788334171934</c:v>
                </c:pt>
                <c:pt idx="31">
                  <c:v>25.428906111609201</c:v>
                </c:pt>
                <c:pt idx="32">
                  <c:v>24.801023889046469</c:v>
                </c:pt>
                <c:pt idx="33">
                  <c:v>26.107835544034756</c:v>
                </c:pt>
                <c:pt idx="34">
                  <c:v>27.414647199023044</c:v>
                </c:pt>
                <c:pt idx="35">
                  <c:v>28.721458854011328</c:v>
                </c:pt>
                <c:pt idx="36">
                  <c:v>30.028270508999611</c:v>
                </c:pt>
                <c:pt idx="37">
                  <c:v>31.335082163987892</c:v>
                </c:pt>
                <c:pt idx="38">
                  <c:v>32.641893818976172</c:v>
                </c:pt>
                <c:pt idx="39">
                  <c:v>33.948705473964452</c:v>
                </c:pt>
                <c:pt idx="40">
                  <c:v>35.255517128952732</c:v>
                </c:pt>
                <c:pt idx="41">
                  <c:v>36.872764546873434</c:v>
                </c:pt>
                <c:pt idx="42">
                  <c:v>38.490011964794142</c:v>
                </c:pt>
                <c:pt idx="43">
                  <c:v>40.107259382714851</c:v>
                </c:pt>
                <c:pt idx="44">
                  <c:v>41.72450680063556</c:v>
                </c:pt>
                <c:pt idx="45">
                  <c:v>43.341754218556268</c:v>
                </c:pt>
                <c:pt idx="46">
                  <c:v>46.893695514027996</c:v>
                </c:pt>
                <c:pt idx="47">
                  <c:v>50.445636809499725</c:v>
                </c:pt>
                <c:pt idx="48">
                  <c:v>52.062884227420433</c:v>
                </c:pt>
                <c:pt idx="49">
                  <c:v>53.680131645341149</c:v>
                </c:pt>
                <c:pt idx="50">
                  <c:v>55.297379063261857</c:v>
                </c:pt>
                <c:pt idx="51">
                  <c:v>56.914626481182566</c:v>
                </c:pt>
                <c:pt idx="52">
                  <c:v>58.531873899103275</c:v>
                </c:pt>
                <c:pt idx="53">
                  <c:v>60.149121317023983</c:v>
                </c:pt>
                <c:pt idx="54">
                  <c:v>61.766368734944692</c:v>
                </c:pt>
                <c:pt idx="55">
                  <c:v>63.3836161528654</c:v>
                </c:pt>
                <c:pt idx="56">
                  <c:v>66.24260662251578</c:v>
                </c:pt>
                <c:pt idx="57">
                  <c:v>69.101597092166159</c:v>
                </c:pt>
                <c:pt idx="58">
                  <c:v>71.960587561816538</c:v>
                </c:pt>
                <c:pt idx="59">
                  <c:v>74.819578031466918</c:v>
                </c:pt>
                <c:pt idx="60">
                  <c:v>77.678568501117297</c:v>
                </c:pt>
                <c:pt idx="61">
                  <c:v>80.045755692079155</c:v>
                </c:pt>
                <c:pt idx="62">
                  <c:v>82.412942883041012</c:v>
                </c:pt>
                <c:pt idx="63">
                  <c:v>82.845436196451857</c:v>
                </c:pt>
                <c:pt idx="64">
                  <c:v>83.277929509862702</c:v>
                </c:pt>
                <c:pt idx="65">
                  <c:v>83.710422823273547</c:v>
                </c:pt>
                <c:pt idx="66">
                  <c:v>84.142916136684391</c:v>
                </c:pt>
                <c:pt idx="67">
                  <c:v>84.575409450095236</c:v>
                </c:pt>
                <c:pt idx="68">
                  <c:v>85.007902763506081</c:v>
                </c:pt>
                <c:pt idx="69">
                  <c:v>85.440396076916926</c:v>
                </c:pt>
                <c:pt idx="70">
                  <c:v>85.872889390327771</c:v>
                </c:pt>
                <c:pt idx="71">
                  <c:v>86.305382703738616</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smooth val="0"/>
          <c:extLst>
            <c:ext xmlns:c16="http://schemas.microsoft.com/office/drawing/2014/chart" uri="{C3380CC4-5D6E-409C-BE32-E72D297353CC}">
              <c16:uniqueId val="{0000000B-1ED6-43CF-9E32-F79A8A017C90}"/>
            </c:ext>
          </c:extLst>
        </c:ser>
        <c:ser>
          <c:idx val="6"/>
          <c:order val="6"/>
          <c:tx>
            <c:strRef>
              <c:f>Backend!$AE$25</c:f>
              <c:strCache>
                <c:ptCount val="1"/>
                <c:pt idx="0">
                  <c:v>Soil N - reset</c:v>
                </c:pt>
              </c:strCache>
            </c:strRef>
          </c:tx>
          <c:spPr>
            <a:ln w="28575" cap="rnd">
              <a:solidFill>
                <a:schemeClr val="accent4">
                  <a:lumMod val="60000"/>
                  <a:lumOff val="40000"/>
                </a:schemeClr>
              </a:solidFill>
              <a:round/>
            </a:ln>
            <a:effectLst/>
          </c:spPr>
          <c:marker>
            <c:symbol val="none"/>
          </c:marker>
          <c:val>
            <c:numRef>
              <c:f>Backend!$AE$26:$AE$251</c:f>
              <c:numCache>
                <c:formatCode>0.00</c:formatCode>
                <c:ptCount val="226"/>
                <c:pt idx="0">
                  <c:v>20.491803278688526</c:v>
                </c:pt>
                <c:pt idx="1">
                  <c:v>20.983606557377051</c:v>
                </c:pt>
                <c:pt idx="2">
                  <c:v>21.475409836065577</c:v>
                </c:pt>
                <c:pt idx="3">
                  <c:v>21.967213114754102</c:v>
                </c:pt>
                <c:pt idx="4">
                  <c:v>22.459016393442628</c:v>
                </c:pt>
                <c:pt idx="5">
                  <c:v>22.950819672131153</c:v>
                </c:pt>
                <c:pt idx="6">
                  <c:v>23.442622950819679</c:v>
                </c:pt>
                <c:pt idx="7">
                  <c:v>23.934426229508205</c:v>
                </c:pt>
                <c:pt idx="8">
                  <c:v>24.42622950819673</c:v>
                </c:pt>
                <c:pt idx="9">
                  <c:v>24.918032786885256</c:v>
                </c:pt>
                <c:pt idx="10">
                  <c:v>24.218071264366017</c:v>
                </c:pt>
                <c:pt idx="11">
                  <c:v>23.518109741846779</c:v>
                </c:pt>
                <c:pt idx="12">
                  <c:v>22.81814821932754</c:v>
                </c:pt>
                <c:pt idx="13">
                  <c:v>22.118186696808301</c:v>
                </c:pt>
                <c:pt idx="14">
                  <c:v>21.418225174289063</c:v>
                </c:pt>
                <c:pt idx="15">
                  <c:v>20.718263651769824</c:v>
                </c:pt>
                <c:pt idx="16">
                  <c:v>20.018302129250586</c:v>
                </c:pt>
                <c:pt idx="17">
                  <c:v>19.318340606731347</c:v>
                </c:pt>
                <c:pt idx="18">
                  <c:v>20.553072961763128</c:v>
                </c:pt>
                <c:pt idx="19">
                  <c:v>21.787805316794909</c:v>
                </c:pt>
                <c:pt idx="20">
                  <c:v>23.02253767182669</c:v>
                </c:pt>
                <c:pt idx="21">
                  <c:v>24.257270026858471</c:v>
                </c:pt>
                <c:pt idx="22">
                  <c:v>25.492002381890252</c:v>
                </c:pt>
                <c:pt idx="23">
                  <c:v>26.726734736922033</c:v>
                </c:pt>
                <c:pt idx="24">
                  <c:v>27.961467091953814</c:v>
                </c:pt>
                <c:pt idx="25">
                  <c:v>29.196199446985595</c:v>
                </c:pt>
                <c:pt idx="26">
                  <c:v>28.568317224422863</c:v>
                </c:pt>
                <c:pt idx="27">
                  <c:v>27.940435001860131</c:v>
                </c:pt>
                <c:pt idx="28">
                  <c:v>27.312552779297398</c:v>
                </c:pt>
                <c:pt idx="29">
                  <c:v>26.684670556734666</c:v>
                </c:pt>
                <c:pt idx="30">
                  <c:v>26.056788334171934</c:v>
                </c:pt>
                <c:pt idx="31">
                  <c:v>25.428906111609201</c:v>
                </c:pt>
                <c:pt idx="32">
                  <c:v>24.801023889046469</c:v>
                </c:pt>
                <c:pt idx="33">
                  <c:v>26.107835544034756</c:v>
                </c:pt>
                <c:pt idx="34">
                  <c:v>27.414647199023044</c:v>
                </c:pt>
                <c:pt idx="35">
                  <c:v>28.721458854011328</c:v>
                </c:pt>
                <c:pt idx="36">
                  <c:v>30.028270508999611</c:v>
                </c:pt>
                <c:pt idx="37">
                  <c:v>31.335082163987892</c:v>
                </c:pt>
                <c:pt idx="38">
                  <c:v>32.641893818976172</c:v>
                </c:pt>
                <c:pt idx="39">
                  <c:v>33.948705473964452</c:v>
                </c:pt>
                <c:pt idx="40">
                  <c:v>35.255517128952732</c:v>
                </c:pt>
                <c:pt idx="41">
                  <c:v>36.872764546873434</c:v>
                </c:pt>
                <c:pt idx="42">
                  <c:v>38.490011964794142</c:v>
                </c:pt>
                <c:pt idx="43">
                  <c:v>40.107259382714851</c:v>
                </c:pt>
                <c:pt idx="44">
                  <c:v>41.72450680063556</c:v>
                </c:pt>
                <c:pt idx="45">
                  <c:v>43.341754218556268</c:v>
                </c:pt>
                <c:pt idx="46">
                  <c:v>46.893695514027996</c:v>
                </c:pt>
                <c:pt idx="47">
                  <c:v>50.445636809499725</c:v>
                </c:pt>
                <c:pt idx="48">
                  <c:v>52.062884227420433</c:v>
                </c:pt>
                <c:pt idx="49">
                  <c:v>53.680131645341149</c:v>
                </c:pt>
                <c:pt idx="50">
                  <c:v>55.297379063261857</c:v>
                </c:pt>
                <c:pt idx="51">
                  <c:v>56.914626481182566</c:v>
                </c:pt>
                <c:pt idx="52">
                  <c:v>58.531873899103275</c:v>
                </c:pt>
                <c:pt idx="53">
                  <c:v>60.149121317023983</c:v>
                </c:pt>
                <c:pt idx="54">
                  <c:v>61.766368734944692</c:v>
                </c:pt>
                <c:pt idx="55">
                  <c:v>63.3836161528654</c:v>
                </c:pt>
                <c:pt idx="56">
                  <c:v>66.24260662251578</c:v>
                </c:pt>
                <c:pt idx="57">
                  <c:v>69.101597092166159</c:v>
                </c:pt>
                <c:pt idx="58">
                  <c:v>71.960587561816538</c:v>
                </c:pt>
                <c:pt idx="59">
                  <c:v>74.819578031466918</c:v>
                </c:pt>
                <c:pt idx="60">
                  <c:v>77.678568501117297</c:v>
                </c:pt>
                <c:pt idx="61">
                  <c:v>80.045755692079155</c:v>
                </c:pt>
                <c:pt idx="62">
                  <c:v>82.412942883041012</c:v>
                </c:pt>
                <c:pt idx="63">
                  <c:v>82.845436196451857</c:v>
                </c:pt>
                <c:pt idx="64">
                  <c:v>83.277929509862702</c:v>
                </c:pt>
                <c:pt idx="65">
                  <c:v>83.710422823273547</c:v>
                </c:pt>
                <c:pt idx="66">
                  <c:v>84.142916136684391</c:v>
                </c:pt>
                <c:pt idx="67">
                  <c:v>84.575409450095236</c:v>
                </c:pt>
                <c:pt idx="68">
                  <c:v>85.007902763506081</c:v>
                </c:pt>
                <c:pt idx="69">
                  <c:v>85.440396076916926</c:v>
                </c:pt>
                <c:pt idx="70">
                  <c:v>85.872889390327771</c:v>
                </c:pt>
                <c:pt idx="71">
                  <c:v>86.305382703738616</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smooth val="0"/>
          <c:extLst>
            <c:ext xmlns:c16="http://schemas.microsoft.com/office/drawing/2014/chart" uri="{C3380CC4-5D6E-409C-BE32-E72D297353CC}">
              <c16:uniqueId val="{0000000C-1ED6-43CF-9E32-F79A8A017C90}"/>
            </c:ext>
          </c:extLst>
        </c:ser>
        <c:dLbls>
          <c:showLegendKey val="0"/>
          <c:showVal val="0"/>
          <c:showCatName val="0"/>
          <c:showSerName val="0"/>
          <c:showPercent val="0"/>
          <c:showBubbleSize val="0"/>
        </c:dLbls>
        <c:marker val="1"/>
        <c:smooth val="0"/>
        <c:axId val="811186704"/>
        <c:axId val="811187536"/>
        <c:extLst>
          <c:ext xmlns:c15="http://schemas.microsoft.com/office/drawing/2012/chart" uri="{02D57815-91ED-43cb-92C2-25804820EDAC}">
            <c15:filteredLineSeries>
              <c15:ser>
                <c:idx val="8"/>
                <c:order val="8"/>
                <c:tx>
                  <c:strRef>
                    <c:extLst>
                      <c:ext uri="{02D57815-91ED-43cb-92C2-25804820EDAC}">
                        <c15:formulaRef>
                          <c15:sqref>Backend!$AG$25</c15:sqref>
                        </c15:formulaRef>
                      </c:ext>
                    </c:extLst>
                    <c:strCache>
                      <c:ptCount val="1"/>
                      <c:pt idx="0">
                        <c:v>Uncertainty 2</c:v>
                      </c:pt>
                    </c:strCache>
                  </c:strRef>
                </c:tx>
                <c:spPr>
                  <a:ln w="28575" cap="rnd">
                    <a:solidFill>
                      <a:schemeClr val="tx1"/>
                    </a:solidFill>
                    <a:round/>
                  </a:ln>
                  <a:effectLst/>
                </c:spPr>
                <c:marker>
                  <c:symbol val="none"/>
                </c:marker>
                <c:val>
                  <c:numRef>
                    <c:extLst>
                      <c:ext uri="{02D57815-91ED-43cb-92C2-25804820EDAC}">
                        <c15:formulaRef>
                          <c15:sqref>Backend!$AG$26:$AG$251</c15:sqref>
                        </c15:formulaRef>
                      </c:ext>
                    </c:extLst>
                    <c:numCache>
                      <c:formatCode>0.00</c:formatCode>
                      <c:ptCount val="226"/>
                      <c:pt idx="0">
                        <c:v>23.565573770491802</c:v>
                      </c:pt>
                      <c:pt idx="1">
                        <c:v>24.152131147540985</c:v>
                      </c:pt>
                      <c:pt idx="2">
                        <c:v>24.718196721311479</c:v>
                      </c:pt>
                      <c:pt idx="3">
                        <c:v>25.284262295081973</c:v>
                      </c:pt>
                      <c:pt idx="4">
                        <c:v>25.850327868852464</c:v>
                      </c:pt>
                      <c:pt idx="5">
                        <c:v>26.416393442622958</c:v>
                      </c:pt>
                      <c:pt idx="6">
                        <c:v>26.982459016393449</c:v>
                      </c:pt>
                      <c:pt idx="7">
                        <c:v>27.548524590163943</c:v>
                      </c:pt>
                      <c:pt idx="8">
                        <c:v>28.114590163934437</c:v>
                      </c:pt>
                      <c:pt idx="9">
                        <c:v>28.680655737704928</c:v>
                      </c:pt>
                      <c:pt idx="10">
                        <c:v>27.875000025285285</c:v>
                      </c:pt>
                      <c:pt idx="11">
                        <c:v>27.069344312865642</c:v>
                      </c:pt>
                      <c:pt idx="12">
                        <c:v>26.263688600445999</c:v>
                      </c:pt>
                      <c:pt idx="13">
                        <c:v>25.458032888026356</c:v>
                      </c:pt>
                      <c:pt idx="14">
                        <c:v>24.652377175606713</c:v>
                      </c:pt>
                      <c:pt idx="15">
                        <c:v>23.846721463187066</c:v>
                      </c:pt>
                      <c:pt idx="16">
                        <c:v>23.041065750767423</c:v>
                      </c:pt>
                      <c:pt idx="17">
                        <c:v>22.23541003834778</c:v>
                      </c:pt>
                      <c:pt idx="18">
                        <c:v>23.65658697898936</c:v>
                      </c:pt>
                      <c:pt idx="19">
                        <c:v>25.077763919630939</c:v>
                      </c:pt>
                      <c:pt idx="20">
                        <c:v>26.498940860272519</c:v>
                      </c:pt>
                      <c:pt idx="21">
                        <c:v>27.920117800914099</c:v>
                      </c:pt>
                      <c:pt idx="22">
                        <c:v>29.341294741555679</c:v>
                      </c:pt>
                      <c:pt idx="23">
                        <c:v>30.762471682197258</c:v>
                      </c:pt>
                      <c:pt idx="24">
                        <c:v>32.183648622838838</c:v>
                      </c:pt>
                      <c:pt idx="25">
                        <c:v>33.604825563480418</c:v>
                      </c:pt>
                      <c:pt idx="26">
                        <c:v>32.882133125310716</c:v>
                      </c:pt>
                      <c:pt idx="27">
                        <c:v>32.159440687141007</c:v>
                      </c:pt>
                      <c:pt idx="28">
                        <c:v>31.436748248971305</c:v>
                      </c:pt>
                      <c:pt idx="29">
                        <c:v>30.7140558108016</c:v>
                      </c:pt>
                      <c:pt idx="30">
                        <c:v>29.991363372631895</c:v>
                      </c:pt>
                      <c:pt idx="31">
                        <c:v>29.26867093446219</c:v>
                      </c:pt>
                      <c:pt idx="32">
                        <c:v>28.545978496292484</c:v>
                      </c:pt>
                      <c:pt idx="33">
                        <c:v>30.050118711184005</c:v>
                      </c:pt>
                      <c:pt idx="34">
                        <c:v>31.554258926075523</c:v>
                      </c:pt>
                      <c:pt idx="35">
                        <c:v>33.05839914096704</c:v>
                      </c:pt>
                      <c:pt idx="36">
                        <c:v>34.562539355858554</c:v>
                      </c:pt>
                      <c:pt idx="37">
                        <c:v>36.066679570750061</c:v>
                      </c:pt>
                      <c:pt idx="38">
                        <c:v>37.570819785641575</c:v>
                      </c:pt>
                      <c:pt idx="39">
                        <c:v>39.074960000533082</c:v>
                      </c:pt>
                      <c:pt idx="40">
                        <c:v>40.579100215424596</c:v>
                      </c:pt>
                      <c:pt idx="41">
                        <c:v>42.440551993451322</c:v>
                      </c:pt>
                      <c:pt idx="42">
                        <c:v>44.302003771478056</c:v>
                      </c:pt>
                      <c:pt idx="43">
                        <c:v>46.163455549504796</c:v>
                      </c:pt>
                      <c:pt idx="44">
                        <c:v>48.02490732753153</c:v>
                      </c:pt>
                      <c:pt idx="45">
                        <c:v>49.886359105558263</c:v>
                      </c:pt>
                      <c:pt idx="46">
                        <c:v>53.974643536646226</c:v>
                      </c:pt>
                      <c:pt idx="47">
                        <c:v>58.062927967734183</c:v>
                      </c:pt>
                      <c:pt idx="48">
                        <c:v>59.924379745760916</c:v>
                      </c:pt>
                      <c:pt idx="49">
                        <c:v>61.785831523787664</c:v>
                      </c:pt>
                      <c:pt idx="50">
                        <c:v>63.647283301814397</c:v>
                      </c:pt>
                      <c:pt idx="51">
                        <c:v>65.508735079841131</c:v>
                      </c:pt>
                      <c:pt idx="52">
                        <c:v>67.370186857867864</c:v>
                      </c:pt>
                      <c:pt idx="53">
                        <c:v>69.231638635894598</c:v>
                      </c:pt>
                      <c:pt idx="54">
                        <c:v>71.093090413921345</c:v>
                      </c:pt>
                      <c:pt idx="55">
                        <c:v>72.954542191948079</c:v>
                      </c:pt>
                      <c:pt idx="56">
                        <c:v>76.245240222515662</c:v>
                      </c:pt>
                      <c:pt idx="57">
                        <c:v>79.535938253083245</c:v>
                      </c:pt>
                      <c:pt idx="58">
                        <c:v>82.826636283650828</c:v>
                      </c:pt>
                      <c:pt idx="59">
                        <c:v>86.117334314218425</c:v>
                      </c:pt>
                      <c:pt idx="60">
                        <c:v>89.408032344786008</c:v>
                      </c:pt>
                      <c:pt idx="61">
                        <c:v>92.132664801583104</c:v>
                      </c:pt>
                      <c:pt idx="62">
                        <c:v>94.8572972583802</c:v>
                      </c:pt>
                      <c:pt idx="63">
                        <c:v>95.355097062116087</c:v>
                      </c:pt>
                      <c:pt idx="64">
                        <c:v>95.852896865851974</c:v>
                      </c:pt>
                      <c:pt idx="65">
                        <c:v>96.350696669587848</c:v>
                      </c:pt>
                      <c:pt idx="66">
                        <c:v>96.848496473323735</c:v>
                      </c:pt>
                      <c:pt idx="67">
                        <c:v>97.346296277059622</c:v>
                      </c:pt>
                      <c:pt idx="68">
                        <c:v>97.844096080795495</c:v>
                      </c:pt>
                      <c:pt idx="69">
                        <c:v>98.341895884531382</c:v>
                      </c:pt>
                      <c:pt idx="70">
                        <c:v>98.83969568826727</c:v>
                      </c:pt>
                      <c:pt idx="71">
                        <c:v>99.337495492003143</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smooth val="0"/>
                <c:extLst>
                  <c:ext xmlns:c16="http://schemas.microsoft.com/office/drawing/2014/chart" uri="{C3380CC4-5D6E-409C-BE32-E72D297353CC}">
                    <c16:uniqueId val="{0000000B-BB71-4759-84DE-8D500B621860}"/>
                  </c:ext>
                </c:extLst>
              </c15:ser>
            </c15:filteredLineSeries>
          </c:ext>
        </c:extLst>
      </c:lineChart>
      <c:dateAx>
        <c:axId val="811186704"/>
        <c:scaling>
          <c:orientation val="minMax"/>
          <c:max val="44514.5"/>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11187536"/>
        <c:crosses val="autoZero"/>
        <c:auto val="1"/>
        <c:lblOffset val="100"/>
        <c:baseTimeUnit val="days"/>
      </c:dateAx>
      <c:valAx>
        <c:axId val="811187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NZ" sz="1200" b="1"/>
                  <a:t>kg N/ha</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811186704"/>
        <c:crosses val="autoZero"/>
        <c:crossBetween val="between"/>
      </c:valAx>
      <c:spPr>
        <a:solidFill>
          <a:sysClr val="window" lastClr="FFFFFF"/>
        </a:solidFill>
        <a:ln>
          <a:noFill/>
        </a:ln>
        <a:effectLst/>
      </c:spPr>
    </c:plotArea>
    <c:legend>
      <c:legendPos val="r"/>
      <c:legendEntry>
        <c:idx val="1"/>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NZ"/>
              <a:t>Lettuce N Fert</a:t>
            </a:r>
          </a:p>
        </c:rich>
      </c:tx>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3.2094050743657045E-2"/>
                  <c:y val="-0.1936654272382618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Backend!$A$47:$A$53</c:f>
              <c:numCache>
                <c:formatCode>General</c:formatCode>
                <c:ptCount val="7"/>
                <c:pt idx="0">
                  <c:v>20</c:v>
                </c:pt>
                <c:pt idx="1">
                  <c:v>40</c:v>
                </c:pt>
                <c:pt idx="2">
                  <c:v>60</c:v>
                </c:pt>
                <c:pt idx="3">
                  <c:v>80</c:v>
                </c:pt>
                <c:pt idx="4">
                  <c:v>100</c:v>
                </c:pt>
                <c:pt idx="5">
                  <c:v>120</c:v>
                </c:pt>
                <c:pt idx="6">
                  <c:v>140</c:v>
                </c:pt>
              </c:numCache>
            </c:numRef>
          </c:xVal>
          <c:yVal>
            <c:numRef>
              <c:f>Backend!$B$47:$B$53</c:f>
              <c:numCache>
                <c:formatCode>General</c:formatCode>
                <c:ptCount val="7"/>
                <c:pt idx="0">
                  <c:v>120</c:v>
                </c:pt>
                <c:pt idx="1">
                  <c:v>100</c:v>
                </c:pt>
                <c:pt idx="2">
                  <c:v>80</c:v>
                </c:pt>
                <c:pt idx="3">
                  <c:v>60</c:v>
                </c:pt>
                <c:pt idx="4">
                  <c:v>40</c:v>
                </c:pt>
                <c:pt idx="5">
                  <c:v>20</c:v>
                </c:pt>
                <c:pt idx="6">
                  <c:v>0</c:v>
                </c:pt>
              </c:numCache>
            </c:numRef>
          </c:yVal>
          <c:smooth val="0"/>
          <c:extLst>
            <c:ext xmlns:c16="http://schemas.microsoft.com/office/drawing/2014/chart" uri="{C3380CC4-5D6E-409C-BE32-E72D297353CC}">
              <c16:uniqueId val="{00000000-4AE5-4811-8A58-7285F6429587}"/>
            </c:ext>
          </c:extLst>
        </c:ser>
        <c:dLbls>
          <c:showLegendKey val="0"/>
          <c:showVal val="0"/>
          <c:showCatName val="0"/>
          <c:showSerName val="0"/>
          <c:showPercent val="0"/>
          <c:showBubbleSize val="0"/>
        </c:dLbls>
        <c:axId val="766740111"/>
        <c:axId val="766225215"/>
      </c:scatterChart>
      <c:valAx>
        <c:axId val="7667401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Soil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225215"/>
        <c:crosses val="autoZero"/>
        <c:crossBetween val="midCat"/>
      </c:valAx>
      <c:valAx>
        <c:axId val="766225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Fert</a:t>
                </a:r>
                <a:r>
                  <a:rPr lang="en-NZ" baseline="0"/>
                  <a:t> N (kgN/ha)</a:t>
                </a:r>
                <a:endParaRPr lang="en-NZ"/>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7401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N% of FW - lettuce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1.3172790901137358E-2"/>
                  <c:y val="-0.208738334791484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Backend!$F$51:$F$53</c:f>
              <c:numCache>
                <c:formatCode>General</c:formatCode>
                <c:ptCount val="3"/>
                <c:pt idx="0">
                  <c:v>4</c:v>
                </c:pt>
                <c:pt idx="1">
                  <c:v>66</c:v>
                </c:pt>
                <c:pt idx="2">
                  <c:v>334</c:v>
                </c:pt>
              </c:numCache>
            </c:numRef>
          </c:xVal>
          <c:yVal>
            <c:numRef>
              <c:f>Backend!$I$51:$I$53</c:f>
              <c:numCache>
                <c:formatCode>0.00%</c:formatCode>
                <c:ptCount val="3"/>
                <c:pt idx="0">
                  <c:v>4.5749999999999992E-3</c:v>
                </c:pt>
                <c:pt idx="1">
                  <c:v>3.3333333333333331E-3</c:v>
                </c:pt>
                <c:pt idx="2">
                  <c:v>2.3413173652694613E-3</c:v>
                </c:pt>
              </c:numCache>
            </c:numRef>
          </c:yVal>
          <c:smooth val="0"/>
          <c:extLst>
            <c:ext xmlns:c16="http://schemas.microsoft.com/office/drawing/2014/chart" uri="{C3380CC4-5D6E-409C-BE32-E72D297353CC}">
              <c16:uniqueId val="{00000001-A457-44E5-9635-D3D01C1A3892}"/>
            </c:ext>
          </c:extLst>
        </c:ser>
        <c:dLbls>
          <c:showLegendKey val="0"/>
          <c:showVal val="0"/>
          <c:showCatName val="0"/>
          <c:showSerName val="0"/>
          <c:showPercent val="0"/>
          <c:showBubbleSize val="0"/>
        </c:dLbls>
        <c:axId val="578628768"/>
        <c:axId val="744811024"/>
      </c:scatterChart>
      <c:valAx>
        <c:axId val="578628768"/>
        <c:scaling>
          <c:orientation val="minMax"/>
          <c:max val="44514.99"/>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FW</a:t>
                </a:r>
                <a:r>
                  <a:rPr lang="en-US" baseline="0"/>
                  <a:t> </a:t>
                </a:r>
                <a:r>
                  <a:rPr lang="en-US"/>
                  <a:t>mass (g/plant)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811024"/>
        <c:crosses val="autoZero"/>
        <c:crossBetween val="midCat"/>
      </c:valAx>
      <c:valAx>
        <c:axId val="744811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 FW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6287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NZ"/>
              <a:t>Potato N Fert</a:t>
            </a:r>
          </a:p>
        </c:rich>
      </c:tx>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1036881753417187"/>
                  <c:y val="-0.4011729416175919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Backend!$A$86:$A$93</c:f>
              <c:numCache>
                <c:formatCode>General</c:formatCode>
                <c:ptCount val="8"/>
                <c:pt idx="0">
                  <c:v>50</c:v>
                </c:pt>
                <c:pt idx="1">
                  <c:v>100</c:v>
                </c:pt>
                <c:pt idx="2">
                  <c:v>150</c:v>
                </c:pt>
                <c:pt idx="3">
                  <c:v>200</c:v>
                </c:pt>
                <c:pt idx="4">
                  <c:v>250</c:v>
                </c:pt>
                <c:pt idx="5">
                  <c:v>300</c:v>
                </c:pt>
                <c:pt idx="6">
                  <c:v>350</c:v>
                </c:pt>
                <c:pt idx="7">
                  <c:v>400</c:v>
                </c:pt>
              </c:numCache>
            </c:numRef>
          </c:xVal>
          <c:yVal>
            <c:numRef>
              <c:f>Backend!$B$86:$B$93</c:f>
              <c:numCache>
                <c:formatCode>General</c:formatCode>
                <c:ptCount val="8"/>
                <c:pt idx="0">
                  <c:v>225</c:v>
                </c:pt>
                <c:pt idx="1">
                  <c:v>200</c:v>
                </c:pt>
                <c:pt idx="2">
                  <c:v>150</c:v>
                </c:pt>
                <c:pt idx="3">
                  <c:v>125</c:v>
                </c:pt>
                <c:pt idx="4">
                  <c:v>75</c:v>
                </c:pt>
                <c:pt idx="5">
                  <c:v>50</c:v>
                </c:pt>
                <c:pt idx="6">
                  <c:v>25</c:v>
                </c:pt>
                <c:pt idx="7">
                  <c:v>0</c:v>
                </c:pt>
              </c:numCache>
            </c:numRef>
          </c:yVal>
          <c:smooth val="0"/>
          <c:extLst>
            <c:ext xmlns:c16="http://schemas.microsoft.com/office/drawing/2014/chart" uri="{C3380CC4-5D6E-409C-BE32-E72D297353CC}">
              <c16:uniqueId val="{00000001-87F1-42BB-A22A-3A8CDE9EF22C}"/>
            </c:ext>
          </c:extLst>
        </c:ser>
        <c:dLbls>
          <c:showLegendKey val="0"/>
          <c:showVal val="0"/>
          <c:showCatName val="0"/>
          <c:showSerName val="0"/>
          <c:showPercent val="0"/>
          <c:showBubbleSize val="0"/>
        </c:dLbls>
        <c:axId val="766740111"/>
        <c:axId val="766225215"/>
      </c:scatterChart>
      <c:valAx>
        <c:axId val="7667401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Soil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225215"/>
        <c:crosses val="autoZero"/>
        <c:crossBetween val="midCat"/>
      </c:valAx>
      <c:valAx>
        <c:axId val="766225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Fert</a:t>
                </a:r>
                <a:r>
                  <a:rPr lang="en-NZ" baseline="0"/>
                  <a:t> N (kgN/ha)</a:t>
                </a:r>
                <a:endParaRPr lang="en-NZ"/>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7401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NZ"/>
              <a:t>Onion N Fert</a:t>
            </a:r>
          </a:p>
        </c:rich>
      </c:tx>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0.13752218619731357"/>
                  <c:y val="-0.3368442180021615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Backend!$A$124:$A$131</c:f>
              <c:numCache>
                <c:formatCode>General</c:formatCode>
                <c:ptCount val="8"/>
                <c:pt idx="0">
                  <c:v>20</c:v>
                </c:pt>
                <c:pt idx="1">
                  <c:v>40</c:v>
                </c:pt>
                <c:pt idx="2">
                  <c:v>60</c:v>
                </c:pt>
                <c:pt idx="3">
                  <c:v>80</c:v>
                </c:pt>
                <c:pt idx="4">
                  <c:v>100</c:v>
                </c:pt>
                <c:pt idx="5">
                  <c:v>120</c:v>
                </c:pt>
                <c:pt idx="6">
                  <c:v>140</c:v>
                </c:pt>
                <c:pt idx="7">
                  <c:v>160</c:v>
                </c:pt>
              </c:numCache>
            </c:numRef>
          </c:xVal>
          <c:yVal>
            <c:numRef>
              <c:f>Backend!$B$124:$B$131</c:f>
              <c:numCache>
                <c:formatCode>General</c:formatCode>
                <c:ptCount val="8"/>
                <c:pt idx="0">
                  <c:v>140</c:v>
                </c:pt>
                <c:pt idx="1">
                  <c:v>120</c:v>
                </c:pt>
                <c:pt idx="2">
                  <c:v>100</c:v>
                </c:pt>
                <c:pt idx="3">
                  <c:v>80</c:v>
                </c:pt>
                <c:pt idx="4">
                  <c:v>60</c:v>
                </c:pt>
                <c:pt idx="5">
                  <c:v>40</c:v>
                </c:pt>
                <c:pt idx="6">
                  <c:v>20</c:v>
                </c:pt>
                <c:pt idx="7">
                  <c:v>0</c:v>
                </c:pt>
              </c:numCache>
            </c:numRef>
          </c:yVal>
          <c:smooth val="0"/>
          <c:extLst>
            <c:ext xmlns:c16="http://schemas.microsoft.com/office/drawing/2014/chart" uri="{C3380CC4-5D6E-409C-BE32-E72D297353CC}">
              <c16:uniqueId val="{00000001-308A-4507-9E0F-91C0C4D63788}"/>
            </c:ext>
          </c:extLst>
        </c:ser>
        <c:dLbls>
          <c:showLegendKey val="0"/>
          <c:showVal val="0"/>
          <c:showCatName val="0"/>
          <c:showSerName val="0"/>
          <c:showPercent val="0"/>
          <c:showBubbleSize val="0"/>
        </c:dLbls>
        <c:axId val="766740111"/>
        <c:axId val="766225215"/>
      </c:scatterChart>
      <c:valAx>
        <c:axId val="7667401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Soil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225215"/>
        <c:crosses val="autoZero"/>
        <c:crossBetween val="midCat"/>
      </c:valAx>
      <c:valAx>
        <c:axId val="766225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Fert</a:t>
                </a:r>
                <a:r>
                  <a:rPr lang="en-NZ" baseline="0"/>
                  <a:t> N (kgN/ha)</a:t>
                </a:r>
                <a:endParaRPr lang="en-NZ"/>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7401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meanT!$B$2</c:f>
              <c:strCache>
                <c:ptCount val="1"/>
                <c:pt idx="0">
                  <c:v>Linocln</c:v>
                </c:pt>
              </c:strCache>
            </c:strRef>
          </c:tx>
          <c:spPr>
            <a:ln w="19050" cap="rnd">
              <a:solidFill>
                <a:schemeClr val="accent1"/>
              </a:solidFill>
              <a:round/>
            </a:ln>
            <a:effectLst/>
          </c:spPr>
          <c:marker>
            <c:symbol val="none"/>
          </c:marker>
          <c:xVal>
            <c:numRef>
              <c:f>meanT!$A$3:$A$368</c:f>
              <c:numCache>
                <c:formatCode>General</c:formatCode>
                <c:ptCount val="36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numCache>
            </c:numRef>
          </c:xVal>
          <c:yVal>
            <c:numRef>
              <c:f>meanT!$B$3:$B$368</c:f>
              <c:numCache>
                <c:formatCode>General</c:formatCode>
                <c:ptCount val="366"/>
                <c:pt idx="0">
                  <c:v>16.179411764705801</c:v>
                </c:pt>
                <c:pt idx="1">
                  <c:v>17.160294117646998</c:v>
                </c:pt>
                <c:pt idx="2">
                  <c:v>16.8117647058823</c:v>
                </c:pt>
                <c:pt idx="3">
                  <c:v>15.772058823529401</c:v>
                </c:pt>
                <c:pt idx="4">
                  <c:v>16.045588235294101</c:v>
                </c:pt>
                <c:pt idx="5">
                  <c:v>16.1955882352941</c:v>
                </c:pt>
                <c:pt idx="6">
                  <c:v>17.395588235294099</c:v>
                </c:pt>
                <c:pt idx="7">
                  <c:v>17.102249134948</c:v>
                </c:pt>
                <c:pt idx="8">
                  <c:v>16.213235294117599</c:v>
                </c:pt>
                <c:pt idx="9">
                  <c:v>15.8947058823529</c:v>
                </c:pt>
                <c:pt idx="10">
                  <c:v>16.250588235294099</c:v>
                </c:pt>
                <c:pt idx="11">
                  <c:v>16.662352941176401</c:v>
                </c:pt>
                <c:pt idx="12">
                  <c:v>16.830882352941099</c:v>
                </c:pt>
                <c:pt idx="13">
                  <c:v>16.835294117646999</c:v>
                </c:pt>
                <c:pt idx="14">
                  <c:v>17.335294117646999</c:v>
                </c:pt>
                <c:pt idx="15">
                  <c:v>16.8279411764705</c:v>
                </c:pt>
                <c:pt idx="16">
                  <c:v>16.722058823529402</c:v>
                </c:pt>
                <c:pt idx="17">
                  <c:v>17.301470588235201</c:v>
                </c:pt>
                <c:pt idx="18">
                  <c:v>17.052941176470501</c:v>
                </c:pt>
                <c:pt idx="19">
                  <c:v>15.9367647058823</c:v>
                </c:pt>
                <c:pt idx="20">
                  <c:v>17.475000000000001</c:v>
                </c:pt>
                <c:pt idx="21">
                  <c:v>18.2514705882352</c:v>
                </c:pt>
                <c:pt idx="22">
                  <c:v>17.176470588235201</c:v>
                </c:pt>
                <c:pt idx="23">
                  <c:v>16.835294117646999</c:v>
                </c:pt>
                <c:pt idx="24">
                  <c:v>16.6941176470588</c:v>
                </c:pt>
                <c:pt idx="25">
                  <c:v>16.433823529411701</c:v>
                </c:pt>
                <c:pt idx="26">
                  <c:v>16.332352941176399</c:v>
                </c:pt>
                <c:pt idx="27">
                  <c:v>17.044117647058801</c:v>
                </c:pt>
                <c:pt idx="28">
                  <c:v>17.480882352941101</c:v>
                </c:pt>
                <c:pt idx="29">
                  <c:v>18.010294117647</c:v>
                </c:pt>
                <c:pt idx="30">
                  <c:v>18.1264705882352</c:v>
                </c:pt>
                <c:pt idx="31">
                  <c:v>17.5632352941176</c:v>
                </c:pt>
                <c:pt idx="32">
                  <c:v>16.530882352941099</c:v>
                </c:pt>
                <c:pt idx="33">
                  <c:v>16.339705882352899</c:v>
                </c:pt>
                <c:pt idx="34">
                  <c:v>17.920588235294101</c:v>
                </c:pt>
                <c:pt idx="35">
                  <c:v>16.083823529411699</c:v>
                </c:pt>
                <c:pt idx="36">
                  <c:v>16.539705882352902</c:v>
                </c:pt>
                <c:pt idx="37">
                  <c:v>16.527941176470499</c:v>
                </c:pt>
                <c:pt idx="38">
                  <c:v>16.855882352941101</c:v>
                </c:pt>
                <c:pt idx="39">
                  <c:v>16.957352941176399</c:v>
                </c:pt>
                <c:pt idx="40">
                  <c:v>16.866176470588201</c:v>
                </c:pt>
                <c:pt idx="41">
                  <c:v>17.485294117647001</c:v>
                </c:pt>
                <c:pt idx="42">
                  <c:v>17.980882352941101</c:v>
                </c:pt>
                <c:pt idx="43">
                  <c:v>16.401470588235199</c:v>
                </c:pt>
                <c:pt idx="44">
                  <c:v>15.8867647058823</c:v>
                </c:pt>
                <c:pt idx="45">
                  <c:v>15.4705882352941</c:v>
                </c:pt>
                <c:pt idx="46">
                  <c:v>16.035294117646998</c:v>
                </c:pt>
                <c:pt idx="47">
                  <c:v>17.155882352941099</c:v>
                </c:pt>
                <c:pt idx="48">
                  <c:v>17.5720588235294</c:v>
                </c:pt>
                <c:pt idx="49">
                  <c:v>16.991176470588201</c:v>
                </c:pt>
                <c:pt idx="50">
                  <c:v>16.655882352941099</c:v>
                </c:pt>
                <c:pt idx="51">
                  <c:v>16.6955882352941</c:v>
                </c:pt>
                <c:pt idx="52">
                  <c:v>16.394117647058799</c:v>
                </c:pt>
                <c:pt idx="53">
                  <c:v>16.088235294117599</c:v>
                </c:pt>
                <c:pt idx="54">
                  <c:v>16.782352941176399</c:v>
                </c:pt>
                <c:pt idx="55">
                  <c:v>16.1897058823529</c:v>
                </c:pt>
                <c:pt idx="56">
                  <c:v>16.1941176470588</c:v>
                </c:pt>
                <c:pt idx="57">
                  <c:v>16.208823529411699</c:v>
                </c:pt>
                <c:pt idx="58">
                  <c:v>16.074999999999999</c:v>
                </c:pt>
                <c:pt idx="59">
                  <c:v>16.264705882352899</c:v>
                </c:pt>
                <c:pt idx="60">
                  <c:v>15.9727272727272</c:v>
                </c:pt>
                <c:pt idx="61">
                  <c:v>15.216666666666599</c:v>
                </c:pt>
                <c:pt idx="62">
                  <c:v>14.612121212121201</c:v>
                </c:pt>
                <c:pt idx="63">
                  <c:v>15.7681818181818</c:v>
                </c:pt>
                <c:pt idx="64">
                  <c:v>15.9954545454545</c:v>
                </c:pt>
                <c:pt idx="65">
                  <c:v>15.0166666666666</c:v>
                </c:pt>
                <c:pt idx="66">
                  <c:v>15.3257575757575</c:v>
                </c:pt>
                <c:pt idx="67">
                  <c:v>14.630303030303001</c:v>
                </c:pt>
                <c:pt idx="68">
                  <c:v>15.7924242424242</c:v>
                </c:pt>
                <c:pt idx="69">
                  <c:v>15.055882352941101</c:v>
                </c:pt>
                <c:pt idx="70">
                  <c:v>14.958823529411699</c:v>
                </c:pt>
                <c:pt idx="71">
                  <c:v>15.205882352941099</c:v>
                </c:pt>
                <c:pt idx="72">
                  <c:v>14.888235294117599</c:v>
                </c:pt>
                <c:pt idx="73">
                  <c:v>14.9794117647058</c:v>
                </c:pt>
                <c:pt idx="74">
                  <c:v>15</c:v>
                </c:pt>
                <c:pt idx="75">
                  <c:v>14.8191176470588</c:v>
                </c:pt>
                <c:pt idx="76">
                  <c:v>13.742647058823501</c:v>
                </c:pt>
                <c:pt idx="77">
                  <c:v>14.5911764705882</c:v>
                </c:pt>
                <c:pt idx="78">
                  <c:v>15.358823529411699</c:v>
                </c:pt>
                <c:pt idx="79">
                  <c:v>14.954411764705799</c:v>
                </c:pt>
                <c:pt idx="80">
                  <c:v>14.5426470588235</c:v>
                </c:pt>
                <c:pt idx="81">
                  <c:v>13.9808823529411</c:v>
                </c:pt>
                <c:pt idx="82">
                  <c:v>14.1040998217468</c:v>
                </c:pt>
                <c:pt idx="83">
                  <c:v>14.397058823529401</c:v>
                </c:pt>
                <c:pt idx="84">
                  <c:v>13.613235294117599</c:v>
                </c:pt>
                <c:pt idx="85">
                  <c:v>14.4676470588235</c:v>
                </c:pt>
                <c:pt idx="86">
                  <c:v>14.926470588235199</c:v>
                </c:pt>
                <c:pt idx="87">
                  <c:v>14.8691176470588</c:v>
                </c:pt>
                <c:pt idx="88">
                  <c:v>14.9382352941176</c:v>
                </c:pt>
                <c:pt idx="89">
                  <c:v>14.0308823529411</c:v>
                </c:pt>
                <c:pt idx="90">
                  <c:v>13.4647058823529</c:v>
                </c:pt>
                <c:pt idx="91">
                  <c:v>14.017647058823499</c:v>
                </c:pt>
                <c:pt idx="92">
                  <c:v>13.6090909090909</c:v>
                </c:pt>
                <c:pt idx="93">
                  <c:v>13.085294117647001</c:v>
                </c:pt>
                <c:pt idx="94">
                  <c:v>12.85</c:v>
                </c:pt>
                <c:pt idx="95">
                  <c:v>12.9941176470588</c:v>
                </c:pt>
                <c:pt idx="96">
                  <c:v>12.891176470588199</c:v>
                </c:pt>
                <c:pt idx="97">
                  <c:v>12.924999999999899</c:v>
                </c:pt>
                <c:pt idx="98">
                  <c:v>12.363235294117599</c:v>
                </c:pt>
                <c:pt idx="99">
                  <c:v>11.3573529411764</c:v>
                </c:pt>
                <c:pt idx="100">
                  <c:v>11.6044117647058</c:v>
                </c:pt>
                <c:pt idx="101">
                  <c:v>11.445454545454499</c:v>
                </c:pt>
                <c:pt idx="102">
                  <c:v>11.897058823529401</c:v>
                </c:pt>
                <c:pt idx="103">
                  <c:v>11.5014705882352</c:v>
                </c:pt>
                <c:pt idx="104">
                  <c:v>12.461764705882301</c:v>
                </c:pt>
                <c:pt idx="105">
                  <c:v>12.083823529411699</c:v>
                </c:pt>
                <c:pt idx="106">
                  <c:v>12.307352941176401</c:v>
                </c:pt>
                <c:pt idx="107">
                  <c:v>11.5970588235294</c:v>
                </c:pt>
                <c:pt idx="108">
                  <c:v>11.710294117647001</c:v>
                </c:pt>
                <c:pt idx="109">
                  <c:v>12.0897058823529</c:v>
                </c:pt>
                <c:pt idx="110">
                  <c:v>11.1882352941176</c:v>
                </c:pt>
                <c:pt idx="111">
                  <c:v>11.0044117647058</c:v>
                </c:pt>
                <c:pt idx="112">
                  <c:v>11.586764705882301</c:v>
                </c:pt>
                <c:pt idx="113">
                  <c:v>10.9985294117647</c:v>
                </c:pt>
                <c:pt idx="114">
                  <c:v>11.547058823529399</c:v>
                </c:pt>
                <c:pt idx="115">
                  <c:v>11.6955882352941</c:v>
                </c:pt>
                <c:pt idx="116">
                  <c:v>11.833823529411699</c:v>
                </c:pt>
                <c:pt idx="117">
                  <c:v>12.1279411764705</c:v>
                </c:pt>
                <c:pt idx="118">
                  <c:v>10.824999999999999</c:v>
                </c:pt>
                <c:pt idx="119">
                  <c:v>10.554411764705799</c:v>
                </c:pt>
                <c:pt idx="120">
                  <c:v>10.2014705882352</c:v>
                </c:pt>
                <c:pt idx="121">
                  <c:v>10.3191176470588</c:v>
                </c:pt>
                <c:pt idx="122">
                  <c:v>10.267647058823499</c:v>
                </c:pt>
                <c:pt idx="123">
                  <c:v>10.807352941176401</c:v>
                </c:pt>
                <c:pt idx="124">
                  <c:v>10.7742424242424</c:v>
                </c:pt>
                <c:pt idx="125">
                  <c:v>11.583823529411699</c:v>
                </c:pt>
                <c:pt idx="126">
                  <c:v>11.138235294117599</c:v>
                </c:pt>
                <c:pt idx="127">
                  <c:v>10.079411764705799</c:v>
                </c:pt>
                <c:pt idx="128">
                  <c:v>10.2279411764705</c:v>
                </c:pt>
                <c:pt idx="129">
                  <c:v>10.1044117647058</c:v>
                </c:pt>
                <c:pt idx="130">
                  <c:v>10.4441176470588</c:v>
                </c:pt>
                <c:pt idx="131">
                  <c:v>10.801470588235199</c:v>
                </c:pt>
                <c:pt idx="132">
                  <c:v>10.149999999999901</c:v>
                </c:pt>
                <c:pt idx="133">
                  <c:v>10.029411764705801</c:v>
                </c:pt>
                <c:pt idx="134">
                  <c:v>9.6235294117647001</c:v>
                </c:pt>
                <c:pt idx="135">
                  <c:v>10.177941176470499</c:v>
                </c:pt>
                <c:pt idx="136">
                  <c:v>9.2779411764705806</c:v>
                </c:pt>
                <c:pt idx="137">
                  <c:v>9.0485294117647008</c:v>
                </c:pt>
                <c:pt idx="138">
                  <c:v>9.3647058823529399</c:v>
                </c:pt>
                <c:pt idx="139">
                  <c:v>9.4352941176470502</c:v>
                </c:pt>
                <c:pt idx="140">
                  <c:v>9.1705882352941099</c:v>
                </c:pt>
                <c:pt idx="141">
                  <c:v>8.3529411764705799</c:v>
                </c:pt>
                <c:pt idx="142">
                  <c:v>9.0132352941176404</c:v>
                </c:pt>
                <c:pt idx="143">
                  <c:v>8.7911764705882298</c:v>
                </c:pt>
                <c:pt idx="144">
                  <c:v>8.3720588235294109</c:v>
                </c:pt>
                <c:pt idx="145">
                  <c:v>8.5632352941176393</c:v>
                </c:pt>
                <c:pt idx="146">
                  <c:v>8.4573529411764703</c:v>
                </c:pt>
                <c:pt idx="147">
                  <c:v>8.1897058823529392</c:v>
                </c:pt>
                <c:pt idx="148">
                  <c:v>8.3764705882352892</c:v>
                </c:pt>
                <c:pt idx="149">
                  <c:v>7.9235294117646999</c:v>
                </c:pt>
                <c:pt idx="150">
                  <c:v>7.9742424242424201</c:v>
                </c:pt>
                <c:pt idx="151">
                  <c:v>8.0696969696969596</c:v>
                </c:pt>
                <c:pt idx="152">
                  <c:v>7.75</c:v>
                </c:pt>
                <c:pt idx="153">
                  <c:v>7.4484848484848403</c:v>
                </c:pt>
                <c:pt idx="154">
                  <c:v>7.27424242424242</c:v>
                </c:pt>
                <c:pt idx="155">
                  <c:v>7.1969696969696901</c:v>
                </c:pt>
                <c:pt idx="156">
                  <c:v>6.8636363636363598</c:v>
                </c:pt>
                <c:pt idx="157">
                  <c:v>7.0772727272727201</c:v>
                </c:pt>
                <c:pt idx="158">
                  <c:v>7.6151515151515099</c:v>
                </c:pt>
                <c:pt idx="159">
                  <c:v>7.8272727272727201</c:v>
                </c:pt>
                <c:pt idx="160">
                  <c:v>7.8272727272727201</c:v>
                </c:pt>
                <c:pt idx="161">
                  <c:v>7.6075757575757503</c:v>
                </c:pt>
                <c:pt idx="162">
                  <c:v>7.7030303030302996</c:v>
                </c:pt>
                <c:pt idx="163">
                  <c:v>6.8681818181818102</c:v>
                </c:pt>
                <c:pt idx="164">
                  <c:v>7.2318181818181797</c:v>
                </c:pt>
                <c:pt idx="165">
                  <c:v>7.3390624999999998</c:v>
                </c:pt>
                <c:pt idx="166">
                  <c:v>6.6624999999999996</c:v>
                </c:pt>
                <c:pt idx="167">
                  <c:v>6.015625</c:v>
                </c:pt>
                <c:pt idx="168">
                  <c:v>6.4772727272727204</c:v>
                </c:pt>
                <c:pt idx="169">
                  <c:v>6.3803030303030299</c:v>
                </c:pt>
                <c:pt idx="170">
                  <c:v>6.4439393939393899</c:v>
                </c:pt>
                <c:pt idx="171">
                  <c:v>6.5606060606060597</c:v>
                </c:pt>
                <c:pt idx="172">
                  <c:v>6.1424242424242399</c:v>
                </c:pt>
                <c:pt idx="173">
                  <c:v>6.20757575757575</c:v>
                </c:pt>
                <c:pt idx="174">
                  <c:v>6.5106060606060598</c:v>
                </c:pt>
                <c:pt idx="175">
                  <c:v>6.4439393939393899</c:v>
                </c:pt>
                <c:pt idx="176">
                  <c:v>6.6909090909090896</c:v>
                </c:pt>
                <c:pt idx="177">
                  <c:v>6.1848484848484802</c:v>
                </c:pt>
                <c:pt idx="178">
                  <c:v>5.9242424242424203</c:v>
                </c:pt>
                <c:pt idx="179">
                  <c:v>6.1499999999999897</c:v>
                </c:pt>
                <c:pt idx="180">
                  <c:v>6.4909090909090903</c:v>
                </c:pt>
                <c:pt idx="181">
                  <c:v>5.80151515151515</c:v>
                </c:pt>
                <c:pt idx="182">
                  <c:v>5.4696969696969697</c:v>
                </c:pt>
                <c:pt idx="183">
                  <c:v>6.01212121212121</c:v>
                </c:pt>
                <c:pt idx="184">
                  <c:v>6.2727272727272698</c:v>
                </c:pt>
                <c:pt idx="185">
                  <c:v>6.5393939393939302</c:v>
                </c:pt>
                <c:pt idx="186">
                  <c:v>6.3272727272727201</c:v>
                </c:pt>
                <c:pt idx="187">
                  <c:v>5.5742424242424198</c:v>
                </c:pt>
                <c:pt idx="188">
                  <c:v>5.2243939393939298</c:v>
                </c:pt>
                <c:pt idx="189">
                  <c:v>5.4590909090909001</c:v>
                </c:pt>
                <c:pt idx="190">
                  <c:v>5.67121212121212</c:v>
                </c:pt>
                <c:pt idx="191">
                  <c:v>5.5803030303030301</c:v>
                </c:pt>
                <c:pt idx="192">
                  <c:v>5.8181818181818103</c:v>
                </c:pt>
                <c:pt idx="193">
                  <c:v>5.8984848484848396</c:v>
                </c:pt>
                <c:pt idx="194">
                  <c:v>6.1590909090909003</c:v>
                </c:pt>
                <c:pt idx="195">
                  <c:v>5.8606060606060604</c:v>
                </c:pt>
                <c:pt idx="196">
                  <c:v>6.3318181818181802</c:v>
                </c:pt>
                <c:pt idx="197">
                  <c:v>6.4424242424242397</c:v>
                </c:pt>
                <c:pt idx="198">
                  <c:v>6.3242424242424198</c:v>
                </c:pt>
                <c:pt idx="199">
                  <c:v>6.5333333333333297</c:v>
                </c:pt>
                <c:pt idx="200">
                  <c:v>6.70757575757575</c:v>
                </c:pt>
                <c:pt idx="201">
                  <c:v>6.2909090909090901</c:v>
                </c:pt>
                <c:pt idx="202">
                  <c:v>6.5757575757575699</c:v>
                </c:pt>
                <c:pt idx="203">
                  <c:v>6.8424242424242401</c:v>
                </c:pt>
                <c:pt idx="204">
                  <c:v>6.7236363636363601</c:v>
                </c:pt>
                <c:pt idx="205">
                  <c:v>6.8075757575757496</c:v>
                </c:pt>
                <c:pt idx="206">
                  <c:v>6.7636363636363601</c:v>
                </c:pt>
                <c:pt idx="207">
                  <c:v>7.0954545454545404</c:v>
                </c:pt>
                <c:pt idx="208">
                  <c:v>7.0287878787878704</c:v>
                </c:pt>
                <c:pt idx="209">
                  <c:v>7.4492424242424198</c:v>
                </c:pt>
                <c:pt idx="210">
                  <c:v>6.8409090909090899</c:v>
                </c:pt>
                <c:pt idx="211">
                  <c:v>7.1918181818181797</c:v>
                </c:pt>
                <c:pt idx="212">
                  <c:v>7.4148484848484797</c:v>
                </c:pt>
                <c:pt idx="213">
                  <c:v>7.1409090909090898</c:v>
                </c:pt>
                <c:pt idx="214">
                  <c:v>6.7681818181818096</c:v>
                </c:pt>
                <c:pt idx="215">
                  <c:v>7.2015151515151503</c:v>
                </c:pt>
                <c:pt idx="216">
                  <c:v>7.3742424242424196</c:v>
                </c:pt>
                <c:pt idx="217">
                  <c:v>7.4590909090909001</c:v>
                </c:pt>
                <c:pt idx="218">
                  <c:v>7.5939393939393902</c:v>
                </c:pt>
                <c:pt idx="219">
                  <c:v>7.3257575757575699</c:v>
                </c:pt>
                <c:pt idx="220">
                  <c:v>6.6333333333333302</c:v>
                </c:pt>
                <c:pt idx="221">
                  <c:v>7.0696969696969703</c:v>
                </c:pt>
                <c:pt idx="222">
                  <c:v>7.5106060606060598</c:v>
                </c:pt>
                <c:pt idx="223">
                  <c:v>7.7378787878787803</c:v>
                </c:pt>
                <c:pt idx="224">
                  <c:v>7.4378787878787804</c:v>
                </c:pt>
                <c:pt idx="225">
                  <c:v>7.3203125</c:v>
                </c:pt>
                <c:pt idx="226">
                  <c:v>6.9593749999999996</c:v>
                </c:pt>
                <c:pt idx="227">
                  <c:v>7.1937499999999996</c:v>
                </c:pt>
                <c:pt idx="228">
                  <c:v>7.7437500000000004</c:v>
                </c:pt>
                <c:pt idx="229">
                  <c:v>7.8</c:v>
                </c:pt>
                <c:pt idx="230">
                  <c:v>7.5171875000000004</c:v>
                </c:pt>
                <c:pt idx="231">
                  <c:v>7.5671875000000002</c:v>
                </c:pt>
                <c:pt idx="232">
                  <c:v>7.2593750000000004</c:v>
                </c:pt>
                <c:pt idx="233">
                  <c:v>7.5062499999999996</c:v>
                </c:pt>
                <c:pt idx="234">
                  <c:v>7.6363636363636296</c:v>
                </c:pt>
                <c:pt idx="235">
                  <c:v>8.1045454545454501</c:v>
                </c:pt>
                <c:pt idx="236">
                  <c:v>8.2954545454545396</c:v>
                </c:pt>
                <c:pt idx="237">
                  <c:v>8.2378787878787794</c:v>
                </c:pt>
                <c:pt idx="238">
                  <c:v>8.2484848484848392</c:v>
                </c:pt>
                <c:pt idx="239">
                  <c:v>8.5593939393939298</c:v>
                </c:pt>
                <c:pt idx="240">
                  <c:v>8.2121212121212093</c:v>
                </c:pt>
                <c:pt idx="241">
                  <c:v>8.8015151515151508</c:v>
                </c:pt>
                <c:pt idx="242">
                  <c:v>7.8968181818181797</c:v>
                </c:pt>
                <c:pt idx="243">
                  <c:v>8.5848484848484805</c:v>
                </c:pt>
                <c:pt idx="244">
                  <c:v>9.0333333333333297</c:v>
                </c:pt>
                <c:pt idx="245">
                  <c:v>8.7469696969696908</c:v>
                </c:pt>
                <c:pt idx="246">
                  <c:v>8.7227272727272709</c:v>
                </c:pt>
                <c:pt idx="247">
                  <c:v>8.4803030303030305</c:v>
                </c:pt>
                <c:pt idx="248">
                  <c:v>8.9078125000000004</c:v>
                </c:pt>
                <c:pt idx="249">
                  <c:v>8.9656249999999993</c:v>
                </c:pt>
                <c:pt idx="250">
                  <c:v>8.6015625</c:v>
                </c:pt>
                <c:pt idx="251">
                  <c:v>8.0227272727272698</c:v>
                </c:pt>
                <c:pt idx="252">
                  <c:v>9.0060606060606005</c:v>
                </c:pt>
                <c:pt idx="253">
                  <c:v>9.7090909090909001</c:v>
                </c:pt>
                <c:pt idx="254">
                  <c:v>9.6212121212121193</c:v>
                </c:pt>
                <c:pt idx="255">
                  <c:v>9.3833333333333293</c:v>
                </c:pt>
                <c:pt idx="256">
                  <c:v>9.8590909090909093</c:v>
                </c:pt>
                <c:pt idx="257">
                  <c:v>10.654545454545399</c:v>
                </c:pt>
                <c:pt idx="258">
                  <c:v>10.4757575757575</c:v>
                </c:pt>
                <c:pt idx="259">
                  <c:v>9.8469696969696905</c:v>
                </c:pt>
                <c:pt idx="260">
                  <c:v>9.6045454545454501</c:v>
                </c:pt>
                <c:pt idx="261">
                  <c:v>9.8772727272727199</c:v>
                </c:pt>
                <c:pt idx="262">
                  <c:v>9.4984848484848392</c:v>
                </c:pt>
                <c:pt idx="263">
                  <c:v>9.9712121212121207</c:v>
                </c:pt>
                <c:pt idx="264">
                  <c:v>9.6348484848484794</c:v>
                </c:pt>
                <c:pt idx="265">
                  <c:v>9.4318181818181799</c:v>
                </c:pt>
                <c:pt idx="266">
                  <c:v>9.9181818181818109</c:v>
                </c:pt>
                <c:pt idx="267">
                  <c:v>9.4424242424242397</c:v>
                </c:pt>
                <c:pt idx="268">
                  <c:v>10.2424242424242</c:v>
                </c:pt>
                <c:pt idx="269">
                  <c:v>10.445454545454499</c:v>
                </c:pt>
                <c:pt idx="270">
                  <c:v>10.198484848484799</c:v>
                </c:pt>
                <c:pt idx="271">
                  <c:v>10.072727272727199</c:v>
                </c:pt>
                <c:pt idx="272">
                  <c:v>11.2515151515151</c:v>
                </c:pt>
                <c:pt idx="273">
                  <c:v>11.2893939393939</c:v>
                </c:pt>
                <c:pt idx="274">
                  <c:v>11.590909090908999</c:v>
                </c:pt>
                <c:pt idx="275">
                  <c:v>10.8530303030303</c:v>
                </c:pt>
                <c:pt idx="276">
                  <c:v>10.580303030303</c:v>
                </c:pt>
                <c:pt idx="277">
                  <c:v>10.5</c:v>
                </c:pt>
                <c:pt idx="278">
                  <c:v>11.0757575757575</c:v>
                </c:pt>
                <c:pt idx="279">
                  <c:v>11.1621212121212</c:v>
                </c:pt>
                <c:pt idx="280">
                  <c:v>10.442424242424201</c:v>
                </c:pt>
                <c:pt idx="281">
                  <c:v>10.1257575757575</c:v>
                </c:pt>
                <c:pt idx="282">
                  <c:v>10.0590909090909</c:v>
                </c:pt>
                <c:pt idx="283">
                  <c:v>10.7469696969696</c:v>
                </c:pt>
                <c:pt idx="284">
                  <c:v>12.012121212121199</c:v>
                </c:pt>
                <c:pt idx="285">
                  <c:v>11.445454545454499</c:v>
                </c:pt>
                <c:pt idx="286">
                  <c:v>11.0863636363636</c:v>
                </c:pt>
                <c:pt idx="287">
                  <c:v>10.820454545454499</c:v>
                </c:pt>
                <c:pt idx="288">
                  <c:v>11.382575757575699</c:v>
                </c:pt>
                <c:pt idx="289">
                  <c:v>12.1743939393939</c:v>
                </c:pt>
                <c:pt idx="290">
                  <c:v>11.5590909090909</c:v>
                </c:pt>
                <c:pt idx="291">
                  <c:v>11.530303030302999</c:v>
                </c:pt>
                <c:pt idx="292">
                  <c:v>11.592424242424199</c:v>
                </c:pt>
                <c:pt idx="293">
                  <c:v>12.6712121212121</c:v>
                </c:pt>
                <c:pt idx="294">
                  <c:v>11.5966666666666</c:v>
                </c:pt>
                <c:pt idx="295">
                  <c:v>11.5331818181818</c:v>
                </c:pt>
                <c:pt idx="296">
                  <c:v>11.6060606060606</c:v>
                </c:pt>
                <c:pt idx="297">
                  <c:v>11.821212121212101</c:v>
                </c:pt>
                <c:pt idx="298">
                  <c:v>12.8742424242424</c:v>
                </c:pt>
                <c:pt idx="299">
                  <c:v>12.3921212121212</c:v>
                </c:pt>
                <c:pt idx="300">
                  <c:v>13.0242424242424</c:v>
                </c:pt>
                <c:pt idx="301">
                  <c:v>13.2075757575757</c:v>
                </c:pt>
                <c:pt idx="302">
                  <c:v>12.865151515151499</c:v>
                </c:pt>
                <c:pt idx="303">
                  <c:v>12.8045454545454</c:v>
                </c:pt>
                <c:pt idx="304">
                  <c:v>13.4363636363636</c:v>
                </c:pt>
                <c:pt idx="305">
                  <c:v>12.756060606060601</c:v>
                </c:pt>
                <c:pt idx="306">
                  <c:v>12.960606060606001</c:v>
                </c:pt>
                <c:pt idx="307">
                  <c:v>13.0166666666666</c:v>
                </c:pt>
                <c:pt idx="308">
                  <c:v>12.8439393939393</c:v>
                </c:pt>
                <c:pt idx="309">
                  <c:v>12.319696969696899</c:v>
                </c:pt>
                <c:pt idx="310">
                  <c:v>12.6025757575757</c:v>
                </c:pt>
                <c:pt idx="311">
                  <c:v>12.547121212121199</c:v>
                </c:pt>
                <c:pt idx="312">
                  <c:v>12.8168181818181</c:v>
                </c:pt>
                <c:pt idx="313">
                  <c:v>14.334848484848401</c:v>
                </c:pt>
                <c:pt idx="314">
                  <c:v>13.660606060606</c:v>
                </c:pt>
                <c:pt idx="315">
                  <c:v>13.3045454545454</c:v>
                </c:pt>
                <c:pt idx="316">
                  <c:v>12.422727272727199</c:v>
                </c:pt>
                <c:pt idx="317">
                  <c:v>12.9954545454545</c:v>
                </c:pt>
                <c:pt idx="318">
                  <c:v>13.430303030303</c:v>
                </c:pt>
                <c:pt idx="319">
                  <c:v>13.7712121212121</c:v>
                </c:pt>
                <c:pt idx="320">
                  <c:v>12.8924242424242</c:v>
                </c:pt>
                <c:pt idx="321">
                  <c:v>12.363636363636299</c:v>
                </c:pt>
                <c:pt idx="322">
                  <c:v>12.159090909090899</c:v>
                </c:pt>
                <c:pt idx="323">
                  <c:v>13.048484848484801</c:v>
                </c:pt>
                <c:pt idx="324">
                  <c:v>12.9621212121212</c:v>
                </c:pt>
                <c:pt idx="325">
                  <c:v>12.268749999999899</c:v>
                </c:pt>
                <c:pt idx="326">
                  <c:v>13.610937499999901</c:v>
                </c:pt>
                <c:pt idx="327">
                  <c:v>13.9</c:v>
                </c:pt>
                <c:pt idx="328">
                  <c:v>14.229687499999899</c:v>
                </c:pt>
                <c:pt idx="329">
                  <c:v>13.9375</c:v>
                </c:pt>
                <c:pt idx="330">
                  <c:v>13.6234375</c:v>
                </c:pt>
                <c:pt idx="331">
                  <c:v>13.4125</c:v>
                </c:pt>
                <c:pt idx="332">
                  <c:v>13.120312499999899</c:v>
                </c:pt>
                <c:pt idx="333">
                  <c:v>13.534375000000001</c:v>
                </c:pt>
                <c:pt idx="334">
                  <c:v>14.5196969696969</c:v>
                </c:pt>
                <c:pt idx="335">
                  <c:v>14.7863636363636</c:v>
                </c:pt>
                <c:pt idx="336">
                  <c:v>15.427272727272699</c:v>
                </c:pt>
                <c:pt idx="337">
                  <c:v>15.004545454545401</c:v>
                </c:pt>
                <c:pt idx="338">
                  <c:v>14.903030303030301</c:v>
                </c:pt>
                <c:pt idx="339">
                  <c:v>14.301515151515099</c:v>
                </c:pt>
                <c:pt idx="340">
                  <c:v>14.8272727272727</c:v>
                </c:pt>
                <c:pt idx="341">
                  <c:v>14.8772727272727</c:v>
                </c:pt>
                <c:pt idx="342">
                  <c:v>14.215151515151501</c:v>
                </c:pt>
                <c:pt idx="343">
                  <c:v>14.9121212121212</c:v>
                </c:pt>
                <c:pt idx="344">
                  <c:v>15.940909090909001</c:v>
                </c:pt>
                <c:pt idx="345">
                  <c:v>16.6272727272727</c:v>
                </c:pt>
                <c:pt idx="346">
                  <c:v>15.6196969696969</c:v>
                </c:pt>
                <c:pt idx="347">
                  <c:v>14.8939393939393</c:v>
                </c:pt>
                <c:pt idx="348">
                  <c:v>16</c:v>
                </c:pt>
                <c:pt idx="349">
                  <c:v>15.5590909090909</c:v>
                </c:pt>
                <c:pt idx="350">
                  <c:v>15.2454545454545</c:v>
                </c:pt>
                <c:pt idx="351">
                  <c:v>15.4969696969696</c:v>
                </c:pt>
                <c:pt idx="352">
                  <c:v>15.5242424242424</c:v>
                </c:pt>
                <c:pt idx="353">
                  <c:v>15.1863636363636</c:v>
                </c:pt>
                <c:pt idx="354">
                  <c:v>14.9893480257116</c:v>
                </c:pt>
                <c:pt idx="355">
                  <c:v>15.318181818181801</c:v>
                </c:pt>
                <c:pt idx="356">
                  <c:v>15.1030303030303</c:v>
                </c:pt>
                <c:pt idx="357">
                  <c:v>15.75</c:v>
                </c:pt>
                <c:pt idx="358">
                  <c:v>15.801515151515099</c:v>
                </c:pt>
                <c:pt idx="359">
                  <c:v>15.1378787878787</c:v>
                </c:pt>
                <c:pt idx="360">
                  <c:v>16.901515151515099</c:v>
                </c:pt>
                <c:pt idx="361">
                  <c:v>17.143939393939299</c:v>
                </c:pt>
                <c:pt idx="362">
                  <c:v>15.795454545454501</c:v>
                </c:pt>
                <c:pt idx="363">
                  <c:v>16.3359375</c:v>
                </c:pt>
                <c:pt idx="364">
                  <c:v>15.832812499999999</c:v>
                </c:pt>
                <c:pt idx="365">
                  <c:v>16.3</c:v>
                </c:pt>
              </c:numCache>
            </c:numRef>
          </c:yVal>
          <c:smooth val="1"/>
          <c:extLst>
            <c:ext xmlns:c16="http://schemas.microsoft.com/office/drawing/2014/chart" uri="{C3380CC4-5D6E-409C-BE32-E72D297353CC}">
              <c16:uniqueId val="{00000000-787B-42AE-A59C-62ACE34B571F}"/>
            </c:ext>
          </c:extLst>
        </c:ser>
        <c:ser>
          <c:idx val="1"/>
          <c:order val="1"/>
          <c:tx>
            <c:strRef>
              <c:f>meanT!$C$2</c:f>
              <c:strCache>
                <c:ptCount val="1"/>
                <c:pt idx="0">
                  <c:v>Pukekohe</c:v>
                </c:pt>
              </c:strCache>
            </c:strRef>
          </c:tx>
          <c:spPr>
            <a:ln w="19050" cap="rnd">
              <a:solidFill>
                <a:schemeClr val="accent2"/>
              </a:solidFill>
              <a:round/>
            </a:ln>
            <a:effectLst/>
          </c:spPr>
          <c:marker>
            <c:symbol val="none"/>
          </c:marker>
          <c:xVal>
            <c:numRef>
              <c:f>meanT!$A$3:$A$368</c:f>
              <c:numCache>
                <c:formatCode>General</c:formatCode>
                <c:ptCount val="36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numCache>
            </c:numRef>
          </c:xVal>
          <c:yVal>
            <c:numRef>
              <c:f>meanT!$C$3:$C$368</c:f>
              <c:numCache>
                <c:formatCode>General</c:formatCode>
                <c:ptCount val="366"/>
                <c:pt idx="0">
                  <c:v>17.639655172413701</c:v>
                </c:pt>
                <c:pt idx="1">
                  <c:v>18.013793103448201</c:v>
                </c:pt>
                <c:pt idx="2">
                  <c:v>17.827586206896498</c:v>
                </c:pt>
                <c:pt idx="3">
                  <c:v>18.068965517241299</c:v>
                </c:pt>
                <c:pt idx="4">
                  <c:v>17.658620689655098</c:v>
                </c:pt>
                <c:pt idx="5">
                  <c:v>17.7431034482758</c:v>
                </c:pt>
                <c:pt idx="6">
                  <c:v>18.181034482758601</c:v>
                </c:pt>
                <c:pt idx="7">
                  <c:v>18.393103448275799</c:v>
                </c:pt>
                <c:pt idx="8">
                  <c:v>18.6103448275862</c:v>
                </c:pt>
                <c:pt idx="9">
                  <c:v>18.453448275862002</c:v>
                </c:pt>
                <c:pt idx="10">
                  <c:v>18.186206896551699</c:v>
                </c:pt>
                <c:pt idx="11">
                  <c:v>18.314999999999898</c:v>
                </c:pt>
                <c:pt idx="12">
                  <c:v>18.473333333333301</c:v>
                </c:pt>
                <c:pt idx="13">
                  <c:v>18.684999999999999</c:v>
                </c:pt>
                <c:pt idx="14">
                  <c:v>18.661666666666601</c:v>
                </c:pt>
                <c:pt idx="15">
                  <c:v>18.636666666666599</c:v>
                </c:pt>
                <c:pt idx="16">
                  <c:v>18.4233333333333</c:v>
                </c:pt>
                <c:pt idx="17">
                  <c:v>18.466666666666601</c:v>
                </c:pt>
                <c:pt idx="18">
                  <c:v>18.754999999999999</c:v>
                </c:pt>
                <c:pt idx="19">
                  <c:v>18.6933333333333</c:v>
                </c:pt>
                <c:pt idx="20">
                  <c:v>18.914999999999999</c:v>
                </c:pt>
                <c:pt idx="21">
                  <c:v>19.0133333333333</c:v>
                </c:pt>
                <c:pt idx="22">
                  <c:v>19.03</c:v>
                </c:pt>
                <c:pt idx="23">
                  <c:v>19.07</c:v>
                </c:pt>
                <c:pt idx="24">
                  <c:v>19.3</c:v>
                </c:pt>
                <c:pt idx="25">
                  <c:v>19.418333333333301</c:v>
                </c:pt>
                <c:pt idx="26">
                  <c:v>19.086666666666599</c:v>
                </c:pt>
                <c:pt idx="27">
                  <c:v>19.248333333333299</c:v>
                </c:pt>
                <c:pt idx="28">
                  <c:v>19.486666666666601</c:v>
                </c:pt>
                <c:pt idx="29">
                  <c:v>19.725000000000001</c:v>
                </c:pt>
                <c:pt idx="30">
                  <c:v>19.670000000000002</c:v>
                </c:pt>
                <c:pt idx="31">
                  <c:v>19.770689655172401</c:v>
                </c:pt>
                <c:pt idx="32">
                  <c:v>19.548275862068898</c:v>
                </c:pt>
                <c:pt idx="33">
                  <c:v>19.325862068965499</c:v>
                </c:pt>
                <c:pt idx="34">
                  <c:v>18.712068965517201</c:v>
                </c:pt>
                <c:pt idx="35">
                  <c:v>19.178333333333299</c:v>
                </c:pt>
                <c:pt idx="36">
                  <c:v>19.063333333333301</c:v>
                </c:pt>
                <c:pt idx="37">
                  <c:v>19.164999999999999</c:v>
                </c:pt>
                <c:pt idx="38">
                  <c:v>19.145</c:v>
                </c:pt>
                <c:pt idx="39">
                  <c:v>19.28</c:v>
                </c:pt>
                <c:pt idx="40">
                  <c:v>19.6533333333333</c:v>
                </c:pt>
                <c:pt idx="41">
                  <c:v>19.843333333333302</c:v>
                </c:pt>
                <c:pt idx="42">
                  <c:v>19.767241379310299</c:v>
                </c:pt>
                <c:pt idx="43">
                  <c:v>19.5672413793103</c:v>
                </c:pt>
                <c:pt idx="44">
                  <c:v>19.5910714285714</c:v>
                </c:pt>
                <c:pt idx="45">
                  <c:v>19.355357142857098</c:v>
                </c:pt>
                <c:pt idx="46">
                  <c:v>19.258928571428498</c:v>
                </c:pt>
                <c:pt idx="47">
                  <c:v>19.284482758620602</c:v>
                </c:pt>
                <c:pt idx="48">
                  <c:v>19.415517241379298</c:v>
                </c:pt>
                <c:pt idx="49">
                  <c:v>19.4189655172413</c:v>
                </c:pt>
                <c:pt idx="50">
                  <c:v>19.5068965517241</c:v>
                </c:pt>
                <c:pt idx="51">
                  <c:v>19.441666666666599</c:v>
                </c:pt>
                <c:pt idx="52">
                  <c:v>19.231666666666602</c:v>
                </c:pt>
                <c:pt idx="53">
                  <c:v>19.22</c:v>
                </c:pt>
                <c:pt idx="54">
                  <c:v>18.793333333333301</c:v>
                </c:pt>
                <c:pt idx="55">
                  <c:v>18.3</c:v>
                </c:pt>
                <c:pt idx="56">
                  <c:v>18.41</c:v>
                </c:pt>
                <c:pt idx="57">
                  <c:v>18.516666666666602</c:v>
                </c:pt>
                <c:pt idx="58">
                  <c:v>18.253571428571401</c:v>
                </c:pt>
                <c:pt idx="59">
                  <c:v>18.313793103448202</c:v>
                </c:pt>
                <c:pt idx="60">
                  <c:v>18.701724137930999</c:v>
                </c:pt>
                <c:pt idx="61">
                  <c:v>18.759999999999899</c:v>
                </c:pt>
                <c:pt idx="62">
                  <c:v>18.0322580645161</c:v>
                </c:pt>
                <c:pt idx="63">
                  <c:v>17.95</c:v>
                </c:pt>
                <c:pt idx="64">
                  <c:v>18.361290322580601</c:v>
                </c:pt>
                <c:pt idx="65">
                  <c:v>17.7903225806451</c:v>
                </c:pt>
                <c:pt idx="66">
                  <c:v>18.141379310344799</c:v>
                </c:pt>
                <c:pt idx="67">
                  <c:v>18.3816666666666</c:v>
                </c:pt>
                <c:pt idx="68">
                  <c:v>18.100000000000001</c:v>
                </c:pt>
                <c:pt idx="69">
                  <c:v>17.931666666666601</c:v>
                </c:pt>
                <c:pt idx="70">
                  <c:v>18.11</c:v>
                </c:pt>
                <c:pt idx="71">
                  <c:v>17.7392857142857</c:v>
                </c:pt>
                <c:pt idx="72">
                  <c:v>17.7431034482758</c:v>
                </c:pt>
                <c:pt idx="73">
                  <c:v>17.582758620689599</c:v>
                </c:pt>
                <c:pt idx="74">
                  <c:v>17.724137931034399</c:v>
                </c:pt>
                <c:pt idx="75">
                  <c:v>17.698333333333299</c:v>
                </c:pt>
                <c:pt idx="76">
                  <c:v>17.62</c:v>
                </c:pt>
                <c:pt idx="77">
                  <c:v>17.170000000000002</c:v>
                </c:pt>
                <c:pt idx="78">
                  <c:v>17.223333333333301</c:v>
                </c:pt>
                <c:pt idx="79">
                  <c:v>17.498333333333299</c:v>
                </c:pt>
                <c:pt idx="80">
                  <c:v>17.390322580645101</c:v>
                </c:pt>
                <c:pt idx="81">
                  <c:v>17.053333333333299</c:v>
                </c:pt>
                <c:pt idx="82">
                  <c:v>16.973333333333301</c:v>
                </c:pt>
                <c:pt idx="83">
                  <c:v>16.984999999999999</c:v>
                </c:pt>
                <c:pt idx="84">
                  <c:v>17.064516129032199</c:v>
                </c:pt>
                <c:pt idx="85">
                  <c:v>17.208064516128999</c:v>
                </c:pt>
                <c:pt idx="86">
                  <c:v>17.141666666666602</c:v>
                </c:pt>
                <c:pt idx="87">
                  <c:v>17.338333333333299</c:v>
                </c:pt>
                <c:pt idx="88">
                  <c:v>17.136206896551698</c:v>
                </c:pt>
                <c:pt idx="89">
                  <c:v>16.922413793103399</c:v>
                </c:pt>
                <c:pt idx="90">
                  <c:v>16.63</c:v>
                </c:pt>
                <c:pt idx="91">
                  <c:v>16.5379310344827</c:v>
                </c:pt>
                <c:pt idx="92">
                  <c:v>16.693103448275799</c:v>
                </c:pt>
                <c:pt idx="93">
                  <c:v>16.29</c:v>
                </c:pt>
                <c:pt idx="94">
                  <c:v>16.28</c:v>
                </c:pt>
                <c:pt idx="95">
                  <c:v>16.288333333333298</c:v>
                </c:pt>
                <c:pt idx="96">
                  <c:v>16.247502601456802</c:v>
                </c:pt>
                <c:pt idx="97">
                  <c:v>15.9919354838709</c:v>
                </c:pt>
                <c:pt idx="98">
                  <c:v>15.7</c:v>
                </c:pt>
                <c:pt idx="99">
                  <c:v>15.6066666666666</c:v>
                </c:pt>
                <c:pt idx="100">
                  <c:v>15.335000000000001</c:v>
                </c:pt>
                <c:pt idx="101">
                  <c:v>15.3916666666666</c:v>
                </c:pt>
                <c:pt idx="102">
                  <c:v>15.6451612903225</c:v>
                </c:pt>
                <c:pt idx="103">
                  <c:v>15.3435483870967</c:v>
                </c:pt>
                <c:pt idx="104">
                  <c:v>15.1612903225806</c:v>
                </c:pt>
                <c:pt idx="105">
                  <c:v>15.658064516129</c:v>
                </c:pt>
                <c:pt idx="106">
                  <c:v>15.408064516129</c:v>
                </c:pt>
                <c:pt idx="107">
                  <c:v>15.420967741935399</c:v>
                </c:pt>
                <c:pt idx="108">
                  <c:v>15.193548387096699</c:v>
                </c:pt>
                <c:pt idx="109">
                  <c:v>15.4096774193548</c:v>
                </c:pt>
                <c:pt idx="110">
                  <c:v>15.261666666666599</c:v>
                </c:pt>
                <c:pt idx="111">
                  <c:v>14.5283333333333</c:v>
                </c:pt>
                <c:pt idx="112">
                  <c:v>14.68</c:v>
                </c:pt>
                <c:pt idx="113">
                  <c:v>14.4933333333333</c:v>
                </c:pt>
                <c:pt idx="114">
                  <c:v>14.7733333333333</c:v>
                </c:pt>
                <c:pt idx="115">
                  <c:v>14.998333333333299</c:v>
                </c:pt>
                <c:pt idx="116">
                  <c:v>15.395</c:v>
                </c:pt>
                <c:pt idx="117">
                  <c:v>15.641379310344799</c:v>
                </c:pt>
                <c:pt idx="118">
                  <c:v>14.7327586206896</c:v>
                </c:pt>
                <c:pt idx="119">
                  <c:v>14.332758620689599</c:v>
                </c:pt>
                <c:pt idx="120">
                  <c:v>14.3982758620689</c:v>
                </c:pt>
                <c:pt idx="121">
                  <c:v>14.296666666666599</c:v>
                </c:pt>
                <c:pt idx="122">
                  <c:v>14.1866666666666</c:v>
                </c:pt>
                <c:pt idx="123">
                  <c:v>13.9112903225806</c:v>
                </c:pt>
                <c:pt idx="124">
                  <c:v>13.9966666666666</c:v>
                </c:pt>
                <c:pt idx="125">
                  <c:v>14.1596774193548</c:v>
                </c:pt>
                <c:pt idx="126">
                  <c:v>13.8403225806451</c:v>
                </c:pt>
                <c:pt idx="127">
                  <c:v>13.5774193548387</c:v>
                </c:pt>
                <c:pt idx="128">
                  <c:v>13.1612903225806</c:v>
                </c:pt>
                <c:pt idx="129">
                  <c:v>13.291935483870899</c:v>
                </c:pt>
                <c:pt idx="130">
                  <c:v>13.5774193548387</c:v>
                </c:pt>
                <c:pt idx="131">
                  <c:v>13.898387096774099</c:v>
                </c:pt>
                <c:pt idx="132">
                  <c:v>13.8193548387096</c:v>
                </c:pt>
                <c:pt idx="133">
                  <c:v>13.49</c:v>
                </c:pt>
                <c:pt idx="134">
                  <c:v>13.408064516129</c:v>
                </c:pt>
                <c:pt idx="135">
                  <c:v>13.4193548387096</c:v>
                </c:pt>
                <c:pt idx="136">
                  <c:v>13.0177419354838</c:v>
                </c:pt>
                <c:pt idx="137">
                  <c:v>12.8774193548387</c:v>
                </c:pt>
                <c:pt idx="138">
                  <c:v>13.3629032258064</c:v>
                </c:pt>
                <c:pt idx="139">
                  <c:v>13.314516129032199</c:v>
                </c:pt>
                <c:pt idx="140">
                  <c:v>13.598387096774101</c:v>
                </c:pt>
                <c:pt idx="141">
                  <c:v>13.074193548387001</c:v>
                </c:pt>
                <c:pt idx="142">
                  <c:v>12.8338709677419</c:v>
                </c:pt>
                <c:pt idx="143">
                  <c:v>12.761290322580599</c:v>
                </c:pt>
                <c:pt idx="144">
                  <c:v>13.04</c:v>
                </c:pt>
                <c:pt idx="145">
                  <c:v>13.44</c:v>
                </c:pt>
                <c:pt idx="146">
                  <c:v>12.8183333333333</c:v>
                </c:pt>
                <c:pt idx="147">
                  <c:v>12.088333333333299</c:v>
                </c:pt>
                <c:pt idx="148">
                  <c:v>11.7193548387096</c:v>
                </c:pt>
                <c:pt idx="149">
                  <c:v>12.024193548387</c:v>
                </c:pt>
                <c:pt idx="150">
                  <c:v>11.7258064516129</c:v>
                </c:pt>
                <c:pt idx="151">
                  <c:v>11.7564516129032</c:v>
                </c:pt>
                <c:pt idx="152">
                  <c:v>11.6033333333333</c:v>
                </c:pt>
                <c:pt idx="153">
                  <c:v>11.056666666666599</c:v>
                </c:pt>
                <c:pt idx="154">
                  <c:v>11.1733333333333</c:v>
                </c:pt>
                <c:pt idx="155">
                  <c:v>11.3016666666666</c:v>
                </c:pt>
                <c:pt idx="156">
                  <c:v>11.2416666666666</c:v>
                </c:pt>
                <c:pt idx="157">
                  <c:v>11.3533333333333</c:v>
                </c:pt>
                <c:pt idx="158">
                  <c:v>11.6383333333333</c:v>
                </c:pt>
                <c:pt idx="159">
                  <c:v>12.033333333333299</c:v>
                </c:pt>
                <c:pt idx="160">
                  <c:v>12.0483333333333</c:v>
                </c:pt>
                <c:pt idx="161">
                  <c:v>12.105</c:v>
                </c:pt>
                <c:pt idx="162">
                  <c:v>11.93</c:v>
                </c:pt>
                <c:pt idx="163">
                  <c:v>11.734999999999999</c:v>
                </c:pt>
                <c:pt idx="164">
                  <c:v>11.1666666666666</c:v>
                </c:pt>
                <c:pt idx="165">
                  <c:v>11.2283333333333</c:v>
                </c:pt>
                <c:pt idx="166">
                  <c:v>10.6586206896551</c:v>
                </c:pt>
                <c:pt idx="167">
                  <c:v>10.7310344827586</c:v>
                </c:pt>
                <c:pt idx="168">
                  <c:v>11.2603448275862</c:v>
                </c:pt>
                <c:pt idx="169">
                  <c:v>10.906896551724101</c:v>
                </c:pt>
                <c:pt idx="170">
                  <c:v>11.072413793103401</c:v>
                </c:pt>
                <c:pt idx="171">
                  <c:v>11.1844827586206</c:v>
                </c:pt>
                <c:pt idx="172">
                  <c:v>10.84</c:v>
                </c:pt>
                <c:pt idx="173">
                  <c:v>10.578333333333299</c:v>
                </c:pt>
                <c:pt idx="174">
                  <c:v>10.6928571428571</c:v>
                </c:pt>
                <c:pt idx="175">
                  <c:v>10.8642857142857</c:v>
                </c:pt>
                <c:pt idx="176">
                  <c:v>10.492857142857099</c:v>
                </c:pt>
                <c:pt idx="177">
                  <c:v>10.592857142857101</c:v>
                </c:pt>
                <c:pt idx="178">
                  <c:v>10.465517241379301</c:v>
                </c:pt>
                <c:pt idx="179">
                  <c:v>10.572413793103401</c:v>
                </c:pt>
                <c:pt idx="180">
                  <c:v>10.655357142857101</c:v>
                </c:pt>
                <c:pt idx="181">
                  <c:v>10.0517857142857</c:v>
                </c:pt>
                <c:pt idx="182">
                  <c:v>9.5678571428571395</c:v>
                </c:pt>
                <c:pt idx="183">
                  <c:v>9.7035714285714292</c:v>
                </c:pt>
                <c:pt idx="184">
                  <c:v>10.1785714285714</c:v>
                </c:pt>
                <c:pt idx="185">
                  <c:v>10.675000000000001</c:v>
                </c:pt>
                <c:pt idx="186">
                  <c:v>10.6303571428571</c:v>
                </c:pt>
                <c:pt idx="187">
                  <c:v>10.5714285714285</c:v>
                </c:pt>
                <c:pt idx="188">
                  <c:v>10.2685185185185</c:v>
                </c:pt>
                <c:pt idx="189">
                  <c:v>10.4166666666666</c:v>
                </c:pt>
                <c:pt idx="190">
                  <c:v>9.7703703703703706</c:v>
                </c:pt>
                <c:pt idx="191">
                  <c:v>9.4057692307692307</c:v>
                </c:pt>
                <c:pt idx="192">
                  <c:v>9.7037037037037006</c:v>
                </c:pt>
                <c:pt idx="193">
                  <c:v>9.875</c:v>
                </c:pt>
                <c:pt idx="194">
                  <c:v>9.4732142857142794</c:v>
                </c:pt>
                <c:pt idx="195">
                  <c:v>10.3732142857142</c:v>
                </c:pt>
                <c:pt idx="196">
                  <c:v>10.9428571428571</c:v>
                </c:pt>
                <c:pt idx="197">
                  <c:v>10.689655172413699</c:v>
                </c:pt>
                <c:pt idx="198">
                  <c:v>10.322413793103401</c:v>
                </c:pt>
                <c:pt idx="199">
                  <c:v>10.189655172413699</c:v>
                </c:pt>
                <c:pt idx="200">
                  <c:v>10.668333333333299</c:v>
                </c:pt>
                <c:pt idx="201">
                  <c:v>10.181666666666599</c:v>
                </c:pt>
                <c:pt idx="202">
                  <c:v>10.761666666666599</c:v>
                </c:pt>
                <c:pt idx="203">
                  <c:v>10.623333333333299</c:v>
                </c:pt>
                <c:pt idx="204">
                  <c:v>10.654999999999999</c:v>
                </c:pt>
                <c:pt idx="205">
                  <c:v>10.085000000000001</c:v>
                </c:pt>
                <c:pt idx="206">
                  <c:v>9.99</c:v>
                </c:pt>
                <c:pt idx="207">
                  <c:v>10.4116666666666</c:v>
                </c:pt>
                <c:pt idx="208">
                  <c:v>10.494999999999999</c:v>
                </c:pt>
                <c:pt idx="209">
                  <c:v>10.685</c:v>
                </c:pt>
                <c:pt idx="210">
                  <c:v>10.678333333333301</c:v>
                </c:pt>
                <c:pt idx="211">
                  <c:v>10.767241379310301</c:v>
                </c:pt>
                <c:pt idx="212">
                  <c:v>10.815</c:v>
                </c:pt>
                <c:pt idx="213">
                  <c:v>11.156666666666601</c:v>
                </c:pt>
                <c:pt idx="214">
                  <c:v>11.0879310344827</c:v>
                </c:pt>
                <c:pt idx="215">
                  <c:v>10.9965517241379</c:v>
                </c:pt>
                <c:pt idx="216">
                  <c:v>10.706395995550601</c:v>
                </c:pt>
                <c:pt idx="217">
                  <c:v>10.6327586206896</c:v>
                </c:pt>
                <c:pt idx="218">
                  <c:v>10.7362068965517</c:v>
                </c:pt>
                <c:pt idx="219">
                  <c:v>10.733333333333301</c:v>
                </c:pt>
                <c:pt idx="220">
                  <c:v>10.86</c:v>
                </c:pt>
                <c:pt idx="221">
                  <c:v>10.6416666666666</c:v>
                </c:pt>
                <c:pt idx="222">
                  <c:v>10.8983333333333</c:v>
                </c:pt>
                <c:pt idx="223">
                  <c:v>10.62</c:v>
                </c:pt>
                <c:pt idx="224">
                  <c:v>10.851666666666601</c:v>
                </c:pt>
                <c:pt idx="225">
                  <c:v>10.715517241379301</c:v>
                </c:pt>
                <c:pt idx="226">
                  <c:v>10.171666666666599</c:v>
                </c:pt>
                <c:pt idx="227">
                  <c:v>10.203333333333299</c:v>
                </c:pt>
                <c:pt idx="228">
                  <c:v>10.0833333333333</c:v>
                </c:pt>
                <c:pt idx="229">
                  <c:v>10.0833333333333</c:v>
                </c:pt>
                <c:pt idx="230">
                  <c:v>10.1383333333333</c:v>
                </c:pt>
                <c:pt idx="231">
                  <c:v>10.421666666666599</c:v>
                </c:pt>
                <c:pt idx="232">
                  <c:v>10.703333333333299</c:v>
                </c:pt>
                <c:pt idx="233">
                  <c:v>10.8266666666666</c:v>
                </c:pt>
                <c:pt idx="234">
                  <c:v>11.0766666666666</c:v>
                </c:pt>
                <c:pt idx="235">
                  <c:v>11.088333333333299</c:v>
                </c:pt>
                <c:pt idx="236">
                  <c:v>11.283333333333299</c:v>
                </c:pt>
                <c:pt idx="237">
                  <c:v>11.1383333333333</c:v>
                </c:pt>
                <c:pt idx="238">
                  <c:v>11.1133333333333</c:v>
                </c:pt>
                <c:pt idx="239">
                  <c:v>10.7724137931034</c:v>
                </c:pt>
                <c:pt idx="240">
                  <c:v>10.753448275862</c:v>
                </c:pt>
                <c:pt idx="241">
                  <c:v>10.891379310344799</c:v>
                </c:pt>
                <c:pt idx="242">
                  <c:v>10.953448275862</c:v>
                </c:pt>
                <c:pt idx="243">
                  <c:v>10.803333333333301</c:v>
                </c:pt>
                <c:pt idx="244">
                  <c:v>10.862068965517199</c:v>
                </c:pt>
                <c:pt idx="245">
                  <c:v>11.4379310344827</c:v>
                </c:pt>
                <c:pt idx="246">
                  <c:v>11.5448275862068</c:v>
                </c:pt>
                <c:pt idx="247">
                  <c:v>11.734482758620601</c:v>
                </c:pt>
                <c:pt idx="248">
                  <c:v>11.682758620689601</c:v>
                </c:pt>
                <c:pt idx="249">
                  <c:v>11.389655172413701</c:v>
                </c:pt>
                <c:pt idx="250">
                  <c:v>11.834482758620601</c:v>
                </c:pt>
                <c:pt idx="251">
                  <c:v>11.465</c:v>
                </c:pt>
                <c:pt idx="252">
                  <c:v>11.62</c:v>
                </c:pt>
                <c:pt idx="253">
                  <c:v>11.7633333333333</c:v>
                </c:pt>
                <c:pt idx="254">
                  <c:v>12.158333333333299</c:v>
                </c:pt>
                <c:pt idx="255">
                  <c:v>11.908333333333299</c:v>
                </c:pt>
                <c:pt idx="256">
                  <c:v>12.074999999999999</c:v>
                </c:pt>
                <c:pt idx="257">
                  <c:v>12.3883333333333</c:v>
                </c:pt>
                <c:pt idx="258">
                  <c:v>12.5766666666666</c:v>
                </c:pt>
                <c:pt idx="259">
                  <c:v>12.482258064516101</c:v>
                </c:pt>
                <c:pt idx="260">
                  <c:v>12.261290322580599</c:v>
                </c:pt>
                <c:pt idx="261">
                  <c:v>12.1677419354838</c:v>
                </c:pt>
                <c:pt idx="262">
                  <c:v>12.1064516129032</c:v>
                </c:pt>
                <c:pt idx="263">
                  <c:v>12.012903225806401</c:v>
                </c:pt>
                <c:pt idx="264">
                  <c:v>12.1612903225806</c:v>
                </c:pt>
                <c:pt idx="265">
                  <c:v>12.285483870967701</c:v>
                </c:pt>
                <c:pt idx="266">
                  <c:v>12.7274193548387</c:v>
                </c:pt>
                <c:pt idx="267">
                  <c:v>12.4338709677419</c:v>
                </c:pt>
                <c:pt idx="268">
                  <c:v>12.341666666666599</c:v>
                </c:pt>
                <c:pt idx="269">
                  <c:v>12.7183333333333</c:v>
                </c:pt>
                <c:pt idx="270">
                  <c:v>13.04</c:v>
                </c:pt>
                <c:pt idx="271">
                  <c:v>13.381034482758601</c:v>
                </c:pt>
                <c:pt idx="272">
                  <c:v>13.274137931034399</c:v>
                </c:pt>
                <c:pt idx="273">
                  <c:v>13.0233333333333</c:v>
                </c:pt>
                <c:pt idx="274">
                  <c:v>12.938333333333301</c:v>
                </c:pt>
                <c:pt idx="275">
                  <c:v>13.2433333333333</c:v>
                </c:pt>
                <c:pt idx="276">
                  <c:v>12.85</c:v>
                </c:pt>
                <c:pt idx="277">
                  <c:v>12.875806451612901</c:v>
                </c:pt>
                <c:pt idx="278">
                  <c:v>12.9966666666666</c:v>
                </c:pt>
                <c:pt idx="279">
                  <c:v>12.7633333333333</c:v>
                </c:pt>
                <c:pt idx="280">
                  <c:v>13.4816666666666</c:v>
                </c:pt>
                <c:pt idx="281">
                  <c:v>13.6933333333333</c:v>
                </c:pt>
                <c:pt idx="282">
                  <c:v>12.9568965517241</c:v>
                </c:pt>
                <c:pt idx="283">
                  <c:v>13.2293103448275</c:v>
                </c:pt>
                <c:pt idx="284">
                  <c:v>13.7431034482758</c:v>
                </c:pt>
                <c:pt idx="285">
                  <c:v>13.6551724137931</c:v>
                </c:pt>
                <c:pt idx="286">
                  <c:v>13.334482758620601</c:v>
                </c:pt>
                <c:pt idx="287">
                  <c:v>13.0379310344827</c:v>
                </c:pt>
                <c:pt idx="288">
                  <c:v>13.094827586206801</c:v>
                </c:pt>
                <c:pt idx="289">
                  <c:v>13.6775862068965</c:v>
                </c:pt>
                <c:pt idx="290">
                  <c:v>13.189655172413699</c:v>
                </c:pt>
                <c:pt idx="291">
                  <c:v>12.9428571428571</c:v>
                </c:pt>
                <c:pt idx="292">
                  <c:v>12.819642857142799</c:v>
                </c:pt>
                <c:pt idx="293">
                  <c:v>13.2785714285714</c:v>
                </c:pt>
                <c:pt idx="294">
                  <c:v>13.5625</c:v>
                </c:pt>
                <c:pt idx="295">
                  <c:v>13.9310344827586</c:v>
                </c:pt>
                <c:pt idx="296">
                  <c:v>13.336206896551699</c:v>
                </c:pt>
                <c:pt idx="297">
                  <c:v>13.789655172413701</c:v>
                </c:pt>
                <c:pt idx="298">
                  <c:v>14.0810344827586</c:v>
                </c:pt>
                <c:pt idx="299">
                  <c:v>14.8396551724137</c:v>
                </c:pt>
                <c:pt idx="300">
                  <c:v>14.274137931034399</c:v>
                </c:pt>
                <c:pt idx="301">
                  <c:v>14.29</c:v>
                </c:pt>
                <c:pt idx="302">
                  <c:v>14.715</c:v>
                </c:pt>
                <c:pt idx="303">
                  <c:v>14.5266666666666</c:v>
                </c:pt>
                <c:pt idx="304">
                  <c:v>14.0416666666666</c:v>
                </c:pt>
                <c:pt idx="305">
                  <c:v>14.098333333333301</c:v>
                </c:pt>
                <c:pt idx="306">
                  <c:v>13.9933333333333</c:v>
                </c:pt>
                <c:pt idx="307">
                  <c:v>14.2016666666666</c:v>
                </c:pt>
                <c:pt idx="308">
                  <c:v>14.5483333333333</c:v>
                </c:pt>
                <c:pt idx="309">
                  <c:v>14.156666666666601</c:v>
                </c:pt>
                <c:pt idx="310">
                  <c:v>14.466666666666599</c:v>
                </c:pt>
                <c:pt idx="311">
                  <c:v>14.7283333333333</c:v>
                </c:pt>
                <c:pt idx="312">
                  <c:v>14.37</c:v>
                </c:pt>
                <c:pt idx="313">
                  <c:v>14.7216666666666</c:v>
                </c:pt>
                <c:pt idx="314">
                  <c:v>14.816666666666601</c:v>
                </c:pt>
                <c:pt idx="315">
                  <c:v>14.7883333333333</c:v>
                </c:pt>
                <c:pt idx="316">
                  <c:v>14.5583333333333</c:v>
                </c:pt>
                <c:pt idx="317">
                  <c:v>14.5066666666666</c:v>
                </c:pt>
                <c:pt idx="318">
                  <c:v>14.8633333333333</c:v>
                </c:pt>
                <c:pt idx="319">
                  <c:v>15.191666666666601</c:v>
                </c:pt>
                <c:pt idx="320">
                  <c:v>14.805</c:v>
                </c:pt>
                <c:pt idx="321">
                  <c:v>14.4366666666666</c:v>
                </c:pt>
                <c:pt idx="322">
                  <c:v>14.4133333333333</c:v>
                </c:pt>
                <c:pt idx="323">
                  <c:v>14.8266666666666</c:v>
                </c:pt>
                <c:pt idx="324">
                  <c:v>14.899999999999901</c:v>
                </c:pt>
                <c:pt idx="325">
                  <c:v>15.125</c:v>
                </c:pt>
                <c:pt idx="326">
                  <c:v>15.358333333333301</c:v>
                </c:pt>
                <c:pt idx="327">
                  <c:v>15.2051724137931</c:v>
                </c:pt>
                <c:pt idx="328">
                  <c:v>15.834482758620601</c:v>
                </c:pt>
                <c:pt idx="329">
                  <c:v>15.876666666666599</c:v>
                </c:pt>
                <c:pt idx="330">
                  <c:v>15.52</c:v>
                </c:pt>
                <c:pt idx="331">
                  <c:v>15.438333333333301</c:v>
                </c:pt>
                <c:pt idx="332">
                  <c:v>15.551724137931</c:v>
                </c:pt>
                <c:pt idx="333">
                  <c:v>15.832758620689599</c:v>
                </c:pt>
                <c:pt idx="334">
                  <c:v>16.082758620689599</c:v>
                </c:pt>
                <c:pt idx="335">
                  <c:v>16.4931034482758</c:v>
                </c:pt>
                <c:pt idx="336">
                  <c:v>16.78</c:v>
                </c:pt>
                <c:pt idx="337">
                  <c:v>16.8266666666666</c:v>
                </c:pt>
                <c:pt idx="338">
                  <c:v>16.6516666666666</c:v>
                </c:pt>
                <c:pt idx="339">
                  <c:v>16.68</c:v>
                </c:pt>
                <c:pt idx="340">
                  <c:v>16.158333333333299</c:v>
                </c:pt>
                <c:pt idx="341">
                  <c:v>16.105</c:v>
                </c:pt>
                <c:pt idx="342">
                  <c:v>16.565000000000001</c:v>
                </c:pt>
                <c:pt idx="343">
                  <c:v>16.483333333333299</c:v>
                </c:pt>
                <c:pt idx="344">
                  <c:v>17.015000000000001</c:v>
                </c:pt>
                <c:pt idx="345">
                  <c:v>17.483333333333299</c:v>
                </c:pt>
                <c:pt idx="346">
                  <c:v>17.251666666666601</c:v>
                </c:pt>
                <c:pt idx="347">
                  <c:v>17.1733333333333</c:v>
                </c:pt>
                <c:pt idx="348">
                  <c:v>17.0068965517241</c:v>
                </c:pt>
                <c:pt idx="349">
                  <c:v>17.105172413793099</c:v>
                </c:pt>
                <c:pt idx="350">
                  <c:v>17.153448275862001</c:v>
                </c:pt>
                <c:pt idx="351">
                  <c:v>16.853448275862</c:v>
                </c:pt>
                <c:pt idx="352">
                  <c:v>17.030357142857099</c:v>
                </c:pt>
                <c:pt idx="353">
                  <c:v>17.3086206896551</c:v>
                </c:pt>
                <c:pt idx="354">
                  <c:v>17.3086206896551</c:v>
                </c:pt>
                <c:pt idx="355">
                  <c:v>17.474137931034399</c:v>
                </c:pt>
                <c:pt idx="356">
                  <c:v>17.091379310344799</c:v>
                </c:pt>
                <c:pt idx="357">
                  <c:v>17.2275862068965</c:v>
                </c:pt>
                <c:pt idx="358">
                  <c:v>17.475862068965501</c:v>
                </c:pt>
                <c:pt idx="359">
                  <c:v>17.193103448275799</c:v>
                </c:pt>
                <c:pt idx="360">
                  <c:v>17.263793103448201</c:v>
                </c:pt>
                <c:pt idx="361">
                  <c:v>18.060344827586199</c:v>
                </c:pt>
                <c:pt idx="362">
                  <c:v>18.386206896551698</c:v>
                </c:pt>
                <c:pt idx="363">
                  <c:v>18.156896551724099</c:v>
                </c:pt>
                <c:pt idx="364">
                  <c:v>17.8086206896551</c:v>
                </c:pt>
                <c:pt idx="365">
                  <c:v>17.691666666666599</c:v>
                </c:pt>
              </c:numCache>
            </c:numRef>
          </c:yVal>
          <c:smooth val="1"/>
          <c:extLst>
            <c:ext xmlns:c16="http://schemas.microsoft.com/office/drawing/2014/chart" uri="{C3380CC4-5D6E-409C-BE32-E72D297353CC}">
              <c16:uniqueId val="{00000001-787B-42AE-A59C-62ACE34B571F}"/>
            </c:ext>
          </c:extLst>
        </c:ser>
        <c:ser>
          <c:idx val="2"/>
          <c:order val="2"/>
          <c:tx>
            <c:strRef>
              <c:f>meanT!$D$2</c:f>
              <c:strCache>
                <c:ptCount val="1"/>
                <c:pt idx="0">
                  <c:v>Hastings</c:v>
                </c:pt>
              </c:strCache>
            </c:strRef>
          </c:tx>
          <c:spPr>
            <a:ln w="19050" cap="rnd">
              <a:solidFill>
                <a:schemeClr val="accent3"/>
              </a:solidFill>
              <a:round/>
            </a:ln>
            <a:effectLst/>
          </c:spPr>
          <c:marker>
            <c:symbol val="none"/>
          </c:marker>
          <c:xVal>
            <c:numRef>
              <c:f>meanT!$A$3:$A$368</c:f>
              <c:numCache>
                <c:formatCode>General</c:formatCode>
                <c:ptCount val="36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numCache>
            </c:numRef>
          </c:xVal>
          <c:yVal>
            <c:numRef>
              <c:f>meanT!$D$3:$D$368</c:f>
              <c:numCache>
                <c:formatCode>General</c:formatCode>
                <c:ptCount val="366"/>
                <c:pt idx="0">
                  <c:v>17.1568181818181</c:v>
                </c:pt>
                <c:pt idx="1">
                  <c:v>17.6204545454545</c:v>
                </c:pt>
                <c:pt idx="2">
                  <c:v>18.015909090908998</c:v>
                </c:pt>
                <c:pt idx="3">
                  <c:v>16.890909090908998</c:v>
                </c:pt>
                <c:pt idx="4">
                  <c:v>16.95</c:v>
                </c:pt>
                <c:pt idx="5">
                  <c:v>17.2431818181818</c:v>
                </c:pt>
                <c:pt idx="6">
                  <c:v>18.231818181818099</c:v>
                </c:pt>
                <c:pt idx="7">
                  <c:v>18.6272727272727</c:v>
                </c:pt>
                <c:pt idx="8">
                  <c:v>17.629545454545401</c:v>
                </c:pt>
                <c:pt idx="9">
                  <c:v>17.947727272727199</c:v>
                </c:pt>
                <c:pt idx="10">
                  <c:v>17.4590909090909</c:v>
                </c:pt>
                <c:pt idx="11">
                  <c:v>17.804545454545401</c:v>
                </c:pt>
                <c:pt idx="12">
                  <c:v>17.6613636363636</c:v>
                </c:pt>
                <c:pt idx="13">
                  <c:v>17.6272727272727</c:v>
                </c:pt>
                <c:pt idx="14">
                  <c:v>18.465909090909001</c:v>
                </c:pt>
                <c:pt idx="15">
                  <c:v>18.047727272727201</c:v>
                </c:pt>
                <c:pt idx="16">
                  <c:v>17.588636363636301</c:v>
                </c:pt>
                <c:pt idx="17">
                  <c:v>17.822727272727199</c:v>
                </c:pt>
                <c:pt idx="18">
                  <c:v>18.402272727272699</c:v>
                </c:pt>
                <c:pt idx="19">
                  <c:v>17.295454545454501</c:v>
                </c:pt>
                <c:pt idx="20">
                  <c:v>17.945454545454499</c:v>
                </c:pt>
                <c:pt idx="21">
                  <c:v>18.527272727272699</c:v>
                </c:pt>
                <c:pt idx="22">
                  <c:v>18.188636363636299</c:v>
                </c:pt>
                <c:pt idx="23">
                  <c:v>18.277272727272699</c:v>
                </c:pt>
                <c:pt idx="24">
                  <c:v>18.572727272727199</c:v>
                </c:pt>
                <c:pt idx="25">
                  <c:v>17.813636363636299</c:v>
                </c:pt>
                <c:pt idx="26">
                  <c:v>17.5386363636363</c:v>
                </c:pt>
                <c:pt idx="27">
                  <c:v>17.2931818181818</c:v>
                </c:pt>
                <c:pt idx="28">
                  <c:v>18.397727272727199</c:v>
                </c:pt>
                <c:pt idx="29">
                  <c:v>18.840909090909001</c:v>
                </c:pt>
                <c:pt idx="30">
                  <c:v>19.3363636363636</c:v>
                </c:pt>
                <c:pt idx="31">
                  <c:v>19.163223140495798</c:v>
                </c:pt>
                <c:pt idx="32">
                  <c:v>18.263636363636301</c:v>
                </c:pt>
                <c:pt idx="33">
                  <c:v>18.302272727272701</c:v>
                </c:pt>
                <c:pt idx="34">
                  <c:v>17.9113636363636</c:v>
                </c:pt>
                <c:pt idx="35">
                  <c:v>18.540909090909</c:v>
                </c:pt>
                <c:pt idx="36">
                  <c:v>18.007142857142799</c:v>
                </c:pt>
                <c:pt idx="37">
                  <c:v>17.852380952380901</c:v>
                </c:pt>
                <c:pt idx="38">
                  <c:v>17.657142857142802</c:v>
                </c:pt>
                <c:pt idx="39">
                  <c:v>17.938095238095201</c:v>
                </c:pt>
                <c:pt idx="40">
                  <c:v>18.578571428571401</c:v>
                </c:pt>
                <c:pt idx="41">
                  <c:v>18.902380952380899</c:v>
                </c:pt>
                <c:pt idx="42">
                  <c:v>19.242857142857101</c:v>
                </c:pt>
                <c:pt idx="43">
                  <c:v>18.5023809523809</c:v>
                </c:pt>
                <c:pt idx="44">
                  <c:v>19.173809523809499</c:v>
                </c:pt>
                <c:pt idx="45">
                  <c:v>17.711904761904702</c:v>
                </c:pt>
                <c:pt idx="46">
                  <c:v>17.540476190476099</c:v>
                </c:pt>
                <c:pt idx="47">
                  <c:v>17.480952380952299</c:v>
                </c:pt>
                <c:pt idx="48">
                  <c:v>18.180952380952299</c:v>
                </c:pt>
                <c:pt idx="49">
                  <c:v>18.052499999999998</c:v>
                </c:pt>
                <c:pt idx="50">
                  <c:v>18.1325</c:v>
                </c:pt>
                <c:pt idx="51">
                  <c:v>18.647619047618999</c:v>
                </c:pt>
                <c:pt idx="52">
                  <c:v>17.936363636363598</c:v>
                </c:pt>
                <c:pt idx="53">
                  <c:v>17.645454545454498</c:v>
                </c:pt>
                <c:pt idx="54">
                  <c:v>16.713636363636301</c:v>
                </c:pt>
                <c:pt idx="55">
                  <c:v>16.613636363636299</c:v>
                </c:pt>
                <c:pt idx="56">
                  <c:v>17.136363636363601</c:v>
                </c:pt>
                <c:pt idx="57">
                  <c:v>17.429545454545401</c:v>
                </c:pt>
                <c:pt idx="58">
                  <c:v>17.274999999999999</c:v>
                </c:pt>
                <c:pt idx="59">
                  <c:v>17.365909090909</c:v>
                </c:pt>
                <c:pt idx="60">
                  <c:v>17.965909090909001</c:v>
                </c:pt>
                <c:pt idx="61">
                  <c:v>17.652272727272699</c:v>
                </c:pt>
                <c:pt idx="62">
                  <c:v>16.143181818181802</c:v>
                </c:pt>
                <c:pt idx="63">
                  <c:v>15.940909090909001</c:v>
                </c:pt>
                <c:pt idx="64">
                  <c:v>17.093181818181801</c:v>
                </c:pt>
                <c:pt idx="65">
                  <c:v>17.238636363636299</c:v>
                </c:pt>
                <c:pt idx="66">
                  <c:v>17.193181818181799</c:v>
                </c:pt>
                <c:pt idx="67">
                  <c:v>16.588636363636301</c:v>
                </c:pt>
                <c:pt idx="68">
                  <c:v>16.607142857142801</c:v>
                </c:pt>
                <c:pt idx="69">
                  <c:v>16.871428571428499</c:v>
                </c:pt>
                <c:pt idx="70">
                  <c:v>16.204761904761899</c:v>
                </c:pt>
                <c:pt idx="71">
                  <c:v>16.140692640692599</c:v>
                </c:pt>
                <c:pt idx="72">
                  <c:v>15.6681818181818</c:v>
                </c:pt>
                <c:pt idx="73">
                  <c:v>15.9727272727272</c:v>
                </c:pt>
                <c:pt idx="74">
                  <c:v>17.070454545454499</c:v>
                </c:pt>
                <c:pt idx="75">
                  <c:v>16.222727272727202</c:v>
                </c:pt>
                <c:pt idx="76">
                  <c:v>16.545454545454501</c:v>
                </c:pt>
                <c:pt idx="77">
                  <c:v>15.986363636363601</c:v>
                </c:pt>
                <c:pt idx="78">
                  <c:v>15.9792207792207</c:v>
                </c:pt>
                <c:pt idx="79">
                  <c:v>16.5023809523809</c:v>
                </c:pt>
                <c:pt idx="80">
                  <c:v>16.8</c:v>
                </c:pt>
                <c:pt idx="81">
                  <c:v>16.269047619047601</c:v>
                </c:pt>
                <c:pt idx="82">
                  <c:v>15.6261904761904</c:v>
                </c:pt>
                <c:pt idx="83">
                  <c:v>16.123809523809499</c:v>
                </c:pt>
                <c:pt idx="84">
                  <c:v>15.8095238095238</c:v>
                </c:pt>
                <c:pt idx="85">
                  <c:v>16.542857142857098</c:v>
                </c:pt>
                <c:pt idx="86">
                  <c:v>16.4522727272727</c:v>
                </c:pt>
                <c:pt idx="87">
                  <c:v>16.672727272727201</c:v>
                </c:pt>
                <c:pt idx="88">
                  <c:v>16.197727272727199</c:v>
                </c:pt>
                <c:pt idx="89">
                  <c:v>15.659090909090899</c:v>
                </c:pt>
                <c:pt idx="90">
                  <c:v>15.4340909090909</c:v>
                </c:pt>
                <c:pt idx="91">
                  <c:v>14.9068181818181</c:v>
                </c:pt>
                <c:pt idx="92">
                  <c:v>15.745238095237999</c:v>
                </c:pt>
                <c:pt idx="93">
                  <c:v>15.7068181818181</c:v>
                </c:pt>
                <c:pt idx="94">
                  <c:v>14.572727272727199</c:v>
                </c:pt>
                <c:pt idx="95">
                  <c:v>14.770238095238</c:v>
                </c:pt>
                <c:pt idx="96">
                  <c:v>14.7797619047619</c:v>
                </c:pt>
                <c:pt idx="97">
                  <c:v>14.023809523809501</c:v>
                </c:pt>
                <c:pt idx="98">
                  <c:v>13.889502164502099</c:v>
                </c:pt>
                <c:pt idx="99">
                  <c:v>13.756818181818099</c:v>
                </c:pt>
                <c:pt idx="100">
                  <c:v>13.3296536796536</c:v>
                </c:pt>
                <c:pt idx="101">
                  <c:v>13.866785714285699</c:v>
                </c:pt>
                <c:pt idx="102">
                  <c:v>13.820454545454499</c:v>
                </c:pt>
                <c:pt idx="103">
                  <c:v>13.2340909090909</c:v>
                </c:pt>
                <c:pt idx="104">
                  <c:v>13.206601731601699</c:v>
                </c:pt>
                <c:pt idx="105">
                  <c:v>13.5619047619047</c:v>
                </c:pt>
                <c:pt idx="106">
                  <c:v>13.6272727272727</c:v>
                </c:pt>
                <c:pt idx="107">
                  <c:v>13.259090909090901</c:v>
                </c:pt>
                <c:pt idx="108">
                  <c:v>12.815909090909001</c:v>
                </c:pt>
                <c:pt idx="109">
                  <c:v>12.6386363636363</c:v>
                </c:pt>
                <c:pt idx="110">
                  <c:v>13.093181818181799</c:v>
                </c:pt>
                <c:pt idx="111">
                  <c:v>12.938095238095199</c:v>
                </c:pt>
                <c:pt idx="112">
                  <c:v>12.8654761904761</c:v>
                </c:pt>
                <c:pt idx="113">
                  <c:v>13.697727272727199</c:v>
                </c:pt>
                <c:pt idx="114">
                  <c:v>13.3666666666666</c:v>
                </c:pt>
                <c:pt idx="115">
                  <c:v>12.558549783549701</c:v>
                </c:pt>
                <c:pt idx="116">
                  <c:v>13.529545454545399</c:v>
                </c:pt>
                <c:pt idx="117">
                  <c:v>14.0386363636363</c:v>
                </c:pt>
                <c:pt idx="118">
                  <c:v>13.595454545454499</c:v>
                </c:pt>
                <c:pt idx="119">
                  <c:v>13.049999999999899</c:v>
                </c:pt>
                <c:pt idx="120">
                  <c:v>12.733333333333301</c:v>
                </c:pt>
                <c:pt idx="121">
                  <c:v>12.1863636363636</c:v>
                </c:pt>
                <c:pt idx="122">
                  <c:v>12.2068181818181</c:v>
                </c:pt>
                <c:pt idx="123">
                  <c:v>12.772727272727201</c:v>
                </c:pt>
                <c:pt idx="124">
                  <c:v>11.6095238095238</c:v>
                </c:pt>
                <c:pt idx="125">
                  <c:v>12.3136363636363</c:v>
                </c:pt>
                <c:pt idx="126">
                  <c:v>12.261363636363599</c:v>
                </c:pt>
                <c:pt idx="127">
                  <c:v>11.9340909090909</c:v>
                </c:pt>
                <c:pt idx="128">
                  <c:v>11.540909090909</c:v>
                </c:pt>
                <c:pt idx="129">
                  <c:v>11.902272727272701</c:v>
                </c:pt>
                <c:pt idx="130">
                  <c:v>12.381818181818099</c:v>
                </c:pt>
                <c:pt idx="131">
                  <c:v>12.35</c:v>
                </c:pt>
                <c:pt idx="132">
                  <c:v>11.884090909090901</c:v>
                </c:pt>
                <c:pt idx="133">
                  <c:v>11.861363636363601</c:v>
                </c:pt>
                <c:pt idx="134">
                  <c:v>12.3318181818181</c:v>
                </c:pt>
                <c:pt idx="135">
                  <c:v>12.0795454545454</c:v>
                </c:pt>
                <c:pt idx="136">
                  <c:v>11.25</c:v>
                </c:pt>
                <c:pt idx="137">
                  <c:v>9.9250000000000007</c:v>
                </c:pt>
                <c:pt idx="138">
                  <c:v>10.8318181818181</c:v>
                </c:pt>
                <c:pt idx="139">
                  <c:v>10.945454545454499</c:v>
                </c:pt>
                <c:pt idx="140">
                  <c:v>11.1818181818181</c:v>
                </c:pt>
                <c:pt idx="141">
                  <c:v>10.756818181818099</c:v>
                </c:pt>
                <c:pt idx="142">
                  <c:v>10.147727272727201</c:v>
                </c:pt>
                <c:pt idx="143">
                  <c:v>10.890909090909</c:v>
                </c:pt>
                <c:pt idx="144">
                  <c:v>10.35</c:v>
                </c:pt>
                <c:pt idx="145">
                  <c:v>10.795454545454501</c:v>
                </c:pt>
                <c:pt idx="146">
                  <c:v>10.8363636363636</c:v>
                </c:pt>
                <c:pt idx="147">
                  <c:v>9.9977272727272695</c:v>
                </c:pt>
                <c:pt idx="148">
                  <c:v>10.025</c:v>
                </c:pt>
                <c:pt idx="149">
                  <c:v>9.4727272727272709</c:v>
                </c:pt>
                <c:pt idx="150">
                  <c:v>9.3613636363636292</c:v>
                </c:pt>
                <c:pt idx="151">
                  <c:v>8.8113636363636303</c:v>
                </c:pt>
                <c:pt idx="152">
                  <c:v>10.022727272727201</c:v>
                </c:pt>
                <c:pt idx="153">
                  <c:v>9.2272727272727195</c:v>
                </c:pt>
                <c:pt idx="154">
                  <c:v>9.1909090909090896</c:v>
                </c:pt>
                <c:pt idx="155">
                  <c:v>8.9022727272727202</c:v>
                </c:pt>
                <c:pt idx="156">
                  <c:v>9.3249999999999993</c:v>
                </c:pt>
                <c:pt idx="157">
                  <c:v>8.8249999999999993</c:v>
                </c:pt>
                <c:pt idx="158">
                  <c:v>8.7545454545454504</c:v>
                </c:pt>
                <c:pt idx="159">
                  <c:v>8.4977272727272695</c:v>
                </c:pt>
                <c:pt idx="160">
                  <c:v>9.8119047619047599</c:v>
                </c:pt>
                <c:pt idx="161">
                  <c:v>10.1785714285714</c:v>
                </c:pt>
                <c:pt idx="162">
                  <c:v>10.6</c:v>
                </c:pt>
                <c:pt idx="163">
                  <c:v>9.9095238095238098</c:v>
                </c:pt>
                <c:pt idx="164">
                  <c:v>9.4833333333333307</c:v>
                </c:pt>
                <c:pt idx="165">
                  <c:v>8.9738095238095195</c:v>
                </c:pt>
                <c:pt idx="166">
                  <c:v>9.1873376623376597</c:v>
                </c:pt>
                <c:pt idx="167">
                  <c:v>9.3000000000000007</c:v>
                </c:pt>
                <c:pt idx="168">
                  <c:v>9.0485930735930697</c:v>
                </c:pt>
                <c:pt idx="169">
                  <c:v>9.3318181818181802</c:v>
                </c:pt>
                <c:pt idx="170">
                  <c:v>8.5568181818181799</c:v>
                </c:pt>
                <c:pt idx="171">
                  <c:v>9.0977272727272709</c:v>
                </c:pt>
                <c:pt idx="172">
                  <c:v>8.1601731601731604</c:v>
                </c:pt>
                <c:pt idx="173">
                  <c:v>8.8409090909090899</c:v>
                </c:pt>
                <c:pt idx="174">
                  <c:v>8.4772727272727195</c:v>
                </c:pt>
                <c:pt idx="175">
                  <c:v>8.4992424242424196</c:v>
                </c:pt>
                <c:pt idx="176">
                  <c:v>8.1190476190476097</c:v>
                </c:pt>
                <c:pt idx="177">
                  <c:v>8.35</c:v>
                </c:pt>
                <c:pt idx="178">
                  <c:v>8.0295454545454508</c:v>
                </c:pt>
                <c:pt idx="179">
                  <c:v>8.7095238095238106</c:v>
                </c:pt>
                <c:pt idx="180">
                  <c:v>8.2333333333333307</c:v>
                </c:pt>
                <c:pt idx="181">
                  <c:v>8.6285714285714192</c:v>
                </c:pt>
                <c:pt idx="182">
                  <c:v>8.3523809523809494</c:v>
                </c:pt>
                <c:pt idx="183">
                  <c:v>8.2065476190476101</c:v>
                </c:pt>
                <c:pt idx="184">
                  <c:v>8.4166666666666607</c:v>
                </c:pt>
                <c:pt idx="185">
                  <c:v>8.3928571428571406</c:v>
                </c:pt>
                <c:pt idx="186">
                  <c:v>8.5049999999999901</c:v>
                </c:pt>
                <c:pt idx="187">
                  <c:v>9.11666666666666</c:v>
                </c:pt>
                <c:pt idx="188">
                  <c:v>8.6547619047618998</c:v>
                </c:pt>
                <c:pt idx="189">
                  <c:v>8.3523809523809494</c:v>
                </c:pt>
                <c:pt idx="190">
                  <c:v>8.1119047619047606</c:v>
                </c:pt>
                <c:pt idx="191">
                  <c:v>8.3619047619047606</c:v>
                </c:pt>
                <c:pt idx="192">
                  <c:v>8.4476190476190407</c:v>
                </c:pt>
                <c:pt idx="193">
                  <c:v>8.0047619047618994</c:v>
                </c:pt>
                <c:pt idx="194">
                  <c:v>7.5666666666666602</c:v>
                </c:pt>
                <c:pt idx="195">
                  <c:v>8.4499999999999993</c:v>
                </c:pt>
                <c:pt idx="196">
                  <c:v>8.6999999999999993</c:v>
                </c:pt>
                <c:pt idx="197">
                  <c:v>9.1380952380952305</c:v>
                </c:pt>
                <c:pt idx="198">
                  <c:v>8.3357142857142801</c:v>
                </c:pt>
                <c:pt idx="199">
                  <c:v>7.9571428571428502</c:v>
                </c:pt>
                <c:pt idx="200">
                  <c:v>8.3547619047619008</c:v>
                </c:pt>
                <c:pt idx="201">
                  <c:v>8.2880952380952309</c:v>
                </c:pt>
                <c:pt idx="202">
                  <c:v>9.11666666666666</c:v>
                </c:pt>
                <c:pt idx="203">
                  <c:v>8.4619047619047603</c:v>
                </c:pt>
                <c:pt idx="204">
                  <c:v>9.2261904761904692</c:v>
                </c:pt>
                <c:pt idx="205">
                  <c:v>8.6071428571428505</c:v>
                </c:pt>
                <c:pt idx="206">
                  <c:v>8.2261904761904692</c:v>
                </c:pt>
                <c:pt idx="207">
                  <c:v>8.1785714285714199</c:v>
                </c:pt>
                <c:pt idx="208">
                  <c:v>8.9785714285714207</c:v>
                </c:pt>
                <c:pt idx="209">
                  <c:v>8.7595238095238095</c:v>
                </c:pt>
                <c:pt idx="210">
                  <c:v>8.9523809523809508</c:v>
                </c:pt>
                <c:pt idx="211">
                  <c:v>8.6119047619047606</c:v>
                </c:pt>
                <c:pt idx="212">
                  <c:v>9.4261904761904702</c:v>
                </c:pt>
                <c:pt idx="213">
                  <c:v>9.6904761904761898</c:v>
                </c:pt>
                <c:pt idx="214">
                  <c:v>9.2023809523809508</c:v>
                </c:pt>
                <c:pt idx="215">
                  <c:v>9.5428571428571392</c:v>
                </c:pt>
                <c:pt idx="216">
                  <c:v>8.5904761904761902</c:v>
                </c:pt>
                <c:pt idx="217">
                  <c:v>8.6952380952380892</c:v>
                </c:pt>
                <c:pt idx="218">
                  <c:v>9.5452380952380906</c:v>
                </c:pt>
                <c:pt idx="219">
                  <c:v>9.0214285714285705</c:v>
                </c:pt>
                <c:pt idx="220">
                  <c:v>8.4976190476190396</c:v>
                </c:pt>
                <c:pt idx="221">
                  <c:v>8.2119047619047603</c:v>
                </c:pt>
                <c:pt idx="222">
                  <c:v>8.5904761904761902</c:v>
                </c:pt>
                <c:pt idx="223">
                  <c:v>9.3119047619047599</c:v>
                </c:pt>
                <c:pt idx="224">
                  <c:v>9.1738095238095205</c:v>
                </c:pt>
                <c:pt idx="225">
                  <c:v>9.0904761904761902</c:v>
                </c:pt>
                <c:pt idx="226">
                  <c:v>9.0095238095238095</c:v>
                </c:pt>
                <c:pt idx="227">
                  <c:v>8.9619047619047603</c:v>
                </c:pt>
                <c:pt idx="228">
                  <c:v>9.1857142857142797</c:v>
                </c:pt>
                <c:pt idx="229">
                  <c:v>8.3095238095238102</c:v>
                </c:pt>
                <c:pt idx="230">
                  <c:v>8.7857142857142794</c:v>
                </c:pt>
                <c:pt idx="231">
                  <c:v>8.9404761904761898</c:v>
                </c:pt>
                <c:pt idx="232">
                  <c:v>9.1261904761904695</c:v>
                </c:pt>
                <c:pt idx="233">
                  <c:v>8.4119047619047596</c:v>
                </c:pt>
                <c:pt idx="234">
                  <c:v>8.3904761904761909</c:v>
                </c:pt>
                <c:pt idx="235">
                  <c:v>9.2833333333333297</c:v>
                </c:pt>
                <c:pt idx="236">
                  <c:v>9.4809523809523792</c:v>
                </c:pt>
                <c:pt idx="237">
                  <c:v>9.46904761904762</c:v>
                </c:pt>
                <c:pt idx="238">
                  <c:v>9.4833333333333307</c:v>
                </c:pt>
                <c:pt idx="239">
                  <c:v>9.8380952380952298</c:v>
                </c:pt>
                <c:pt idx="240">
                  <c:v>9.7714285714285705</c:v>
                </c:pt>
                <c:pt idx="241">
                  <c:v>9.6738095238095205</c:v>
                </c:pt>
                <c:pt idx="242">
                  <c:v>10.1238095238095</c:v>
                </c:pt>
                <c:pt idx="243">
                  <c:v>9.1642857142857093</c:v>
                </c:pt>
                <c:pt idx="244">
                  <c:v>9.4690476190476094</c:v>
                </c:pt>
                <c:pt idx="245">
                  <c:v>10.2071428571428</c:v>
                </c:pt>
                <c:pt idx="246">
                  <c:v>10.3119047619047</c:v>
                </c:pt>
                <c:pt idx="247">
                  <c:v>9.7476190476190396</c:v>
                </c:pt>
                <c:pt idx="248">
                  <c:v>11.288095238095201</c:v>
                </c:pt>
                <c:pt idx="249">
                  <c:v>10.159523809523799</c:v>
                </c:pt>
                <c:pt idx="250">
                  <c:v>10.3904761904761</c:v>
                </c:pt>
                <c:pt idx="251">
                  <c:v>10.269047619047599</c:v>
                </c:pt>
                <c:pt idx="252">
                  <c:v>9.8571428571428505</c:v>
                </c:pt>
                <c:pt idx="253">
                  <c:v>10.383333333333301</c:v>
                </c:pt>
                <c:pt idx="254">
                  <c:v>10.8886363636363</c:v>
                </c:pt>
                <c:pt idx="255">
                  <c:v>10.647727272727201</c:v>
                </c:pt>
                <c:pt idx="256">
                  <c:v>10.4023809523809</c:v>
                </c:pt>
                <c:pt idx="257">
                  <c:v>11.1642857142857</c:v>
                </c:pt>
                <c:pt idx="258">
                  <c:v>11.395238095238</c:v>
                </c:pt>
                <c:pt idx="259">
                  <c:v>11.885714285714201</c:v>
                </c:pt>
                <c:pt idx="260">
                  <c:v>11.6181818181818</c:v>
                </c:pt>
                <c:pt idx="261">
                  <c:v>10.754761904761899</c:v>
                </c:pt>
                <c:pt idx="262">
                  <c:v>11.2022727272727</c:v>
                </c:pt>
                <c:pt idx="263">
                  <c:v>10.9977272727272</c:v>
                </c:pt>
                <c:pt idx="264">
                  <c:v>10.736363636363601</c:v>
                </c:pt>
                <c:pt idx="265">
                  <c:v>10.981818181818101</c:v>
                </c:pt>
                <c:pt idx="266">
                  <c:v>11.2477272727272</c:v>
                </c:pt>
                <c:pt idx="267">
                  <c:v>12.106818181818101</c:v>
                </c:pt>
                <c:pt idx="268">
                  <c:v>11.213636363636301</c:v>
                </c:pt>
                <c:pt idx="269">
                  <c:v>12.027272727272701</c:v>
                </c:pt>
                <c:pt idx="270">
                  <c:v>11.4977272727272</c:v>
                </c:pt>
                <c:pt idx="271">
                  <c:v>11.3095238095238</c:v>
                </c:pt>
                <c:pt idx="272">
                  <c:v>11.7666666666666</c:v>
                </c:pt>
                <c:pt idx="273">
                  <c:v>12.302380952380901</c:v>
                </c:pt>
                <c:pt idx="274">
                  <c:v>12.966666666666599</c:v>
                </c:pt>
                <c:pt idx="275">
                  <c:v>12.504761904761899</c:v>
                </c:pt>
                <c:pt idx="276">
                  <c:v>11.6119047619047</c:v>
                </c:pt>
                <c:pt idx="277">
                  <c:v>11.8357142857142</c:v>
                </c:pt>
                <c:pt idx="278">
                  <c:v>12.7357142857142</c:v>
                </c:pt>
                <c:pt idx="279">
                  <c:v>12.5857142857142</c:v>
                </c:pt>
                <c:pt idx="280">
                  <c:v>12.3595238095238</c:v>
                </c:pt>
                <c:pt idx="281">
                  <c:v>12.4857142857142</c:v>
                </c:pt>
                <c:pt idx="282">
                  <c:v>12.105</c:v>
                </c:pt>
                <c:pt idx="283">
                  <c:v>11.6636363636363</c:v>
                </c:pt>
                <c:pt idx="284">
                  <c:v>12.7340909090909</c:v>
                </c:pt>
                <c:pt idx="285">
                  <c:v>12.865909090909</c:v>
                </c:pt>
                <c:pt idx="286">
                  <c:v>13</c:v>
                </c:pt>
                <c:pt idx="287">
                  <c:v>12.475</c:v>
                </c:pt>
                <c:pt idx="288">
                  <c:v>12.947727272727199</c:v>
                </c:pt>
                <c:pt idx="289">
                  <c:v>12.968181818181799</c:v>
                </c:pt>
                <c:pt idx="290">
                  <c:v>13.1045454545454</c:v>
                </c:pt>
                <c:pt idx="291">
                  <c:v>11.5318181818181</c:v>
                </c:pt>
                <c:pt idx="292">
                  <c:v>12.4068181818181</c:v>
                </c:pt>
                <c:pt idx="293">
                  <c:v>12.468181818181799</c:v>
                </c:pt>
                <c:pt idx="294">
                  <c:v>12.75</c:v>
                </c:pt>
                <c:pt idx="295">
                  <c:v>12.131818181818099</c:v>
                </c:pt>
                <c:pt idx="296">
                  <c:v>11.7931818181818</c:v>
                </c:pt>
                <c:pt idx="297">
                  <c:v>12.5318181818181</c:v>
                </c:pt>
                <c:pt idx="298">
                  <c:v>12.9363636363636</c:v>
                </c:pt>
                <c:pt idx="299">
                  <c:v>13.006818181818099</c:v>
                </c:pt>
                <c:pt idx="300">
                  <c:v>14.0818181818181</c:v>
                </c:pt>
                <c:pt idx="301">
                  <c:v>14.1404761904761</c:v>
                </c:pt>
                <c:pt idx="302">
                  <c:v>13.883333333333301</c:v>
                </c:pt>
                <c:pt idx="303">
                  <c:v>13.3190476190476</c:v>
                </c:pt>
                <c:pt idx="304">
                  <c:v>12.816666666666601</c:v>
                </c:pt>
                <c:pt idx="305">
                  <c:v>13.1523809523809</c:v>
                </c:pt>
                <c:pt idx="306">
                  <c:v>13.702380952380899</c:v>
                </c:pt>
                <c:pt idx="307">
                  <c:v>13.8590909090909</c:v>
                </c:pt>
                <c:pt idx="308">
                  <c:v>13.588636363636301</c:v>
                </c:pt>
                <c:pt idx="309">
                  <c:v>12.7272727272727</c:v>
                </c:pt>
                <c:pt idx="310">
                  <c:v>13.565909090909001</c:v>
                </c:pt>
                <c:pt idx="311">
                  <c:v>14.324999999999999</c:v>
                </c:pt>
                <c:pt idx="312">
                  <c:v>12.740909090909</c:v>
                </c:pt>
                <c:pt idx="313">
                  <c:v>13.1886363636363</c:v>
                </c:pt>
                <c:pt idx="314">
                  <c:v>13.9727272727272</c:v>
                </c:pt>
                <c:pt idx="315">
                  <c:v>13.988636363636299</c:v>
                </c:pt>
                <c:pt idx="316">
                  <c:v>13.665909090909</c:v>
                </c:pt>
                <c:pt idx="317">
                  <c:v>13.1863636363636</c:v>
                </c:pt>
                <c:pt idx="318">
                  <c:v>13.3545454545454</c:v>
                </c:pt>
                <c:pt idx="319">
                  <c:v>14.5545454545454</c:v>
                </c:pt>
                <c:pt idx="320">
                  <c:v>15.3886363636363</c:v>
                </c:pt>
                <c:pt idx="321">
                  <c:v>14.525</c:v>
                </c:pt>
                <c:pt idx="322">
                  <c:v>13.818181818181801</c:v>
                </c:pt>
                <c:pt idx="323">
                  <c:v>13.754545454545401</c:v>
                </c:pt>
                <c:pt idx="324">
                  <c:v>14.773809523809501</c:v>
                </c:pt>
                <c:pt idx="325">
                  <c:v>14.6227272727272</c:v>
                </c:pt>
                <c:pt idx="326">
                  <c:v>14.290909090909</c:v>
                </c:pt>
                <c:pt idx="327">
                  <c:v>15.8523809523809</c:v>
                </c:pt>
                <c:pt idx="328">
                  <c:v>15.107142857142801</c:v>
                </c:pt>
                <c:pt idx="329">
                  <c:v>15.9023809523809</c:v>
                </c:pt>
                <c:pt idx="330">
                  <c:v>15.070454545454499</c:v>
                </c:pt>
                <c:pt idx="331">
                  <c:v>15.6090909090909</c:v>
                </c:pt>
                <c:pt idx="332">
                  <c:v>14.945454545454499</c:v>
                </c:pt>
                <c:pt idx="333">
                  <c:v>15.547727272727199</c:v>
                </c:pt>
                <c:pt idx="334">
                  <c:v>15.5772727272727</c:v>
                </c:pt>
                <c:pt idx="335">
                  <c:v>15.7636363636363</c:v>
                </c:pt>
                <c:pt idx="336">
                  <c:v>16.8340909090909</c:v>
                </c:pt>
                <c:pt idx="337">
                  <c:v>16.904545454545399</c:v>
                </c:pt>
                <c:pt idx="338">
                  <c:v>16.677272727272701</c:v>
                </c:pt>
                <c:pt idx="339">
                  <c:v>16.865909090909</c:v>
                </c:pt>
                <c:pt idx="340">
                  <c:v>16.686363636363598</c:v>
                </c:pt>
                <c:pt idx="341">
                  <c:v>15.5840909090909</c:v>
                </c:pt>
                <c:pt idx="342">
                  <c:v>15.6204545454545</c:v>
                </c:pt>
                <c:pt idx="343">
                  <c:v>15.802272727272699</c:v>
                </c:pt>
                <c:pt idx="344">
                  <c:v>16.568181818181799</c:v>
                </c:pt>
                <c:pt idx="345">
                  <c:v>17.193181818181799</c:v>
                </c:pt>
                <c:pt idx="346">
                  <c:v>17.2068181818181</c:v>
                </c:pt>
                <c:pt idx="347">
                  <c:v>16.399999999999999</c:v>
                </c:pt>
                <c:pt idx="348">
                  <c:v>16.524999999999999</c:v>
                </c:pt>
                <c:pt idx="349">
                  <c:v>16.475000000000001</c:v>
                </c:pt>
                <c:pt idx="350">
                  <c:v>16.9568181818181</c:v>
                </c:pt>
                <c:pt idx="351">
                  <c:v>17.061363636363598</c:v>
                </c:pt>
                <c:pt idx="352">
                  <c:v>17.0363636363636</c:v>
                </c:pt>
                <c:pt idx="353">
                  <c:v>17.152272727272699</c:v>
                </c:pt>
                <c:pt idx="354">
                  <c:v>16.568181818181799</c:v>
                </c:pt>
                <c:pt idx="355">
                  <c:v>16.468181818181801</c:v>
                </c:pt>
                <c:pt idx="356">
                  <c:v>16.729545454545399</c:v>
                </c:pt>
                <c:pt idx="357">
                  <c:v>16.7477272727272</c:v>
                </c:pt>
                <c:pt idx="358">
                  <c:v>17.143181818181802</c:v>
                </c:pt>
                <c:pt idx="359">
                  <c:v>17.1204545454545</c:v>
                </c:pt>
                <c:pt idx="360">
                  <c:v>16.693181818181799</c:v>
                </c:pt>
                <c:pt idx="361">
                  <c:v>16.863636363636299</c:v>
                </c:pt>
                <c:pt idx="362">
                  <c:v>16.690909090908999</c:v>
                </c:pt>
                <c:pt idx="363">
                  <c:v>16.518181818181802</c:v>
                </c:pt>
                <c:pt idx="364">
                  <c:v>16.738636363636299</c:v>
                </c:pt>
                <c:pt idx="365">
                  <c:v>16.71</c:v>
                </c:pt>
              </c:numCache>
            </c:numRef>
          </c:yVal>
          <c:smooth val="1"/>
          <c:extLst>
            <c:ext xmlns:c16="http://schemas.microsoft.com/office/drawing/2014/chart" uri="{C3380CC4-5D6E-409C-BE32-E72D297353CC}">
              <c16:uniqueId val="{00000002-787B-42AE-A59C-62ACE34B571F}"/>
            </c:ext>
          </c:extLst>
        </c:ser>
        <c:dLbls>
          <c:showLegendKey val="0"/>
          <c:showVal val="0"/>
          <c:showCatName val="0"/>
          <c:showSerName val="0"/>
          <c:showPercent val="0"/>
          <c:showBubbleSize val="0"/>
        </c:dLbls>
        <c:axId val="986646143"/>
        <c:axId val="986644063"/>
      </c:scatterChart>
      <c:valAx>
        <c:axId val="9866461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644063"/>
        <c:crosses val="autoZero"/>
        <c:crossBetween val="midCat"/>
      </c:valAx>
      <c:valAx>
        <c:axId val="986644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6461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17</xdr:col>
      <xdr:colOff>352425</xdr:colOff>
      <xdr:row>0</xdr:row>
      <xdr:rowOff>104774</xdr:rowOff>
    </xdr:from>
    <xdr:to>
      <xdr:col>27</xdr:col>
      <xdr:colOff>209550</xdr:colOff>
      <xdr:row>37</xdr:row>
      <xdr:rowOff>57150</xdr:rowOff>
    </xdr:to>
    <xdr:graphicFrame macro="">
      <xdr:nvGraphicFramePr>
        <xdr:cNvPr id="2" name="Chart 1">
          <a:extLst>
            <a:ext uri="{FF2B5EF4-FFF2-40B4-BE49-F238E27FC236}">
              <a16:creationId xmlns:a16="http://schemas.microsoft.com/office/drawing/2014/main" id="{083EF197-35D9-4462-85DD-DA14E42122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5</xdr:row>
      <xdr:rowOff>104774</xdr:rowOff>
    </xdr:from>
    <xdr:to>
      <xdr:col>16</xdr:col>
      <xdr:colOff>590550</xdr:colOff>
      <xdr:row>27</xdr:row>
      <xdr:rowOff>152399</xdr:rowOff>
    </xdr:to>
    <xdr:graphicFrame macro="">
      <xdr:nvGraphicFramePr>
        <xdr:cNvPr id="3" name="Chart 2">
          <a:extLst>
            <a:ext uri="{FF2B5EF4-FFF2-40B4-BE49-F238E27FC236}">
              <a16:creationId xmlns:a16="http://schemas.microsoft.com/office/drawing/2014/main" id="{359380D7-09F0-4E9A-A7D1-99CB5C48C5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104775</xdr:colOff>
      <xdr:row>0</xdr:row>
      <xdr:rowOff>47625</xdr:rowOff>
    </xdr:from>
    <xdr:to>
      <xdr:col>16</xdr:col>
      <xdr:colOff>514350</xdr:colOff>
      <xdr:row>2</xdr:row>
      <xdr:rowOff>190957</xdr:rowOff>
    </xdr:to>
    <xdr:pic>
      <xdr:nvPicPr>
        <xdr:cNvPr id="5" name="Picture 4" descr="Text&#10;&#10;Description automatically generated with medium confidence">
          <a:extLst>
            <a:ext uri="{FF2B5EF4-FFF2-40B4-BE49-F238E27FC236}">
              <a16:creationId xmlns:a16="http://schemas.microsoft.com/office/drawing/2014/main" id="{4247593E-C2CC-4A04-9018-D599F59EE5F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72700" y="47625"/>
          <a:ext cx="1019175" cy="591007"/>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180975</xdr:colOff>
      <xdr:row>57</xdr:row>
      <xdr:rowOff>123825</xdr:rowOff>
    </xdr:from>
    <xdr:to>
      <xdr:col>2</xdr:col>
      <xdr:colOff>971550</xdr:colOff>
      <xdr:row>69</xdr:row>
      <xdr:rowOff>104775</xdr:rowOff>
    </xdr:to>
    <xdr:graphicFrame macro="">
      <xdr:nvGraphicFramePr>
        <xdr:cNvPr id="2" name="Chart 1">
          <a:extLst>
            <a:ext uri="{FF2B5EF4-FFF2-40B4-BE49-F238E27FC236}">
              <a16:creationId xmlns:a16="http://schemas.microsoft.com/office/drawing/2014/main" id="{9B7FACDF-CFBB-423F-AB4D-A2C8395907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1085850</xdr:colOff>
      <xdr:row>60</xdr:row>
      <xdr:rowOff>28575</xdr:rowOff>
    </xdr:from>
    <xdr:to>
      <xdr:col>8</xdr:col>
      <xdr:colOff>581025</xdr:colOff>
      <xdr:row>70</xdr:row>
      <xdr:rowOff>180975</xdr:rowOff>
    </xdr:to>
    <xdr:graphicFrame macro="">
      <xdr:nvGraphicFramePr>
        <xdr:cNvPr id="3" name="Chart 2">
          <a:extLst>
            <a:ext uri="{FF2B5EF4-FFF2-40B4-BE49-F238E27FC236}">
              <a16:creationId xmlns:a16="http://schemas.microsoft.com/office/drawing/2014/main" id="{DF8872B2-E070-4FCB-BEC2-0F10C57673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219075</xdr:colOff>
      <xdr:row>97</xdr:row>
      <xdr:rowOff>66675</xdr:rowOff>
    </xdr:from>
    <xdr:to>
      <xdr:col>2</xdr:col>
      <xdr:colOff>1009650</xdr:colOff>
      <xdr:row>109</xdr:row>
      <xdr:rowOff>47625</xdr:rowOff>
    </xdr:to>
    <xdr:graphicFrame macro="">
      <xdr:nvGraphicFramePr>
        <xdr:cNvPr id="4" name="Chart 3">
          <a:extLst>
            <a:ext uri="{FF2B5EF4-FFF2-40B4-BE49-F238E27FC236}">
              <a16:creationId xmlns:a16="http://schemas.microsoft.com/office/drawing/2014/main" id="{2D3CA970-DB5D-46DF-9BA1-D793301541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136</xdr:row>
      <xdr:rowOff>0</xdr:rowOff>
    </xdr:from>
    <xdr:to>
      <xdr:col>3</xdr:col>
      <xdr:colOff>419100</xdr:colOff>
      <xdr:row>147</xdr:row>
      <xdr:rowOff>171450</xdr:rowOff>
    </xdr:to>
    <xdr:graphicFrame macro="">
      <xdr:nvGraphicFramePr>
        <xdr:cNvPr id="5" name="Chart 4">
          <a:extLst>
            <a:ext uri="{FF2B5EF4-FFF2-40B4-BE49-F238E27FC236}">
              <a16:creationId xmlns:a16="http://schemas.microsoft.com/office/drawing/2014/main" id="{F44C181C-10B2-40B4-8D9B-5E7097DFF1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409575</xdr:colOff>
      <xdr:row>1</xdr:row>
      <xdr:rowOff>85724</xdr:rowOff>
    </xdr:from>
    <xdr:to>
      <xdr:col>13</xdr:col>
      <xdr:colOff>276225</xdr:colOff>
      <xdr:row>27</xdr:row>
      <xdr:rowOff>76199</xdr:rowOff>
    </xdr:to>
    <xdr:graphicFrame macro="">
      <xdr:nvGraphicFramePr>
        <xdr:cNvPr id="2" name="Chart 1">
          <a:extLst>
            <a:ext uri="{FF2B5EF4-FFF2-40B4-BE49-F238E27FC236}">
              <a16:creationId xmlns:a16="http://schemas.microsoft.com/office/drawing/2014/main" id="{2C1E32B3-028B-4260-99BB-BAC9D5DD93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st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Balance Test"/>
      <sheetName val="Crop Test"/>
      <sheetName val="CropCoefficients"/>
    </sheetNames>
    <sheetDataSet>
      <sheetData sheetId="0">
        <row r="4">
          <cell r="Q4">
            <v>7</v>
          </cell>
        </row>
        <row r="5">
          <cell r="Q5">
            <v>8</v>
          </cell>
        </row>
        <row r="7">
          <cell r="Q7">
            <v>11</v>
          </cell>
        </row>
        <row r="8">
          <cell r="Q8">
            <v>15</v>
          </cell>
        </row>
        <row r="10">
          <cell r="Q10">
            <v>3</v>
          </cell>
        </row>
        <row r="12">
          <cell r="Q12">
            <v>5</v>
          </cell>
        </row>
        <row r="16">
          <cell r="Q16">
            <v>7</v>
          </cell>
        </row>
        <row r="17">
          <cell r="Q17">
            <v>8</v>
          </cell>
        </row>
        <row r="18">
          <cell r="Q18">
            <v>12</v>
          </cell>
        </row>
        <row r="19">
          <cell r="Q19">
            <v>11</v>
          </cell>
        </row>
        <row r="20">
          <cell r="Q20">
            <v>15</v>
          </cell>
        </row>
        <row r="22">
          <cell r="Q22">
            <v>3</v>
          </cell>
        </row>
        <row r="24">
          <cell r="Q24">
            <v>5</v>
          </cell>
        </row>
        <row r="28">
          <cell r="Q28">
            <v>7</v>
          </cell>
        </row>
        <row r="29">
          <cell r="Q29">
            <v>8</v>
          </cell>
        </row>
        <row r="30">
          <cell r="Q30">
            <v>12</v>
          </cell>
        </row>
        <row r="31">
          <cell r="Q31">
            <v>11</v>
          </cell>
        </row>
        <row r="32">
          <cell r="Q32">
            <v>15</v>
          </cell>
        </row>
        <row r="34">
          <cell r="Q34">
            <v>3</v>
          </cell>
        </row>
        <row r="36">
          <cell r="Q36">
            <v>5</v>
          </cell>
        </row>
      </sheetData>
      <sheetData sheetId="1"/>
      <sheetData sheetId="2">
        <row r="3">
          <cell r="K3" t="str">
            <v>Tulip Bulb General</v>
          </cell>
          <cell r="L3">
            <v>2</v>
          </cell>
          <cell r="M3" t="str">
            <v>Seed</v>
          </cell>
          <cell r="N3" t="str">
            <v>May</v>
          </cell>
          <cell r="O3" t="str">
            <v>Maturity</v>
          </cell>
          <cell r="P3" t="str">
            <v>Feb</v>
          </cell>
          <cell r="Q3">
            <v>30</v>
          </cell>
          <cell r="R3" t="str">
            <v>t/ha</v>
          </cell>
          <cell r="S3" t="str">
            <v xml:space="preserve">Saleable bulb </v>
          </cell>
          <cell r="T3" t="str">
            <v>Total</v>
          </cell>
          <cell r="U3">
            <v>0</v>
          </cell>
          <cell r="V3">
            <v>0</v>
          </cell>
          <cell r="W3">
            <v>0.9</v>
          </cell>
          <cell r="X3">
            <v>0.04</v>
          </cell>
          <cell r="Y3">
            <v>55</v>
          </cell>
          <cell r="Z3">
            <v>0.1</v>
          </cell>
          <cell r="AA3">
            <v>0.6</v>
          </cell>
          <cell r="AB3">
            <v>0.9</v>
          </cell>
          <cell r="AC3">
            <v>1</v>
          </cell>
          <cell r="AD3">
            <v>1</v>
          </cell>
          <cell r="AE3">
            <v>0.5</v>
          </cell>
          <cell r="AF3">
            <v>1.2</v>
          </cell>
        </row>
        <row r="4">
          <cell r="K4" t="str">
            <v>Hemp Fibre General</v>
          </cell>
          <cell r="L4">
            <v>3</v>
          </cell>
          <cell r="M4" t="str">
            <v>Seed</v>
          </cell>
          <cell r="N4" t="str">
            <v>Oct</v>
          </cell>
          <cell r="O4" t="str">
            <v>MidReproductive</v>
          </cell>
          <cell r="P4" t="str">
            <v>Feb</v>
          </cell>
          <cell r="Q4">
            <v>6</v>
          </cell>
          <cell r="R4" t="str">
            <v>t/ha</v>
          </cell>
          <cell r="S4" t="str">
            <v xml:space="preserve">Baled straw </v>
          </cell>
          <cell r="T4" t="str">
            <v>Total</v>
          </cell>
          <cell r="U4">
            <v>0</v>
          </cell>
          <cell r="V4">
            <v>0</v>
          </cell>
          <cell r="W4">
            <v>0.6</v>
          </cell>
          <cell r="X4">
            <v>0.1</v>
          </cell>
          <cell r="Y4">
            <v>12</v>
          </cell>
          <cell r="Z4">
            <v>0.1</v>
          </cell>
          <cell r="AA4">
            <v>1.5</v>
          </cell>
          <cell r="AB4">
            <v>1</v>
          </cell>
          <cell r="AC4">
            <v>1</v>
          </cell>
          <cell r="AD4">
            <v>1</v>
          </cell>
          <cell r="AE4">
            <v>2.5</v>
          </cell>
          <cell r="AF4">
            <v>1.5</v>
          </cell>
        </row>
        <row r="5">
          <cell r="K5" t="str">
            <v>Oat Fodder General</v>
          </cell>
          <cell r="L5">
            <v>4</v>
          </cell>
          <cell r="M5" t="str">
            <v>Seed</v>
          </cell>
          <cell r="N5" t="str">
            <v>Jul</v>
          </cell>
          <cell r="O5" t="str">
            <v>EarlyReproductive</v>
          </cell>
          <cell r="P5" t="str">
            <v>Nov</v>
          </cell>
          <cell r="Q5">
            <v>10</v>
          </cell>
          <cell r="R5" t="str">
            <v>t/ha</v>
          </cell>
          <cell r="S5" t="str">
            <v>Standing DM</v>
          </cell>
          <cell r="T5" t="str">
            <v>Dry</v>
          </cell>
          <cell r="U5">
            <v>0</v>
          </cell>
          <cell r="V5">
            <v>0</v>
          </cell>
          <cell r="W5">
            <v>0.95</v>
          </cell>
          <cell r="X5">
            <v>0</v>
          </cell>
          <cell r="Y5">
            <v>80</v>
          </cell>
          <cell r="Z5">
            <v>0.1</v>
          </cell>
          <cell r="AA5">
            <v>1.5</v>
          </cell>
          <cell r="AB5">
            <v>1</v>
          </cell>
          <cell r="AC5">
            <v>1</v>
          </cell>
          <cell r="AD5">
            <v>0.9</v>
          </cell>
          <cell r="AE5">
            <v>0.5</v>
          </cell>
          <cell r="AF5">
            <v>1.3</v>
          </cell>
        </row>
        <row r="6">
          <cell r="K6" t="str">
            <v>Fodder beet Fodder General</v>
          </cell>
          <cell r="L6">
            <v>5</v>
          </cell>
          <cell r="M6" t="str">
            <v>Seed</v>
          </cell>
          <cell r="N6" t="str">
            <v>Nov</v>
          </cell>
          <cell r="O6" t="str">
            <v>EarlyReproductive</v>
          </cell>
          <cell r="P6" t="str">
            <v>Jul</v>
          </cell>
          <cell r="Q6">
            <v>20</v>
          </cell>
          <cell r="R6" t="str">
            <v>t/ha</v>
          </cell>
          <cell r="S6" t="str">
            <v>Standing DM</v>
          </cell>
          <cell r="T6" t="str">
            <v>Dry</v>
          </cell>
          <cell r="U6">
            <v>0</v>
          </cell>
          <cell r="V6">
            <v>0</v>
          </cell>
          <cell r="W6">
            <v>0.88949999999999996</v>
          </cell>
          <cell r="X6">
            <v>-0.11049999999999993</v>
          </cell>
          <cell r="Y6">
            <v>17</v>
          </cell>
          <cell r="Z6">
            <v>0.1</v>
          </cell>
          <cell r="AA6">
            <v>1.5</v>
          </cell>
          <cell r="AB6">
            <v>1</v>
          </cell>
          <cell r="AC6">
            <v>1</v>
          </cell>
          <cell r="AD6">
            <v>0.8</v>
          </cell>
          <cell r="AE6">
            <v>1.5</v>
          </cell>
          <cell r="AF6">
            <v>1</v>
          </cell>
        </row>
        <row r="7">
          <cell r="K7" t="str">
            <v>Swede Fodder General</v>
          </cell>
          <cell r="L7">
            <v>6</v>
          </cell>
          <cell r="M7" t="str">
            <v>Seed</v>
          </cell>
          <cell r="N7" t="str">
            <v>Nov</v>
          </cell>
          <cell r="O7" t="str">
            <v>LateReproductive</v>
          </cell>
          <cell r="P7" t="str">
            <v>Jul</v>
          </cell>
          <cell r="Q7">
            <v>12</v>
          </cell>
          <cell r="R7" t="str">
            <v>t/ha</v>
          </cell>
          <cell r="S7" t="str">
            <v>Standing DM</v>
          </cell>
          <cell r="T7" t="str">
            <v>Dry</v>
          </cell>
          <cell r="U7">
            <v>0</v>
          </cell>
          <cell r="V7">
            <v>0</v>
          </cell>
          <cell r="W7">
            <v>0.83399999999999996</v>
          </cell>
          <cell r="X7">
            <v>-0.15600000000000003</v>
          </cell>
          <cell r="Y7">
            <v>12</v>
          </cell>
          <cell r="Z7">
            <v>0.1</v>
          </cell>
          <cell r="AA7">
            <v>1.2</v>
          </cell>
          <cell r="AB7">
            <v>1</v>
          </cell>
          <cell r="AC7">
            <v>2</v>
          </cell>
          <cell r="AD7">
            <v>0.8</v>
          </cell>
          <cell r="AE7">
            <v>0.6</v>
          </cell>
          <cell r="AF7">
            <v>2.5</v>
          </cell>
        </row>
        <row r="8">
          <cell r="K8" t="str">
            <v>Rape Fodder General</v>
          </cell>
          <cell r="L8">
            <v>7</v>
          </cell>
          <cell r="M8" t="str">
            <v>Seed</v>
          </cell>
          <cell r="N8" t="str">
            <v>Oct</v>
          </cell>
          <cell r="O8" t="str">
            <v>EarlyReproductive</v>
          </cell>
          <cell r="P8" t="str">
            <v>Jan</v>
          </cell>
          <cell r="Q8">
            <v>6</v>
          </cell>
          <cell r="R8" t="str">
            <v>t/ha</v>
          </cell>
          <cell r="S8" t="str">
            <v>Standing DM</v>
          </cell>
          <cell r="T8" t="str">
            <v>Dry</v>
          </cell>
          <cell r="U8">
            <v>0</v>
          </cell>
          <cell r="V8">
            <v>0</v>
          </cell>
          <cell r="W8">
            <v>0.77800000000000002</v>
          </cell>
          <cell r="X8">
            <v>-0.122</v>
          </cell>
          <cell r="Y8">
            <v>10</v>
          </cell>
          <cell r="Z8">
            <v>0.1</v>
          </cell>
          <cell r="AA8">
            <v>1.2</v>
          </cell>
          <cell r="AB8">
            <v>1</v>
          </cell>
          <cell r="AC8">
            <v>2</v>
          </cell>
          <cell r="AD8">
            <v>0.8</v>
          </cell>
          <cell r="AE8">
            <v>1</v>
          </cell>
          <cell r="AF8">
            <v>3</v>
          </cell>
        </row>
        <row r="9">
          <cell r="K9" t="str">
            <v>Kale Fodder General</v>
          </cell>
          <cell r="L9">
            <v>8</v>
          </cell>
          <cell r="M9" t="str">
            <v>Seed</v>
          </cell>
          <cell r="N9" t="str">
            <v>Oct</v>
          </cell>
          <cell r="O9" t="str">
            <v>LateReproductive</v>
          </cell>
          <cell r="P9" t="str">
            <v>Jul</v>
          </cell>
          <cell r="Q9">
            <v>12</v>
          </cell>
          <cell r="R9" t="str">
            <v>t/ha</v>
          </cell>
          <cell r="S9" t="str">
            <v>Standing DM</v>
          </cell>
          <cell r="T9" t="str">
            <v>Dry</v>
          </cell>
          <cell r="U9">
            <v>0</v>
          </cell>
          <cell r="V9">
            <v>0</v>
          </cell>
          <cell r="W9">
            <v>0.57999999999999985</v>
          </cell>
          <cell r="X9">
            <v>-0.32</v>
          </cell>
          <cell r="Y9">
            <v>13</v>
          </cell>
          <cell r="Z9">
            <v>0.1</v>
          </cell>
          <cell r="AA9">
            <v>1.2</v>
          </cell>
          <cell r="AB9">
            <v>1</v>
          </cell>
          <cell r="AC9">
            <v>2</v>
          </cell>
          <cell r="AD9">
            <v>0.8</v>
          </cell>
          <cell r="AE9">
            <v>1</v>
          </cell>
          <cell r="AF9">
            <v>3</v>
          </cell>
        </row>
        <row r="10">
          <cell r="K10" t="str">
            <v>Turnip Fodder Bulb</v>
          </cell>
          <cell r="L10">
            <v>9</v>
          </cell>
          <cell r="M10" t="str">
            <v>Seed</v>
          </cell>
          <cell r="N10" t="str">
            <v>Dec</v>
          </cell>
          <cell r="O10" t="str">
            <v>EarlyReproductive</v>
          </cell>
          <cell r="P10" t="str">
            <v>Jul</v>
          </cell>
          <cell r="Q10">
            <v>8</v>
          </cell>
          <cell r="R10" t="str">
            <v>t/ha</v>
          </cell>
          <cell r="S10" t="str">
            <v>Standing DM</v>
          </cell>
          <cell r="T10" t="str">
            <v>Dry</v>
          </cell>
          <cell r="U10">
            <v>0</v>
          </cell>
          <cell r="V10">
            <v>0</v>
          </cell>
          <cell r="W10">
            <v>0.872</v>
          </cell>
          <cell r="X10">
            <v>-0.128</v>
          </cell>
          <cell r="Y10">
            <v>10</v>
          </cell>
          <cell r="Z10">
            <v>0.1</v>
          </cell>
          <cell r="AA10">
            <v>1.2</v>
          </cell>
          <cell r="AB10">
            <v>1</v>
          </cell>
          <cell r="AC10">
            <v>2</v>
          </cell>
          <cell r="AD10">
            <v>0.8</v>
          </cell>
          <cell r="AE10">
            <v>0.6</v>
          </cell>
          <cell r="AF10">
            <v>2.5</v>
          </cell>
        </row>
        <row r="11">
          <cell r="K11" t="str">
            <v>Turnip Fodder Leafy</v>
          </cell>
          <cell r="L11">
            <v>10</v>
          </cell>
          <cell r="M11" t="str">
            <v>Seed</v>
          </cell>
          <cell r="N11" t="str">
            <v>Oct</v>
          </cell>
          <cell r="O11" t="str">
            <v>Vegetative</v>
          </cell>
          <cell r="P11" t="str">
            <v>Mar</v>
          </cell>
          <cell r="Q11">
            <v>6</v>
          </cell>
          <cell r="R11" t="str">
            <v>t/ha</v>
          </cell>
          <cell r="S11" t="str">
            <v>Standing DM</v>
          </cell>
          <cell r="T11" t="str">
            <v>Dry</v>
          </cell>
          <cell r="U11">
            <v>0</v>
          </cell>
          <cell r="V11">
            <v>0</v>
          </cell>
          <cell r="W11">
            <v>0.49</v>
          </cell>
          <cell r="X11">
            <v>-0.21</v>
          </cell>
          <cell r="Y11">
            <v>17</v>
          </cell>
          <cell r="Z11">
            <v>0.1</v>
          </cell>
          <cell r="AA11">
            <v>1.2</v>
          </cell>
          <cell r="AB11">
            <v>1</v>
          </cell>
          <cell r="AC11">
            <v>2</v>
          </cell>
          <cell r="AD11">
            <v>0.8</v>
          </cell>
          <cell r="AE11">
            <v>1.5</v>
          </cell>
          <cell r="AF11">
            <v>3.5</v>
          </cell>
        </row>
        <row r="12">
          <cell r="K12" t="str">
            <v>Barley Fodder General</v>
          </cell>
          <cell r="L12">
            <v>11</v>
          </cell>
          <cell r="M12" t="str">
            <v>Seed</v>
          </cell>
          <cell r="N12" t="str">
            <v>Jul</v>
          </cell>
          <cell r="O12" t="str">
            <v>EarlyReproductive</v>
          </cell>
          <cell r="P12" t="str">
            <v>Nov</v>
          </cell>
          <cell r="Q12">
            <v>8</v>
          </cell>
          <cell r="R12" t="str">
            <v>t/ha</v>
          </cell>
          <cell r="S12" t="str">
            <v>Standing DM</v>
          </cell>
          <cell r="T12" t="str">
            <v>Dry</v>
          </cell>
          <cell r="U12">
            <v>0</v>
          </cell>
          <cell r="V12">
            <v>0</v>
          </cell>
          <cell r="W12">
            <v>0.95</v>
          </cell>
          <cell r="X12">
            <v>0</v>
          </cell>
          <cell r="Y12">
            <v>80</v>
          </cell>
          <cell r="Z12">
            <v>0.1</v>
          </cell>
          <cell r="AA12">
            <v>1.2</v>
          </cell>
          <cell r="AB12">
            <v>1</v>
          </cell>
          <cell r="AC12">
            <v>1</v>
          </cell>
          <cell r="AD12">
            <v>0.9</v>
          </cell>
          <cell r="AE12">
            <v>0.5</v>
          </cell>
          <cell r="AF12">
            <v>1.3</v>
          </cell>
        </row>
        <row r="13">
          <cell r="K13" t="str">
            <v>Annual ryegrass Fodder General</v>
          </cell>
          <cell r="L13">
            <v>12</v>
          </cell>
          <cell r="M13" t="str">
            <v>Seed</v>
          </cell>
          <cell r="N13" t="str">
            <v>Apr</v>
          </cell>
          <cell r="O13" t="str">
            <v>EarlyReproductive</v>
          </cell>
          <cell r="P13" t="str">
            <v>Dec</v>
          </cell>
          <cell r="Q13">
            <v>5</v>
          </cell>
          <cell r="R13" t="str">
            <v>t/ha</v>
          </cell>
          <cell r="S13" t="str">
            <v>Standing DM</v>
          </cell>
          <cell r="T13" t="str">
            <v>Dry</v>
          </cell>
          <cell r="U13">
            <v>0</v>
          </cell>
          <cell r="V13">
            <v>0</v>
          </cell>
          <cell r="W13">
            <v>0.95</v>
          </cell>
          <cell r="X13">
            <v>0</v>
          </cell>
          <cell r="Y13">
            <v>80</v>
          </cell>
          <cell r="Z13">
            <v>0.1</v>
          </cell>
          <cell r="AA13">
            <v>0.9</v>
          </cell>
          <cell r="AB13">
            <v>1</v>
          </cell>
          <cell r="AC13">
            <v>1.5</v>
          </cell>
          <cell r="AD13">
            <v>0.9</v>
          </cell>
          <cell r="AE13">
            <v>1</v>
          </cell>
          <cell r="AF13">
            <v>2.5</v>
          </cell>
        </row>
        <row r="14">
          <cell r="K14" t="str">
            <v>Rye corn Fodder General</v>
          </cell>
          <cell r="L14">
            <v>13</v>
          </cell>
          <cell r="M14" t="str">
            <v>Seed</v>
          </cell>
          <cell r="N14" t="str">
            <v>Feb</v>
          </cell>
          <cell r="O14" t="str">
            <v>EarlyReproductive</v>
          </cell>
          <cell r="P14" t="str">
            <v>Sep</v>
          </cell>
          <cell r="Q14">
            <v>8</v>
          </cell>
          <cell r="R14" t="str">
            <v>t/ha</v>
          </cell>
          <cell r="S14" t="str">
            <v>Standing DM</v>
          </cell>
          <cell r="T14" t="str">
            <v>Dry</v>
          </cell>
          <cell r="U14">
            <v>0</v>
          </cell>
          <cell r="V14">
            <v>0</v>
          </cell>
          <cell r="W14">
            <v>0.95</v>
          </cell>
          <cell r="X14">
            <v>0</v>
          </cell>
          <cell r="Y14">
            <v>80</v>
          </cell>
          <cell r="Z14">
            <v>0.1</v>
          </cell>
          <cell r="AA14">
            <v>1.5</v>
          </cell>
          <cell r="AB14">
            <v>1</v>
          </cell>
          <cell r="AC14">
            <v>1</v>
          </cell>
          <cell r="AD14">
            <v>0.9</v>
          </cell>
          <cell r="AE14">
            <v>0.5</v>
          </cell>
          <cell r="AF14">
            <v>1.3</v>
          </cell>
        </row>
        <row r="15">
          <cell r="K15" t="str">
            <v>Wheat Fodder General</v>
          </cell>
          <cell r="L15">
            <v>14</v>
          </cell>
          <cell r="M15" t="str">
            <v>Seed</v>
          </cell>
          <cell r="N15" t="str">
            <v>Jul</v>
          </cell>
          <cell r="O15" t="str">
            <v>EarlyReproductive</v>
          </cell>
          <cell r="P15" t="str">
            <v>Nov</v>
          </cell>
          <cell r="Q15">
            <v>8</v>
          </cell>
          <cell r="R15" t="str">
            <v>t/ha</v>
          </cell>
          <cell r="S15" t="str">
            <v>Standing DM</v>
          </cell>
          <cell r="T15" t="str">
            <v>Dry</v>
          </cell>
          <cell r="U15">
            <v>0</v>
          </cell>
          <cell r="V15">
            <v>0</v>
          </cell>
          <cell r="W15">
            <v>0.95</v>
          </cell>
          <cell r="X15">
            <v>0</v>
          </cell>
          <cell r="Y15">
            <v>80</v>
          </cell>
          <cell r="Z15">
            <v>0.1</v>
          </cell>
          <cell r="AA15">
            <v>1.5</v>
          </cell>
          <cell r="AB15">
            <v>1</v>
          </cell>
          <cell r="AC15">
            <v>1</v>
          </cell>
          <cell r="AD15">
            <v>0.9</v>
          </cell>
          <cell r="AE15">
            <v>0.5</v>
          </cell>
          <cell r="AF15">
            <v>1.3</v>
          </cell>
        </row>
        <row r="16">
          <cell r="K16" t="str">
            <v>Triticale Fodder General</v>
          </cell>
          <cell r="L16">
            <v>15</v>
          </cell>
          <cell r="M16" t="str">
            <v>Seed</v>
          </cell>
          <cell r="N16" t="str">
            <v>Jul</v>
          </cell>
          <cell r="O16" t="str">
            <v>EarlyReproductive</v>
          </cell>
          <cell r="P16" t="str">
            <v>Nov</v>
          </cell>
          <cell r="Q16">
            <v>12</v>
          </cell>
          <cell r="R16" t="str">
            <v>t/ha</v>
          </cell>
          <cell r="S16" t="str">
            <v>Standing DM</v>
          </cell>
          <cell r="T16" t="str">
            <v>Dry</v>
          </cell>
          <cell r="U16">
            <v>0</v>
          </cell>
          <cell r="V16">
            <v>0</v>
          </cell>
          <cell r="W16">
            <v>0.95</v>
          </cell>
          <cell r="X16">
            <v>0</v>
          </cell>
          <cell r="Y16">
            <v>80</v>
          </cell>
          <cell r="Z16">
            <v>0.1</v>
          </cell>
          <cell r="AA16">
            <v>1.5</v>
          </cell>
          <cell r="AB16">
            <v>1</v>
          </cell>
          <cell r="AC16">
            <v>1</v>
          </cell>
          <cell r="AD16">
            <v>0.9</v>
          </cell>
          <cell r="AE16">
            <v>0.5</v>
          </cell>
          <cell r="AF16">
            <v>1.3</v>
          </cell>
        </row>
        <row r="17">
          <cell r="K17" t="str">
            <v>Maize Fodder General</v>
          </cell>
          <cell r="L17">
            <v>16</v>
          </cell>
          <cell r="M17" t="str">
            <v>Seed</v>
          </cell>
          <cell r="N17" t="str">
            <v>Nov</v>
          </cell>
          <cell r="O17" t="str">
            <v>EarlyReproductive</v>
          </cell>
          <cell r="P17" t="str">
            <v>Feb</v>
          </cell>
          <cell r="Q17">
            <v>17.5</v>
          </cell>
          <cell r="R17" t="str">
            <v>t/ha</v>
          </cell>
          <cell r="S17" t="str">
            <v>Standing DM</v>
          </cell>
          <cell r="T17" t="str">
            <v>Dry</v>
          </cell>
          <cell r="U17">
            <v>0</v>
          </cell>
          <cell r="V17">
            <v>0</v>
          </cell>
          <cell r="W17">
            <v>0.95</v>
          </cell>
          <cell r="X17">
            <v>0</v>
          </cell>
          <cell r="Y17">
            <v>33</v>
          </cell>
          <cell r="Z17">
            <v>0.1</v>
          </cell>
          <cell r="AA17">
            <v>1.5</v>
          </cell>
          <cell r="AB17">
            <v>0.85</v>
          </cell>
          <cell r="AC17">
            <v>1</v>
          </cell>
          <cell r="AD17">
            <v>0.9</v>
          </cell>
          <cell r="AE17">
            <v>0.7</v>
          </cell>
          <cell r="AF17">
            <v>1.4</v>
          </cell>
        </row>
        <row r="18">
          <cell r="K18" t="str">
            <v>Oat Grain General</v>
          </cell>
          <cell r="L18">
            <v>17</v>
          </cell>
          <cell r="M18" t="str">
            <v>Seed</v>
          </cell>
          <cell r="N18" t="str">
            <v>May</v>
          </cell>
          <cell r="O18" t="str">
            <v>Maturity</v>
          </cell>
          <cell r="P18" t="str">
            <v>Feb</v>
          </cell>
          <cell r="Q18">
            <v>6</v>
          </cell>
          <cell r="R18" t="str">
            <v>t/ha</v>
          </cell>
          <cell r="S18" t="str">
            <v xml:space="preserve">Saleable grain </v>
          </cell>
          <cell r="T18" t="str">
            <v>Total</v>
          </cell>
          <cell r="U18">
            <v>0</v>
          </cell>
          <cell r="V18">
            <v>0</v>
          </cell>
          <cell r="W18">
            <v>0.4</v>
          </cell>
          <cell r="X18">
            <v>0.1</v>
          </cell>
          <cell r="Y18">
            <v>13</v>
          </cell>
          <cell r="Z18">
            <v>0.1</v>
          </cell>
          <cell r="AA18">
            <v>1.5</v>
          </cell>
          <cell r="AB18">
            <v>1</v>
          </cell>
          <cell r="AC18">
            <v>1</v>
          </cell>
          <cell r="AD18">
            <v>0.9</v>
          </cell>
          <cell r="AE18">
            <v>0.5</v>
          </cell>
          <cell r="AF18">
            <v>1.3</v>
          </cell>
        </row>
        <row r="19">
          <cell r="K19" t="str">
            <v>Canola Grain General</v>
          </cell>
          <cell r="L19">
            <v>18</v>
          </cell>
          <cell r="M19" t="str">
            <v>Seed</v>
          </cell>
          <cell r="N19" t="str">
            <v>Apr</v>
          </cell>
          <cell r="O19" t="str">
            <v>LateReproductive</v>
          </cell>
          <cell r="P19" t="str">
            <v>Jan</v>
          </cell>
          <cell r="Q19">
            <v>4</v>
          </cell>
          <cell r="R19" t="str">
            <v>t/ha</v>
          </cell>
          <cell r="S19" t="str">
            <v xml:space="preserve">Saleable grain </v>
          </cell>
          <cell r="T19" t="str">
            <v>Total</v>
          </cell>
          <cell r="U19">
            <v>0</v>
          </cell>
          <cell r="V19">
            <v>0</v>
          </cell>
          <cell r="W19">
            <v>0.27</v>
          </cell>
          <cell r="X19">
            <v>1.2999999999999999E-2</v>
          </cell>
          <cell r="Y19">
            <v>8.9999999999999964</v>
          </cell>
          <cell r="Z19">
            <v>0.1</v>
          </cell>
          <cell r="AA19">
            <v>1.2</v>
          </cell>
          <cell r="AB19">
            <v>1</v>
          </cell>
          <cell r="AC19">
            <v>2</v>
          </cell>
          <cell r="AD19">
            <v>0.8</v>
          </cell>
          <cell r="AE19">
            <v>1.1499999999999999</v>
          </cell>
          <cell r="AF19">
            <v>3.22</v>
          </cell>
        </row>
        <row r="20">
          <cell r="K20" t="str">
            <v>Hemp Grain General</v>
          </cell>
          <cell r="L20">
            <v>19</v>
          </cell>
          <cell r="M20" t="str">
            <v>Seed</v>
          </cell>
          <cell r="N20" t="str">
            <v>Nov</v>
          </cell>
          <cell r="O20" t="str">
            <v>Maturity</v>
          </cell>
          <cell r="P20" t="str">
            <v>Mar</v>
          </cell>
          <cell r="Q20">
            <v>1.1499999999999999</v>
          </cell>
          <cell r="R20" t="str">
            <v>t/ha</v>
          </cell>
          <cell r="S20" t="str">
            <v xml:space="preserve">Saleable grain </v>
          </cell>
          <cell r="T20" t="str">
            <v>Total</v>
          </cell>
          <cell r="U20">
            <v>0</v>
          </cell>
          <cell r="V20">
            <v>0</v>
          </cell>
          <cell r="W20">
            <v>0.1</v>
          </cell>
          <cell r="X20">
            <v>0.05</v>
          </cell>
          <cell r="Y20">
            <v>8.9999999999999964</v>
          </cell>
          <cell r="Z20">
            <v>0.1</v>
          </cell>
          <cell r="AA20">
            <v>1.5</v>
          </cell>
          <cell r="AB20">
            <v>1</v>
          </cell>
          <cell r="AC20">
            <v>1</v>
          </cell>
          <cell r="AD20">
            <v>1</v>
          </cell>
          <cell r="AE20">
            <v>1</v>
          </cell>
          <cell r="AF20">
            <v>4</v>
          </cell>
        </row>
        <row r="21">
          <cell r="K21" t="str">
            <v>Chickpea Grain General</v>
          </cell>
          <cell r="L21">
            <v>21</v>
          </cell>
          <cell r="M21" t="str">
            <v>Seed</v>
          </cell>
          <cell r="N21" t="str">
            <v>Oct</v>
          </cell>
          <cell r="O21" t="str">
            <v>LateReproductive</v>
          </cell>
          <cell r="P21" t="str">
            <v>Mar</v>
          </cell>
          <cell r="Q21">
            <v>4</v>
          </cell>
          <cell r="R21" t="str">
            <v>t/ha</v>
          </cell>
          <cell r="S21" t="str">
            <v xml:space="preserve">Saleable grain </v>
          </cell>
          <cell r="T21" t="str">
            <v>Total</v>
          </cell>
          <cell r="U21">
            <v>0</v>
          </cell>
          <cell r="V21">
            <v>0</v>
          </cell>
          <cell r="W21">
            <v>0.3</v>
          </cell>
          <cell r="X21">
            <v>0</v>
          </cell>
          <cell r="Y21">
            <v>15</v>
          </cell>
          <cell r="Z21">
            <v>0.1</v>
          </cell>
          <cell r="AA21">
            <v>1</v>
          </cell>
          <cell r="AB21">
            <v>1</v>
          </cell>
          <cell r="AC21">
            <v>1</v>
          </cell>
          <cell r="AD21">
            <v>1.5</v>
          </cell>
          <cell r="AE21">
            <v>1.6</v>
          </cell>
          <cell r="AF21">
            <v>4.7</v>
          </cell>
        </row>
        <row r="22">
          <cell r="K22" t="str">
            <v>Sunflower Grain General</v>
          </cell>
          <cell r="L22">
            <v>22</v>
          </cell>
          <cell r="M22" t="str">
            <v>Seed</v>
          </cell>
          <cell r="N22" t="str">
            <v>Oct</v>
          </cell>
          <cell r="O22" t="str">
            <v>Maturity</v>
          </cell>
          <cell r="P22" t="str">
            <v>Mar</v>
          </cell>
          <cell r="Q22">
            <v>3</v>
          </cell>
          <cell r="R22" t="str">
            <v>t/ha</v>
          </cell>
          <cell r="S22" t="str">
            <v xml:space="preserve">Saleable grain </v>
          </cell>
          <cell r="T22" t="str">
            <v>Total</v>
          </cell>
          <cell r="U22">
            <v>0</v>
          </cell>
          <cell r="V22">
            <v>0</v>
          </cell>
          <cell r="W22">
            <v>0.3</v>
          </cell>
          <cell r="X22">
            <v>0.1</v>
          </cell>
          <cell r="Y22">
            <v>7.9999999999999964</v>
          </cell>
          <cell r="Z22">
            <v>0.1</v>
          </cell>
          <cell r="AA22">
            <v>1.5</v>
          </cell>
          <cell r="AB22">
            <v>1</v>
          </cell>
          <cell r="AC22">
            <v>1</v>
          </cell>
          <cell r="AD22">
            <v>0.9</v>
          </cell>
          <cell r="AE22">
            <v>1.3</v>
          </cell>
          <cell r="AF22">
            <v>2.4</v>
          </cell>
        </row>
        <row r="23">
          <cell r="K23" t="str">
            <v>Barley Grain General</v>
          </cell>
          <cell r="L23">
            <v>23</v>
          </cell>
          <cell r="M23" t="str">
            <v>Seed</v>
          </cell>
          <cell r="N23" t="str">
            <v>Sep</v>
          </cell>
          <cell r="O23" t="str">
            <v>Maturity</v>
          </cell>
          <cell r="P23" t="str">
            <v>Feb</v>
          </cell>
          <cell r="Q23">
            <v>8</v>
          </cell>
          <cell r="R23" t="str">
            <v>t/ha</v>
          </cell>
          <cell r="S23" t="str">
            <v xml:space="preserve">Saleable grain </v>
          </cell>
          <cell r="T23" t="str">
            <v>Total</v>
          </cell>
          <cell r="U23">
            <v>0</v>
          </cell>
          <cell r="V23">
            <v>0</v>
          </cell>
          <cell r="W23">
            <v>0.46299999999999997</v>
          </cell>
          <cell r="X23">
            <v>0.1</v>
          </cell>
          <cell r="Y23">
            <v>13</v>
          </cell>
          <cell r="Z23">
            <v>0.1</v>
          </cell>
          <cell r="AA23">
            <v>1.2</v>
          </cell>
          <cell r="AB23">
            <v>1</v>
          </cell>
          <cell r="AC23">
            <v>1</v>
          </cell>
          <cell r="AD23">
            <v>0.9</v>
          </cell>
          <cell r="AE23">
            <v>0.5</v>
          </cell>
          <cell r="AF23">
            <v>1.2</v>
          </cell>
        </row>
        <row r="24">
          <cell r="K24" t="str">
            <v>Lentil Grain General</v>
          </cell>
          <cell r="L24">
            <v>24</v>
          </cell>
          <cell r="M24" t="str">
            <v>Seed</v>
          </cell>
          <cell r="N24" t="str">
            <v>Oct</v>
          </cell>
          <cell r="O24" t="str">
            <v>Maturity</v>
          </cell>
          <cell r="P24" t="str">
            <v>Mar</v>
          </cell>
          <cell r="Q24">
            <v>3.5</v>
          </cell>
          <cell r="R24" t="str">
            <v>t/ha</v>
          </cell>
          <cell r="S24" t="str">
            <v xml:space="preserve">Saleable grain </v>
          </cell>
          <cell r="T24" t="str">
            <v>Total</v>
          </cell>
          <cell r="U24">
            <v>0</v>
          </cell>
          <cell r="V24">
            <v>0</v>
          </cell>
          <cell r="W24">
            <v>0.5</v>
          </cell>
          <cell r="X24">
            <v>0</v>
          </cell>
          <cell r="Y24">
            <v>14.000000000000002</v>
          </cell>
          <cell r="Z24">
            <v>0.1</v>
          </cell>
          <cell r="AA24">
            <v>1</v>
          </cell>
          <cell r="AB24">
            <v>1</v>
          </cell>
          <cell r="AC24">
            <v>1</v>
          </cell>
          <cell r="AD24">
            <v>1.5</v>
          </cell>
          <cell r="AE24">
            <v>1.6</v>
          </cell>
          <cell r="AF24">
            <v>3.5</v>
          </cell>
        </row>
        <row r="25">
          <cell r="K25" t="str">
            <v>Linseed Grain General</v>
          </cell>
          <cell r="L25">
            <v>25</v>
          </cell>
          <cell r="M25" t="str">
            <v>Seed</v>
          </cell>
          <cell r="N25" t="str">
            <v>Sep</v>
          </cell>
          <cell r="O25" t="str">
            <v>LateReproductive</v>
          </cell>
          <cell r="P25" t="str">
            <v>Mar</v>
          </cell>
          <cell r="Q25">
            <v>2.5</v>
          </cell>
          <cell r="R25" t="str">
            <v>t/ha</v>
          </cell>
          <cell r="S25" t="str">
            <v xml:space="preserve">Saleable grain </v>
          </cell>
          <cell r="T25" t="str">
            <v>Total</v>
          </cell>
          <cell r="U25">
            <v>0</v>
          </cell>
          <cell r="V25">
            <v>0</v>
          </cell>
          <cell r="W25">
            <v>0.20833333333333334</v>
          </cell>
          <cell r="X25">
            <v>0</v>
          </cell>
          <cell r="Y25">
            <v>8.9999999999999964</v>
          </cell>
          <cell r="Z25">
            <v>0.1</v>
          </cell>
          <cell r="AA25">
            <v>1</v>
          </cell>
          <cell r="AB25">
            <v>1</v>
          </cell>
          <cell r="AC25">
            <v>1</v>
          </cell>
          <cell r="AD25">
            <v>1</v>
          </cell>
          <cell r="AE25">
            <v>1</v>
          </cell>
          <cell r="AF25">
            <v>4.3</v>
          </cell>
        </row>
        <row r="26">
          <cell r="K26" t="str">
            <v>Bean Grain General</v>
          </cell>
          <cell r="L26">
            <v>27</v>
          </cell>
          <cell r="M26" t="str">
            <v>Seed</v>
          </cell>
          <cell r="N26" t="str">
            <v>Oct</v>
          </cell>
          <cell r="O26" t="str">
            <v>Maturity</v>
          </cell>
          <cell r="P26" t="str">
            <v>Mar</v>
          </cell>
          <cell r="Q26">
            <v>3.5</v>
          </cell>
          <cell r="R26" t="str">
            <v>t/ha</v>
          </cell>
          <cell r="S26" t="str">
            <v xml:space="preserve">Saleable grain </v>
          </cell>
          <cell r="T26" t="str">
            <v>Total</v>
          </cell>
          <cell r="U26">
            <v>0</v>
          </cell>
          <cell r="V26">
            <v>0</v>
          </cell>
          <cell r="W26">
            <v>0.5</v>
          </cell>
          <cell r="X26">
            <v>0</v>
          </cell>
          <cell r="Y26">
            <v>14.000000000000002</v>
          </cell>
          <cell r="Z26">
            <v>0.1</v>
          </cell>
          <cell r="AA26">
            <v>1</v>
          </cell>
          <cell r="AB26">
            <v>1</v>
          </cell>
          <cell r="AC26">
            <v>1</v>
          </cell>
          <cell r="AD26">
            <v>1.5</v>
          </cell>
          <cell r="AE26">
            <v>1.6</v>
          </cell>
          <cell r="AF26">
            <v>3.5</v>
          </cell>
        </row>
        <row r="27">
          <cell r="K27" t="str">
            <v>Pea Grain General</v>
          </cell>
          <cell r="L27">
            <v>28</v>
          </cell>
          <cell r="M27" t="str">
            <v>Seed</v>
          </cell>
          <cell r="N27" t="str">
            <v>Oct</v>
          </cell>
          <cell r="O27" t="str">
            <v>Maturity</v>
          </cell>
          <cell r="P27" t="str">
            <v>Mar</v>
          </cell>
          <cell r="Q27">
            <v>3.5</v>
          </cell>
          <cell r="R27" t="str">
            <v>t/ha</v>
          </cell>
          <cell r="S27" t="str">
            <v xml:space="preserve">Saleable grain </v>
          </cell>
          <cell r="T27" t="str">
            <v>Total</v>
          </cell>
          <cell r="U27">
            <v>0</v>
          </cell>
          <cell r="V27">
            <v>0</v>
          </cell>
          <cell r="W27">
            <v>0.3</v>
          </cell>
          <cell r="X27">
            <v>0</v>
          </cell>
          <cell r="Y27">
            <v>14.000000000000002</v>
          </cell>
          <cell r="Z27">
            <v>0.1</v>
          </cell>
          <cell r="AA27">
            <v>0.7</v>
          </cell>
          <cell r="AB27">
            <v>1</v>
          </cell>
          <cell r="AC27">
            <v>1</v>
          </cell>
          <cell r="AD27">
            <v>1.5</v>
          </cell>
          <cell r="AE27">
            <v>1.6</v>
          </cell>
          <cell r="AF27">
            <v>4.7</v>
          </cell>
        </row>
        <row r="28">
          <cell r="K28" t="str">
            <v>Wheat Grain Breed</v>
          </cell>
          <cell r="L28">
            <v>30</v>
          </cell>
          <cell r="M28" t="str">
            <v>Seed</v>
          </cell>
          <cell r="N28" t="str">
            <v>Apr</v>
          </cell>
          <cell r="O28" t="str">
            <v>Maturity</v>
          </cell>
          <cell r="P28" t="str">
            <v>Feb</v>
          </cell>
          <cell r="Q28">
            <v>10</v>
          </cell>
          <cell r="R28" t="str">
            <v>t/ha</v>
          </cell>
          <cell r="S28" t="str">
            <v xml:space="preserve">Saleable grain </v>
          </cell>
          <cell r="T28" t="str">
            <v>Total</v>
          </cell>
          <cell r="U28">
            <v>0</v>
          </cell>
          <cell r="V28">
            <v>0</v>
          </cell>
          <cell r="W28">
            <v>0.41170000000000001</v>
          </cell>
          <cell r="X28">
            <v>0.1</v>
          </cell>
          <cell r="Y28">
            <v>13</v>
          </cell>
          <cell r="Z28">
            <v>0.1</v>
          </cell>
          <cell r="AA28">
            <v>1.5</v>
          </cell>
          <cell r="AB28">
            <v>1</v>
          </cell>
          <cell r="AC28">
            <v>1</v>
          </cell>
          <cell r="AD28">
            <v>0.9</v>
          </cell>
          <cell r="AE28">
            <v>0.5</v>
          </cell>
          <cell r="AF28">
            <v>1.5</v>
          </cell>
        </row>
        <row r="29">
          <cell r="K29" t="str">
            <v>Wheat Grain Feed</v>
          </cell>
          <cell r="L29">
            <v>31</v>
          </cell>
          <cell r="M29" t="str">
            <v>Seed</v>
          </cell>
          <cell r="N29" t="str">
            <v>Apr</v>
          </cell>
          <cell r="O29" t="str">
            <v>Maturity</v>
          </cell>
          <cell r="P29" t="str">
            <v>Feb</v>
          </cell>
          <cell r="Q29">
            <v>12</v>
          </cell>
          <cell r="R29" t="str">
            <v>t/ha</v>
          </cell>
          <cell r="S29" t="str">
            <v xml:space="preserve">Saleable grain </v>
          </cell>
          <cell r="T29" t="str">
            <v>Total</v>
          </cell>
          <cell r="U29">
            <v>0</v>
          </cell>
          <cell r="V29">
            <v>0</v>
          </cell>
          <cell r="W29">
            <v>0.41170000000000001</v>
          </cell>
          <cell r="X29">
            <v>0.1</v>
          </cell>
          <cell r="Y29">
            <v>13</v>
          </cell>
          <cell r="Z29">
            <v>0.1</v>
          </cell>
          <cell r="AA29">
            <v>1.5</v>
          </cell>
          <cell r="AB29">
            <v>1</v>
          </cell>
          <cell r="AC29">
            <v>1</v>
          </cell>
          <cell r="AD29">
            <v>0.9</v>
          </cell>
          <cell r="AE29">
            <v>0.5</v>
          </cell>
          <cell r="AF29">
            <v>1.2</v>
          </cell>
        </row>
        <row r="30">
          <cell r="K30" t="str">
            <v>Maize Grain General</v>
          </cell>
          <cell r="L30">
            <v>34</v>
          </cell>
          <cell r="M30" t="str">
            <v>Seed</v>
          </cell>
          <cell r="N30" t="str">
            <v>Oct</v>
          </cell>
          <cell r="O30" t="str">
            <v>Maturity</v>
          </cell>
          <cell r="P30" t="str">
            <v>Apr</v>
          </cell>
          <cell r="Q30">
            <v>13.3</v>
          </cell>
          <cell r="R30" t="str">
            <v>t/ha</v>
          </cell>
          <cell r="S30" t="str">
            <v xml:space="preserve">Saleable grain </v>
          </cell>
          <cell r="T30" t="str">
            <v>Total</v>
          </cell>
          <cell r="U30">
            <v>0</v>
          </cell>
          <cell r="V30">
            <v>0</v>
          </cell>
          <cell r="W30">
            <v>0.5</v>
          </cell>
          <cell r="X30">
            <v>0</v>
          </cell>
          <cell r="Y30">
            <v>13</v>
          </cell>
          <cell r="Z30">
            <v>0.1</v>
          </cell>
          <cell r="AA30">
            <v>1.5</v>
          </cell>
          <cell r="AB30">
            <v>0.85</v>
          </cell>
          <cell r="AC30">
            <v>1</v>
          </cell>
          <cell r="AD30">
            <v>0.9</v>
          </cell>
          <cell r="AE30">
            <v>0.7</v>
          </cell>
          <cell r="AF30">
            <v>1.4</v>
          </cell>
        </row>
        <row r="31">
          <cell r="K31" t="str">
            <v>Rape Green manure General</v>
          </cell>
          <cell r="L31">
            <v>36</v>
          </cell>
          <cell r="M31" t="str">
            <v>Seed</v>
          </cell>
          <cell r="N31" t="str">
            <v>Apr</v>
          </cell>
          <cell r="O31" t="str">
            <v>LateReproductive</v>
          </cell>
          <cell r="P31" t="str">
            <v>Sep</v>
          </cell>
          <cell r="Q31">
            <v>4</v>
          </cell>
          <cell r="R31" t="str">
            <v>t/ha</v>
          </cell>
          <cell r="S31" t="str">
            <v>Standing DM</v>
          </cell>
          <cell r="T31" t="str">
            <v>Dry</v>
          </cell>
          <cell r="U31">
            <v>0</v>
          </cell>
          <cell r="V31">
            <v>0</v>
          </cell>
          <cell r="W31">
            <v>1</v>
          </cell>
          <cell r="X31">
            <v>0</v>
          </cell>
          <cell r="Y31">
            <v>80</v>
          </cell>
          <cell r="Z31">
            <v>0.1</v>
          </cell>
          <cell r="AA31">
            <v>1.2</v>
          </cell>
          <cell r="AB31">
            <v>1</v>
          </cell>
          <cell r="AC31">
            <v>1.6</v>
          </cell>
          <cell r="AD31">
            <v>0.8</v>
          </cell>
          <cell r="AE31">
            <v>3</v>
          </cell>
          <cell r="AF31">
            <v>3</v>
          </cell>
        </row>
        <row r="32">
          <cell r="K32" t="str">
            <v>Turnip Green manure General</v>
          </cell>
          <cell r="L32">
            <v>37</v>
          </cell>
          <cell r="M32" t="str">
            <v>Seed</v>
          </cell>
          <cell r="N32" t="str">
            <v>Apr</v>
          </cell>
          <cell r="O32" t="str">
            <v>EarlyReproductive</v>
          </cell>
          <cell r="P32" t="str">
            <v>Sep</v>
          </cell>
          <cell r="Q32">
            <v>8</v>
          </cell>
          <cell r="R32" t="str">
            <v>t/ha</v>
          </cell>
          <cell r="S32" t="str">
            <v>Standing DM</v>
          </cell>
          <cell r="T32" t="str">
            <v>Dry</v>
          </cell>
          <cell r="U32">
            <v>0</v>
          </cell>
          <cell r="V32">
            <v>0</v>
          </cell>
          <cell r="W32">
            <v>1</v>
          </cell>
          <cell r="X32">
            <v>0</v>
          </cell>
          <cell r="Y32">
            <v>80</v>
          </cell>
          <cell r="Z32">
            <v>0.1</v>
          </cell>
          <cell r="AA32">
            <v>1.2</v>
          </cell>
          <cell r="AB32">
            <v>1</v>
          </cell>
          <cell r="AC32">
            <v>2</v>
          </cell>
          <cell r="AD32">
            <v>0.8</v>
          </cell>
          <cell r="AE32">
            <v>2.5</v>
          </cell>
          <cell r="AF32">
            <v>2.5</v>
          </cell>
        </row>
        <row r="33">
          <cell r="K33" t="str">
            <v>Lupin Green manure General</v>
          </cell>
          <cell r="L33">
            <v>38</v>
          </cell>
          <cell r="M33" t="str">
            <v>Seed</v>
          </cell>
          <cell r="N33" t="str">
            <v>Apr</v>
          </cell>
          <cell r="O33" t="str">
            <v>EarlyReproductive</v>
          </cell>
          <cell r="P33" t="str">
            <v>Sep</v>
          </cell>
          <cell r="Q33">
            <v>12</v>
          </cell>
          <cell r="R33" t="str">
            <v>t/ha</v>
          </cell>
          <cell r="S33" t="str">
            <v>Standing DM</v>
          </cell>
          <cell r="T33" t="str">
            <v>Dry</v>
          </cell>
          <cell r="U33">
            <v>0</v>
          </cell>
          <cell r="V33">
            <v>0</v>
          </cell>
          <cell r="W33">
            <v>1</v>
          </cell>
          <cell r="X33">
            <v>0</v>
          </cell>
          <cell r="Y33">
            <v>80</v>
          </cell>
          <cell r="Z33">
            <v>0.1</v>
          </cell>
          <cell r="AA33">
            <v>1.5</v>
          </cell>
          <cell r="AB33">
            <v>1</v>
          </cell>
          <cell r="AC33">
            <v>1</v>
          </cell>
          <cell r="AD33">
            <v>1.5</v>
          </cell>
          <cell r="AE33">
            <v>3</v>
          </cell>
          <cell r="AF33">
            <v>3</v>
          </cell>
        </row>
        <row r="34">
          <cell r="K34" t="str">
            <v>Phacelia Green manure General</v>
          </cell>
          <cell r="L34">
            <v>39</v>
          </cell>
          <cell r="M34" t="str">
            <v>Seed</v>
          </cell>
          <cell r="N34" t="str">
            <v>Apr</v>
          </cell>
          <cell r="O34" t="str">
            <v>Vegetative</v>
          </cell>
          <cell r="P34" t="str">
            <v>Sep</v>
          </cell>
          <cell r="Q34">
            <v>5</v>
          </cell>
          <cell r="R34" t="str">
            <v>t/ha</v>
          </cell>
          <cell r="S34" t="str">
            <v>Standing DM</v>
          </cell>
          <cell r="T34" t="str">
            <v>Dry</v>
          </cell>
          <cell r="U34">
            <v>0</v>
          </cell>
          <cell r="V34">
            <v>0</v>
          </cell>
          <cell r="W34">
            <v>1</v>
          </cell>
          <cell r="X34">
            <v>0</v>
          </cell>
          <cell r="Y34">
            <v>80</v>
          </cell>
          <cell r="Z34">
            <v>0.1</v>
          </cell>
          <cell r="AA34">
            <v>1</v>
          </cell>
          <cell r="AB34">
            <v>1</v>
          </cell>
          <cell r="AC34">
            <v>1</v>
          </cell>
          <cell r="AD34">
            <v>0.9</v>
          </cell>
          <cell r="AE34">
            <v>3</v>
          </cell>
          <cell r="AF34">
            <v>3</v>
          </cell>
        </row>
        <row r="35">
          <cell r="K35" t="str">
            <v>Mustard Green manure General</v>
          </cell>
          <cell r="L35">
            <v>41</v>
          </cell>
          <cell r="M35" t="str">
            <v>Seed</v>
          </cell>
          <cell r="N35" t="str">
            <v>Apr</v>
          </cell>
          <cell r="O35" t="str">
            <v>EarlyReproductive</v>
          </cell>
          <cell r="P35" t="str">
            <v>Sep</v>
          </cell>
          <cell r="Q35">
            <v>7</v>
          </cell>
          <cell r="R35" t="str">
            <v>t/ha</v>
          </cell>
          <cell r="S35" t="str">
            <v>Standing DM</v>
          </cell>
          <cell r="T35" t="str">
            <v>Dry</v>
          </cell>
          <cell r="U35">
            <v>0</v>
          </cell>
          <cell r="V35">
            <v>0</v>
          </cell>
          <cell r="W35">
            <v>1</v>
          </cell>
          <cell r="X35">
            <v>0</v>
          </cell>
          <cell r="Y35">
            <v>80</v>
          </cell>
          <cell r="Z35">
            <v>0.1</v>
          </cell>
          <cell r="AA35">
            <v>1.2</v>
          </cell>
          <cell r="AB35">
            <v>1</v>
          </cell>
          <cell r="AC35">
            <v>1.1000000000000001</v>
          </cell>
          <cell r="AD35">
            <v>0.8</v>
          </cell>
          <cell r="AE35">
            <v>3</v>
          </cell>
          <cell r="AF35">
            <v>3</v>
          </cell>
        </row>
        <row r="36">
          <cell r="K36" t="str">
            <v>Red beet Seed General</v>
          </cell>
          <cell r="L36">
            <v>52</v>
          </cell>
          <cell r="M36" t="str">
            <v>Seed</v>
          </cell>
          <cell r="N36" t="str">
            <v>Apr</v>
          </cell>
          <cell r="O36" t="str">
            <v>LateReproductive</v>
          </cell>
          <cell r="P36" t="str">
            <v>Mar</v>
          </cell>
          <cell r="Q36">
            <v>1.2</v>
          </cell>
          <cell r="R36" t="str">
            <v>t/ha</v>
          </cell>
          <cell r="S36" t="str">
            <v xml:space="preserve">Saleable seed </v>
          </cell>
          <cell r="T36" t="str">
            <v>Total</v>
          </cell>
          <cell r="U36">
            <v>15</v>
          </cell>
          <cell r="V36">
            <v>0</v>
          </cell>
          <cell r="W36">
            <v>0.17</v>
          </cell>
          <cell r="X36">
            <v>7.0000000000000007E-2</v>
          </cell>
          <cell r="Y36">
            <v>15.000000000000002</v>
          </cell>
          <cell r="Z36">
            <v>0.1</v>
          </cell>
          <cell r="AA36">
            <v>1.5</v>
          </cell>
          <cell r="AB36">
            <v>0.85</v>
          </cell>
          <cell r="AC36">
            <v>0.8</v>
          </cell>
          <cell r="AD36">
            <v>0.8</v>
          </cell>
          <cell r="AE36">
            <v>1.8</v>
          </cell>
          <cell r="AF36">
            <v>2.1</v>
          </cell>
        </row>
        <row r="37">
          <cell r="K37" t="str">
            <v>Rape Seed General</v>
          </cell>
          <cell r="L37">
            <v>55</v>
          </cell>
          <cell r="M37" t="str">
            <v>Seed</v>
          </cell>
          <cell r="N37" t="str">
            <v>Apr</v>
          </cell>
          <cell r="O37" t="str">
            <v>LateReproductive</v>
          </cell>
          <cell r="P37" t="str">
            <v>Feb</v>
          </cell>
          <cell r="Q37">
            <v>4</v>
          </cell>
          <cell r="R37" t="str">
            <v>t/ha</v>
          </cell>
          <cell r="S37" t="str">
            <v xml:space="preserve">Saleable seed </v>
          </cell>
          <cell r="T37" t="str">
            <v>Total</v>
          </cell>
          <cell r="U37">
            <v>3</v>
          </cell>
          <cell r="V37">
            <v>0</v>
          </cell>
          <cell r="W37">
            <v>0.33</v>
          </cell>
          <cell r="X37">
            <v>0.08</v>
          </cell>
          <cell r="Y37">
            <v>9.9999999999999982</v>
          </cell>
          <cell r="Z37">
            <v>0.1</v>
          </cell>
          <cell r="AA37">
            <v>1.2</v>
          </cell>
          <cell r="AB37">
            <v>1</v>
          </cell>
          <cell r="AC37">
            <v>1.6</v>
          </cell>
          <cell r="AD37">
            <v>0.8</v>
          </cell>
          <cell r="AE37">
            <v>1.8</v>
          </cell>
          <cell r="AF37">
            <v>5</v>
          </cell>
        </row>
        <row r="38">
          <cell r="K38" t="str">
            <v>Pak choi Seed General</v>
          </cell>
          <cell r="L38">
            <v>60</v>
          </cell>
          <cell r="M38" t="str">
            <v>Seed</v>
          </cell>
          <cell r="N38" t="str">
            <v>Sep</v>
          </cell>
          <cell r="O38" t="str">
            <v>LateReproductive</v>
          </cell>
          <cell r="P38" t="str">
            <v>Feb</v>
          </cell>
          <cell r="Q38">
            <v>1.3</v>
          </cell>
          <cell r="R38" t="str">
            <v>t/ha</v>
          </cell>
          <cell r="S38" t="str">
            <v xml:space="preserve">Saleable seed </v>
          </cell>
          <cell r="T38" t="str">
            <v>Total</v>
          </cell>
          <cell r="U38">
            <v>0</v>
          </cell>
          <cell r="V38">
            <v>0</v>
          </cell>
          <cell r="W38">
            <v>0.245</v>
          </cell>
          <cell r="X38">
            <v>0.14000000000000001</v>
          </cell>
          <cell r="Y38">
            <v>7.9999999999999964</v>
          </cell>
          <cell r="Z38">
            <v>0.1</v>
          </cell>
          <cell r="AA38">
            <v>1.2</v>
          </cell>
          <cell r="AB38">
            <v>0.85</v>
          </cell>
          <cell r="AC38">
            <v>1.5</v>
          </cell>
          <cell r="AD38">
            <v>0.8</v>
          </cell>
          <cell r="AE38">
            <v>1.1000000000000001</v>
          </cell>
          <cell r="AF38">
            <v>3.2</v>
          </cell>
        </row>
        <row r="39">
          <cell r="K39" t="str">
            <v>Cocksfoot Seed General</v>
          </cell>
          <cell r="L39">
            <v>71</v>
          </cell>
          <cell r="M39" t="str">
            <v>Seed</v>
          </cell>
          <cell r="N39" t="str">
            <v>Feb</v>
          </cell>
          <cell r="O39" t="str">
            <v>LateReproductive</v>
          </cell>
          <cell r="P39" t="str">
            <v>Jan</v>
          </cell>
          <cell r="Q39">
            <v>1</v>
          </cell>
          <cell r="R39" t="str">
            <v>t/ha</v>
          </cell>
          <cell r="S39" t="str">
            <v xml:space="preserve">Saleable seed </v>
          </cell>
          <cell r="T39" t="str">
            <v>Total</v>
          </cell>
          <cell r="U39">
            <v>9.9999999999999982</v>
          </cell>
          <cell r="V39">
            <v>0</v>
          </cell>
          <cell r="W39">
            <v>0.09</v>
          </cell>
          <cell r="X39">
            <v>0.03</v>
          </cell>
          <cell r="Y39">
            <v>15.000000000000002</v>
          </cell>
          <cell r="Z39">
            <v>0.1</v>
          </cell>
          <cell r="AA39">
            <v>1</v>
          </cell>
          <cell r="AB39">
            <v>1</v>
          </cell>
          <cell r="AC39">
            <v>0.8</v>
          </cell>
          <cell r="AD39">
            <v>0.9</v>
          </cell>
          <cell r="AE39">
            <v>1.2</v>
          </cell>
          <cell r="AF39">
            <v>2</v>
          </cell>
        </row>
        <row r="40">
          <cell r="K40" t="str">
            <v>Carrot Seed General</v>
          </cell>
          <cell r="L40">
            <v>72</v>
          </cell>
          <cell r="M40" t="str">
            <v>Seed</v>
          </cell>
          <cell r="N40" t="str">
            <v>Feb</v>
          </cell>
          <cell r="O40" t="str">
            <v>LateReproductive</v>
          </cell>
          <cell r="P40" t="str">
            <v>Feb</v>
          </cell>
          <cell r="Q40">
            <v>0.7</v>
          </cell>
          <cell r="R40" t="str">
            <v>t/ha</v>
          </cell>
          <cell r="S40" t="str">
            <v xml:space="preserve">Saleable seed </v>
          </cell>
          <cell r="T40" t="str">
            <v>Total</v>
          </cell>
          <cell r="U40">
            <v>0</v>
          </cell>
          <cell r="V40">
            <v>0</v>
          </cell>
          <cell r="W40">
            <v>0.12</v>
          </cell>
          <cell r="X40">
            <v>0.08</v>
          </cell>
          <cell r="Y40">
            <v>15.000000000000002</v>
          </cell>
          <cell r="Z40">
            <v>0.1</v>
          </cell>
          <cell r="AA40">
            <v>1.2</v>
          </cell>
          <cell r="AB40">
            <v>0.85</v>
          </cell>
          <cell r="AC40">
            <v>0.7</v>
          </cell>
          <cell r="AD40">
            <v>0.9</v>
          </cell>
          <cell r="AE40">
            <v>1.2</v>
          </cell>
          <cell r="AF40">
            <v>3.4</v>
          </cell>
        </row>
        <row r="41">
          <cell r="K41" t="str">
            <v>Ryegrass Seed General</v>
          </cell>
          <cell r="L41">
            <v>77</v>
          </cell>
          <cell r="M41" t="str">
            <v>Seed</v>
          </cell>
          <cell r="N41" t="str">
            <v>Apr</v>
          </cell>
          <cell r="O41" t="str">
            <v>LateReproductive</v>
          </cell>
          <cell r="P41" t="str">
            <v>Jan</v>
          </cell>
          <cell r="Q41">
            <v>2.0699999999999998</v>
          </cell>
          <cell r="R41" t="str">
            <v>t/ha</v>
          </cell>
          <cell r="S41" t="str">
            <v xml:space="preserve">Saleable seed </v>
          </cell>
          <cell r="T41" t="str">
            <v>Total</v>
          </cell>
          <cell r="U41">
            <v>15</v>
          </cell>
          <cell r="V41">
            <v>0</v>
          </cell>
          <cell r="W41">
            <v>0.20350000000000001</v>
          </cell>
          <cell r="X41">
            <v>0.10349999999999998</v>
          </cell>
          <cell r="Y41">
            <v>14.000000000000002</v>
          </cell>
          <cell r="Z41">
            <v>0.1</v>
          </cell>
          <cell r="AA41">
            <v>0.9</v>
          </cell>
          <cell r="AB41">
            <v>1</v>
          </cell>
          <cell r="AC41">
            <v>1.5</v>
          </cell>
          <cell r="AD41">
            <v>0.9</v>
          </cell>
          <cell r="AE41">
            <v>1.1000000000000001</v>
          </cell>
          <cell r="AF41">
            <v>2</v>
          </cell>
        </row>
        <row r="42">
          <cell r="K42" t="str">
            <v>Radish Seed Open pollinated</v>
          </cell>
          <cell r="L42">
            <v>88</v>
          </cell>
          <cell r="M42" t="str">
            <v>Seed</v>
          </cell>
          <cell r="N42" t="str">
            <v>Sep</v>
          </cell>
          <cell r="O42" t="str">
            <v>LateReproductive</v>
          </cell>
          <cell r="P42" t="str">
            <v>Feb</v>
          </cell>
          <cell r="Q42">
            <v>1.8</v>
          </cell>
          <cell r="R42" t="str">
            <v>t/ha</v>
          </cell>
          <cell r="S42" t="str">
            <v xml:space="preserve">Saleable seed </v>
          </cell>
          <cell r="T42" t="str">
            <v>Total</v>
          </cell>
          <cell r="U42">
            <v>30</v>
          </cell>
          <cell r="V42">
            <v>0</v>
          </cell>
          <cell r="W42">
            <v>0.17800000000000002</v>
          </cell>
          <cell r="X42">
            <v>0.10800000000000001</v>
          </cell>
          <cell r="Y42">
            <v>9.9999999999999982</v>
          </cell>
          <cell r="Z42">
            <v>0.1</v>
          </cell>
          <cell r="AA42">
            <v>1.2</v>
          </cell>
          <cell r="AB42">
            <v>0.85</v>
          </cell>
          <cell r="AC42">
            <v>1.1000000000000001</v>
          </cell>
          <cell r="AD42">
            <v>0.8</v>
          </cell>
          <cell r="AE42">
            <v>1.6</v>
          </cell>
          <cell r="AF42">
            <v>4.5</v>
          </cell>
        </row>
        <row r="43">
          <cell r="K43" t="str">
            <v>White clover Seed General</v>
          </cell>
          <cell r="L43">
            <v>93</v>
          </cell>
          <cell r="M43" t="str">
            <v>Seed</v>
          </cell>
          <cell r="N43" t="str">
            <v>Mar</v>
          </cell>
          <cell r="O43" t="str">
            <v>LateReproductive</v>
          </cell>
          <cell r="P43" t="str">
            <v>Feb</v>
          </cell>
          <cell r="Q43">
            <v>0.6</v>
          </cell>
          <cell r="R43" t="str">
            <v>t/ha</v>
          </cell>
          <cell r="S43" t="str">
            <v xml:space="preserve">Saleable seed </v>
          </cell>
          <cell r="T43" t="str">
            <v>Total</v>
          </cell>
          <cell r="U43">
            <v>20</v>
          </cell>
          <cell r="V43">
            <v>0</v>
          </cell>
          <cell r="W43">
            <v>0.15</v>
          </cell>
          <cell r="X43">
            <v>0.09</v>
          </cell>
          <cell r="Y43">
            <v>14.000000000000002</v>
          </cell>
          <cell r="Z43">
            <v>0.1</v>
          </cell>
          <cell r="AA43">
            <v>0.9</v>
          </cell>
          <cell r="AB43">
            <v>1</v>
          </cell>
          <cell r="AC43">
            <v>0.6</v>
          </cell>
          <cell r="AD43">
            <v>1.5</v>
          </cell>
          <cell r="AE43">
            <v>4</v>
          </cell>
          <cell r="AF43">
            <v>3</v>
          </cell>
        </row>
        <row r="44">
          <cell r="K44" t="str">
            <v>Leek Vegetable General</v>
          </cell>
          <cell r="L44">
            <v>94</v>
          </cell>
          <cell r="M44" t="str">
            <v>Seedling</v>
          </cell>
          <cell r="N44" t="str">
            <v>Nov</v>
          </cell>
          <cell r="O44" t="str">
            <v>Vegetative</v>
          </cell>
          <cell r="P44" t="str">
            <v>May</v>
          </cell>
          <cell r="Q44">
            <v>63</v>
          </cell>
          <cell r="R44" t="str">
            <v>t/ha</v>
          </cell>
          <cell r="S44" t="str">
            <v xml:space="preserve">Saleable product </v>
          </cell>
          <cell r="T44" t="str">
            <v>Total</v>
          </cell>
          <cell r="U44">
            <v>0</v>
          </cell>
          <cell r="V44">
            <v>0</v>
          </cell>
          <cell r="W44">
            <v>0.9</v>
          </cell>
          <cell r="X44">
            <v>0</v>
          </cell>
          <cell r="Y44">
            <v>89</v>
          </cell>
          <cell r="Z44">
            <v>0.1</v>
          </cell>
          <cell r="AA44">
            <v>0.6</v>
          </cell>
          <cell r="AB44">
            <v>0.75</v>
          </cell>
          <cell r="AC44">
            <v>0.6</v>
          </cell>
          <cell r="AD44">
            <v>1</v>
          </cell>
          <cell r="AE44">
            <v>3.5</v>
          </cell>
          <cell r="AF44">
            <v>2</v>
          </cell>
        </row>
        <row r="45">
          <cell r="K45" t="str">
            <v>Onion Vegetable Brown</v>
          </cell>
          <cell r="L45">
            <v>95</v>
          </cell>
          <cell r="M45" t="str">
            <v>Seed</v>
          </cell>
          <cell r="N45" t="str">
            <v>May</v>
          </cell>
          <cell r="O45" t="str">
            <v>Maturity</v>
          </cell>
          <cell r="P45" t="str">
            <v>Feb</v>
          </cell>
          <cell r="Q45">
            <v>70</v>
          </cell>
          <cell r="R45" t="str">
            <v>t/ha</v>
          </cell>
          <cell r="S45" t="str">
            <v xml:space="preserve">Saleable product </v>
          </cell>
          <cell r="T45" t="str">
            <v>Total</v>
          </cell>
          <cell r="U45">
            <v>0</v>
          </cell>
          <cell r="V45">
            <v>0</v>
          </cell>
          <cell r="W45">
            <v>0.8</v>
          </cell>
          <cell r="X45">
            <v>0</v>
          </cell>
          <cell r="Y45">
            <v>89</v>
          </cell>
          <cell r="Z45">
            <v>0.1</v>
          </cell>
          <cell r="AA45">
            <v>0.6</v>
          </cell>
          <cell r="AB45">
            <v>0.8</v>
          </cell>
          <cell r="AC45">
            <v>0.6</v>
          </cell>
          <cell r="AD45">
            <v>1</v>
          </cell>
          <cell r="AE45">
            <v>2</v>
          </cell>
          <cell r="AF45">
            <v>1.4</v>
          </cell>
        </row>
        <row r="46">
          <cell r="K46" t="str">
            <v>Onion Vegetable Red</v>
          </cell>
          <cell r="L46">
            <v>96</v>
          </cell>
          <cell r="M46" t="str">
            <v>Seed</v>
          </cell>
          <cell r="N46" t="str">
            <v>May</v>
          </cell>
          <cell r="O46" t="str">
            <v>LateReproductive</v>
          </cell>
          <cell r="P46" t="str">
            <v>Apr</v>
          </cell>
          <cell r="Q46">
            <v>80</v>
          </cell>
          <cell r="R46" t="str">
            <v>t/ha</v>
          </cell>
          <cell r="S46" t="str">
            <v xml:space="preserve">Saleable product </v>
          </cell>
          <cell r="T46" t="str">
            <v>Total</v>
          </cell>
          <cell r="U46">
            <v>0</v>
          </cell>
          <cell r="V46">
            <v>0</v>
          </cell>
          <cell r="W46">
            <v>0.8</v>
          </cell>
          <cell r="X46">
            <v>0</v>
          </cell>
          <cell r="Y46">
            <v>90</v>
          </cell>
          <cell r="Z46">
            <v>0.1</v>
          </cell>
          <cell r="AA46">
            <v>0.6</v>
          </cell>
          <cell r="AB46">
            <v>0.8</v>
          </cell>
          <cell r="AC46">
            <v>0.6</v>
          </cell>
          <cell r="AD46">
            <v>1</v>
          </cell>
          <cell r="AE46">
            <v>2</v>
          </cell>
          <cell r="AF46">
            <v>1.4</v>
          </cell>
        </row>
        <row r="47">
          <cell r="K47" t="str">
            <v>Onion Vegetable Shallot</v>
          </cell>
          <cell r="L47">
            <v>97</v>
          </cell>
          <cell r="M47" t="str">
            <v>Seed</v>
          </cell>
          <cell r="N47" t="str">
            <v>Apr</v>
          </cell>
          <cell r="O47" t="str">
            <v>Vegetative</v>
          </cell>
          <cell r="P47" t="str">
            <v>Dec</v>
          </cell>
          <cell r="Q47">
            <v>60</v>
          </cell>
          <cell r="R47" t="str">
            <v>t/ha</v>
          </cell>
          <cell r="S47" t="str">
            <v xml:space="preserve">Saleable product </v>
          </cell>
          <cell r="T47" t="str">
            <v>Total</v>
          </cell>
          <cell r="U47">
            <v>0</v>
          </cell>
          <cell r="V47">
            <v>0</v>
          </cell>
          <cell r="W47">
            <v>0.8</v>
          </cell>
          <cell r="X47">
            <v>0</v>
          </cell>
          <cell r="Y47">
            <v>90</v>
          </cell>
          <cell r="Z47">
            <v>0.1</v>
          </cell>
          <cell r="AA47">
            <v>0.6</v>
          </cell>
          <cell r="AB47">
            <v>0.8</v>
          </cell>
          <cell r="AC47">
            <v>0.6</v>
          </cell>
          <cell r="AD47">
            <v>1</v>
          </cell>
          <cell r="AE47">
            <v>2</v>
          </cell>
          <cell r="AF47">
            <v>1.4</v>
          </cell>
        </row>
        <row r="48">
          <cell r="K48" t="str">
            <v>Spring onion Vegetable General</v>
          </cell>
          <cell r="L48">
            <v>98</v>
          </cell>
          <cell r="M48" t="str">
            <v>Seed</v>
          </cell>
          <cell r="N48" t="str">
            <v>Feb</v>
          </cell>
          <cell r="O48" t="str">
            <v>Vegetative</v>
          </cell>
          <cell r="P48" t="str">
            <v>Sep</v>
          </cell>
          <cell r="Q48">
            <v>60</v>
          </cell>
          <cell r="R48" t="str">
            <v>t/ha</v>
          </cell>
          <cell r="S48" t="str">
            <v xml:space="preserve">Saleable product </v>
          </cell>
          <cell r="T48" t="str">
            <v>Total</v>
          </cell>
          <cell r="U48">
            <v>0</v>
          </cell>
          <cell r="V48">
            <v>0</v>
          </cell>
          <cell r="W48">
            <v>1</v>
          </cell>
          <cell r="X48">
            <v>0</v>
          </cell>
          <cell r="Y48">
            <v>95</v>
          </cell>
          <cell r="Z48">
            <v>0.1</v>
          </cell>
          <cell r="AA48">
            <v>0.6</v>
          </cell>
          <cell r="AB48">
            <v>0.75</v>
          </cell>
          <cell r="AC48">
            <v>0.6</v>
          </cell>
          <cell r="AD48">
            <v>1</v>
          </cell>
          <cell r="AE48">
            <v>2.2000000000000002</v>
          </cell>
          <cell r="AF48">
            <v>2.2000000000000002</v>
          </cell>
        </row>
        <row r="49">
          <cell r="K49" t="str">
            <v>Garlic Vegetable General</v>
          </cell>
          <cell r="L49">
            <v>99</v>
          </cell>
          <cell r="M49" t="str">
            <v>Seed</v>
          </cell>
          <cell r="N49" t="str">
            <v>Jun</v>
          </cell>
          <cell r="O49" t="str">
            <v>Vegetative</v>
          </cell>
          <cell r="P49" t="str">
            <v>Dec</v>
          </cell>
          <cell r="Q49">
            <v>50</v>
          </cell>
          <cell r="R49" t="str">
            <v>t/ha</v>
          </cell>
          <cell r="S49" t="str">
            <v xml:space="preserve">Saleable product </v>
          </cell>
          <cell r="T49" t="str">
            <v>Total</v>
          </cell>
          <cell r="U49">
            <v>0</v>
          </cell>
          <cell r="V49">
            <v>0</v>
          </cell>
          <cell r="W49">
            <v>0.8</v>
          </cell>
          <cell r="X49">
            <v>0</v>
          </cell>
          <cell r="Y49">
            <v>90</v>
          </cell>
          <cell r="Z49">
            <v>0.1</v>
          </cell>
          <cell r="AA49">
            <v>0.6</v>
          </cell>
          <cell r="AB49">
            <v>0.7</v>
          </cell>
          <cell r="AC49">
            <v>0.6</v>
          </cell>
          <cell r="AD49">
            <v>1</v>
          </cell>
          <cell r="AE49">
            <v>2</v>
          </cell>
          <cell r="AF49">
            <v>1.4</v>
          </cell>
        </row>
        <row r="50">
          <cell r="K50" t="str">
            <v>Celery Vegetable General</v>
          </cell>
          <cell r="L50">
            <v>100</v>
          </cell>
          <cell r="M50" t="str">
            <v>Seedling</v>
          </cell>
          <cell r="N50" t="str">
            <v>Oct</v>
          </cell>
          <cell r="O50" t="str">
            <v>Vegetative</v>
          </cell>
          <cell r="P50" t="str">
            <v>Jan</v>
          </cell>
          <cell r="Q50">
            <v>60</v>
          </cell>
          <cell r="R50" t="str">
            <v>t/ha</v>
          </cell>
          <cell r="S50" t="str">
            <v xml:space="preserve">Saleable product </v>
          </cell>
          <cell r="T50" t="str">
            <v>Total</v>
          </cell>
          <cell r="U50">
            <v>0</v>
          </cell>
          <cell r="V50">
            <v>0</v>
          </cell>
          <cell r="W50">
            <v>0.85</v>
          </cell>
          <cell r="X50">
            <v>0</v>
          </cell>
          <cell r="Y50">
            <v>88</v>
          </cell>
          <cell r="Z50">
            <v>0.1</v>
          </cell>
          <cell r="AA50">
            <v>1.2</v>
          </cell>
          <cell r="AB50">
            <v>1</v>
          </cell>
          <cell r="AC50">
            <v>0.8</v>
          </cell>
          <cell r="AD50">
            <v>0.9</v>
          </cell>
          <cell r="AE50">
            <v>2.5</v>
          </cell>
          <cell r="AF50">
            <v>2.5</v>
          </cell>
        </row>
        <row r="51">
          <cell r="K51" t="str">
            <v>Silver beet Vegetable General</v>
          </cell>
          <cell r="L51">
            <v>101</v>
          </cell>
          <cell r="M51" t="str">
            <v>Seedling</v>
          </cell>
          <cell r="N51" t="str">
            <v>Nov</v>
          </cell>
          <cell r="O51" t="str">
            <v>Vegetative</v>
          </cell>
          <cell r="P51" t="str">
            <v>May</v>
          </cell>
          <cell r="Q51">
            <v>156</v>
          </cell>
          <cell r="R51" t="str">
            <v>t/ha</v>
          </cell>
          <cell r="S51" t="str">
            <v xml:space="preserve">Saleable product </v>
          </cell>
          <cell r="T51" t="str">
            <v>Total</v>
          </cell>
          <cell r="U51">
            <v>0</v>
          </cell>
          <cell r="V51">
            <v>0</v>
          </cell>
          <cell r="W51">
            <v>0.8</v>
          </cell>
          <cell r="X51">
            <v>0</v>
          </cell>
          <cell r="Y51">
            <v>93</v>
          </cell>
          <cell r="Z51">
            <v>0.1</v>
          </cell>
          <cell r="AA51">
            <v>1.5</v>
          </cell>
          <cell r="AB51">
            <v>0.7599999999999999</v>
          </cell>
          <cell r="AC51">
            <v>1</v>
          </cell>
          <cell r="AD51">
            <v>0.8</v>
          </cell>
          <cell r="AE51">
            <v>2.5</v>
          </cell>
          <cell r="AF51">
            <v>3</v>
          </cell>
        </row>
        <row r="52">
          <cell r="K52" t="str">
            <v>Red beet Vegetable General</v>
          </cell>
          <cell r="L52">
            <v>102</v>
          </cell>
          <cell r="M52" t="str">
            <v>Seed</v>
          </cell>
          <cell r="N52" t="str">
            <v>Sep</v>
          </cell>
          <cell r="O52" t="str">
            <v>EarlyReproductive</v>
          </cell>
          <cell r="P52" t="str">
            <v>May</v>
          </cell>
          <cell r="Q52">
            <v>55</v>
          </cell>
          <cell r="R52" t="str">
            <v>t/ha</v>
          </cell>
          <cell r="S52" t="str">
            <v xml:space="preserve">Saleable product </v>
          </cell>
          <cell r="T52" t="str">
            <v>Total</v>
          </cell>
          <cell r="U52">
            <v>0</v>
          </cell>
          <cell r="V52">
            <v>0</v>
          </cell>
          <cell r="W52">
            <v>0.81499999999999995</v>
          </cell>
          <cell r="X52">
            <v>5.5000000000000049E-2</v>
          </cell>
          <cell r="Y52">
            <v>86</v>
          </cell>
          <cell r="Z52">
            <v>0.1</v>
          </cell>
          <cell r="AA52">
            <v>1.5</v>
          </cell>
          <cell r="AB52">
            <v>0.95</v>
          </cell>
          <cell r="AC52">
            <v>0.8</v>
          </cell>
          <cell r="AD52">
            <v>0.8</v>
          </cell>
          <cell r="AE52">
            <v>2</v>
          </cell>
          <cell r="AF52">
            <v>1.5</v>
          </cell>
        </row>
        <row r="53">
          <cell r="K53" t="str">
            <v>Cauliflower Vegetable General</v>
          </cell>
          <cell r="L53">
            <v>103</v>
          </cell>
          <cell r="M53" t="str">
            <v>Seedling</v>
          </cell>
          <cell r="N53" t="str">
            <v>Sep</v>
          </cell>
          <cell r="O53" t="str">
            <v>EarlyReproductive</v>
          </cell>
          <cell r="P53" t="str">
            <v>Jan</v>
          </cell>
          <cell r="Q53">
            <v>40</v>
          </cell>
          <cell r="R53" t="str">
            <v>t/ha</v>
          </cell>
          <cell r="S53" t="str">
            <v xml:space="preserve">Saleable product </v>
          </cell>
          <cell r="T53" t="str">
            <v>Total</v>
          </cell>
          <cell r="U53">
            <v>0</v>
          </cell>
          <cell r="V53">
            <v>0</v>
          </cell>
          <cell r="W53">
            <v>0.4</v>
          </cell>
          <cell r="X53">
            <v>0</v>
          </cell>
          <cell r="Y53">
            <v>93</v>
          </cell>
          <cell r="Z53">
            <v>0.1</v>
          </cell>
          <cell r="AA53">
            <v>1.2</v>
          </cell>
          <cell r="AB53">
            <v>1</v>
          </cell>
          <cell r="AC53">
            <v>2</v>
          </cell>
          <cell r="AD53">
            <v>0.8</v>
          </cell>
          <cell r="AE53">
            <v>3.8</v>
          </cell>
          <cell r="AF53">
            <v>3.5</v>
          </cell>
        </row>
        <row r="54">
          <cell r="K54" t="str">
            <v>Cabbage Vegetable General</v>
          </cell>
          <cell r="L54">
            <v>104</v>
          </cell>
          <cell r="M54" t="str">
            <v>Seedling</v>
          </cell>
          <cell r="N54" t="str">
            <v>Sep</v>
          </cell>
          <cell r="O54" t="str">
            <v>Vegetative</v>
          </cell>
          <cell r="P54" t="str">
            <v>Jan</v>
          </cell>
          <cell r="Q54">
            <v>60</v>
          </cell>
          <cell r="R54" t="str">
            <v>t/ha</v>
          </cell>
          <cell r="S54" t="str">
            <v xml:space="preserve">Saleable product </v>
          </cell>
          <cell r="T54" t="str">
            <v>Total</v>
          </cell>
          <cell r="U54">
            <v>0</v>
          </cell>
          <cell r="V54">
            <v>0</v>
          </cell>
          <cell r="W54">
            <v>0.7</v>
          </cell>
          <cell r="X54">
            <v>0</v>
          </cell>
          <cell r="Y54">
            <v>90</v>
          </cell>
          <cell r="Z54">
            <v>0.1</v>
          </cell>
          <cell r="AA54">
            <v>1.2</v>
          </cell>
          <cell r="AB54">
            <v>1</v>
          </cell>
          <cell r="AC54">
            <v>2</v>
          </cell>
          <cell r="AD54">
            <v>0.8</v>
          </cell>
          <cell r="AE54">
            <v>3</v>
          </cell>
          <cell r="AF54">
            <v>2.6</v>
          </cell>
        </row>
        <row r="55">
          <cell r="K55" t="str">
            <v>Brussel sprout  Vegetable General</v>
          </cell>
          <cell r="L55">
            <v>105</v>
          </cell>
          <cell r="M55" t="str">
            <v>Seedling</v>
          </cell>
          <cell r="N55" t="str">
            <v>Nov</v>
          </cell>
          <cell r="O55" t="str">
            <v>EarlyReproductive</v>
          </cell>
          <cell r="P55" t="str">
            <v>Jun</v>
          </cell>
          <cell r="Q55">
            <v>15</v>
          </cell>
          <cell r="R55" t="str">
            <v>t/ha</v>
          </cell>
          <cell r="S55" t="str">
            <v xml:space="preserve">Saleable product </v>
          </cell>
          <cell r="T55" t="str">
            <v>Total</v>
          </cell>
          <cell r="U55">
            <v>0</v>
          </cell>
          <cell r="V55">
            <v>0</v>
          </cell>
          <cell r="W55">
            <v>0.4</v>
          </cell>
          <cell r="X55">
            <v>0</v>
          </cell>
          <cell r="Y55">
            <v>80</v>
          </cell>
          <cell r="Z55">
            <v>0.1</v>
          </cell>
          <cell r="AA55">
            <v>1.2</v>
          </cell>
          <cell r="AB55">
            <v>1</v>
          </cell>
          <cell r="AC55">
            <v>2</v>
          </cell>
          <cell r="AD55">
            <v>0.8</v>
          </cell>
          <cell r="AE55">
            <v>3.8</v>
          </cell>
          <cell r="AF55">
            <v>3.5</v>
          </cell>
        </row>
        <row r="56">
          <cell r="K56" t="str">
            <v>Broccoli Vegetable Head only</v>
          </cell>
          <cell r="L56">
            <v>106</v>
          </cell>
          <cell r="M56" t="str">
            <v>Seedling</v>
          </cell>
          <cell r="N56" t="str">
            <v>May</v>
          </cell>
          <cell r="O56" t="str">
            <v>EarlyReproductive</v>
          </cell>
          <cell r="P56" t="str">
            <v>Sep</v>
          </cell>
          <cell r="Q56">
            <v>10</v>
          </cell>
          <cell r="R56" t="str">
            <v>t/ha</v>
          </cell>
          <cell r="S56" t="str">
            <v xml:space="preserve">Saleable product </v>
          </cell>
          <cell r="T56" t="str">
            <v>Total</v>
          </cell>
          <cell r="U56">
            <v>0</v>
          </cell>
          <cell r="V56">
            <v>0</v>
          </cell>
          <cell r="W56">
            <v>0.13</v>
          </cell>
          <cell r="X56">
            <v>0</v>
          </cell>
          <cell r="Y56">
            <v>89</v>
          </cell>
          <cell r="Z56">
            <v>0.1</v>
          </cell>
          <cell r="AA56">
            <v>1.2</v>
          </cell>
          <cell r="AB56">
            <v>1</v>
          </cell>
          <cell r="AC56">
            <v>2</v>
          </cell>
          <cell r="AD56">
            <v>0.8</v>
          </cell>
          <cell r="AE56">
            <v>3.8</v>
          </cell>
          <cell r="AF56">
            <v>3.5</v>
          </cell>
        </row>
        <row r="57">
          <cell r="K57" t="str">
            <v>Broccoli Vegetable Chinese cut</v>
          </cell>
          <cell r="L57">
            <v>107</v>
          </cell>
          <cell r="M57" t="str">
            <v>Seedling</v>
          </cell>
          <cell r="N57" t="str">
            <v>May</v>
          </cell>
          <cell r="O57" t="str">
            <v>EarlyReproductive</v>
          </cell>
          <cell r="P57" t="str">
            <v>Sep</v>
          </cell>
          <cell r="Q57">
            <v>20</v>
          </cell>
          <cell r="R57" t="str">
            <v>t/ha</v>
          </cell>
          <cell r="S57" t="str">
            <v xml:space="preserve">Saleable product </v>
          </cell>
          <cell r="T57" t="str">
            <v>Total</v>
          </cell>
          <cell r="U57">
            <v>0</v>
          </cell>
          <cell r="V57">
            <v>0</v>
          </cell>
          <cell r="W57">
            <v>0.26</v>
          </cell>
          <cell r="X57">
            <v>0</v>
          </cell>
          <cell r="Y57">
            <v>89</v>
          </cell>
          <cell r="Z57">
            <v>0.1</v>
          </cell>
          <cell r="AA57">
            <v>1.2</v>
          </cell>
          <cell r="AB57">
            <v>1</v>
          </cell>
          <cell r="AC57">
            <v>2</v>
          </cell>
          <cell r="AD57">
            <v>0.8</v>
          </cell>
          <cell r="AE57">
            <v>3.6</v>
          </cell>
          <cell r="AF57">
            <v>3.6</v>
          </cell>
        </row>
        <row r="58">
          <cell r="K58" t="str">
            <v>Pak choi Vegetable General</v>
          </cell>
          <cell r="L58">
            <v>108</v>
          </cell>
          <cell r="M58" t="str">
            <v>Seedling</v>
          </cell>
          <cell r="N58" t="str">
            <v>May</v>
          </cell>
          <cell r="O58" t="str">
            <v>Vegetative</v>
          </cell>
          <cell r="P58" t="str">
            <v>Aug</v>
          </cell>
          <cell r="Q58">
            <v>45</v>
          </cell>
          <cell r="R58" t="str">
            <v>t/ha</v>
          </cell>
          <cell r="S58" t="str">
            <v xml:space="preserve">Saleable product </v>
          </cell>
          <cell r="T58" t="str">
            <v>Total</v>
          </cell>
          <cell r="U58">
            <v>0</v>
          </cell>
          <cell r="V58">
            <v>0</v>
          </cell>
          <cell r="W58">
            <v>0.63</v>
          </cell>
          <cell r="X58">
            <v>0</v>
          </cell>
          <cell r="Y58">
            <v>96</v>
          </cell>
          <cell r="Z58">
            <v>0.1</v>
          </cell>
          <cell r="AA58">
            <v>1.2</v>
          </cell>
          <cell r="AB58">
            <v>0.8</v>
          </cell>
          <cell r="AC58">
            <v>1.5</v>
          </cell>
          <cell r="AD58">
            <v>0.8</v>
          </cell>
          <cell r="AE58">
            <v>4.5</v>
          </cell>
          <cell r="AF58">
            <v>4.8</v>
          </cell>
        </row>
        <row r="59">
          <cell r="K59" t="str">
            <v>Choy sum Vegetable General</v>
          </cell>
          <cell r="L59">
            <v>109</v>
          </cell>
          <cell r="M59" t="str">
            <v>Seedling</v>
          </cell>
          <cell r="N59" t="str">
            <v>May</v>
          </cell>
          <cell r="O59" t="str">
            <v>Vegetative</v>
          </cell>
          <cell r="P59" t="str">
            <v>Sep</v>
          </cell>
          <cell r="Q59">
            <v>40</v>
          </cell>
          <cell r="R59" t="str">
            <v>t/ha</v>
          </cell>
          <cell r="S59" t="str">
            <v xml:space="preserve">Saleable product </v>
          </cell>
          <cell r="T59" t="str">
            <v>Total</v>
          </cell>
          <cell r="U59">
            <v>0</v>
          </cell>
          <cell r="V59">
            <v>0</v>
          </cell>
          <cell r="W59">
            <v>0.85</v>
          </cell>
          <cell r="X59">
            <v>0</v>
          </cell>
          <cell r="Y59">
            <v>90</v>
          </cell>
          <cell r="Z59">
            <v>0.1</v>
          </cell>
          <cell r="AA59">
            <v>1.2</v>
          </cell>
          <cell r="AB59">
            <v>0.9</v>
          </cell>
          <cell r="AC59">
            <v>2</v>
          </cell>
          <cell r="AD59">
            <v>0.8</v>
          </cell>
          <cell r="AE59">
            <v>4.5</v>
          </cell>
          <cell r="AF59">
            <v>4.8</v>
          </cell>
        </row>
        <row r="60">
          <cell r="K60" t="str">
            <v>Wong bok Vegetable General</v>
          </cell>
          <cell r="L60">
            <v>110</v>
          </cell>
          <cell r="M60" t="str">
            <v>Seedling</v>
          </cell>
          <cell r="N60" t="str">
            <v>Dec</v>
          </cell>
          <cell r="O60" t="str">
            <v>Vegetative</v>
          </cell>
          <cell r="P60" t="str">
            <v>Jun</v>
          </cell>
          <cell r="Q60">
            <v>53</v>
          </cell>
          <cell r="R60" t="str">
            <v>t/ha</v>
          </cell>
          <cell r="S60" t="str">
            <v xml:space="preserve">Saleable product </v>
          </cell>
          <cell r="T60" t="str">
            <v>Total</v>
          </cell>
          <cell r="U60">
            <v>0</v>
          </cell>
          <cell r="V60">
            <v>0</v>
          </cell>
          <cell r="W60">
            <v>0.8</v>
          </cell>
          <cell r="X60">
            <v>0</v>
          </cell>
          <cell r="Y60">
            <v>90</v>
          </cell>
          <cell r="Z60">
            <v>0.1</v>
          </cell>
          <cell r="AA60">
            <v>1.2</v>
          </cell>
          <cell r="AB60">
            <v>0.9</v>
          </cell>
          <cell r="AC60">
            <v>2</v>
          </cell>
          <cell r="AD60">
            <v>0.8</v>
          </cell>
          <cell r="AE60">
            <v>3</v>
          </cell>
          <cell r="AF60">
            <v>3</v>
          </cell>
        </row>
        <row r="61">
          <cell r="K61" t="str">
            <v>Coriander Vegetable General</v>
          </cell>
          <cell r="L61">
            <v>111</v>
          </cell>
          <cell r="M61" t="str">
            <v>Seed</v>
          </cell>
          <cell r="N61" t="str">
            <v>May</v>
          </cell>
          <cell r="O61" t="str">
            <v>Vegetative</v>
          </cell>
          <cell r="P61" t="str">
            <v>Sep</v>
          </cell>
          <cell r="Q61">
            <v>20</v>
          </cell>
          <cell r="R61" t="str">
            <v>t/ha</v>
          </cell>
          <cell r="S61" t="str">
            <v xml:space="preserve">Saleable product </v>
          </cell>
          <cell r="T61" t="str">
            <v>Total</v>
          </cell>
          <cell r="U61">
            <v>0</v>
          </cell>
          <cell r="V61">
            <v>0</v>
          </cell>
          <cell r="W61">
            <v>1</v>
          </cell>
          <cell r="X61">
            <v>0</v>
          </cell>
          <cell r="Y61">
            <v>95</v>
          </cell>
          <cell r="Z61">
            <v>0.1</v>
          </cell>
          <cell r="AA61">
            <v>1.2</v>
          </cell>
          <cell r="AB61">
            <v>0.9</v>
          </cell>
          <cell r="AC61">
            <v>0.8</v>
          </cell>
          <cell r="AD61">
            <v>0.9</v>
          </cell>
          <cell r="AE61">
            <v>4.7</v>
          </cell>
          <cell r="AF61">
            <v>4.7</v>
          </cell>
        </row>
        <row r="62">
          <cell r="K62" t="str">
            <v>Water melon Vegetable General</v>
          </cell>
          <cell r="L62">
            <v>112</v>
          </cell>
          <cell r="M62" t="str">
            <v>Seedling</v>
          </cell>
          <cell r="N62" t="str">
            <v>Oct</v>
          </cell>
          <cell r="O62" t="str">
            <v>LateReproductive</v>
          </cell>
          <cell r="P62" t="str">
            <v>Feb</v>
          </cell>
          <cell r="Q62">
            <v>180</v>
          </cell>
          <cell r="R62" t="str">
            <v>t/ha</v>
          </cell>
          <cell r="S62" t="str">
            <v xml:space="preserve">Saleable product </v>
          </cell>
          <cell r="T62" t="str">
            <v>Total</v>
          </cell>
          <cell r="U62">
            <v>0</v>
          </cell>
          <cell r="V62">
            <v>0</v>
          </cell>
          <cell r="W62">
            <v>0.85</v>
          </cell>
          <cell r="X62">
            <v>0</v>
          </cell>
          <cell r="Y62">
            <v>95</v>
          </cell>
          <cell r="Z62">
            <v>0.1</v>
          </cell>
          <cell r="AA62">
            <v>0.8</v>
          </cell>
          <cell r="AB62">
            <v>1</v>
          </cell>
          <cell r="AC62">
            <v>1</v>
          </cell>
          <cell r="AD62">
            <v>1</v>
          </cell>
          <cell r="AE62">
            <v>2</v>
          </cell>
          <cell r="AF62">
            <v>2</v>
          </cell>
        </row>
        <row r="63">
          <cell r="K63" t="str">
            <v>Rock melon Vegetable General</v>
          </cell>
          <cell r="L63">
            <v>113</v>
          </cell>
          <cell r="M63" t="str">
            <v>Seedling</v>
          </cell>
          <cell r="N63" t="str">
            <v>Oct</v>
          </cell>
          <cell r="O63" t="str">
            <v>LateReproductive</v>
          </cell>
          <cell r="P63" t="str">
            <v>Feb</v>
          </cell>
          <cell r="Q63">
            <v>80</v>
          </cell>
          <cell r="R63" t="str">
            <v>t/ha</v>
          </cell>
          <cell r="S63" t="str">
            <v xml:space="preserve">Saleable product </v>
          </cell>
          <cell r="T63" t="str">
            <v>Total</v>
          </cell>
          <cell r="U63">
            <v>0</v>
          </cell>
          <cell r="V63">
            <v>0</v>
          </cell>
          <cell r="W63">
            <v>0.7</v>
          </cell>
          <cell r="X63">
            <v>0</v>
          </cell>
          <cell r="Y63">
            <v>95</v>
          </cell>
          <cell r="Z63">
            <v>0.1</v>
          </cell>
          <cell r="AA63">
            <v>0.8</v>
          </cell>
          <cell r="AB63">
            <v>1</v>
          </cell>
          <cell r="AC63">
            <v>1</v>
          </cell>
          <cell r="AD63">
            <v>1</v>
          </cell>
          <cell r="AE63">
            <v>2</v>
          </cell>
          <cell r="AF63">
            <v>2</v>
          </cell>
        </row>
        <row r="64">
          <cell r="K64" t="str">
            <v>Squash Vegetable General</v>
          </cell>
          <cell r="L64">
            <v>114</v>
          </cell>
          <cell r="M64" t="str">
            <v>Seedling</v>
          </cell>
          <cell r="N64" t="str">
            <v>Oct</v>
          </cell>
          <cell r="O64" t="str">
            <v>Maturity</v>
          </cell>
          <cell r="P64" t="str">
            <v>Mar</v>
          </cell>
          <cell r="Q64">
            <v>25</v>
          </cell>
          <cell r="R64" t="str">
            <v>t/ha</v>
          </cell>
          <cell r="S64" t="str">
            <v xml:space="preserve">Saleable product </v>
          </cell>
          <cell r="T64" t="str">
            <v>Total</v>
          </cell>
          <cell r="U64">
            <v>0</v>
          </cell>
          <cell r="V64">
            <v>0</v>
          </cell>
          <cell r="W64">
            <v>0.8</v>
          </cell>
          <cell r="X64">
            <v>0</v>
          </cell>
          <cell r="Y64">
            <v>80</v>
          </cell>
          <cell r="Z64">
            <v>0.1</v>
          </cell>
          <cell r="AA64">
            <v>0.8</v>
          </cell>
          <cell r="AB64">
            <v>0.94</v>
          </cell>
          <cell r="AC64">
            <v>1</v>
          </cell>
          <cell r="AD64">
            <v>1</v>
          </cell>
          <cell r="AE64">
            <v>2</v>
          </cell>
          <cell r="AF64">
            <v>2</v>
          </cell>
        </row>
        <row r="65">
          <cell r="K65" t="str">
            <v>Pumpkin Vegetable General</v>
          </cell>
          <cell r="L65">
            <v>115</v>
          </cell>
          <cell r="M65" t="str">
            <v>Seed</v>
          </cell>
          <cell r="N65" t="str">
            <v>Oct</v>
          </cell>
          <cell r="O65" t="str">
            <v>LateReproductive</v>
          </cell>
          <cell r="P65" t="str">
            <v>Mar</v>
          </cell>
          <cell r="Q65">
            <v>40</v>
          </cell>
          <cell r="R65" t="str">
            <v>t/ha</v>
          </cell>
          <cell r="S65" t="str">
            <v xml:space="preserve">Saleable product </v>
          </cell>
          <cell r="T65" t="str">
            <v>Total</v>
          </cell>
          <cell r="U65">
            <v>0</v>
          </cell>
          <cell r="V65">
            <v>0</v>
          </cell>
          <cell r="W65">
            <v>0.8</v>
          </cell>
          <cell r="X65">
            <v>0</v>
          </cell>
          <cell r="Y65">
            <v>88</v>
          </cell>
          <cell r="Z65">
            <v>0.1</v>
          </cell>
          <cell r="AA65">
            <v>0.8</v>
          </cell>
          <cell r="AB65">
            <v>1</v>
          </cell>
          <cell r="AC65">
            <v>1</v>
          </cell>
          <cell r="AD65">
            <v>1</v>
          </cell>
          <cell r="AE65">
            <v>1.4</v>
          </cell>
          <cell r="AF65">
            <v>2</v>
          </cell>
        </row>
        <row r="66">
          <cell r="K66" t="str">
            <v>Zucchini Vegetable General</v>
          </cell>
          <cell r="L66">
            <v>116</v>
          </cell>
          <cell r="M66" t="str">
            <v>Seed</v>
          </cell>
          <cell r="N66" t="str">
            <v>Oct</v>
          </cell>
          <cell r="O66" t="str">
            <v>EarlyReproductive</v>
          </cell>
          <cell r="P66" t="str">
            <v>Jan</v>
          </cell>
          <cell r="Q66">
            <v>40</v>
          </cell>
          <cell r="R66" t="str">
            <v>t/ha</v>
          </cell>
          <cell r="S66" t="str">
            <v xml:space="preserve">Saleable product </v>
          </cell>
          <cell r="T66" t="str">
            <v>Total</v>
          </cell>
          <cell r="U66">
            <v>0</v>
          </cell>
          <cell r="V66">
            <v>0</v>
          </cell>
          <cell r="W66">
            <v>0.4</v>
          </cell>
          <cell r="X66">
            <v>0</v>
          </cell>
          <cell r="Y66">
            <v>95</v>
          </cell>
          <cell r="Z66">
            <v>0.1</v>
          </cell>
          <cell r="AA66">
            <v>0.8</v>
          </cell>
          <cell r="AB66">
            <v>0.85</v>
          </cell>
          <cell r="AC66">
            <v>1</v>
          </cell>
          <cell r="AD66">
            <v>1</v>
          </cell>
          <cell r="AE66">
            <v>3.8</v>
          </cell>
          <cell r="AF66">
            <v>3.2</v>
          </cell>
        </row>
        <row r="67">
          <cell r="K67" t="str">
            <v>Carrot Vegetable General</v>
          </cell>
          <cell r="L67">
            <v>117</v>
          </cell>
          <cell r="M67" t="str">
            <v>Seed</v>
          </cell>
          <cell r="N67" t="str">
            <v>Oct</v>
          </cell>
          <cell r="O67" t="str">
            <v>EarlyReproductive</v>
          </cell>
          <cell r="P67" t="str">
            <v>Jun</v>
          </cell>
          <cell r="Q67">
            <v>70</v>
          </cell>
          <cell r="R67" t="str">
            <v>t/ha</v>
          </cell>
          <cell r="S67" t="str">
            <v xml:space="preserve">Saleable product </v>
          </cell>
          <cell r="T67" t="str">
            <v>Total</v>
          </cell>
          <cell r="U67">
            <v>0</v>
          </cell>
          <cell r="V67">
            <v>0</v>
          </cell>
          <cell r="W67">
            <v>0.9</v>
          </cell>
          <cell r="X67">
            <v>7.0000000000000007E-2</v>
          </cell>
          <cell r="Y67">
            <v>88</v>
          </cell>
          <cell r="Z67">
            <v>0.1</v>
          </cell>
          <cell r="AA67">
            <v>1.2</v>
          </cell>
          <cell r="AB67">
            <v>0.9</v>
          </cell>
          <cell r="AC67">
            <v>0.7</v>
          </cell>
          <cell r="AD67">
            <v>0.9</v>
          </cell>
          <cell r="AE67">
            <v>2</v>
          </cell>
          <cell r="AF67">
            <v>1</v>
          </cell>
        </row>
        <row r="68">
          <cell r="K68" t="str">
            <v>Kumara Vegetable General</v>
          </cell>
          <cell r="L68">
            <v>118</v>
          </cell>
          <cell r="M68" t="str">
            <v>Seed</v>
          </cell>
          <cell r="N68" t="str">
            <v>Oct</v>
          </cell>
          <cell r="O68" t="str">
            <v>Maturity</v>
          </cell>
          <cell r="P68" t="str">
            <v>May</v>
          </cell>
          <cell r="Q68">
            <v>50</v>
          </cell>
          <cell r="R68" t="str">
            <v>t/ha</v>
          </cell>
          <cell r="S68" t="str">
            <v xml:space="preserve">Saleable product </v>
          </cell>
          <cell r="T68" t="str">
            <v>Total</v>
          </cell>
          <cell r="U68">
            <v>0</v>
          </cell>
          <cell r="V68">
            <v>0</v>
          </cell>
          <cell r="W68">
            <v>0.89</v>
          </cell>
          <cell r="X68">
            <v>0</v>
          </cell>
          <cell r="Y68">
            <v>77.400000000000006</v>
          </cell>
          <cell r="Z68">
            <v>0.1</v>
          </cell>
          <cell r="AA68">
            <v>0.9</v>
          </cell>
          <cell r="AB68">
            <v>1</v>
          </cell>
          <cell r="AC68">
            <v>1</v>
          </cell>
          <cell r="AD68">
            <v>1</v>
          </cell>
          <cell r="AE68">
            <v>2</v>
          </cell>
          <cell r="AF68">
            <v>1.8</v>
          </cell>
        </row>
        <row r="69">
          <cell r="K69" t="str">
            <v>Lettuce Vegetable Ice berg</v>
          </cell>
          <cell r="L69">
            <v>119</v>
          </cell>
          <cell r="M69" t="str">
            <v>Seedling</v>
          </cell>
          <cell r="N69" t="str">
            <v>Sep</v>
          </cell>
          <cell r="O69" t="str">
            <v>Vegetative</v>
          </cell>
          <cell r="P69" t="str">
            <v>Dec</v>
          </cell>
          <cell r="Q69">
            <v>50</v>
          </cell>
          <cell r="R69" t="str">
            <v>t/ha</v>
          </cell>
          <cell r="S69" t="str">
            <v xml:space="preserve">Saleable product </v>
          </cell>
          <cell r="T69" t="str">
            <v>Total</v>
          </cell>
          <cell r="U69">
            <v>0</v>
          </cell>
          <cell r="V69">
            <v>0</v>
          </cell>
          <cell r="W69">
            <v>0.7</v>
          </cell>
          <cell r="X69">
            <v>0</v>
          </cell>
          <cell r="Y69">
            <v>95</v>
          </cell>
          <cell r="Z69">
            <v>0.1</v>
          </cell>
          <cell r="AA69">
            <v>1</v>
          </cell>
          <cell r="AB69">
            <v>0.95</v>
          </cell>
          <cell r="AC69">
            <v>1</v>
          </cell>
          <cell r="AD69">
            <v>0.9</v>
          </cell>
          <cell r="AE69">
            <v>3</v>
          </cell>
          <cell r="AF69">
            <v>2.6</v>
          </cell>
        </row>
        <row r="70">
          <cell r="K70" t="str">
            <v>Lettuce Vegetable Leafy-salad</v>
          </cell>
          <cell r="L70">
            <v>120</v>
          </cell>
          <cell r="M70" t="str">
            <v>Seedling</v>
          </cell>
          <cell r="N70" t="str">
            <v>Sep</v>
          </cell>
          <cell r="O70" t="str">
            <v>Vegetative</v>
          </cell>
          <cell r="P70" t="str">
            <v>Dec</v>
          </cell>
          <cell r="Q70">
            <v>40</v>
          </cell>
          <cell r="R70" t="str">
            <v>t/ha</v>
          </cell>
          <cell r="S70" t="str">
            <v xml:space="preserve">Saleable product </v>
          </cell>
          <cell r="T70" t="str">
            <v>Total</v>
          </cell>
          <cell r="U70">
            <v>0</v>
          </cell>
          <cell r="V70">
            <v>0</v>
          </cell>
          <cell r="W70">
            <v>0.8</v>
          </cell>
          <cell r="X70">
            <v>0</v>
          </cell>
          <cell r="Y70">
            <v>95</v>
          </cell>
          <cell r="Z70">
            <v>0.1</v>
          </cell>
          <cell r="AA70">
            <v>1</v>
          </cell>
          <cell r="AB70">
            <v>0.9</v>
          </cell>
          <cell r="AC70">
            <v>1</v>
          </cell>
          <cell r="AD70">
            <v>0.9</v>
          </cell>
          <cell r="AE70">
            <v>3</v>
          </cell>
          <cell r="AF70">
            <v>3.5</v>
          </cell>
        </row>
        <row r="71">
          <cell r="K71" t="str">
            <v>Parsnip Vegetable General</v>
          </cell>
          <cell r="L71">
            <v>121</v>
          </cell>
          <cell r="M71" t="str">
            <v>Seed</v>
          </cell>
          <cell r="N71" t="str">
            <v>Sep</v>
          </cell>
          <cell r="O71" t="str">
            <v>EarlyReproductive</v>
          </cell>
          <cell r="P71" t="str">
            <v>May</v>
          </cell>
          <cell r="Q71">
            <v>44</v>
          </cell>
          <cell r="R71" t="str">
            <v>t/ha</v>
          </cell>
          <cell r="S71" t="str">
            <v xml:space="preserve">Saleable product </v>
          </cell>
          <cell r="T71" t="str">
            <v>Total</v>
          </cell>
          <cell r="U71">
            <v>0</v>
          </cell>
          <cell r="V71">
            <v>0</v>
          </cell>
          <cell r="W71">
            <v>0.95</v>
          </cell>
          <cell r="X71">
            <v>0</v>
          </cell>
          <cell r="Y71">
            <v>83</v>
          </cell>
          <cell r="Z71">
            <v>0.1</v>
          </cell>
          <cell r="AA71">
            <v>1.2</v>
          </cell>
          <cell r="AB71">
            <v>0.95</v>
          </cell>
          <cell r="AC71">
            <v>0.8</v>
          </cell>
          <cell r="AD71">
            <v>0.9</v>
          </cell>
          <cell r="AE71">
            <v>2</v>
          </cell>
          <cell r="AF71">
            <v>1.35</v>
          </cell>
        </row>
        <row r="72">
          <cell r="K72" t="str">
            <v>Bean Vegetable General</v>
          </cell>
          <cell r="L72">
            <v>122</v>
          </cell>
          <cell r="M72" t="str">
            <v>Seed</v>
          </cell>
          <cell r="N72" t="str">
            <v>Nov</v>
          </cell>
          <cell r="O72" t="str">
            <v>EarlyReproductive</v>
          </cell>
          <cell r="P72" t="str">
            <v>Mar</v>
          </cell>
          <cell r="Q72">
            <v>18</v>
          </cell>
          <cell r="R72" t="str">
            <v>t/ha</v>
          </cell>
          <cell r="S72" t="str">
            <v xml:space="preserve">Saleable product </v>
          </cell>
          <cell r="T72" t="str">
            <v>Total</v>
          </cell>
          <cell r="U72">
            <v>0</v>
          </cell>
          <cell r="V72">
            <v>0</v>
          </cell>
          <cell r="W72">
            <v>0.44</v>
          </cell>
          <cell r="X72">
            <v>7.0000000000000007E-2</v>
          </cell>
          <cell r="Y72">
            <v>89</v>
          </cell>
          <cell r="Z72">
            <v>0.1</v>
          </cell>
          <cell r="AA72">
            <v>1</v>
          </cell>
          <cell r="AB72">
            <v>0.9</v>
          </cell>
          <cell r="AC72">
            <v>1</v>
          </cell>
          <cell r="AD72">
            <v>1.5</v>
          </cell>
          <cell r="AE72">
            <v>2.5</v>
          </cell>
          <cell r="AF72">
            <v>2.8</v>
          </cell>
        </row>
        <row r="73">
          <cell r="K73" t="str">
            <v>Pea Vegetable General</v>
          </cell>
          <cell r="L73">
            <v>123</v>
          </cell>
          <cell r="M73" t="str">
            <v>Seed</v>
          </cell>
          <cell r="N73" t="str">
            <v>Aug</v>
          </cell>
          <cell r="O73" t="str">
            <v>EarlyReproductive</v>
          </cell>
          <cell r="P73" t="str">
            <v>Jan</v>
          </cell>
          <cell r="Q73">
            <v>9.5</v>
          </cell>
          <cell r="R73" t="str">
            <v>t/ha</v>
          </cell>
          <cell r="S73" t="str">
            <v xml:space="preserve">Saleable product </v>
          </cell>
          <cell r="T73" t="str">
            <v>Total</v>
          </cell>
          <cell r="U73">
            <v>0</v>
          </cell>
          <cell r="V73">
            <v>0</v>
          </cell>
          <cell r="W73">
            <v>0.34</v>
          </cell>
          <cell r="X73">
            <v>0.08</v>
          </cell>
          <cell r="Y73">
            <v>73</v>
          </cell>
          <cell r="Z73">
            <v>0.1</v>
          </cell>
          <cell r="AA73">
            <v>0.7</v>
          </cell>
          <cell r="AB73">
            <v>1</v>
          </cell>
          <cell r="AC73">
            <v>1</v>
          </cell>
          <cell r="AD73">
            <v>1.5</v>
          </cell>
          <cell r="AE73">
            <v>2.1</v>
          </cell>
          <cell r="AF73">
            <v>4</v>
          </cell>
        </row>
        <row r="74">
          <cell r="K74" t="str">
            <v>Tomato Vegetable General</v>
          </cell>
          <cell r="L74">
            <v>124</v>
          </cell>
          <cell r="M74" t="str">
            <v>Seedling</v>
          </cell>
          <cell r="N74" t="str">
            <v>Oct</v>
          </cell>
          <cell r="O74" t="str">
            <v>LateReproductive</v>
          </cell>
          <cell r="P74" t="str">
            <v>Apr</v>
          </cell>
          <cell r="Q74">
            <v>100</v>
          </cell>
          <cell r="R74" t="str">
            <v>t/ha</v>
          </cell>
          <cell r="S74" t="str">
            <v xml:space="preserve">Saleable product </v>
          </cell>
          <cell r="T74" t="str">
            <v>Total</v>
          </cell>
          <cell r="U74">
            <v>0</v>
          </cell>
          <cell r="V74">
            <v>0</v>
          </cell>
          <cell r="W74">
            <v>0.5</v>
          </cell>
          <cell r="X74">
            <v>0</v>
          </cell>
          <cell r="Y74">
            <v>95</v>
          </cell>
          <cell r="Z74">
            <v>0.1</v>
          </cell>
          <cell r="AA74">
            <v>0.6</v>
          </cell>
          <cell r="AB74">
            <v>1</v>
          </cell>
          <cell r="AC74">
            <v>1.2</v>
          </cell>
          <cell r="AD74">
            <v>0.9</v>
          </cell>
          <cell r="AE74">
            <v>2</v>
          </cell>
          <cell r="AF74">
            <v>2</v>
          </cell>
        </row>
        <row r="75">
          <cell r="K75" t="str">
            <v>Potato Vegetable General</v>
          </cell>
          <cell r="L75">
            <v>125</v>
          </cell>
          <cell r="M75" t="str">
            <v>Seed</v>
          </cell>
          <cell r="N75" t="str">
            <v>Oct</v>
          </cell>
          <cell r="O75" t="str">
            <v>LateReproductive</v>
          </cell>
          <cell r="P75" t="str">
            <v>May</v>
          </cell>
          <cell r="Q75">
            <v>64</v>
          </cell>
          <cell r="R75" t="str">
            <v>t/ha</v>
          </cell>
          <cell r="S75" t="str">
            <v xml:space="preserve">Saleable product </v>
          </cell>
          <cell r="T75" t="str">
            <v>Total</v>
          </cell>
          <cell r="U75">
            <v>0</v>
          </cell>
          <cell r="V75">
            <v>0</v>
          </cell>
          <cell r="W75">
            <v>0.9</v>
          </cell>
          <cell r="X75">
            <v>0.06</v>
          </cell>
          <cell r="Y75">
            <v>77.7</v>
          </cell>
          <cell r="Z75">
            <v>0.1</v>
          </cell>
          <cell r="AA75">
            <v>0.6</v>
          </cell>
          <cell r="AB75">
            <v>1</v>
          </cell>
          <cell r="AC75">
            <v>1.2</v>
          </cell>
          <cell r="AD75">
            <v>0.9</v>
          </cell>
          <cell r="AE75">
            <v>2</v>
          </cell>
          <cell r="AF75">
            <v>1.8</v>
          </cell>
        </row>
        <row r="76">
          <cell r="K76" t="str">
            <v>Spinach Vegetable General</v>
          </cell>
          <cell r="L76">
            <v>126</v>
          </cell>
          <cell r="M76" t="str">
            <v>Seed</v>
          </cell>
          <cell r="N76" t="str">
            <v>May</v>
          </cell>
          <cell r="O76" t="str">
            <v>Vegetative</v>
          </cell>
          <cell r="P76" t="str">
            <v>Sep</v>
          </cell>
          <cell r="Q76">
            <v>22</v>
          </cell>
          <cell r="R76" t="str">
            <v>t/ha</v>
          </cell>
          <cell r="S76" t="str">
            <v xml:space="preserve">Saleable product </v>
          </cell>
          <cell r="T76" t="str">
            <v>Total</v>
          </cell>
          <cell r="U76">
            <v>0</v>
          </cell>
          <cell r="V76">
            <v>0</v>
          </cell>
          <cell r="W76">
            <v>0.7</v>
          </cell>
          <cell r="X76">
            <v>0</v>
          </cell>
          <cell r="Y76">
            <v>92</v>
          </cell>
          <cell r="Z76">
            <v>0.1</v>
          </cell>
          <cell r="AA76">
            <v>1.5</v>
          </cell>
          <cell r="AB76">
            <v>0.8</v>
          </cell>
          <cell r="AC76">
            <v>1</v>
          </cell>
          <cell r="AD76">
            <v>0.8</v>
          </cell>
          <cell r="AE76">
            <v>4</v>
          </cell>
          <cell r="AF76">
            <v>4.5</v>
          </cell>
        </row>
        <row r="77">
          <cell r="K77" t="str">
            <v>Broad bean Vegetable General</v>
          </cell>
          <cell r="L77">
            <v>127</v>
          </cell>
          <cell r="M77" t="str">
            <v>Seed</v>
          </cell>
          <cell r="N77" t="str">
            <v>May</v>
          </cell>
          <cell r="O77" t="str">
            <v>EarlyReproductive</v>
          </cell>
          <cell r="P77" t="str">
            <v>Nov</v>
          </cell>
          <cell r="Q77">
            <v>11</v>
          </cell>
          <cell r="R77" t="str">
            <v>t/ha</v>
          </cell>
          <cell r="S77" t="str">
            <v xml:space="preserve">Saleable product </v>
          </cell>
          <cell r="T77" t="str">
            <v>Total</v>
          </cell>
          <cell r="U77">
            <v>0</v>
          </cell>
          <cell r="V77">
            <v>0</v>
          </cell>
          <cell r="W77">
            <v>0.3</v>
          </cell>
          <cell r="X77">
            <v>0.05</v>
          </cell>
          <cell r="Y77">
            <v>76</v>
          </cell>
          <cell r="Z77">
            <v>0.1</v>
          </cell>
          <cell r="AA77">
            <v>1</v>
          </cell>
          <cell r="AB77">
            <v>0.9</v>
          </cell>
          <cell r="AC77">
            <v>1</v>
          </cell>
          <cell r="AD77">
            <v>1.5</v>
          </cell>
          <cell r="AE77">
            <v>1.7</v>
          </cell>
          <cell r="AF77">
            <v>4.4000000000000004</v>
          </cell>
        </row>
        <row r="78">
          <cell r="K78" t="str">
            <v>Sweetcorn Vegetable General</v>
          </cell>
          <cell r="L78">
            <v>128</v>
          </cell>
          <cell r="M78" t="str">
            <v>Seed</v>
          </cell>
          <cell r="N78" t="str">
            <v>Oct</v>
          </cell>
          <cell r="O78" t="str">
            <v>MidReproductive</v>
          </cell>
          <cell r="P78" t="str">
            <v>Feb</v>
          </cell>
          <cell r="Q78">
            <v>22</v>
          </cell>
          <cell r="R78" t="str">
            <v>t/ha</v>
          </cell>
          <cell r="S78" t="str">
            <v xml:space="preserve">Saleable product </v>
          </cell>
          <cell r="T78" t="str">
            <v>Total</v>
          </cell>
          <cell r="U78">
            <v>0</v>
          </cell>
          <cell r="V78">
            <v>0</v>
          </cell>
          <cell r="W78">
            <v>0.48</v>
          </cell>
          <cell r="X78">
            <v>0.02</v>
          </cell>
          <cell r="Y78">
            <v>78</v>
          </cell>
          <cell r="Z78">
            <v>0.1</v>
          </cell>
          <cell r="AA78">
            <v>1.5</v>
          </cell>
          <cell r="AB78">
            <v>0.75</v>
          </cell>
          <cell r="AC78">
            <v>1</v>
          </cell>
          <cell r="AD78">
            <v>0.9</v>
          </cell>
          <cell r="AE78">
            <v>0.9</v>
          </cell>
          <cell r="AF78">
            <v>1.4</v>
          </cell>
        </row>
      </sheetData>
    </sheetDataSet>
  </externalBook>
</externalLink>
</file>

<file path=xl/persons/person.xml><?xml version="1.0" encoding="utf-8"?>
<personList xmlns="http://schemas.microsoft.com/office/spreadsheetml/2018/threadedcomments" xmlns:x="http://schemas.openxmlformats.org/spreadsheetml/2006/main">
  <person displayName="Henry Stenning" id="{C5686512-67EF-4BD9-A29B-1B2E939C45F6}" userId="1f265224cacc486e"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7" dT="2022-11-13T20:45:57.46" personId="{C5686512-67EF-4BD9-A29B-1B2E939C45F6}" id="{9A9B53D7-1F12-41EA-B10D-0EB04DEE4416}">
    <text>Taken from NZ_Erosivity_Data (Klik et al) from DMTW tool.</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4E51-DA52-4E8F-871F-E96719DCF48D}">
  <sheetPr codeName="Sheet1">
    <pageSetUpPr fitToPage="1"/>
  </sheetPr>
  <dimension ref="A1:Q60"/>
  <sheetViews>
    <sheetView zoomScaleNormal="100" workbookViewId="0">
      <selection activeCell="D19" sqref="D19"/>
    </sheetView>
  </sheetViews>
  <sheetFormatPr defaultRowHeight="15" x14ac:dyDescent="0.25"/>
  <cols>
    <col min="1" max="1" width="11" style="1" customWidth="1"/>
    <col min="2" max="2" width="12" style="1" customWidth="1"/>
    <col min="3" max="3" width="16.42578125" style="1" customWidth="1"/>
    <col min="4" max="4" width="9.140625" style="1"/>
    <col min="5" max="5" width="10.7109375" style="1" bestFit="1" customWidth="1"/>
    <col min="6" max="9" width="9.140625" style="1"/>
    <col min="10" max="10" width="11" style="1" customWidth="1"/>
    <col min="11" max="16384" width="9.140625" style="1"/>
  </cols>
  <sheetData>
    <row r="1" spans="1:17" ht="20.25" customHeight="1" x14ac:dyDescent="0.25">
      <c r="A1" s="100" t="s">
        <v>133</v>
      </c>
      <c r="B1" s="101"/>
      <c r="C1" s="101"/>
      <c r="D1" s="101"/>
      <c r="E1" s="101"/>
      <c r="F1" s="101"/>
      <c r="G1" s="101"/>
      <c r="H1" s="101"/>
      <c r="I1" s="101"/>
      <c r="J1" s="101"/>
      <c r="K1" s="101"/>
      <c r="L1" s="101"/>
      <c r="M1" s="101"/>
      <c r="N1" s="101"/>
      <c r="O1" s="101"/>
      <c r="P1" s="101"/>
      <c r="Q1" s="102"/>
    </row>
    <row r="2" spans="1:17" ht="15" customHeight="1" x14ac:dyDescent="0.25">
      <c r="A2" s="103"/>
      <c r="B2" s="104"/>
      <c r="C2" s="104"/>
      <c r="D2" s="104"/>
      <c r="E2" s="104"/>
      <c r="F2" s="104"/>
      <c r="G2" s="104"/>
      <c r="H2" s="104"/>
      <c r="I2" s="104"/>
      <c r="J2" s="104"/>
      <c r="K2" s="104"/>
      <c r="L2" s="104"/>
      <c r="M2" s="104"/>
      <c r="N2" s="104"/>
      <c r="O2" s="104"/>
      <c r="P2" s="104"/>
      <c r="Q2" s="105"/>
    </row>
    <row r="3" spans="1:17" ht="16.5" customHeight="1" x14ac:dyDescent="0.25">
      <c r="A3" s="103"/>
      <c r="B3" s="104"/>
      <c r="C3" s="104"/>
      <c r="D3" s="104"/>
      <c r="E3" s="104"/>
      <c r="F3" s="104"/>
      <c r="G3" s="104"/>
      <c r="H3" s="104"/>
      <c r="I3" s="104"/>
      <c r="J3" s="104"/>
      <c r="K3" s="104"/>
      <c r="L3" s="104"/>
      <c r="M3" s="104"/>
      <c r="N3" s="104"/>
      <c r="O3" s="104"/>
      <c r="P3" s="104"/>
      <c r="Q3" s="105"/>
    </row>
    <row r="4" spans="1:17" ht="15" customHeight="1" x14ac:dyDescent="0.25">
      <c r="A4" s="106" t="s">
        <v>123</v>
      </c>
      <c r="B4" s="107"/>
      <c r="C4" s="107"/>
      <c r="D4" s="107"/>
      <c r="E4" s="107"/>
      <c r="F4" s="107"/>
      <c r="G4" s="107"/>
      <c r="H4" s="107"/>
      <c r="I4" s="107"/>
      <c r="J4" s="107"/>
      <c r="K4" s="107"/>
      <c r="L4" s="107"/>
      <c r="M4" s="107"/>
      <c r="N4" s="107"/>
      <c r="O4" s="107"/>
      <c r="P4" s="107"/>
      <c r="Q4" s="108"/>
    </row>
    <row r="5" spans="1:17" ht="21" customHeight="1" thickBot="1" x14ac:dyDescent="0.3">
      <c r="A5" s="109"/>
      <c r="B5" s="110"/>
      <c r="C5" s="110"/>
      <c r="D5" s="110"/>
      <c r="E5" s="110"/>
      <c r="F5" s="110"/>
      <c r="G5" s="110"/>
      <c r="H5" s="110"/>
      <c r="I5" s="110"/>
      <c r="J5" s="110"/>
      <c r="K5" s="110"/>
      <c r="L5" s="110"/>
      <c r="M5" s="110"/>
      <c r="N5" s="110"/>
      <c r="O5" s="110"/>
      <c r="P5" s="110"/>
      <c r="Q5" s="111"/>
    </row>
    <row r="6" spans="1:17" ht="15" customHeight="1" x14ac:dyDescent="0.25"/>
    <row r="7" spans="1:17" ht="15" customHeight="1" x14ac:dyDescent="0.25">
      <c r="A7" s="88" t="s">
        <v>13</v>
      </c>
      <c r="B7" s="89"/>
      <c r="C7" s="90" t="s">
        <v>12</v>
      </c>
    </row>
    <row r="8" spans="1:17" ht="15.75" thickBot="1" x14ac:dyDescent="0.3"/>
    <row r="9" spans="1:17" ht="15.75" thickBot="1" x14ac:dyDescent="0.3">
      <c r="A9" s="91" t="s">
        <v>10</v>
      </c>
      <c r="B9" s="92"/>
    </row>
    <row r="10" spans="1:17" ht="30.75" customHeight="1" x14ac:dyDescent="0.25">
      <c r="A10" s="131" t="s">
        <v>4</v>
      </c>
      <c r="B10" s="131"/>
      <c r="C10" s="131"/>
      <c r="D10" s="131"/>
      <c r="E10" s="131"/>
      <c r="F10" s="131"/>
      <c r="G10" s="95"/>
    </row>
    <row r="11" spans="1:17" x14ac:dyDescent="0.25">
      <c r="A11" s="95"/>
      <c r="B11" s="95"/>
      <c r="C11" s="95"/>
      <c r="D11" s="95"/>
      <c r="E11" s="95"/>
      <c r="F11" s="95"/>
      <c r="G11" s="95"/>
    </row>
    <row r="12" spans="1:17" x14ac:dyDescent="0.25">
      <c r="A12" s="87" t="s">
        <v>203</v>
      </c>
      <c r="B12" s="95"/>
      <c r="C12" s="93" t="s">
        <v>360</v>
      </c>
      <c r="D12" s="95"/>
      <c r="E12" s="95"/>
      <c r="F12" s="95"/>
      <c r="G12" s="95"/>
    </row>
    <row r="13" spans="1:17" x14ac:dyDescent="0.25">
      <c r="A13" s="87" t="s">
        <v>428</v>
      </c>
      <c r="B13" s="87"/>
      <c r="C13" s="93" t="s">
        <v>28</v>
      </c>
    </row>
    <row r="14" spans="1:17" x14ac:dyDescent="0.25">
      <c r="A14" s="87" t="s">
        <v>429</v>
      </c>
      <c r="B14" s="87"/>
      <c r="C14" s="86" t="s">
        <v>413</v>
      </c>
    </row>
    <row r="15" spans="1:17" x14ac:dyDescent="0.25">
      <c r="A15" s="87"/>
      <c r="B15" s="87"/>
      <c r="C15" s="87"/>
    </row>
    <row r="17" spans="1:17" x14ac:dyDescent="0.25">
      <c r="A17" s="87" t="s">
        <v>19</v>
      </c>
      <c r="B17" s="97"/>
      <c r="C17" s="98">
        <v>44454</v>
      </c>
      <c r="D17" s="12" t="str">
        <f>IF(OR(MONTH(C17)=9,MONTH(C17)=10,MONTH(C17)=11,MONTH(C17)=12,MONTH(C17)=1,MONTH(C17)=2,MONTH(C17)=3),"S","W")</f>
        <v>S</v>
      </c>
    </row>
    <row r="18" spans="1:17" x14ac:dyDescent="0.25">
      <c r="A18" s="38"/>
      <c r="B18" s="41"/>
    </row>
    <row r="19" spans="1:17" x14ac:dyDescent="0.25">
      <c r="A19" s="87" t="s">
        <v>24</v>
      </c>
      <c r="B19" s="97"/>
      <c r="C19" s="98">
        <v>44515</v>
      </c>
      <c r="E19" s="37">
        <f>Backend!Q19</f>
        <v>44514.5</v>
      </c>
    </row>
    <row r="21" spans="1:17" x14ac:dyDescent="0.25">
      <c r="A21" s="87" t="s">
        <v>2</v>
      </c>
      <c r="B21" s="97"/>
      <c r="C21" s="93" t="s">
        <v>32</v>
      </c>
    </row>
    <row r="22" spans="1:17" x14ac:dyDescent="0.25">
      <c r="D22" s="2"/>
    </row>
    <row r="23" spans="1:17" x14ac:dyDescent="0.25">
      <c r="A23" s="87" t="str">
        <f>VLOOKUP(C13,Backend!A12:E14,Backend!E10,FALSE)</f>
        <v>Heads planted</v>
      </c>
      <c r="B23" s="97"/>
      <c r="C23" s="99">
        <v>54000</v>
      </c>
      <c r="D23" s="34" t="str">
        <f>VLOOKUP(C13,Backend!A12:F14,Backend!F10,FALSE)</f>
        <v>Heads/ha</v>
      </c>
      <c r="F23" s="18"/>
    </row>
    <row r="24" spans="1:17" x14ac:dyDescent="0.25">
      <c r="A24" s="87" t="s">
        <v>94</v>
      </c>
      <c r="B24" s="97"/>
      <c r="C24" s="118">
        <v>0.79</v>
      </c>
      <c r="D24" s="34" t="s">
        <v>135</v>
      </c>
      <c r="F24" s="18"/>
    </row>
    <row r="25" spans="1:17" ht="15.75" thickBot="1" x14ac:dyDescent="0.3"/>
    <row r="26" spans="1:17" ht="15.75" thickBot="1" x14ac:dyDescent="0.3">
      <c r="A26" s="91" t="s">
        <v>11</v>
      </c>
      <c r="B26" s="92"/>
      <c r="I26" s="119"/>
      <c r="J26" s="119"/>
      <c r="K26" s="119"/>
    </row>
    <row r="27" spans="1:17" ht="51.75" customHeight="1" x14ac:dyDescent="0.25">
      <c r="A27" s="131" t="s">
        <v>25</v>
      </c>
      <c r="B27" s="131"/>
      <c r="C27" s="131"/>
      <c r="D27" s="131"/>
      <c r="E27" s="131"/>
      <c r="F27" s="131"/>
      <c r="G27" s="95"/>
    </row>
    <row r="28" spans="1:17" x14ac:dyDescent="0.25">
      <c r="A28" s="95"/>
      <c r="B28" s="95"/>
      <c r="C28" s="95"/>
      <c r="D28" s="95"/>
      <c r="E28" s="95"/>
      <c r="F28" s="95"/>
      <c r="G28" s="95"/>
    </row>
    <row r="29" spans="1:17" ht="15.75" thickBot="1" x14ac:dyDescent="0.3">
      <c r="A29" s="95"/>
      <c r="B29" s="95"/>
      <c r="C29" s="95"/>
      <c r="D29" s="95"/>
      <c r="E29" s="95"/>
      <c r="F29" s="95"/>
      <c r="G29" s="95"/>
    </row>
    <row r="30" spans="1:17" ht="15.75" thickBot="1" x14ac:dyDescent="0.3">
      <c r="A30" s="40"/>
      <c r="B30" s="40"/>
      <c r="C30" s="40"/>
      <c r="D30" s="40"/>
      <c r="E30" s="40"/>
      <c r="F30" s="40"/>
      <c r="G30" s="40"/>
      <c r="I30" s="91" t="s">
        <v>132</v>
      </c>
      <c r="J30" s="121"/>
      <c r="K30" s="92"/>
    </row>
    <row r="31" spans="1:17" ht="15" customHeight="1" x14ac:dyDescent="0.25">
      <c r="A31" s="88" t="s">
        <v>26</v>
      </c>
      <c r="B31" s="89"/>
      <c r="C31" s="93">
        <v>3</v>
      </c>
      <c r="D31" s="2"/>
      <c r="E31" s="40"/>
      <c r="F31" s="40"/>
      <c r="G31" s="40"/>
      <c r="I31" s="131" t="s">
        <v>87</v>
      </c>
      <c r="J31" s="131"/>
      <c r="K31" s="131"/>
      <c r="L31" s="131"/>
      <c r="M31" s="131"/>
      <c r="N31" s="131"/>
      <c r="O31" s="131"/>
      <c r="P31" s="131"/>
      <c r="Q31" s="131"/>
    </row>
    <row r="32" spans="1:17" x14ac:dyDescent="0.25">
      <c r="A32" s="39"/>
      <c r="B32" s="7"/>
      <c r="C32" s="2"/>
      <c r="D32" s="2"/>
      <c r="E32" s="40"/>
      <c r="F32" s="40"/>
      <c r="G32" s="40"/>
      <c r="I32" s="95"/>
      <c r="J32" s="95"/>
      <c r="K32" s="95"/>
      <c r="L32" s="95"/>
      <c r="M32" s="95"/>
      <c r="N32" s="95"/>
      <c r="O32" s="95"/>
      <c r="P32" s="95"/>
    </row>
    <row r="33" spans="1:17" x14ac:dyDescent="0.25">
      <c r="A33" s="88" t="s">
        <v>35</v>
      </c>
      <c r="B33" s="89"/>
      <c r="C33" s="93" t="s">
        <v>131</v>
      </c>
      <c r="D33" s="2"/>
      <c r="E33" s="40"/>
      <c r="F33" s="40"/>
      <c r="G33" s="40"/>
      <c r="I33" s="95"/>
      <c r="J33" s="95"/>
      <c r="K33" s="95"/>
      <c r="L33" s="95"/>
      <c r="M33" s="95"/>
      <c r="N33" s="95"/>
      <c r="O33" s="95"/>
      <c r="P33" s="95"/>
    </row>
    <row r="34" spans="1:17" x14ac:dyDescent="0.25">
      <c r="I34" s="117"/>
      <c r="J34" s="117"/>
      <c r="K34" s="120"/>
      <c r="L34" s="120"/>
      <c r="M34" s="15"/>
    </row>
    <row r="35" spans="1:17" x14ac:dyDescent="0.25">
      <c r="A35" s="88" t="s">
        <v>128</v>
      </c>
      <c r="B35" s="89"/>
      <c r="C35" s="96">
        <v>0.8</v>
      </c>
      <c r="D35" s="2"/>
      <c r="I35" s="87" t="s">
        <v>137</v>
      </c>
      <c r="J35" s="97"/>
      <c r="K35" s="116">
        <f>VLOOKUP(C13,Backend!A12:J15,Backend!H10,FALSE)</f>
        <v>174.12244897959184</v>
      </c>
      <c r="L35" s="116"/>
      <c r="M35" s="2" t="s">
        <v>7</v>
      </c>
      <c r="N35" s="87" t="s">
        <v>54</v>
      </c>
      <c r="O35" s="97"/>
      <c r="P35" s="112">
        <f>Backend!$W$12</f>
        <v>44462</v>
      </c>
      <c r="Q35" s="113"/>
    </row>
    <row r="36" spans="1:17" x14ac:dyDescent="0.25">
      <c r="I36" s="9"/>
      <c r="K36" s="14"/>
      <c r="L36" s="14"/>
      <c r="N36" s="87" t="s">
        <v>55</v>
      </c>
      <c r="O36" s="97"/>
      <c r="P36" s="112">
        <f>Backend!$W$13</f>
        <v>44477</v>
      </c>
      <c r="Q36" s="113"/>
    </row>
    <row r="37" spans="1:17" x14ac:dyDescent="0.25">
      <c r="A37" s="87" t="s">
        <v>8</v>
      </c>
      <c r="B37" s="87"/>
      <c r="C37" s="93">
        <v>20</v>
      </c>
      <c r="D37" s="2" t="s">
        <v>7</v>
      </c>
      <c r="I37" s="87" t="s">
        <v>134</v>
      </c>
      <c r="J37" s="87"/>
      <c r="K37" s="93"/>
      <c r="L37" s="94"/>
      <c r="M37" s="2" t="s">
        <v>7</v>
      </c>
      <c r="N37" s="87" t="s">
        <v>56</v>
      </c>
      <c r="O37" s="97"/>
      <c r="P37" s="112">
        <f>Backend!$W$14</f>
        <v>44490</v>
      </c>
      <c r="Q37" s="113"/>
    </row>
    <row r="38" spans="1:17" x14ac:dyDescent="0.25">
      <c r="A38" s="38"/>
      <c r="B38" s="38"/>
      <c r="C38" s="35"/>
      <c r="D38" s="2"/>
      <c r="N38" s="87" t="s">
        <v>57</v>
      </c>
      <c r="O38" s="97"/>
      <c r="P38" s="112" t="str">
        <f>Backend!$W$15</f>
        <v/>
      </c>
      <c r="Q38" s="113"/>
    </row>
    <row r="39" spans="1:17" x14ac:dyDescent="0.25">
      <c r="A39" s="87" t="s">
        <v>144</v>
      </c>
      <c r="B39" s="87"/>
      <c r="C39" s="93">
        <v>20</v>
      </c>
      <c r="D39" s="2" t="s">
        <v>7</v>
      </c>
      <c r="I39" s="87" t="s">
        <v>53</v>
      </c>
      <c r="J39" s="97"/>
      <c r="K39" s="114">
        <f>IF(K37&gt;0,K37/K41,K35/K41)</f>
        <v>58.04081632653061</v>
      </c>
      <c r="L39" s="115"/>
      <c r="M39" s="2" t="s">
        <v>7</v>
      </c>
    </row>
    <row r="40" spans="1:17" x14ac:dyDescent="0.25">
      <c r="A40" s="87" t="s">
        <v>145</v>
      </c>
      <c r="B40" s="87"/>
      <c r="C40" s="98">
        <v>44484</v>
      </c>
      <c r="D40" s="2"/>
      <c r="K40" s="14"/>
      <c r="L40" s="14"/>
    </row>
    <row r="41" spans="1:17" x14ac:dyDescent="0.25">
      <c r="I41" s="32" t="s">
        <v>26</v>
      </c>
      <c r="J41" s="33"/>
      <c r="K41" s="114">
        <f>IF(C7="1 (minimum)",VLOOKUP(C13,Backend!A12:G14,Backend!G10,FALSE),C31)</f>
        <v>3</v>
      </c>
      <c r="L41" s="115"/>
      <c r="M41" s="2"/>
    </row>
    <row r="42" spans="1:17" x14ac:dyDescent="0.25">
      <c r="A42" s="87" t="s">
        <v>9</v>
      </c>
      <c r="B42" s="87"/>
      <c r="C42" s="93">
        <v>20</v>
      </c>
      <c r="D42" s="2" t="s">
        <v>7</v>
      </c>
    </row>
    <row r="43" spans="1:17" x14ac:dyDescent="0.25">
      <c r="A43" s="38"/>
      <c r="B43" s="38"/>
      <c r="C43" s="2"/>
      <c r="D43" s="2"/>
    </row>
    <row r="44" spans="1:17" ht="15.75" thickBot="1" x14ac:dyDescent="0.3">
      <c r="D44" s="2"/>
    </row>
    <row r="45" spans="1:17" ht="15.75" thickBot="1" x14ac:dyDescent="0.3">
      <c r="A45" s="91" t="s">
        <v>16</v>
      </c>
      <c r="B45" s="92"/>
      <c r="E45" s="3"/>
    </row>
    <row r="46" spans="1:17" x14ac:dyDescent="0.25">
      <c r="E46" s="3"/>
    </row>
    <row r="47" spans="1:17" x14ac:dyDescent="0.25">
      <c r="A47" s="87" t="s">
        <v>70</v>
      </c>
      <c r="B47" s="87"/>
      <c r="C47" s="98" t="s">
        <v>28</v>
      </c>
      <c r="E47" s="3"/>
    </row>
    <row r="48" spans="1:17" x14ac:dyDescent="0.25">
      <c r="A48" s="87" t="s">
        <v>59</v>
      </c>
      <c r="B48" s="97"/>
      <c r="C48" s="93" t="s">
        <v>129</v>
      </c>
      <c r="E48" s="3"/>
    </row>
    <row r="50" spans="1:5" x14ac:dyDescent="0.25">
      <c r="A50" s="87" t="s">
        <v>69</v>
      </c>
      <c r="B50" s="97"/>
      <c r="C50" s="98">
        <v>44254</v>
      </c>
      <c r="E50" s="3"/>
    </row>
    <row r="51" spans="1:5" x14ac:dyDescent="0.25">
      <c r="E51" s="3"/>
    </row>
    <row r="52" spans="1:5" x14ac:dyDescent="0.25">
      <c r="A52" s="87" t="s">
        <v>68</v>
      </c>
      <c r="B52" s="97"/>
      <c r="C52" s="122">
        <v>10</v>
      </c>
      <c r="D52" s="2" t="s">
        <v>7</v>
      </c>
      <c r="E52" s="3"/>
    </row>
    <row r="53" spans="1:5" x14ac:dyDescent="0.25">
      <c r="E53" s="3"/>
    </row>
    <row r="54" spans="1:5" x14ac:dyDescent="0.25">
      <c r="A54" s="87" t="s">
        <v>6</v>
      </c>
      <c r="B54" s="97"/>
      <c r="C54" s="122">
        <v>20</v>
      </c>
      <c r="D54" s="2" t="s">
        <v>7</v>
      </c>
      <c r="E54" s="1" t="s">
        <v>130</v>
      </c>
    </row>
    <row r="56" spans="1:5" x14ac:dyDescent="0.25">
      <c r="A56" s="87" t="s">
        <v>21</v>
      </c>
      <c r="B56" s="97"/>
      <c r="C56" s="122">
        <f>IF($C$58&lt;800,Backend!I20*0.2,Backend!I20*0.4)</f>
        <v>34.824489795918367</v>
      </c>
      <c r="D56" s="4" t="s">
        <v>7</v>
      </c>
      <c r="E56" s="3"/>
    </row>
    <row r="58" spans="1:5" x14ac:dyDescent="0.25">
      <c r="A58" s="87" t="s">
        <v>22</v>
      </c>
      <c r="B58" s="97"/>
      <c r="C58" s="123">
        <f>(VLOOKUP($C$21,Backend!$A$17:$C$33,2,FALSE)/365)*(C19-C17)</f>
        <v>220.87013698630136</v>
      </c>
      <c r="D58" s="2" t="s">
        <v>38</v>
      </c>
      <c r="E58" s="1" t="s">
        <v>23</v>
      </c>
    </row>
    <row r="60" spans="1:5" x14ac:dyDescent="0.25">
      <c r="A60" s="87" t="s">
        <v>18</v>
      </c>
      <c r="B60" s="97"/>
      <c r="C60" s="124"/>
      <c r="D60" s="4" t="s">
        <v>20</v>
      </c>
      <c r="E60" s="3"/>
    </row>
  </sheetData>
  <sheetProtection selectLockedCells="1"/>
  <mergeCells count="3">
    <mergeCell ref="A10:F10"/>
    <mergeCell ref="A27:F27"/>
    <mergeCell ref="I31:Q31"/>
  </mergeCells>
  <conditionalFormatting sqref="A24:D24">
    <cfRule type="expression" dxfId="3" priority="3">
      <formula>IF(OR($C$13="potato",$C$13="onion"),TRUE,FALSE)</formula>
    </cfRule>
  </conditionalFormatting>
  <conditionalFormatting sqref="C24">
    <cfRule type="expression" dxfId="2" priority="2">
      <formula>IF(OR($C$13="potato",$C$13="onion"),TRUE,FALSE)</formula>
    </cfRule>
  </conditionalFormatting>
  <dataValidations count="1">
    <dataValidation type="list" allowBlank="1" showInputMessage="1" showErrorMessage="1" sqref="C13:C14" xr:uid="{66F69C4A-6FE4-4D03-86D9-5B0F28D3BCA3}">
      <formula1>INDIRECT(C12)</formula1>
    </dataValidation>
  </dataValidations>
  <pageMargins left="0.36" right="0.48" top="0.48" bottom="0.75" header="0.3" footer="0.3"/>
  <pageSetup paperSize="9" scale="5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7" id="{888E8752-BD23-4BDE-B3F7-5805BC7E0DD8}">
            <xm:f>IF($C$7=Backend!$A$2,TRUE,FALSE)</xm:f>
            <x14:dxf>
              <font>
                <color theme="9" tint="0.79998168889431442"/>
              </font>
              <fill>
                <patternFill>
                  <bgColor theme="9" tint="0.79998168889431442"/>
                </patternFill>
              </fill>
              <border>
                <left/>
                <right/>
                <top/>
                <bottom/>
                <vertical/>
                <horizontal/>
              </border>
            </x14:dxf>
          </x14:cfRule>
          <xm:sqref>A39:A40 A27 G27 A26:G26 A41:G61 C39:G40 A28:G38</xm:sqref>
        </x14:conditionalFormatting>
        <x14:conditionalFormatting xmlns:xm="http://schemas.microsoft.com/office/excel/2006/main">
          <x14:cfRule type="expression" priority="6" id="{1FCE45F9-E29E-4EF9-9A10-36B4BE8C01C8}">
            <xm:f>IF($C$7=Backend!$A$3,TRUE,FALSE)</xm:f>
            <x14:dxf>
              <font>
                <color theme="9" tint="0.79998168889431442"/>
              </font>
              <fill>
                <patternFill>
                  <bgColor theme="9" tint="0.79998168889431442"/>
                </patternFill>
              </fill>
              <border>
                <left/>
                <right/>
                <top/>
                <bottom/>
                <vertical/>
                <horizontal/>
              </border>
            </x14:dxf>
          </x14:cfRule>
          <xm:sqref>A45:G62</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3CB21536-CD24-43D0-9812-906D9EA937B3}">
          <x14:formula1>
            <xm:f>meanT!$B$2:$D$2</xm:f>
          </x14:formula1>
          <xm:sqref>C21</xm:sqref>
        </x14:dataValidation>
        <x14:dataValidation type="list" allowBlank="1" showInputMessage="1" showErrorMessage="1" xr:uid="{C983329B-8E20-4E75-BEB9-DB5ABC286D71}">
          <x14:formula1>
            <xm:f>Backend!$A$12:$A$14</xm:f>
          </x14:formula1>
          <xm:sqref>C47</xm:sqref>
        </x14:dataValidation>
        <x14:dataValidation type="list" allowBlank="1" showInputMessage="1" showErrorMessage="1" xr:uid="{7DEBF7C5-42B8-4B81-A98C-8C85EADA7912}">
          <x14:formula1>
            <xm:f>ListMembers!$A$7:$G$7</xm:f>
          </x14:formula1>
          <xm:sqref>C12</xm:sqref>
        </x14:dataValidation>
        <x14:dataValidation type="list" allowBlank="1" showInputMessage="1" showErrorMessage="1" xr:uid="{7BBAB74A-896F-4BF2-A069-9DBF0975D25F}">
          <x14:formula1>
            <xm:f>Backend!A$2:A$4</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45AA5-5CA9-4C85-A684-AC42CE87D1F5}">
  <sheetPr codeName="Sheet2"/>
  <dimension ref="A1:AH251"/>
  <sheetViews>
    <sheetView topLeftCell="A3" zoomScaleNormal="100" workbookViewId="0">
      <selection activeCell="A24" sqref="A24"/>
    </sheetView>
  </sheetViews>
  <sheetFormatPr defaultRowHeight="15" x14ac:dyDescent="0.25"/>
  <cols>
    <col min="1" max="1" width="17" customWidth="1"/>
    <col min="2" max="3" width="18.7109375" customWidth="1"/>
    <col min="4" max="4" width="17.85546875" customWidth="1"/>
    <col min="5" max="5" width="16.28515625" customWidth="1"/>
    <col min="6" max="6" width="9.5703125" bestFit="1" customWidth="1"/>
    <col min="15" max="15" width="10.7109375" bestFit="1" customWidth="1"/>
    <col min="16" max="16" width="11.7109375" bestFit="1" customWidth="1"/>
    <col min="17" max="18" width="10.7109375" bestFit="1" customWidth="1"/>
    <col min="20" max="20" width="12" customWidth="1"/>
    <col min="22" max="22" width="15" customWidth="1"/>
    <col min="23" max="23" width="13.28515625" customWidth="1"/>
    <col min="24" max="24" width="14" customWidth="1"/>
    <col min="27" max="27" width="15.5703125" customWidth="1"/>
    <col min="28" max="28" width="10.7109375" bestFit="1" customWidth="1"/>
    <col min="29" max="29" width="16.7109375" bestFit="1" customWidth="1"/>
    <col min="30" max="30" width="13.85546875" customWidth="1"/>
    <col min="32" max="32" width="17.140625" customWidth="1"/>
    <col min="33" max="33" width="12.42578125" customWidth="1"/>
  </cols>
  <sheetData>
    <row r="1" spans="1:26" x14ac:dyDescent="0.25">
      <c r="A1" s="6" t="s">
        <v>13</v>
      </c>
      <c r="C1" s="6" t="s">
        <v>60</v>
      </c>
      <c r="J1" s="6"/>
    </row>
    <row r="2" spans="1:26" x14ac:dyDescent="0.25">
      <c r="A2" t="s">
        <v>12</v>
      </c>
      <c r="C2" t="s">
        <v>66</v>
      </c>
      <c r="J2" s="6"/>
    </row>
    <row r="3" spans="1:26" x14ac:dyDescent="0.25">
      <c r="A3" t="s">
        <v>14</v>
      </c>
      <c r="C3" t="s">
        <v>65</v>
      </c>
    </row>
    <row r="4" spans="1:26" x14ac:dyDescent="0.25">
      <c r="A4" t="s">
        <v>15</v>
      </c>
    </row>
    <row r="5" spans="1:26" x14ac:dyDescent="0.25">
      <c r="K5" s="17"/>
    </row>
    <row r="6" spans="1:26" x14ac:dyDescent="0.25">
      <c r="A6" s="6" t="s">
        <v>3</v>
      </c>
      <c r="C6" s="6" t="s">
        <v>61</v>
      </c>
      <c r="K6" s="17"/>
    </row>
    <row r="7" spans="1:26" x14ac:dyDescent="0.25">
      <c r="A7" t="s">
        <v>5</v>
      </c>
      <c r="C7" t="s">
        <v>62</v>
      </c>
      <c r="D7">
        <v>60</v>
      </c>
      <c r="E7" t="s">
        <v>63</v>
      </c>
    </row>
    <row r="8" spans="1:26" x14ac:dyDescent="0.25">
      <c r="A8" t="s">
        <v>92</v>
      </c>
      <c r="C8" t="s">
        <v>64</v>
      </c>
      <c r="D8">
        <v>30</v>
      </c>
      <c r="E8" t="s">
        <v>63</v>
      </c>
    </row>
    <row r="10" spans="1:26" x14ac:dyDescent="0.25">
      <c r="A10">
        <v>1</v>
      </c>
      <c r="B10">
        <v>2</v>
      </c>
      <c r="C10">
        <v>3</v>
      </c>
      <c r="D10">
        <v>4</v>
      </c>
      <c r="E10">
        <v>5</v>
      </c>
      <c r="F10">
        <v>6</v>
      </c>
      <c r="G10">
        <v>7</v>
      </c>
      <c r="H10">
        <v>8</v>
      </c>
      <c r="I10">
        <v>9</v>
      </c>
      <c r="J10">
        <v>10</v>
      </c>
      <c r="R10">
        <f>(ConceptDemo!$C$19-ConceptDemo!$C$17)/(ConceptDemo!$K$41+1)</f>
        <v>15.25</v>
      </c>
    </row>
    <row r="11" spans="1:26" ht="30" x14ac:dyDescent="0.25">
      <c r="A11" s="6" t="s">
        <v>1</v>
      </c>
      <c r="B11" s="5" t="s">
        <v>118</v>
      </c>
      <c r="C11" s="5" t="s">
        <v>95</v>
      </c>
      <c r="D11" s="5" t="s">
        <v>119</v>
      </c>
      <c r="E11" s="5" t="s">
        <v>96</v>
      </c>
      <c r="F11" s="5" t="s">
        <v>98</v>
      </c>
      <c r="G11" s="5" t="s">
        <v>103</v>
      </c>
      <c r="H11" s="25" t="s">
        <v>125</v>
      </c>
      <c r="I11" s="26" t="s">
        <v>74</v>
      </c>
      <c r="J11" s="26" t="s">
        <v>17</v>
      </c>
      <c r="M11" s="6" t="s">
        <v>80</v>
      </c>
      <c r="Q11" t="s">
        <v>84</v>
      </c>
      <c r="R11" t="s">
        <v>85</v>
      </c>
      <c r="S11" t="s">
        <v>67</v>
      </c>
      <c r="W11" t="s">
        <v>86</v>
      </c>
    </row>
    <row r="12" spans="1:26" x14ac:dyDescent="0.25">
      <c r="A12" t="s">
        <v>28</v>
      </c>
      <c r="B12" s="11">
        <f>IF(ConceptDemo!C7="1 (minimum)",75%,ConceptDemo!C35)</f>
        <v>0.75</v>
      </c>
      <c r="C12" s="11">
        <v>0.98</v>
      </c>
      <c r="D12" s="11">
        <v>0.92</v>
      </c>
      <c r="E12" t="s">
        <v>97</v>
      </c>
      <c r="F12" t="s">
        <v>99</v>
      </c>
      <c r="G12">
        <v>3</v>
      </c>
      <c r="H12" s="24">
        <f>B56</f>
        <v>174.12244897959184</v>
      </c>
      <c r="I12" s="20">
        <f>F58</f>
        <v>69.591937155375049</v>
      </c>
      <c r="J12" s="20">
        <f>F59</f>
        <v>25.090970539012787</v>
      </c>
      <c r="M12" t="s">
        <v>81</v>
      </c>
      <c r="Q12" s="11">
        <v>0.2</v>
      </c>
      <c r="R12" s="16">
        <f>ConceptDemo!$C$17+Backend!R10</f>
        <v>44469.25</v>
      </c>
      <c r="S12" s="13">
        <f>SUM(K21:L21)*0.1</f>
        <v>9.4682907694387843</v>
      </c>
      <c r="T12" s="13">
        <f>S12/$R$10</f>
        <v>0.62087152586483829</v>
      </c>
      <c r="V12">
        <v>1</v>
      </c>
      <c r="W12" s="16">
        <f>ROUND((R12-ConceptDemo!$C$17)/2+ConceptDemo!$C$17,0)</f>
        <v>44462</v>
      </c>
    </row>
    <row r="13" spans="1:26" x14ac:dyDescent="0.25">
      <c r="A13" t="s">
        <v>30</v>
      </c>
      <c r="B13" s="11">
        <v>0.8</v>
      </c>
      <c r="C13" s="11">
        <v>0.95</v>
      </c>
      <c r="D13" s="11">
        <v>0.9</v>
      </c>
      <c r="E13" t="s">
        <v>93</v>
      </c>
      <c r="F13" t="s">
        <v>5</v>
      </c>
      <c r="G13">
        <v>2</v>
      </c>
      <c r="H13" s="24">
        <f>B96</f>
        <v>138078.56842105262</v>
      </c>
      <c r="I13" s="21">
        <f>F90</f>
        <v>146880</v>
      </c>
      <c r="J13" s="21">
        <f>F91</f>
        <v>119694.7095010253</v>
      </c>
      <c r="M13" t="s">
        <v>82</v>
      </c>
      <c r="Q13" s="11">
        <v>0.4</v>
      </c>
      <c r="R13" s="16">
        <f>R12+$R$10</f>
        <v>44484.5</v>
      </c>
      <c r="S13" s="13">
        <f>SUM(K21:L21)*0.4</f>
        <v>37.873163077755137</v>
      </c>
      <c r="T13" s="13">
        <f>S13/$R$10</f>
        <v>2.4834861034593532</v>
      </c>
      <c r="V13">
        <v>2</v>
      </c>
      <c r="W13" s="16">
        <f>IFERROR(ROUND(IF(ConceptDemo!$K$41&gt;=2,(Backend!R13-R12)/2+R12,""),0),"")</f>
        <v>44477</v>
      </c>
    </row>
    <row r="14" spans="1:26" x14ac:dyDescent="0.25">
      <c r="A14" t="s">
        <v>29</v>
      </c>
      <c r="B14" s="11">
        <v>0.95</v>
      </c>
      <c r="C14" s="11">
        <v>1</v>
      </c>
      <c r="D14" s="11">
        <v>0.95</v>
      </c>
      <c r="E14" t="s">
        <v>93</v>
      </c>
      <c r="F14" t="s">
        <v>5</v>
      </c>
      <c r="G14">
        <v>3</v>
      </c>
      <c r="H14" s="24">
        <f>B133</f>
        <v>108000</v>
      </c>
      <c r="I14" s="21">
        <f>$F$134</f>
        <v>109928.57142857142</v>
      </c>
      <c r="J14" s="21">
        <f>$F$135</f>
        <v>5785.7142857142844</v>
      </c>
      <c r="M14" t="s">
        <v>136</v>
      </c>
      <c r="Q14" s="11">
        <v>0.6</v>
      </c>
      <c r="R14" s="16">
        <f>R13+$R$10</f>
        <v>44499.75</v>
      </c>
      <c r="S14" s="13">
        <f>SUM(K21:L21)*0.35</f>
        <v>33.13901769303574</v>
      </c>
      <c r="T14" s="13">
        <f>S14/$R$10</f>
        <v>2.1730503405269337</v>
      </c>
      <c r="V14">
        <v>3</v>
      </c>
      <c r="W14" s="16">
        <f>IFERROR(ROUND(IF(ConceptDemo!$K$41&gt;2,(Backend!R14-R13)/3+R13,""),0),"")</f>
        <v>44490</v>
      </c>
    </row>
    <row r="15" spans="1:26" x14ac:dyDescent="0.25">
      <c r="A15" t="s">
        <v>58</v>
      </c>
      <c r="B15" s="11">
        <v>0.75</v>
      </c>
      <c r="C15" s="11">
        <v>0.8</v>
      </c>
      <c r="D15" s="11">
        <v>0.9</v>
      </c>
      <c r="E15" t="s">
        <v>97</v>
      </c>
      <c r="F15" t="s">
        <v>99</v>
      </c>
      <c r="G15">
        <v>3</v>
      </c>
      <c r="M15" t="s">
        <v>83</v>
      </c>
      <c r="Q15" s="11">
        <v>0.8</v>
      </c>
      <c r="R15" s="16">
        <f>R14+$R$10</f>
        <v>44515</v>
      </c>
      <c r="S15" s="13">
        <f>SUM(K21:L21)*0.15</f>
        <v>14.202436154158175</v>
      </c>
      <c r="T15" s="13">
        <f>S15/$R$10</f>
        <v>0.93130728879725733</v>
      </c>
      <c r="V15">
        <v>4</v>
      </c>
      <c r="W15" s="16" t="str">
        <f>IFERROR(ROUND(IF(ConceptDemo!$K$41&gt;3,R14,""),0),"")</f>
        <v/>
      </c>
    </row>
    <row r="16" spans="1:26" x14ac:dyDescent="0.25">
      <c r="W16" s="11">
        <v>1</v>
      </c>
      <c r="X16" s="16">
        <f>R15+$R$10</f>
        <v>44530.25</v>
      </c>
      <c r="Y16" s="13">
        <f>$I$20*0.05</f>
        <v>8.7061224489795919</v>
      </c>
      <c r="Z16" s="13">
        <f>Y16/$R$10</f>
        <v>0.57089327534292411</v>
      </c>
    </row>
    <row r="17" spans="1:34" x14ac:dyDescent="0.25">
      <c r="A17" s="6" t="s">
        <v>2</v>
      </c>
      <c r="B17" t="s">
        <v>36</v>
      </c>
      <c r="C17" t="s">
        <v>37</v>
      </c>
      <c r="E17" s="6" t="s">
        <v>122</v>
      </c>
      <c r="AF17" t="s">
        <v>149</v>
      </c>
      <c r="AG17" t="s">
        <v>151</v>
      </c>
    </row>
    <row r="18" spans="1:34" x14ac:dyDescent="0.25">
      <c r="A18" t="s">
        <v>31</v>
      </c>
      <c r="B18" s="8">
        <v>1115.5999999999999</v>
      </c>
      <c r="C18" t="s">
        <v>51</v>
      </c>
      <c r="AE18" t="s">
        <v>12</v>
      </c>
      <c r="AF18" s="11">
        <v>0.15</v>
      </c>
      <c r="AG18" s="11">
        <v>0.3</v>
      </c>
    </row>
    <row r="19" spans="1:34" ht="45" x14ac:dyDescent="0.25">
      <c r="A19" t="s">
        <v>32</v>
      </c>
      <c r="B19" s="21">
        <v>1321.6</v>
      </c>
      <c r="C19" t="s">
        <v>50</v>
      </c>
      <c r="F19" s="26" t="s">
        <v>75</v>
      </c>
      <c r="G19" s="26" t="s">
        <v>68</v>
      </c>
      <c r="H19" s="27" t="s">
        <v>6</v>
      </c>
      <c r="I19" s="27" t="s">
        <v>72</v>
      </c>
      <c r="J19" s="26" t="s">
        <v>73</v>
      </c>
      <c r="K19" s="26" t="s">
        <v>74</v>
      </c>
      <c r="L19" s="26" t="s">
        <v>17</v>
      </c>
      <c r="P19" t="s">
        <v>152</v>
      </c>
      <c r="Q19" s="16">
        <f>SUMIFS($P$26:$P$251,$Q$26:$Q$251,$Q$24)-0.5</f>
        <v>44514.5</v>
      </c>
      <c r="AE19" t="s">
        <v>14</v>
      </c>
      <c r="AF19" s="11">
        <v>0.1</v>
      </c>
      <c r="AG19" s="11">
        <v>0.2</v>
      </c>
    </row>
    <row r="20" spans="1:34" x14ac:dyDescent="0.25">
      <c r="A20" t="s">
        <v>33</v>
      </c>
      <c r="B20" s="22">
        <v>1249.8</v>
      </c>
      <c r="C20" t="s">
        <v>51</v>
      </c>
      <c r="E20" t="s">
        <v>0</v>
      </c>
      <c r="F20" s="24">
        <f>ConceptDemo!$C$37</f>
        <v>20</v>
      </c>
      <c r="G20" s="24">
        <f>ConceptDemo!$C$52</f>
        <v>10</v>
      </c>
      <c r="H20" s="24">
        <f>ConceptDemo!$C$54</f>
        <v>20</v>
      </c>
      <c r="I20" s="24">
        <f>IF(ConceptDemo!K37&gt;0,ConceptDemo!K37,VLOOKUP(ConceptDemo!C13,A12:J15,H10,FALSE))</f>
        <v>174.12244897959184</v>
      </c>
      <c r="J20" s="24"/>
      <c r="K20" s="24"/>
      <c r="L20" s="24"/>
      <c r="P20" s="13">
        <f>MAX(Q25:Q251)</f>
        <v>94.682907694387794</v>
      </c>
      <c r="X20" s="16">
        <f>ConceptDemo!$C$17+E24-10</f>
        <v>44505</v>
      </c>
      <c r="Y20">
        <f>X20-P26</f>
        <v>61</v>
      </c>
      <c r="AE20" t="s">
        <v>15</v>
      </c>
      <c r="AF20" s="11">
        <v>0.05</v>
      </c>
      <c r="AG20" s="11">
        <v>0.1</v>
      </c>
    </row>
    <row r="21" spans="1:34" x14ac:dyDescent="0.25">
      <c r="A21" t="s">
        <v>34</v>
      </c>
      <c r="B21" s="21">
        <v>1538.5</v>
      </c>
      <c r="C21" t="s">
        <v>51</v>
      </c>
      <c r="E21" t="s">
        <v>71</v>
      </c>
      <c r="F21" s="24">
        <f>SUM(F20:I20)-SUM(J21:L21)</f>
        <v>94.615051489285634</v>
      </c>
      <c r="G21" s="24"/>
      <c r="H21" s="24"/>
      <c r="I21" s="24"/>
      <c r="J21" s="24">
        <f>ConceptDemo!$C$56</f>
        <v>34.824489795918367</v>
      </c>
      <c r="K21" s="30">
        <f>VLOOKUP(ConceptDemo!C13,A12:J15,I10,FALSE)</f>
        <v>69.591937155375049</v>
      </c>
      <c r="L21" s="24">
        <f>VLOOKUP(ConceptDemo!C13,A12:J15,J10,FALSE)</f>
        <v>25.090970539012787</v>
      </c>
    </row>
    <row r="22" spans="1:34" x14ac:dyDescent="0.25">
      <c r="A22" t="s">
        <v>52</v>
      </c>
      <c r="B22" s="21">
        <v>905.2</v>
      </c>
      <c r="C22" t="s">
        <v>51</v>
      </c>
      <c r="E22" s="5"/>
      <c r="AE22" t="s">
        <v>150</v>
      </c>
      <c r="AF22" s="36">
        <f>VLOOKUP(ConceptDemo!$C$7,Backend!$AE$18:$AG$20,2,FALSE)</f>
        <v>0.15</v>
      </c>
      <c r="AG22" s="36">
        <f>IF(VLOOKUP(ConceptDemo!$C$7,Backend!$AE$18:$AG$20,3,FALSE)*((ConceptDemo!C19-ConceptDemo!C17)/90)&lt;AF22,AF22,IF((ConceptDemo!C19-ConceptDemo!C17)&gt;90,VLOOKUP(ConceptDemo!$C$7,Backend!$AE$18:$AG$20,3,FALSE),VLOOKUP(ConceptDemo!$C$7,Backend!$AE$18:$AG$20,3,FALSE)*((ConceptDemo!C19-ConceptDemo!C17)/90)))</f>
        <v>0.20333333333333334</v>
      </c>
    </row>
    <row r="23" spans="1:34" x14ac:dyDescent="0.25">
      <c r="A23" t="s">
        <v>39</v>
      </c>
      <c r="B23" s="21">
        <v>1683.3</v>
      </c>
      <c r="C23" t="s">
        <v>51</v>
      </c>
      <c r="E23" t="s">
        <v>140</v>
      </c>
      <c r="Q23" t="s">
        <v>27</v>
      </c>
      <c r="W23" t="s">
        <v>138</v>
      </c>
    </row>
    <row r="24" spans="1:34" x14ac:dyDescent="0.25">
      <c r="A24" t="s">
        <v>40</v>
      </c>
      <c r="B24" s="21">
        <v>786.2</v>
      </c>
      <c r="C24" t="s">
        <v>51</v>
      </c>
      <c r="E24" s="24">
        <f>ConceptDemo!C19-ConceptDemo!C17</f>
        <v>61</v>
      </c>
      <c r="P24" s="6" t="s">
        <v>27</v>
      </c>
      <c r="Q24" s="24">
        <f>MAX(Q26:Q251)</f>
        <v>94.682907694387794</v>
      </c>
      <c r="W24" s="23">
        <f t="shared" ref="W24:AB24" si="0">SUM(W26:W251)</f>
        <v>9.9999999999999929</v>
      </c>
      <c r="X24" s="23">
        <f t="shared" si="0"/>
        <v>19.999999999999986</v>
      </c>
      <c r="Y24" s="23">
        <f t="shared" si="0"/>
        <v>58.040816326530596</v>
      </c>
      <c r="Z24" s="23">
        <f t="shared" si="0"/>
        <v>58.040816326530596</v>
      </c>
      <c r="AA24" s="23">
        <f t="shared" si="0"/>
        <v>58.040816326530596</v>
      </c>
      <c r="AB24" s="23">
        <f t="shared" si="0"/>
        <v>0</v>
      </c>
      <c r="AC24" s="23">
        <f>SUM(AC26:AC251)</f>
        <v>35.395383071261321</v>
      </c>
      <c r="AD24" s="24">
        <f>V26+SUM(W24:AB24)-Q24-AC24</f>
        <v>94.044158213942652</v>
      </c>
    </row>
    <row r="25" spans="1:34" ht="30" x14ac:dyDescent="0.25">
      <c r="A25" t="s">
        <v>41</v>
      </c>
      <c r="B25" s="21">
        <v>1163.2</v>
      </c>
      <c r="C25" t="s">
        <v>51</v>
      </c>
      <c r="E25" s="5" t="s">
        <v>139</v>
      </c>
      <c r="G25">
        <v>120</v>
      </c>
      <c r="H25">
        <v>120</v>
      </c>
      <c r="I25">
        <v>30</v>
      </c>
      <c r="J25">
        <f>E24</f>
        <v>61</v>
      </c>
      <c r="P25" s="6"/>
      <c r="Q25" t="s">
        <v>7</v>
      </c>
      <c r="R25" t="s">
        <v>76</v>
      </c>
      <c r="S25" t="s">
        <v>77</v>
      </c>
      <c r="T25" t="s">
        <v>78</v>
      </c>
      <c r="U25" t="s">
        <v>79</v>
      </c>
      <c r="V25" t="s">
        <v>75</v>
      </c>
      <c r="W25" s="26" t="s">
        <v>68</v>
      </c>
      <c r="X25" s="27" t="s">
        <v>6</v>
      </c>
      <c r="Y25" t="s">
        <v>76</v>
      </c>
      <c r="Z25" t="s">
        <v>77</v>
      </c>
      <c r="AA25" t="s">
        <v>78</v>
      </c>
      <c r="AB25" t="s">
        <v>79</v>
      </c>
      <c r="AC25" t="s">
        <v>73</v>
      </c>
      <c r="AD25" t="s">
        <v>143</v>
      </c>
      <c r="AE25" t="s">
        <v>146</v>
      </c>
      <c r="AF25" t="s">
        <v>147</v>
      </c>
      <c r="AG25" t="s">
        <v>148</v>
      </c>
      <c r="AH25" t="s">
        <v>153</v>
      </c>
    </row>
    <row r="26" spans="1:34" x14ac:dyDescent="0.25">
      <c r="A26" t="s">
        <v>42</v>
      </c>
      <c r="B26" s="21">
        <v>1010.3</v>
      </c>
      <c r="C26" t="s">
        <v>51</v>
      </c>
      <c r="E26" s="5" t="s">
        <v>142</v>
      </c>
      <c r="G26" s="13">
        <f>0.8*G20</f>
        <v>8</v>
      </c>
      <c r="H26" s="13">
        <f>0.8*H20</f>
        <v>16</v>
      </c>
      <c r="I26" s="24">
        <f>I20/ConceptDemo!K41</f>
        <v>58.04081632653061</v>
      </c>
      <c r="J26" s="24">
        <f>J21</f>
        <v>34.824489795918367</v>
      </c>
      <c r="P26" s="16">
        <f>ConceptDemo!$C$17-10</f>
        <v>44444</v>
      </c>
      <c r="Q26">
        <f>IF(OR(P26&lt;ConceptDemo!$C$17,Backend!P26&gt;ConceptDemo!$C$19),0,IF(Backend!P26&lt;=Backend!$R$12,Backend!Q25+Backend!$T$12,IF(Backend!P26&lt;=Backend!$R$13,Backend!Q25+Backend!$T$13,IF(Backend!P26&lt;=Backend!$R$14,Backend!Q25+Backend!$T$14,IF(Backend!P26&lt;=Backend!$R$15,Backend!Q25+Backend!$T$15,IF(Backend!P26&lt;=Backend!$X$16,Backend!Q25+Backend!$Z$16))))))</f>
        <v>0</v>
      </c>
      <c r="R26" s="24" t="str">
        <f>IF(1&lt;=ConceptDemo!$K$41,IF(P26=$W$12,ConceptDemo!$K$39,""),"")</f>
        <v/>
      </c>
      <c r="S26" s="24" t="str">
        <f>IF(2&lt;=ConceptDemo!$K$41,IF(P26=$W$13,ConceptDemo!$K$39,""),"")</f>
        <v/>
      </c>
      <c r="T26" s="24" t="str">
        <f>IF(3&lt;=ConceptDemo!$K$41,IF(P26=$W$14,ConceptDemo!$K$39,""),"")</f>
        <v/>
      </c>
      <c r="U26" s="24" t="str">
        <f>IF(4&lt;=ConceptDemo!$K$41,IF(P26=$W$15,ConceptDemo!$K$39,""),"")</f>
        <v/>
      </c>
      <c r="V26" s="24">
        <f>F20</f>
        <v>20</v>
      </c>
      <c r="W26" s="23">
        <f>IF($P26&lt;ConceptDemo!$C$17+$E$24-10,$G$27,0)</f>
        <v>0.16393442622950818</v>
      </c>
      <c r="X26" s="23">
        <f>IF($P26&lt;ConceptDemo!$C$17+$E$24-10,$H$27,0)</f>
        <v>0.32786885245901637</v>
      </c>
      <c r="Y26" s="13">
        <f>IFERROR(IF(AND($P26&gt;=$W$12,$P26&lt;$W$12+$I$25),$I$27,0),0)</f>
        <v>0</v>
      </c>
      <c r="Z26" s="13">
        <f>IFERROR(IF(AND($P26&gt;=$W$13,$P26&lt;$W$13+$I$25),$I$27,0),0)</f>
        <v>0</v>
      </c>
      <c r="AA26" s="13">
        <f>IFERROR(IF(AND($P26&gt;=$W$14,$P26&lt;$W$14+$I$25),$I$27,0),0)</f>
        <v>0</v>
      </c>
      <c r="AB26" s="13">
        <f>IFERROR(IF(AND($P26&gt;=$W$15,$P26&lt;$W$15+$I$25),$I$27,0),0)</f>
        <v>0</v>
      </c>
      <c r="AC26" s="23">
        <f>IF(Q26&gt;0,$J$27,0)</f>
        <v>0</v>
      </c>
      <c r="AD26" s="23">
        <f>IF(P26&lt;ConceptDemo!$C$19,$V$26+SUM(W26:AB26)-Q26,0)</f>
        <v>20.491803278688526</v>
      </c>
      <c r="AE26" s="23">
        <f>IF(ConceptDemo!$C$7=Backend!$A$2,Backend!AD26,IF(P26=ConceptDemo!$C$40,ConceptDemo!$C$39,AD26))</f>
        <v>20.491803278688526</v>
      </c>
      <c r="AF26" s="23">
        <f>AE26-(AE26*$AF$22)</f>
        <v>17.418032786885249</v>
      </c>
      <c r="AG26" s="23">
        <f>AE26+(AE26*$AF$22)</f>
        <v>23.565573770491802</v>
      </c>
      <c r="AH26" s="23">
        <f>AG26-AF26</f>
        <v>6.1475409836065538</v>
      </c>
    </row>
    <row r="27" spans="1:34" x14ac:dyDescent="0.25">
      <c r="A27" t="s">
        <v>43</v>
      </c>
      <c r="B27" s="21">
        <v>959.4</v>
      </c>
      <c r="C27" t="s">
        <v>51</v>
      </c>
      <c r="E27" s="5" t="s">
        <v>141</v>
      </c>
      <c r="G27" s="23">
        <f>G20/$E$24</f>
        <v>0.16393442622950818</v>
      </c>
      <c r="H27" s="23">
        <f>H20/$E$24</f>
        <v>0.32786885245901637</v>
      </c>
      <c r="I27" s="23">
        <f>I26/I25</f>
        <v>1.9346938775510203</v>
      </c>
      <c r="J27" s="23">
        <f>J26/E24</f>
        <v>0.57089327534292411</v>
      </c>
      <c r="P27" s="16">
        <f>IFERROR(IF(P26+1=ConceptDemo!$C$19+10,"",Backend!P26+1),"")</f>
        <v>44445</v>
      </c>
      <c r="Q27">
        <f>IF(OR(P27&lt;ConceptDemo!$C$17,Backend!P27&gt;ConceptDemo!$C$19),0,IF(Backend!P27&lt;=Backend!$R$12,Backend!Q26+Backend!$T$12,IF(Backend!P27&lt;=Backend!$R$13,Backend!Q26+Backend!$T$13,IF(Backend!P27&lt;=Backend!$R$14,Backend!Q26+Backend!$T$14,IF(Backend!P27&lt;=Backend!$R$15,Backend!Q26+Backend!$T$15,IF(Backend!P27&lt;=Backend!$X$16,Backend!Q26+Backend!$Z$16))))))</f>
        <v>0</v>
      </c>
      <c r="R27" s="24" t="str">
        <f>IF(1&lt;=ConceptDemo!$K$41,IF(P27=$W$12,ConceptDemo!$K$39,""),"")</f>
        <v/>
      </c>
      <c r="S27" s="24" t="str">
        <f>IF(2&lt;=ConceptDemo!$K$41,IF(P27=$W$13,ConceptDemo!$K$39,""),"")</f>
        <v/>
      </c>
      <c r="T27" s="24" t="str">
        <f>IF(3&lt;=ConceptDemo!$K$41,IF(P27=$W$14,ConceptDemo!$K$39,""),"")</f>
        <v/>
      </c>
      <c r="U27" s="24" t="str">
        <f>IF(4&lt;=ConceptDemo!$K$41,IF(P27=$W$15,ConceptDemo!$K$39,""),"")</f>
        <v/>
      </c>
      <c r="W27" s="23">
        <f>IF($P27&lt;ConceptDemo!$C$17+$E$24-10,$G$27,0)</f>
        <v>0.16393442622950818</v>
      </c>
      <c r="X27" s="23">
        <f>IF($P27&lt;ConceptDemo!$C$17+$E$24-10,$H$27,0)</f>
        <v>0.32786885245901637</v>
      </c>
      <c r="Y27" s="13">
        <f t="shared" ref="Y27:Y90" si="1">IFERROR(IF(AND($P27&gt;=$W$12,$P27&lt;$W$12+$I$25),$I$27,0),0)</f>
        <v>0</v>
      </c>
      <c r="Z27" s="13">
        <f t="shared" ref="Z27:Z90" si="2">IFERROR(IF(AND($P27&gt;=$W$13,$P27&lt;$W$13+$I$25),$I$27,0),0)</f>
        <v>0</v>
      </c>
      <c r="AA27" s="13">
        <f t="shared" ref="AA27:AA90" si="3">IFERROR(IF(AND($P27&gt;=$W$14,$P27&lt;$W$14+$I$25),$I$27,0),0)</f>
        <v>0</v>
      </c>
      <c r="AB27" s="13">
        <f t="shared" ref="AB27:AB90" si="4">IFERROR(IF(AND($P27&gt;=$W$15,$P27&lt;$W$15+$I$25),$I$27,0),0)</f>
        <v>0</v>
      </c>
      <c r="AC27" s="23">
        <f t="shared" ref="AC27:AC90" si="5">IF(Q27&gt;0,$J$27,0)</f>
        <v>0</v>
      </c>
      <c r="AD27" s="23">
        <f>IF(P27&lt;=ConceptDemo!$C$19,AD26+SUM(W27:AB27)-(Q27-Q26)-AC27,0)</f>
        <v>20.983606557377051</v>
      </c>
      <c r="AE27" s="23">
        <f>IF(ConceptDemo!$C$7=Backend!$A$2,AD27,IF(AE26&lt;&gt;AD26,IF(P27&lt;=ConceptDemo!$C$19,AE26+SUM(W27:AB27)-(Q27-Q26)-AC27,0),IF(P27=ConceptDemo!$C$40,ConceptDemo!$C$39,AD27)))</f>
        <v>20.983606557377051</v>
      </c>
      <c r="AF27" s="23">
        <f>IF(AE27=0,0,IF(AE27-(AE27*($AF$22+0.1%))&gt;=AE27-(AE27*$AG$22),AE27-(AE27*$AG$22),AE27-(AE27*($AF$22+0.1%))))</f>
        <v>16.716939890710385</v>
      </c>
      <c r="AG27" s="23">
        <f>IF(AE27=0,0,IF(AE27+(AE27*($AF$22+0.1%))&gt;=AE27+(AE27*$AG$22),AE27+(AE27*$AG$22),AE27+(AE27*($AF$22+0.1%))))</f>
        <v>24.152131147540985</v>
      </c>
      <c r="AH27" s="23">
        <f t="shared" ref="AH27:AH90" si="6">AG27-AF27</f>
        <v>7.4351912568305991</v>
      </c>
    </row>
    <row r="28" spans="1:34" x14ac:dyDescent="0.25">
      <c r="A28" t="s">
        <v>44</v>
      </c>
      <c r="B28" s="21">
        <v>1463.2</v>
      </c>
      <c r="C28" t="s">
        <v>51</v>
      </c>
      <c r="P28" s="16">
        <f>IFERROR(IF(P27+1=ConceptDemo!$C$19+10,"",Backend!P27+1),"")</f>
        <v>44446</v>
      </c>
      <c r="Q28">
        <f>IF(OR(P28&lt;ConceptDemo!$C$17,Backend!P28&gt;ConceptDemo!$C$19),0,IF(Backend!P28&lt;=Backend!$R$12,Backend!Q27+Backend!$T$12,IF(Backend!P28&lt;=Backend!$R$13,Backend!Q27+Backend!$T$13,IF(Backend!P28&lt;=Backend!$R$14,Backend!Q27+Backend!$T$14,IF(Backend!P28&lt;=Backend!$R$15,Backend!Q27+Backend!$T$15,IF(Backend!P28&lt;=Backend!$X$16,Backend!Q27+Backend!$Z$16))))))</f>
        <v>0</v>
      </c>
      <c r="R28" s="24" t="str">
        <f>IF(1&lt;=ConceptDemo!$K$41,IF(P28=$W$12,ConceptDemo!$K$39,""),"")</f>
        <v/>
      </c>
      <c r="S28" s="24" t="str">
        <f>IF(2&lt;=ConceptDemo!$K$41,IF(P28=$W$13,ConceptDemo!$K$39,""),"")</f>
        <v/>
      </c>
      <c r="T28" s="24" t="str">
        <f>IF(3&lt;=ConceptDemo!$K$41,IF(P28=$W$14,ConceptDemo!$K$39,""),"")</f>
        <v/>
      </c>
      <c r="U28" s="24" t="str">
        <f>IF(4&lt;=ConceptDemo!$K$41,IF(P28=$W$15,ConceptDemo!$K$39,""),"")</f>
        <v/>
      </c>
      <c r="W28" s="23">
        <f>IF($P28&lt;ConceptDemo!$C$17+$E$24-10,$G$27,0)</f>
        <v>0.16393442622950818</v>
      </c>
      <c r="X28" s="23">
        <f>IF($P28&lt;ConceptDemo!$C$17+$E$24-10,$H$27,0)</f>
        <v>0.32786885245901637</v>
      </c>
      <c r="Y28" s="13">
        <f t="shared" si="1"/>
        <v>0</v>
      </c>
      <c r="Z28" s="13">
        <f t="shared" si="2"/>
        <v>0</v>
      </c>
      <c r="AA28" s="13">
        <f t="shared" si="3"/>
        <v>0</v>
      </c>
      <c r="AB28" s="13">
        <f t="shared" si="4"/>
        <v>0</v>
      </c>
      <c r="AC28" s="23">
        <f t="shared" si="5"/>
        <v>0</v>
      </c>
      <c r="AD28" s="23">
        <f>IF(P28&lt;=ConceptDemo!$C$19,AD27+SUM(W28:AB28)-(Q28-Q27)-AC28,0)</f>
        <v>21.475409836065577</v>
      </c>
      <c r="AE28" s="23">
        <f>IF(ConceptDemo!$C$7=Backend!$A$2,AD28,IF(AE27&lt;&gt;AD27,IF(P28&lt;=ConceptDemo!$C$19,AE27+SUM(W28:AB28)-(Q28-Q27)-AC28,0),IF(P28=ConceptDemo!$C$40,ConceptDemo!$C$39,AD28)))</f>
        <v>21.475409836065577</v>
      </c>
      <c r="AF28" s="23">
        <f t="shared" ref="AF28:AF91" si="7">IF(AE28=0,0,IF(AE28-(AE28*($AF$22+0.1%))&gt;=AE28-(AE28*$AG$22),AE28-(AE28*$AG$22),AE28-(AE28*($AF$22+0.1%))))</f>
        <v>17.10874316939891</v>
      </c>
      <c r="AG28" s="23">
        <f t="shared" ref="AG28:AG91" si="8">IF(AE28=0,0,IF(AE28+(AE28*($AF$22+0.1%))&gt;=AE28+(AE28*$AG$22),AE28+(AE28*$AG$22),AE28+(AE28*($AF$22+0.1%))))</f>
        <v>24.718196721311479</v>
      </c>
      <c r="AH28" s="23">
        <f t="shared" si="6"/>
        <v>7.6094535519125692</v>
      </c>
    </row>
    <row r="29" spans="1:34" x14ac:dyDescent="0.25">
      <c r="A29" t="s">
        <v>45</v>
      </c>
      <c r="B29" s="21">
        <v>681.3</v>
      </c>
      <c r="C29" t="s">
        <v>51</v>
      </c>
      <c r="P29" s="16">
        <f>IFERROR(IF(P28+1=ConceptDemo!$C$19+10,"",Backend!P28+1),"")</f>
        <v>44447</v>
      </c>
      <c r="Q29">
        <f>IF(OR(P29&lt;ConceptDemo!$C$17,Backend!P29&gt;ConceptDemo!$C$19),0,IF(Backend!P29&lt;=Backend!$R$12,Backend!Q28+Backend!$T$12,IF(Backend!P29&lt;=Backend!$R$13,Backend!Q28+Backend!$T$13,IF(Backend!P29&lt;=Backend!$R$14,Backend!Q28+Backend!$T$14,IF(Backend!P29&lt;=Backend!$R$15,Backend!Q28+Backend!$T$15,IF(Backend!P29&lt;=Backend!$X$16,Backend!Q28+Backend!$Z$16))))))</f>
        <v>0</v>
      </c>
      <c r="R29" s="24" t="str">
        <f>IF(1&lt;=ConceptDemo!$K$41,IF(P29=$W$12,ConceptDemo!$K$39,""),"")</f>
        <v/>
      </c>
      <c r="S29" s="24" t="str">
        <f>IF(2&lt;=ConceptDemo!$K$41,IF(P29=$W$13,ConceptDemo!$K$39,""),"")</f>
        <v/>
      </c>
      <c r="T29" s="24" t="str">
        <f>IF(3&lt;=ConceptDemo!$K$41,IF(P29=$W$14,ConceptDemo!$K$39,""),"")</f>
        <v/>
      </c>
      <c r="U29" s="24" t="str">
        <f>IF(4&lt;=ConceptDemo!$K$41,IF(P29=$W$15,ConceptDemo!$K$39,""),"")</f>
        <v/>
      </c>
      <c r="W29" s="23">
        <f>IF($P29&lt;ConceptDemo!$C$17+$E$24-10,$G$27,0)</f>
        <v>0.16393442622950818</v>
      </c>
      <c r="X29" s="23">
        <f>IF($P29&lt;ConceptDemo!$C$17+$E$24-10,$H$27,0)</f>
        <v>0.32786885245901637</v>
      </c>
      <c r="Y29" s="13">
        <f t="shared" si="1"/>
        <v>0</v>
      </c>
      <c r="Z29" s="13">
        <f t="shared" si="2"/>
        <v>0</v>
      </c>
      <c r="AA29" s="13">
        <f t="shared" si="3"/>
        <v>0</v>
      </c>
      <c r="AB29" s="13">
        <f t="shared" si="4"/>
        <v>0</v>
      </c>
      <c r="AC29" s="23">
        <f t="shared" si="5"/>
        <v>0</v>
      </c>
      <c r="AD29" s="23">
        <f>IF(P29&lt;=ConceptDemo!$C$19,AD28+SUM(W29:AB29)-(Q29-Q28)-AC29,0)</f>
        <v>21.967213114754102</v>
      </c>
      <c r="AE29" s="23">
        <f>IF(ConceptDemo!$C$7=Backend!$A$2,AD29,IF(AE28&lt;&gt;AD28,IF(P29&lt;=ConceptDemo!$C$19,AE28+SUM(W29:AB29)-(Q29-Q28)-AC29,0),IF(P29=ConceptDemo!$C$40,ConceptDemo!$C$39,AD29)))</f>
        <v>21.967213114754102</v>
      </c>
      <c r="AF29" s="23">
        <f t="shared" si="7"/>
        <v>17.500546448087434</v>
      </c>
      <c r="AG29" s="23">
        <f t="shared" si="8"/>
        <v>25.284262295081973</v>
      </c>
      <c r="AH29" s="23">
        <f t="shared" si="6"/>
        <v>7.7837158469945393</v>
      </c>
    </row>
    <row r="30" spans="1:34" x14ac:dyDescent="0.25">
      <c r="A30" t="s">
        <v>46</v>
      </c>
      <c r="B30" s="21">
        <v>2901.3</v>
      </c>
      <c r="C30" t="s">
        <v>51</v>
      </c>
      <c r="P30" s="16">
        <f>IFERROR(IF(P29+1=ConceptDemo!$C$19+10,"",Backend!P29+1),"")</f>
        <v>44448</v>
      </c>
      <c r="Q30">
        <f>IF(OR(P30&lt;ConceptDemo!$C$17,Backend!P30&gt;ConceptDemo!$C$19),0,IF(Backend!P30&lt;=Backend!$R$12,Backend!Q29+Backend!$T$12,IF(Backend!P30&lt;=Backend!$R$13,Backend!Q29+Backend!$T$13,IF(Backend!P30&lt;=Backend!$R$14,Backend!Q29+Backend!$T$14,IF(Backend!P30&lt;=Backend!$R$15,Backend!Q29+Backend!$T$15,IF(Backend!P30&lt;=Backend!$X$16,Backend!Q29+Backend!$Z$16))))))</f>
        <v>0</v>
      </c>
      <c r="R30" s="24" t="str">
        <f>IF(1&lt;=ConceptDemo!$K$41,IF(P30=$W$12,ConceptDemo!$K$39,""),"")</f>
        <v/>
      </c>
      <c r="S30" s="24" t="str">
        <f>IF(2&lt;=ConceptDemo!$K$41,IF(P30=$W$13,ConceptDemo!$K$39,""),"")</f>
        <v/>
      </c>
      <c r="T30" s="24" t="str">
        <f>IF(3&lt;=ConceptDemo!$K$41,IF(P30=$W$14,ConceptDemo!$K$39,""),"")</f>
        <v/>
      </c>
      <c r="U30" s="24" t="str">
        <f>IF(4&lt;=ConceptDemo!$K$41,IF(P30=$W$15,ConceptDemo!$K$39,""),"")</f>
        <v/>
      </c>
      <c r="W30" s="23">
        <f>IF($P30&lt;ConceptDemo!$C$17+$E$24-10,$G$27,0)</f>
        <v>0.16393442622950818</v>
      </c>
      <c r="X30" s="23">
        <f>IF($P30&lt;ConceptDemo!$C$17+$E$24-10,$H$27,0)</f>
        <v>0.32786885245901637</v>
      </c>
      <c r="Y30" s="13">
        <f t="shared" si="1"/>
        <v>0</v>
      </c>
      <c r="Z30" s="13">
        <f t="shared" si="2"/>
        <v>0</v>
      </c>
      <c r="AA30" s="13">
        <f t="shared" si="3"/>
        <v>0</v>
      </c>
      <c r="AB30" s="13">
        <f t="shared" si="4"/>
        <v>0</v>
      </c>
      <c r="AC30" s="23">
        <f t="shared" si="5"/>
        <v>0</v>
      </c>
      <c r="AD30" s="23">
        <f>IF(P30&lt;=ConceptDemo!$C$19,AD29+SUM(W30:AB30)-(Q30-Q29)-AC30,0)</f>
        <v>22.459016393442628</v>
      </c>
      <c r="AE30" s="23">
        <f>IF(ConceptDemo!$C$7=Backend!$A$2,AD30,IF(AE29&lt;&gt;AD29,IF(P30&lt;=ConceptDemo!$C$19,AE29+SUM(W30:AB30)-(Q30-Q29)-AC30,0),IF(P30=ConceptDemo!$C$40,ConceptDemo!$C$39,AD30)))</f>
        <v>22.459016393442628</v>
      </c>
      <c r="AF30" s="23">
        <f t="shared" si="7"/>
        <v>17.892349726775961</v>
      </c>
      <c r="AG30" s="23">
        <f t="shared" si="8"/>
        <v>25.850327868852464</v>
      </c>
      <c r="AH30" s="23">
        <f t="shared" si="6"/>
        <v>7.9579781420765023</v>
      </c>
    </row>
    <row r="31" spans="1:34" x14ac:dyDescent="0.25">
      <c r="A31" t="s">
        <v>48</v>
      </c>
      <c r="B31" s="21">
        <v>920.2</v>
      </c>
      <c r="C31" t="s">
        <v>51</v>
      </c>
      <c r="P31" s="16">
        <f>IFERROR(IF(P30+1=ConceptDemo!$C$19+10,"",Backend!P30+1),"")</f>
        <v>44449</v>
      </c>
      <c r="Q31">
        <f>IF(OR(P31&lt;ConceptDemo!$C$17,Backend!P31&gt;ConceptDemo!$C$19),0,IF(Backend!P31&lt;=Backend!$R$12,Backend!Q30+Backend!$T$12,IF(Backend!P31&lt;=Backend!$R$13,Backend!Q30+Backend!$T$13,IF(Backend!P31&lt;=Backend!$R$14,Backend!Q30+Backend!$T$14,IF(Backend!P31&lt;=Backend!$R$15,Backend!Q30+Backend!$T$15,IF(Backend!P31&lt;=Backend!$X$16,Backend!Q30+Backend!$Z$16))))))</f>
        <v>0</v>
      </c>
      <c r="R31" s="24" t="str">
        <f>IF(1&lt;=ConceptDemo!$K$41,IF(P31=$W$12,ConceptDemo!$K$39,""),"")</f>
        <v/>
      </c>
      <c r="S31" s="24" t="str">
        <f>IF(2&lt;=ConceptDemo!$K$41,IF(P31=$W$13,ConceptDemo!$K$39,""),"")</f>
        <v/>
      </c>
      <c r="T31" s="24" t="str">
        <f>IF(3&lt;=ConceptDemo!$K$41,IF(P31=$W$14,ConceptDemo!$K$39,""),"")</f>
        <v/>
      </c>
      <c r="U31" s="24" t="str">
        <f>IF(4&lt;=ConceptDemo!$K$41,IF(P31=$W$15,ConceptDemo!$K$39,""),"")</f>
        <v/>
      </c>
      <c r="W31" s="23">
        <f>IF($P31&lt;ConceptDemo!$C$17+$E$24-10,$G$27,0)</f>
        <v>0.16393442622950818</v>
      </c>
      <c r="X31" s="23">
        <f>IF($P31&lt;ConceptDemo!$C$17+$E$24-10,$H$27,0)</f>
        <v>0.32786885245901637</v>
      </c>
      <c r="Y31" s="13">
        <f t="shared" si="1"/>
        <v>0</v>
      </c>
      <c r="Z31" s="13">
        <f t="shared" si="2"/>
        <v>0</v>
      </c>
      <c r="AA31" s="13">
        <f t="shared" si="3"/>
        <v>0</v>
      </c>
      <c r="AB31" s="13">
        <f t="shared" si="4"/>
        <v>0</v>
      </c>
      <c r="AC31" s="23">
        <f t="shared" si="5"/>
        <v>0</v>
      </c>
      <c r="AD31" s="23">
        <f>IF(P31&lt;=ConceptDemo!$C$19,AD30+SUM(W31:AB31)-(Q31-Q30)-AC31,0)</f>
        <v>22.950819672131153</v>
      </c>
      <c r="AE31" s="23">
        <f>IF(ConceptDemo!$C$7=Backend!$A$2,AD31,IF(AE30&lt;&gt;AD30,IF(P31&lt;=ConceptDemo!$C$19,AE30+SUM(W31:AB31)-(Q31-Q30)-AC31,0),IF(P31=ConceptDemo!$C$40,ConceptDemo!$C$39,AD31)))</f>
        <v>22.950819672131153</v>
      </c>
      <c r="AF31" s="23">
        <f t="shared" si="7"/>
        <v>18.284153005464486</v>
      </c>
      <c r="AG31" s="23">
        <f t="shared" si="8"/>
        <v>26.416393442622958</v>
      </c>
      <c r="AH31" s="23">
        <f t="shared" si="6"/>
        <v>8.1322404371584724</v>
      </c>
    </row>
    <row r="32" spans="1:34" x14ac:dyDescent="0.25">
      <c r="A32" t="s">
        <v>47</v>
      </c>
      <c r="B32" s="21">
        <v>880</v>
      </c>
      <c r="C32" t="s">
        <v>51</v>
      </c>
      <c r="P32" s="16">
        <f>IFERROR(IF(P31+1=ConceptDemo!$C$19+10,"",Backend!P31+1),"")</f>
        <v>44450</v>
      </c>
      <c r="Q32">
        <f>IF(OR(P32&lt;ConceptDemo!$C$17,Backend!P32&gt;ConceptDemo!$C$19),0,IF(Backend!P32&lt;=Backend!$R$12,Backend!Q31+Backend!$T$12,IF(Backend!P32&lt;=Backend!$R$13,Backend!Q31+Backend!$T$13,IF(Backend!P32&lt;=Backend!$R$14,Backend!Q31+Backend!$T$14,IF(Backend!P32&lt;=Backend!$R$15,Backend!Q31+Backend!$T$15,IF(Backend!P32&lt;=Backend!$X$16,Backend!Q31+Backend!$Z$16))))))</f>
        <v>0</v>
      </c>
      <c r="R32" s="24" t="str">
        <f>IF(1&lt;=ConceptDemo!$K$41,IF(P32=$W$12,ConceptDemo!$K$39,""),"")</f>
        <v/>
      </c>
      <c r="S32" s="24" t="str">
        <f>IF(2&lt;=ConceptDemo!$K$41,IF(P32=$W$13,ConceptDemo!$K$39,""),"")</f>
        <v/>
      </c>
      <c r="T32" s="24" t="str">
        <f>IF(3&lt;=ConceptDemo!$K$41,IF(P32=$W$14,ConceptDemo!$K$39,""),"")</f>
        <v/>
      </c>
      <c r="U32" s="24" t="str">
        <f>IF(4&lt;=ConceptDemo!$K$41,IF(P32=$W$15,ConceptDemo!$K$39,""),"")</f>
        <v/>
      </c>
      <c r="W32" s="23">
        <f>IF($P32&lt;ConceptDemo!$C$17+$E$24-10,$G$27,0)</f>
        <v>0.16393442622950818</v>
      </c>
      <c r="X32" s="23">
        <f>IF($P32&lt;ConceptDemo!$C$17+$E$24-10,$H$27,0)</f>
        <v>0.32786885245901637</v>
      </c>
      <c r="Y32" s="13">
        <f t="shared" si="1"/>
        <v>0</v>
      </c>
      <c r="Z32" s="13">
        <f t="shared" si="2"/>
        <v>0</v>
      </c>
      <c r="AA32" s="13">
        <f t="shared" si="3"/>
        <v>0</v>
      </c>
      <c r="AB32" s="13">
        <f t="shared" si="4"/>
        <v>0</v>
      </c>
      <c r="AC32" s="23">
        <f t="shared" si="5"/>
        <v>0</v>
      </c>
      <c r="AD32" s="23">
        <f>IF(P32&lt;=ConceptDemo!$C$19,AD31+SUM(W32:AB32)-(Q32-Q31)-AC32,0)</f>
        <v>23.442622950819679</v>
      </c>
      <c r="AE32" s="23">
        <f>IF(ConceptDemo!$C$7=Backend!$A$2,AD32,IF(AE31&lt;&gt;AD31,IF(P32&lt;=ConceptDemo!$C$19,AE31+SUM(W32:AB32)-(Q32-Q31)-AC32,0),IF(P32=ConceptDemo!$C$40,ConceptDemo!$C$39,AD32)))</f>
        <v>23.442622950819679</v>
      </c>
      <c r="AF32" s="23">
        <f t="shared" si="7"/>
        <v>18.67595628415301</v>
      </c>
      <c r="AG32" s="23">
        <f t="shared" si="8"/>
        <v>26.982459016393449</v>
      </c>
      <c r="AH32" s="23">
        <f t="shared" si="6"/>
        <v>8.306502732240439</v>
      </c>
    </row>
    <row r="33" spans="1:34" x14ac:dyDescent="0.25">
      <c r="A33" t="s">
        <v>49</v>
      </c>
      <c r="B33" s="21">
        <v>1148.8</v>
      </c>
      <c r="C33" t="s">
        <v>51</v>
      </c>
      <c r="P33" s="16">
        <f>IFERROR(IF(P32+1=ConceptDemo!$C$19+10,"",Backend!P32+1),"")</f>
        <v>44451</v>
      </c>
      <c r="Q33">
        <f>IF(OR(P33&lt;ConceptDemo!$C$17,Backend!P33&gt;ConceptDemo!$C$19),0,IF(Backend!P33&lt;=Backend!$R$12,Backend!Q32+Backend!$T$12,IF(Backend!P33&lt;=Backend!$R$13,Backend!Q32+Backend!$T$13,IF(Backend!P33&lt;=Backend!$R$14,Backend!Q32+Backend!$T$14,IF(Backend!P33&lt;=Backend!$R$15,Backend!Q32+Backend!$T$15,IF(Backend!P33&lt;=Backend!$X$16,Backend!Q32+Backend!$Z$16))))))</f>
        <v>0</v>
      </c>
      <c r="R33" s="24" t="str">
        <f>IF(1&lt;=ConceptDemo!$K$41,IF(P33=$W$12,ConceptDemo!$K$39,""),"")</f>
        <v/>
      </c>
      <c r="S33" s="24" t="str">
        <f>IF(2&lt;=ConceptDemo!$K$41,IF(P33=$W$13,ConceptDemo!$K$39,""),"")</f>
        <v/>
      </c>
      <c r="T33" s="24" t="str">
        <f>IF(3&lt;=ConceptDemo!$K$41,IF(P33=$W$14,ConceptDemo!$K$39,""),"")</f>
        <v/>
      </c>
      <c r="U33" s="24" t="str">
        <f>IF(4&lt;=ConceptDemo!$K$41,IF(P33=$W$15,ConceptDemo!$K$39,""),"")</f>
        <v/>
      </c>
      <c r="W33" s="23">
        <f>IF($P33&lt;ConceptDemo!$C$17+$E$24-10,$G$27,0)</f>
        <v>0.16393442622950818</v>
      </c>
      <c r="X33" s="23">
        <f>IF($P33&lt;ConceptDemo!$C$17+$E$24-10,$H$27,0)</f>
        <v>0.32786885245901637</v>
      </c>
      <c r="Y33" s="13">
        <f t="shared" si="1"/>
        <v>0</v>
      </c>
      <c r="Z33" s="13">
        <f t="shared" si="2"/>
        <v>0</v>
      </c>
      <c r="AA33" s="13">
        <f t="shared" si="3"/>
        <v>0</v>
      </c>
      <c r="AB33" s="13">
        <f t="shared" si="4"/>
        <v>0</v>
      </c>
      <c r="AC33" s="23">
        <f t="shared" si="5"/>
        <v>0</v>
      </c>
      <c r="AD33" s="23">
        <f>IF(P33&lt;=ConceptDemo!$C$19,AD32+SUM(W33:AB33)-(Q33-Q32)-AC33,0)</f>
        <v>23.934426229508205</v>
      </c>
      <c r="AE33" s="23">
        <f>IF(ConceptDemo!$C$7=Backend!$A$2,AD33,IF(AE32&lt;&gt;AD32,IF(P33&lt;=ConceptDemo!$C$19,AE32+SUM(W33:AB33)-(Q33-Q32)-AC33,0),IF(P33=ConceptDemo!$C$40,ConceptDemo!$C$39,AD33)))</f>
        <v>23.934426229508205</v>
      </c>
      <c r="AF33" s="23">
        <f t="shared" si="7"/>
        <v>19.067759562841538</v>
      </c>
      <c r="AG33" s="23">
        <f t="shared" si="8"/>
        <v>27.548524590163943</v>
      </c>
      <c r="AH33" s="23">
        <f t="shared" si="6"/>
        <v>8.4807650273224056</v>
      </c>
    </row>
    <row r="34" spans="1:34" x14ac:dyDescent="0.25">
      <c r="P34" s="16">
        <f>IFERROR(IF(P33+1=ConceptDemo!$C$19+10,"",Backend!P33+1),"")</f>
        <v>44452</v>
      </c>
      <c r="Q34">
        <f>IF(OR(P34&lt;ConceptDemo!$C$17,Backend!P34&gt;ConceptDemo!$C$19),0,IF(Backend!P34&lt;=Backend!$R$12,Backend!Q33+Backend!$T$12,IF(Backend!P34&lt;=Backend!$R$13,Backend!Q33+Backend!$T$13,IF(Backend!P34&lt;=Backend!$R$14,Backend!Q33+Backend!$T$14,IF(Backend!P34&lt;=Backend!$R$15,Backend!Q33+Backend!$T$15,IF(Backend!P34&lt;=Backend!$X$16,Backend!Q33+Backend!$Z$16))))))</f>
        <v>0</v>
      </c>
      <c r="R34" s="24" t="str">
        <f>IF(1&lt;=ConceptDemo!$K$41,IF(P34=$W$12,ConceptDemo!$K$39,""),"")</f>
        <v/>
      </c>
      <c r="S34" s="24" t="str">
        <f>IF(2&lt;=ConceptDemo!$K$41,IF(P34=$W$13,ConceptDemo!$K$39,""),"")</f>
        <v/>
      </c>
      <c r="T34" s="24" t="str">
        <f>IF(3&lt;=ConceptDemo!$K$41,IF(P34=$W$14,ConceptDemo!$K$39,""),"")</f>
        <v/>
      </c>
      <c r="U34" s="24" t="str">
        <f>IF(4&lt;=ConceptDemo!$K$41,IF(P34=$W$15,ConceptDemo!$K$39,""),"")</f>
        <v/>
      </c>
      <c r="W34" s="23">
        <f>IF($P34&lt;ConceptDemo!$C$17+$E$24-10,$G$27,0)</f>
        <v>0.16393442622950818</v>
      </c>
      <c r="X34" s="23">
        <f>IF($P34&lt;ConceptDemo!$C$17+$E$24-10,$H$27,0)</f>
        <v>0.32786885245901637</v>
      </c>
      <c r="Y34" s="13">
        <f t="shared" si="1"/>
        <v>0</v>
      </c>
      <c r="Z34" s="13">
        <f t="shared" si="2"/>
        <v>0</v>
      </c>
      <c r="AA34" s="13">
        <f t="shared" si="3"/>
        <v>0</v>
      </c>
      <c r="AB34" s="13">
        <f t="shared" si="4"/>
        <v>0</v>
      </c>
      <c r="AC34" s="23">
        <f t="shared" si="5"/>
        <v>0</v>
      </c>
      <c r="AD34" s="23">
        <f>IF(P34&lt;=ConceptDemo!$C$19,AD33+SUM(W34:AB34)-(Q34-Q33)-AC34,0)</f>
        <v>24.42622950819673</v>
      </c>
      <c r="AE34" s="23">
        <f>IF(ConceptDemo!$C$7=Backend!$A$2,AD34,IF(AE33&lt;&gt;AD33,IF(P34&lt;=ConceptDemo!$C$19,AE33+SUM(W34:AB34)-(Q34-Q33)-AC34,0),IF(P34=ConceptDemo!$C$40,ConceptDemo!$C$39,AD34)))</f>
        <v>24.42622950819673</v>
      </c>
      <c r="AF34" s="23">
        <f t="shared" si="7"/>
        <v>19.459562841530062</v>
      </c>
      <c r="AG34" s="23">
        <f t="shared" si="8"/>
        <v>28.114590163934437</v>
      </c>
      <c r="AH34" s="23">
        <f t="shared" si="6"/>
        <v>8.6550273224043757</v>
      </c>
    </row>
    <row r="35" spans="1:34" x14ac:dyDescent="0.25">
      <c r="P35" s="16">
        <f>IFERROR(IF(P34+1=ConceptDemo!$C$19+10,"",Backend!P34+1),"")</f>
        <v>44453</v>
      </c>
      <c r="Q35">
        <f>IF(OR(P35&lt;ConceptDemo!$C$17,Backend!P35&gt;ConceptDemo!$C$19),0,IF(Backend!P35&lt;=Backend!$R$12,Backend!Q34+Backend!$T$12,IF(Backend!P35&lt;=Backend!$R$13,Backend!Q34+Backend!$T$13,IF(Backend!P35&lt;=Backend!$R$14,Backend!Q34+Backend!$T$14,IF(Backend!P35&lt;=Backend!$R$15,Backend!Q34+Backend!$T$15,IF(Backend!P35&lt;=Backend!$X$16,Backend!Q34+Backend!$Z$16))))))</f>
        <v>0</v>
      </c>
      <c r="R35" s="24" t="str">
        <f>IF(1&lt;=ConceptDemo!$K$41,IF(P35=$W$12,ConceptDemo!$K$39,""),"")</f>
        <v/>
      </c>
      <c r="S35" s="24" t="str">
        <f>IF(2&lt;=ConceptDemo!$K$41,IF(P35=$W$13,ConceptDemo!$K$39,""),"")</f>
        <v/>
      </c>
      <c r="T35" s="24" t="str">
        <f>IF(3&lt;=ConceptDemo!$K$41,IF(P35=$W$14,ConceptDemo!$K$39,""),"")</f>
        <v/>
      </c>
      <c r="U35" s="24" t="str">
        <f>IF(4&lt;=ConceptDemo!$K$41,IF(P35=$W$15,ConceptDemo!$K$39,""),"")</f>
        <v/>
      </c>
      <c r="W35" s="23">
        <f>IF($P35&lt;ConceptDemo!$C$17+$E$24-10,$G$27,0)</f>
        <v>0.16393442622950818</v>
      </c>
      <c r="X35" s="23">
        <f>IF($P35&lt;ConceptDemo!$C$17+$E$24-10,$H$27,0)</f>
        <v>0.32786885245901637</v>
      </c>
      <c r="Y35" s="13">
        <f t="shared" si="1"/>
        <v>0</v>
      </c>
      <c r="Z35" s="13">
        <f t="shared" si="2"/>
        <v>0</v>
      </c>
      <c r="AA35" s="13">
        <f t="shared" si="3"/>
        <v>0</v>
      </c>
      <c r="AB35" s="13">
        <f t="shared" si="4"/>
        <v>0</v>
      </c>
      <c r="AC35" s="23">
        <f t="shared" si="5"/>
        <v>0</v>
      </c>
      <c r="AD35" s="23">
        <f>IF(P35&lt;=ConceptDemo!$C$19,AD34+SUM(W35:AB35)-(Q35-Q34)-AC35,0)</f>
        <v>24.918032786885256</v>
      </c>
      <c r="AE35" s="23">
        <f>IF(ConceptDemo!$C$7=Backend!$A$2,AD35,IF(AE34&lt;&gt;AD34,IF(P35&lt;=ConceptDemo!$C$19,AE34+SUM(W35:AB35)-(Q35-Q34)-AC35,0),IF(P35=ConceptDemo!$C$40,ConceptDemo!$C$39,AD35)))</f>
        <v>24.918032786885256</v>
      </c>
      <c r="AF35" s="23">
        <f t="shared" si="7"/>
        <v>19.851366120218586</v>
      </c>
      <c r="AG35" s="23">
        <f t="shared" si="8"/>
        <v>28.680655737704928</v>
      </c>
      <c r="AH35" s="23">
        <f t="shared" si="6"/>
        <v>8.8292896174863422</v>
      </c>
    </row>
    <row r="36" spans="1:34" x14ac:dyDescent="0.25">
      <c r="A36" s="6" t="s">
        <v>28</v>
      </c>
      <c r="P36" s="16">
        <f>IFERROR(IF(P35+1=ConceptDemo!$C$19+10,"",Backend!P35+1),"")</f>
        <v>44454</v>
      </c>
      <c r="Q36" s="13">
        <f>IF(OR(P36&lt;ConceptDemo!$C$17,Backend!P36&gt;ConceptDemo!$C$19),0,IF(Backend!P36&lt;=Backend!$R$12,Backend!Q35+Backend!$T$12,IF(Backend!P36&lt;=Backend!$R$13,Backend!Q35+Backend!$T$13,IF(Backend!P36&lt;=Backend!$R$14,Backend!Q35+Backend!$T$14,IF(Backend!P36&lt;=Backend!$R$15,Backend!Q35+Backend!$T$15,IF(Backend!P36&lt;=Backend!$X$16,Backend!Q35+Backend!$Z$16))))))</f>
        <v>0.62087152586483829</v>
      </c>
      <c r="R36" s="24" t="str">
        <f>IF(1&lt;=ConceptDemo!$K$41,IF(P36=$W$12,ConceptDemo!$K$39,""),"")</f>
        <v/>
      </c>
      <c r="S36" s="24" t="str">
        <f>IF(2&lt;=ConceptDemo!$K$41,IF(P36=$W$13,ConceptDemo!$K$39,""),"")</f>
        <v/>
      </c>
      <c r="T36" s="24" t="str">
        <f>IF(3&lt;=ConceptDemo!$K$41,IF(P36=$W$14,ConceptDemo!$K$39,""),"")</f>
        <v/>
      </c>
      <c r="U36" s="24" t="str">
        <f>IF(4&lt;=ConceptDemo!$K$41,IF(P36=$W$15,ConceptDemo!$K$39,""),"")</f>
        <v/>
      </c>
      <c r="W36" s="23">
        <f>IF($P36&lt;ConceptDemo!$C$17+$E$24-10,$G$27,0)</f>
        <v>0.16393442622950818</v>
      </c>
      <c r="X36" s="23">
        <f>IF($P36&lt;ConceptDemo!$C$17+$E$24-10,$H$27,0)</f>
        <v>0.32786885245901637</v>
      </c>
      <c r="Y36" s="13">
        <f t="shared" si="1"/>
        <v>0</v>
      </c>
      <c r="Z36" s="13">
        <f t="shared" si="2"/>
        <v>0</v>
      </c>
      <c r="AA36" s="13">
        <f t="shared" si="3"/>
        <v>0</v>
      </c>
      <c r="AB36" s="13">
        <f t="shared" si="4"/>
        <v>0</v>
      </c>
      <c r="AC36" s="23">
        <f t="shared" si="5"/>
        <v>0.57089327534292411</v>
      </c>
      <c r="AD36" s="23">
        <f>IF(P36&lt;=ConceptDemo!$C$19,AD35+SUM(W36:AB36)-(Q36-Q35)-AC36,0)</f>
        <v>24.218071264366017</v>
      </c>
      <c r="AE36" s="23">
        <f>IF(ConceptDemo!$C$7=Backend!$A$2,AD36,IF(AE35&lt;&gt;AD35,IF(P36&lt;=ConceptDemo!$C$19,AE35+SUM(W36:AB36)-(Q36-Q35)-AC36,0),IF(P36=ConceptDemo!$C$40,ConceptDemo!$C$39,AD36)))</f>
        <v>24.218071264366017</v>
      </c>
      <c r="AF36" s="23">
        <f t="shared" si="7"/>
        <v>19.293730107278261</v>
      </c>
      <c r="AG36" s="23">
        <f t="shared" si="8"/>
        <v>27.875000025285285</v>
      </c>
      <c r="AH36" s="23">
        <f t="shared" si="6"/>
        <v>8.581269918007024</v>
      </c>
    </row>
    <row r="37" spans="1:34" x14ac:dyDescent="0.25">
      <c r="P37" s="16">
        <f>IFERROR(IF(P36+1=ConceptDemo!$C$19+10,"",Backend!P36+1),"")</f>
        <v>44455</v>
      </c>
      <c r="Q37" s="13">
        <f>IF(OR(P37&lt;ConceptDemo!$C$17,Backend!P37&gt;ConceptDemo!$C$19),0,IF(Backend!P37&lt;=Backend!$R$12,Backend!Q36+Backend!$T$12,IF(Backend!P37&lt;=Backend!$R$13,Backend!Q36+Backend!$T$13,IF(Backend!P37&lt;=Backend!$R$14,Backend!Q36+Backend!$T$14,IF(Backend!P37&lt;=Backend!$R$15,Backend!Q36+Backend!$T$15,IF(Backend!P37&lt;=Backend!$X$16,Backend!Q36+Backend!$Z$16))))))</f>
        <v>1.2417430517296766</v>
      </c>
      <c r="R37" s="24" t="str">
        <f>IF(1&lt;=ConceptDemo!$K$41,IF(P37=$W$12,ConceptDemo!$K$39,""),"")</f>
        <v/>
      </c>
      <c r="S37" s="24" t="str">
        <f>IF(2&lt;=ConceptDemo!$K$41,IF(P37=$W$13,ConceptDemo!$K$39,""),"")</f>
        <v/>
      </c>
      <c r="T37" s="24" t="str">
        <f>IF(3&lt;=ConceptDemo!$K$41,IF(P37=$W$14,ConceptDemo!$K$39,""),"")</f>
        <v/>
      </c>
      <c r="U37" s="24" t="str">
        <f>IF(4&lt;=ConceptDemo!$K$41,IF(P37=$W$15,ConceptDemo!$K$39,""),"")</f>
        <v/>
      </c>
      <c r="W37" s="23">
        <f>IF($P37&lt;ConceptDemo!$C$17+$E$24-10,$G$27,0)</f>
        <v>0.16393442622950818</v>
      </c>
      <c r="X37" s="23">
        <f>IF($P37&lt;ConceptDemo!$C$17+$E$24-10,$H$27,0)</f>
        <v>0.32786885245901637</v>
      </c>
      <c r="Y37" s="13">
        <f t="shared" si="1"/>
        <v>0</v>
      </c>
      <c r="Z37" s="13">
        <f t="shared" si="2"/>
        <v>0</v>
      </c>
      <c r="AA37" s="13">
        <f t="shared" si="3"/>
        <v>0</v>
      </c>
      <c r="AB37" s="13">
        <f t="shared" si="4"/>
        <v>0</v>
      </c>
      <c r="AC37" s="23">
        <f t="shared" si="5"/>
        <v>0.57089327534292411</v>
      </c>
      <c r="AD37" s="23">
        <f>IF(P37&lt;=ConceptDemo!$C$19,AD36+SUM(W37:AB37)-(Q37-Q36)-AC37,0)</f>
        <v>23.518109741846779</v>
      </c>
      <c r="AE37" s="23">
        <f>IF(ConceptDemo!$C$7=Backend!$A$2,AD37,IF(AE36&lt;&gt;AD36,IF(P37&lt;=ConceptDemo!$C$19,AE36+SUM(W37:AB37)-(Q37-Q36)-AC37,0),IF(P37=ConceptDemo!$C$40,ConceptDemo!$C$39,AD37)))</f>
        <v>23.518109741846779</v>
      </c>
      <c r="AF37" s="23">
        <f t="shared" si="7"/>
        <v>18.736094094337933</v>
      </c>
      <c r="AG37" s="23">
        <f t="shared" si="8"/>
        <v>27.069344312865642</v>
      </c>
      <c r="AH37" s="23">
        <f t="shared" si="6"/>
        <v>8.3332502185277093</v>
      </c>
    </row>
    <row r="38" spans="1:34" x14ac:dyDescent="0.25">
      <c r="A38" t="s">
        <v>100</v>
      </c>
      <c r="B38" s="19">
        <f>((ConceptDemo!C23*ConceptDemo!C24)/C12)/1000</f>
        <v>43.530612244897959</v>
      </c>
      <c r="C38" t="s">
        <v>5</v>
      </c>
      <c r="P38" s="16">
        <f>IFERROR(IF(P37+1=ConceptDemo!$C$19+10,"",Backend!P37+1),"")</f>
        <v>44456</v>
      </c>
      <c r="Q38" s="13">
        <f>IF(OR(P38&lt;ConceptDemo!$C$17,Backend!P38&gt;ConceptDemo!$C$19),0,IF(Backend!P38&lt;=Backend!$R$12,Backend!Q37+Backend!$T$12,IF(Backend!P38&lt;=Backend!$R$13,Backend!Q37+Backend!$T$13,IF(Backend!P38&lt;=Backend!$R$14,Backend!Q37+Backend!$T$14,IF(Backend!P38&lt;=Backend!$R$15,Backend!Q37+Backend!$T$15,IF(Backend!P38&lt;=Backend!$X$16,Backend!Q37+Backend!$Z$16))))))</f>
        <v>1.8626145775945149</v>
      </c>
      <c r="R38" s="24" t="str">
        <f>IF(1&lt;=ConceptDemo!$K$41,IF(P38=$W$12,ConceptDemo!$K$39,""),"")</f>
        <v/>
      </c>
      <c r="S38" s="24" t="str">
        <f>IF(2&lt;=ConceptDemo!$K$41,IF(P38=$W$13,ConceptDemo!$K$39,""),"")</f>
        <v/>
      </c>
      <c r="T38" s="24" t="str">
        <f>IF(3&lt;=ConceptDemo!$K$41,IF(P38=$W$14,ConceptDemo!$K$39,""),"")</f>
        <v/>
      </c>
      <c r="U38" s="24" t="str">
        <f>IF(4&lt;=ConceptDemo!$K$41,IF(P38=$W$15,ConceptDemo!$K$39,""),"")</f>
        <v/>
      </c>
      <c r="W38" s="23">
        <f>IF($P38&lt;ConceptDemo!$C$17+$E$24-10,$G$27,0)</f>
        <v>0.16393442622950818</v>
      </c>
      <c r="X38" s="23">
        <f>IF($P38&lt;ConceptDemo!$C$17+$E$24-10,$H$27,0)</f>
        <v>0.32786885245901637</v>
      </c>
      <c r="Y38" s="13">
        <f t="shared" si="1"/>
        <v>0</v>
      </c>
      <c r="Z38" s="13">
        <f t="shared" si="2"/>
        <v>0</v>
      </c>
      <c r="AA38" s="13">
        <f t="shared" si="3"/>
        <v>0</v>
      </c>
      <c r="AB38" s="13">
        <f t="shared" si="4"/>
        <v>0</v>
      </c>
      <c r="AC38" s="23">
        <f t="shared" si="5"/>
        <v>0.57089327534292411</v>
      </c>
      <c r="AD38" s="23">
        <f>IF(P38&lt;=ConceptDemo!$C$19,AD37+SUM(W38:AB38)-(Q38-Q37)-AC38,0)</f>
        <v>22.81814821932754</v>
      </c>
      <c r="AE38" s="23">
        <f>IF(ConceptDemo!$C$7=Backend!$A$2,AD38,IF(AE37&lt;&gt;AD37,IF(P38&lt;=ConceptDemo!$C$19,AE37+SUM(W38:AB38)-(Q38-Q37)-AC38,0),IF(P38=ConceptDemo!$C$40,ConceptDemo!$C$39,AD38)))</f>
        <v>22.81814821932754</v>
      </c>
      <c r="AF38" s="23">
        <f t="shared" si="7"/>
        <v>18.178458081397608</v>
      </c>
      <c r="AG38" s="23">
        <f t="shared" si="8"/>
        <v>26.263688600445999</v>
      </c>
      <c r="AH38" s="23">
        <f t="shared" si="6"/>
        <v>8.0852305190483911</v>
      </c>
    </row>
    <row r="39" spans="1:34" x14ac:dyDescent="0.25">
      <c r="A39" t="s">
        <v>116</v>
      </c>
      <c r="B39" s="20">
        <f>B38*C12</f>
        <v>42.66</v>
      </c>
      <c r="C39" t="s">
        <v>5</v>
      </c>
      <c r="P39" s="16">
        <f>IFERROR(IF(P38+1=ConceptDemo!$C$19+10,"",Backend!P38+1),"")</f>
        <v>44457</v>
      </c>
      <c r="Q39" s="13">
        <f>IF(OR(P39&lt;ConceptDemo!$C$17,Backend!P39&gt;ConceptDemo!$C$19),0,IF(Backend!P39&lt;=Backend!$R$12,Backend!Q38+Backend!$T$12,IF(Backend!P39&lt;=Backend!$R$13,Backend!Q38+Backend!$T$13,IF(Backend!P39&lt;=Backend!$R$14,Backend!Q38+Backend!$T$14,IF(Backend!P39&lt;=Backend!$R$15,Backend!Q38+Backend!$T$15,IF(Backend!P39&lt;=Backend!$X$16,Backend!Q38+Backend!$Z$16))))))</f>
        <v>2.4834861034593532</v>
      </c>
      <c r="R39" s="24" t="str">
        <f>IF(1&lt;=ConceptDemo!$K$41,IF(P39=$W$12,ConceptDemo!$K$39,""),"")</f>
        <v/>
      </c>
      <c r="S39" s="24" t="str">
        <f>IF(2&lt;=ConceptDemo!$K$41,IF(P39=$W$13,ConceptDemo!$K$39,""),"")</f>
        <v/>
      </c>
      <c r="T39" s="24" t="str">
        <f>IF(3&lt;=ConceptDemo!$K$41,IF(P39=$W$14,ConceptDemo!$K$39,""),"")</f>
        <v/>
      </c>
      <c r="U39" s="24" t="str">
        <f>IF(4&lt;=ConceptDemo!$K$41,IF(P39=$W$15,ConceptDemo!$K$39,""),"")</f>
        <v/>
      </c>
      <c r="W39" s="23">
        <f>IF($P39&lt;ConceptDemo!$C$17+$E$24-10,$G$27,0)</f>
        <v>0.16393442622950818</v>
      </c>
      <c r="X39" s="23">
        <f>IF($P39&lt;ConceptDemo!$C$17+$E$24-10,$H$27,0)</f>
        <v>0.32786885245901637</v>
      </c>
      <c r="Y39" s="13">
        <f t="shared" si="1"/>
        <v>0</v>
      </c>
      <c r="Z39" s="13">
        <f t="shared" si="2"/>
        <v>0</v>
      </c>
      <c r="AA39" s="13">
        <f t="shared" si="3"/>
        <v>0</v>
      </c>
      <c r="AB39" s="13">
        <f t="shared" si="4"/>
        <v>0</v>
      </c>
      <c r="AC39" s="23">
        <f t="shared" si="5"/>
        <v>0.57089327534292411</v>
      </c>
      <c r="AD39" s="23">
        <f>IF(P39&lt;=ConceptDemo!$C$19,AD38+SUM(W39:AB39)-(Q39-Q38)-AC39,0)</f>
        <v>22.118186696808301</v>
      </c>
      <c r="AE39" s="23">
        <f>IF(ConceptDemo!$C$7=Backend!$A$2,AD39,IF(AE38&lt;&gt;AD38,IF(P39&lt;=ConceptDemo!$C$19,AE38+SUM(W39:AB39)-(Q39-Q38)-AC39,0),IF(P39=ConceptDemo!$C$40,ConceptDemo!$C$39,AD39)))</f>
        <v>22.118186696808301</v>
      </c>
      <c r="AF39" s="23">
        <f t="shared" si="7"/>
        <v>17.620822068457279</v>
      </c>
      <c r="AG39" s="23">
        <f t="shared" si="8"/>
        <v>25.458032888026356</v>
      </c>
      <c r="AH39" s="23">
        <f t="shared" si="6"/>
        <v>7.8372108195690764</v>
      </c>
    </row>
    <row r="40" spans="1:34" x14ac:dyDescent="0.25">
      <c r="A40" t="s">
        <v>115</v>
      </c>
      <c r="B40" s="20">
        <f>B39*B12</f>
        <v>31.994999999999997</v>
      </c>
      <c r="C40" t="s">
        <v>5</v>
      </c>
      <c r="P40" s="16">
        <f>IFERROR(IF(P39+1=ConceptDemo!$C$19+10,"",Backend!P39+1),"")</f>
        <v>44458</v>
      </c>
      <c r="Q40" s="13">
        <f>IF(OR(P40&lt;ConceptDemo!$C$17,Backend!P40&gt;ConceptDemo!$C$19),0,IF(Backend!P40&lt;=Backend!$R$12,Backend!Q39+Backend!$T$12,IF(Backend!P40&lt;=Backend!$R$13,Backend!Q39+Backend!$T$13,IF(Backend!P40&lt;=Backend!$R$14,Backend!Q39+Backend!$T$14,IF(Backend!P40&lt;=Backend!$R$15,Backend!Q39+Backend!$T$15,IF(Backend!P40&lt;=Backend!$X$16,Backend!Q39+Backend!$Z$16))))))</f>
        <v>3.1043576293241912</v>
      </c>
      <c r="R40" s="24" t="str">
        <f>IF(1&lt;=ConceptDemo!$K$41,IF(P40=$W$12,ConceptDemo!$K$39,""),"")</f>
        <v/>
      </c>
      <c r="S40" s="24" t="str">
        <f>IF(2&lt;=ConceptDemo!$K$41,IF(P40=$W$13,ConceptDemo!$K$39,""),"")</f>
        <v/>
      </c>
      <c r="T40" s="24" t="str">
        <f>IF(3&lt;=ConceptDemo!$K$41,IF(P40=$W$14,ConceptDemo!$K$39,""),"")</f>
        <v/>
      </c>
      <c r="U40" s="24" t="str">
        <f>IF(4&lt;=ConceptDemo!$K$41,IF(P40=$W$15,ConceptDemo!$K$39,""),"")</f>
        <v/>
      </c>
      <c r="W40" s="23">
        <f>IF($P40&lt;ConceptDemo!$C$17+$E$24-10,$G$27,0)</f>
        <v>0.16393442622950818</v>
      </c>
      <c r="X40" s="23">
        <f>IF($P40&lt;ConceptDemo!$C$17+$E$24-10,$H$27,0)</f>
        <v>0.32786885245901637</v>
      </c>
      <c r="Y40" s="13">
        <f t="shared" si="1"/>
        <v>0</v>
      </c>
      <c r="Z40" s="13">
        <f t="shared" si="2"/>
        <v>0</v>
      </c>
      <c r="AA40" s="13">
        <f t="shared" si="3"/>
        <v>0</v>
      </c>
      <c r="AB40" s="13">
        <f t="shared" si="4"/>
        <v>0</v>
      </c>
      <c r="AC40" s="23">
        <f t="shared" si="5"/>
        <v>0.57089327534292411</v>
      </c>
      <c r="AD40" s="23">
        <f>IF(P40&lt;=ConceptDemo!$C$19,AD39+SUM(W40:AB40)-(Q40-Q39)-AC40,0)</f>
        <v>21.418225174289063</v>
      </c>
      <c r="AE40" s="23">
        <f>IF(ConceptDemo!$C$7=Backend!$A$2,AD40,IF(AE39&lt;&gt;AD39,IF(P40&lt;=ConceptDemo!$C$19,AE39+SUM(W40:AB40)-(Q40-Q39)-AC40,0),IF(P40=ConceptDemo!$C$40,ConceptDemo!$C$39,AD40)))</f>
        <v>21.418225174289063</v>
      </c>
      <c r="AF40" s="23">
        <f t="shared" si="7"/>
        <v>17.063186055516955</v>
      </c>
      <c r="AG40" s="23">
        <f t="shared" si="8"/>
        <v>24.652377175606713</v>
      </c>
      <c r="AH40" s="23">
        <f t="shared" si="6"/>
        <v>7.5891911200897582</v>
      </c>
    </row>
    <row r="41" spans="1:34" x14ac:dyDescent="0.25">
      <c r="A41" t="s">
        <v>117</v>
      </c>
      <c r="B41" s="20">
        <f>B40*D12</f>
        <v>29.435399999999998</v>
      </c>
      <c r="C41" t="s">
        <v>5</v>
      </c>
      <c r="P41" s="16">
        <f>IFERROR(IF(P40+1=ConceptDemo!$C$19+10,"",Backend!P40+1),"")</f>
        <v>44459</v>
      </c>
      <c r="Q41" s="13">
        <f>IF(OR(P41&lt;ConceptDemo!$C$17,Backend!P41&gt;ConceptDemo!$C$19),0,IF(Backend!P41&lt;=Backend!$R$12,Backend!Q40+Backend!$T$12,IF(Backend!P41&lt;=Backend!$R$13,Backend!Q40+Backend!$T$13,IF(Backend!P41&lt;=Backend!$R$14,Backend!Q40+Backend!$T$14,IF(Backend!P41&lt;=Backend!$R$15,Backend!Q40+Backend!$T$15,IF(Backend!P41&lt;=Backend!$X$16,Backend!Q40+Backend!$Z$16))))))</f>
        <v>3.7252291551890293</v>
      </c>
      <c r="R41" s="24" t="str">
        <f>IF(1&lt;=ConceptDemo!$K$41,IF(P41=$W$12,ConceptDemo!$K$39,""),"")</f>
        <v/>
      </c>
      <c r="S41" s="24" t="str">
        <f>IF(2&lt;=ConceptDemo!$K$41,IF(P41=$W$13,ConceptDemo!$K$39,""),"")</f>
        <v/>
      </c>
      <c r="T41" s="24" t="str">
        <f>IF(3&lt;=ConceptDemo!$K$41,IF(P41=$W$14,ConceptDemo!$K$39,""),"")</f>
        <v/>
      </c>
      <c r="U41" s="24" t="str">
        <f>IF(4&lt;=ConceptDemo!$K$41,IF(P41=$W$15,ConceptDemo!$K$39,""),"")</f>
        <v/>
      </c>
      <c r="W41" s="23">
        <f>IF($P41&lt;ConceptDemo!$C$17+$E$24-10,$G$27,0)</f>
        <v>0.16393442622950818</v>
      </c>
      <c r="X41" s="23">
        <f>IF($P41&lt;ConceptDemo!$C$17+$E$24-10,$H$27,0)</f>
        <v>0.32786885245901637</v>
      </c>
      <c r="Y41" s="13">
        <f t="shared" si="1"/>
        <v>0</v>
      </c>
      <c r="Z41" s="13">
        <f t="shared" si="2"/>
        <v>0</v>
      </c>
      <c r="AA41" s="13">
        <f t="shared" si="3"/>
        <v>0</v>
      </c>
      <c r="AB41" s="13">
        <f t="shared" si="4"/>
        <v>0</v>
      </c>
      <c r="AC41" s="23">
        <f t="shared" si="5"/>
        <v>0.57089327534292411</v>
      </c>
      <c r="AD41" s="23">
        <f>IF(P41&lt;=ConceptDemo!$C$19,AD40+SUM(W41:AB41)-(Q41-Q40)-AC41,0)</f>
        <v>20.718263651769824</v>
      </c>
      <c r="AE41" s="23">
        <f>IF(ConceptDemo!$C$7=Backend!$A$2,AD41,IF(AE40&lt;&gt;AD40,IF(P41&lt;=ConceptDemo!$C$19,AE40+SUM(W41:AB41)-(Q41-Q40)-AC41,0),IF(P41=ConceptDemo!$C$40,ConceptDemo!$C$39,AD41)))</f>
        <v>20.718263651769824</v>
      </c>
      <c r="AF41" s="23">
        <f t="shared" si="7"/>
        <v>16.505550042576626</v>
      </c>
      <c r="AG41" s="23">
        <f t="shared" si="8"/>
        <v>23.846721463187066</v>
      </c>
      <c r="AH41" s="23">
        <f t="shared" si="6"/>
        <v>7.3411714206104399</v>
      </c>
    </row>
    <row r="42" spans="1:34" x14ac:dyDescent="0.25">
      <c r="P42" s="16">
        <f>IFERROR(IF(P41+1=ConceptDemo!$C$19+10,"",Backend!P41+1),"")</f>
        <v>44460</v>
      </c>
      <c r="Q42" s="13">
        <f>IF(OR(P42&lt;ConceptDemo!$C$17,Backend!P42&gt;ConceptDemo!$C$19),0,IF(Backend!P42&lt;=Backend!$R$12,Backend!Q41+Backend!$T$12,IF(Backend!P42&lt;=Backend!$R$13,Backend!Q41+Backend!$T$13,IF(Backend!P42&lt;=Backend!$R$14,Backend!Q41+Backend!$T$14,IF(Backend!P42&lt;=Backend!$R$15,Backend!Q41+Backend!$T$15,IF(Backend!P42&lt;=Backend!$X$16,Backend!Q41+Backend!$Z$16))))))</f>
        <v>4.3461006810538674</v>
      </c>
      <c r="R42" s="24" t="str">
        <f>IF(1&lt;=ConceptDemo!$K$41,IF(P42=$W$12,ConceptDemo!$K$39,""),"")</f>
        <v/>
      </c>
      <c r="S42" s="24" t="str">
        <f>IF(2&lt;=ConceptDemo!$K$41,IF(P42=$W$13,ConceptDemo!$K$39,""),"")</f>
        <v/>
      </c>
      <c r="T42" s="24" t="str">
        <f>IF(3&lt;=ConceptDemo!$K$41,IF(P42=$W$14,ConceptDemo!$K$39,""),"")</f>
        <v/>
      </c>
      <c r="U42" s="24" t="str">
        <f>IF(4&lt;=ConceptDemo!$K$41,IF(P42=$W$15,ConceptDemo!$K$39,""),"")</f>
        <v/>
      </c>
      <c r="W42" s="23">
        <f>IF($P42&lt;ConceptDemo!$C$17+$E$24-10,$G$27,0)</f>
        <v>0.16393442622950818</v>
      </c>
      <c r="X42" s="23">
        <f>IF($P42&lt;ConceptDemo!$C$17+$E$24-10,$H$27,0)</f>
        <v>0.32786885245901637</v>
      </c>
      <c r="Y42" s="13">
        <f t="shared" si="1"/>
        <v>0</v>
      </c>
      <c r="Z42" s="13">
        <f t="shared" si="2"/>
        <v>0</v>
      </c>
      <c r="AA42" s="13">
        <f t="shared" si="3"/>
        <v>0</v>
      </c>
      <c r="AB42" s="13">
        <f t="shared" si="4"/>
        <v>0</v>
      </c>
      <c r="AC42" s="23">
        <f t="shared" si="5"/>
        <v>0.57089327534292411</v>
      </c>
      <c r="AD42" s="23">
        <f>IF(P42&lt;=ConceptDemo!$C$19,AD41+SUM(W42:AB42)-(Q42-Q41)-AC42,0)</f>
        <v>20.018302129250586</v>
      </c>
      <c r="AE42" s="23">
        <f>IF(ConceptDemo!$C$7=Backend!$A$2,AD42,IF(AE41&lt;&gt;AD41,IF(P42&lt;=ConceptDemo!$C$19,AE41+SUM(W42:AB42)-(Q42-Q41)-AC42,0),IF(P42=ConceptDemo!$C$40,ConceptDemo!$C$39,AD42)))</f>
        <v>20.018302129250586</v>
      </c>
      <c r="AF42" s="23">
        <f t="shared" si="7"/>
        <v>15.9479140296363</v>
      </c>
      <c r="AG42" s="23">
        <f t="shared" si="8"/>
        <v>23.041065750767423</v>
      </c>
      <c r="AH42" s="23">
        <f t="shared" si="6"/>
        <v>7.0931517211311235</v>
      </c>
    </row>
    <row r="43" spans="1:34" x14ac:dyDescent="0.25">
      <c r="A43" t="s">
        <v>72</v>
      </c>
      <c r="E43" t="s">
        <v>88</v>
      </c>
      <c r="P43" s="16">
        <f>IFERROR(IF(P42+1=ConceptDemo!$C$19+10,"",Backend!P42+1),"")</f>
        <v>44461</v>
      </c>
      <c r="Q43" s="13">
        <f>IF(OR(P43&lt;ConceptDemo!$C$17,Backend!P43&gt;ConceptDemo!$C$19),0,IF(Backend!P43&lt;=Backend!$R$12,Backend!Q42+Backend!$T$12,IF(Backend!P43&lt;=Backend!$R$13,Backend!Q42+Backend!$T$13,IF(Backend!P43&lt;=Backend!$R$14,Backend!Q42+Backend!$T$14,IF(Backend!P43&lt;=Backend!$R$15,Backend!Q42+Backend!$T$15,IF(Backend!P43&lt;=Backend!$X$16,Backend!Q42+Backend!$Z$16))))))</f>
        <v>4.9669722069187054</v>
      </c>
      <c r="R43" s="24" t="str">
        <f>IF(1&lt;=ConceptDemo!$K$41,IF(P43=$W$12,ConceptDemo!$K$39,""),"")</f>
        <v/>
      </c>
      <c r="S43" s="24" t="str">
        <f>IF(2&lt;=ConceptDemo!$K$41,IF(P43=$W$13,ConceptDemo!$K$39,""),"")</f>
        <v/>
      </c>
      <c r="T43" s="24" t="str">
        <f>IF(3&lt;=ConceptDemo!$K$41,IF(P43=$W$14,ConceptDemo!$K$39,""),"")</f>
        <v/>
      </c>
      <c r="U43" s="24" t="str">
        <f>IF(4&lt;=ConceptDemo!$K$41,IF(P43=$W$15,ConceptDemo!$K$39,""),"")</f>
        <v/>
      </c>
      <c r="W43" s="23">
        <f>IF($P43&lt;ConceptDemo!$C$17+$E$24-10,$G$27,0)</f>
        <v>0.16393442622950818</v>
      </c>
      <c r="X43" s="23">
        <f>IF($P43&lt;ConceptDemo!$C$17+$E$24-10,$H$27,0)</f>
        <v>0.32786885245901637</v>
      </c>
      <c r="Y43" s="13">
        <f t="shared" si="1"/>
        <v>0</v>
      </c>
      <c r="Z43" s="13">
        <f t="shared" si="2"/>
        <v>0</v>
      </c>
      <c r="AA43" s="13">
        <f t="shared" si="3"/>
        <v>0</v>
      </c>
      <c r="AB43" s="13">
        <f t="shared" si="4"/>
        <v>0</v>
      </c>
      <c r="AC43" s="23">
        <f t="shared" si="5"/>
        <v>0.57089327534292411</v>
      </c>
      <c r="AD43" s="23">
        <f>IF(P43&lt;=ConceptDemo!$C$19,AD42+SUM(W43:AB43)-(Q43-Q42)-AC43,0)</f>
        <v>19.318340606731347</v>
      </c>
      <c r="AE43" s="23">
        <f>IF(ConceptDemo!$C$7=Backend!$A$2,AD43,IF(AE42&lt;&gt;AD42,IF(P43&lt;=ConceptDemo!$C$19,AE42+SUM(W43:AB43)-(Q43-Q42)-AC43,0),IF(P43=ConceptDemo!$C$40,ConceptDemo!$C$39,AD43)))</f>
        <v>19.318340606731347</v>
      </c>
      <c r="AF43" s="23">
        <f t="shared" si="7"/>
        <v>15.390278016695973</v>
      </c>
      <c r="AG43" s="23">
        <f t="shared" si="8"/>
        <v>22.23541003834778</v>
      </c>
      <c r="AH43" s="23">
        <f t="shared" si="6"/>
        <v>6.845132021651807</v>
      </c>
    </row>
    <row r="44" spans="1:34" x14ac:dyDescent="0.25">
      <c r="A44" t="s">
        <v>89</v>
      </c>
      <c r="P44" s="16">
        <f>IFERROR(IF(P43+1=ConceptDemo!$C$19+10,"",Backend!P43+1),"")</f>
        <v>44462</v>
      </c>
      <c r="Q44" s="13">
        <f>IF(OR(P44&lt;ConceptDemo!$C$17,Backend!P44&gt;ConceptDemo!$C$19),0,IF(Backend!P44&lt;=Backend!$R$12,Backend!Q43+Backend!$T$12,IF(Backend!P44&lt;=Backend!$R$13,Backend!Q43+Backend!$T$13,IF(Backend!P44&lt;=Backend!$R$14,Backend!Q43+Backend!$T$14,IF(Backend!P44&lt;=Backend!$R$15,Backend!Q43+Backend!$T$15,IF(Backend!P44&lt;=Backend!$X$16,Backend!Q43+Backend!$Z$16))))))</f>
        <v>5.5878437327835435</v>
      </c>
      <c r="R44" s="24">
        <f>IF(1&lt;=ConceptDemo!$K$41,IF(P44=$W$12,ConceptDemo!$K$39,""),"")</f>
        <v>58.04081632653061</v>
      </c>
      <c r="S44" s="24" t="str">
        <f>IF(2&lt;=ConceptDemo!$K$41,IF(P44=$W$13,ConceptDemo!$K$39,""),"")</f>
        <v/>
      </c>
      <c r="T44" s="24" t="str">
        <f>IF(3&lt;=ConceptDemo!$K$41,IF(P44=$W$14,ConceptDemo!$K$39,""),"")</f>
        <v/>
      </c>
      <c r="U44" s="24" t="str">
        <f>IF(4&lt;=ConceptDemo!$K$41,IF(P44=$W$15,ConceptDemo!$K$39,""),"")</f>
        <v/>
      </c>
      <c r="W44" s="23">
        <f>IF($P44&lt;ConceptDemo!$C$17+$E$24-10,$G$27,0)</f>
        <v>0.16393442622950818</v>
      </c>
      <c r="X44" s="23">
        <f>IF($P44&lt;ConceptDemo!$C$17+$E$24-10,$H$27,0)</f>
        <v>0.32786885245901637</v>
      </c>
      <c r="Y44" s="13">
        <f t="shared" si="1"/>
        <v>1.9346938775510203</v>
      </c>
      <c r="Z44" s="13">
        <f t="shared" si="2"/>
        <v>0</v>
      </c>
      <c r="AA44" s="13">
        <f t="shared" si="3"/>
        <v>0</v>
      </c>
      <c r="AB44" s="13">
        <f t="shared" si="4"/>
        <v>0</v>
      </c>
      <c r="AC44" s="23">
        <f t="shared" si="5"/>
        <v>0.57089327534292411</v>
      </c>
      <c r="AD44" s="23">
        <f>IF(P44&lt;=ConceptDemo!$C$19,AD43+SUM(W44:AB44)-(Q44-Q43)-AC44,0)</f>
        <v>20.553072961763128</v>
      </c>
      <c r="AE44" s="23">
        <f>IF(ConceptDemo!$C$7=Backend!$A$2,AD44,IF(AE43&lt;&gt;AD43,IF(P44&lt;=ConceptDemo!$C$19,AE43+SUM(W44:AB44)-(Q44-Q43)-AC44,0),IF(P44=ConceptDemo!$C$40,ConceptDemo!$C$39,AD44)))</f>
        <v>20.553072961763128</v>
      </c>
      <c r="AF44" s="23">
        <f t="shared" si="7"/>
        <v>16.373948126204624</v>
      </c>
      <c r="AG44" s="23">
        <f t="shared" si="8"/>
        <v>23.65658697898936</v>
      </c>
      <c r="AH44" s="23">
        <f t="shared" si="6"/>
        <v>7.2826388527847357</v>
      </c>
    </row>
    <row r="45" spans="1:34" x14ac:dyDescent="0.25">
      <c r="A45" t="s">
        <v>88</v>
      </c>
      <c r="B45">
        <v>30</v>
      </c>
      <c r="C45" t="s">
        <v>5</v>
      </c>
      <c r="E45" t="s">
        <v>104</v>
      </c>
      <c r="P45" s="16">
        <f>IFERROR(IF(P44+1=ConceptDemo!$C$19+10,"",Backend!P44+1),"")</f>
        <v>44463</v>
      </c>
      <c r="Q45" s="13">
        <f>IF(OR(P45&lt;ConceptDemo!$C$17,Backend!P45&gt;ConceptDemo!$C$19),0,IF(Backend!P45&lt;=Backend!$R$12,Backend!Q44+Backend!$T$12,IF(Backend!P45&lt;=Backend!$R$13,Backend!Q44+Backend!$T$13,IF(Backend!P45&lt;=Backend!$R$14,Backend!Q44+Backend!$T$14,IF(Backend!P45&lt;=Backend!$R$15,Backend!Q44+Backend!$T$15,IF(Backend!P45&lt;=Backend!$X$16,Backend!Q44+Backend!$Z$16))))))</f>
        <v>6.2087152586483816</v>
      </c>
      <c r="R45" s="24" t="str">
        <f>IF(1&lt;=ConceptDemo!$K$41,IF(P45=$W$12,ConceptDemo!$K$39,""),"")</f>
        <v/>
      </c>
      <c r="S45" s="24" t="str">
        <f>IF(2&lt;=ConceptDemo!$K$41,IF(P45=$W$13,ConceptDemo!$K$39,""),"")</f>
        <v/>
      </c>
      <c r="T45" s="24" t="str">
        <f>IF(3&lt;=ConceptDemo!$K$41,IF(P45=$W$14,ConceptDemo!$K$39,""),"")</f>
        <v/>
      </c>
      <c r="U45" s="24" t="str">
        <f>IF(4&lt;=ConceptDemo!$K$41,IF(P45=$W$15,ConceptDemo!$K$39,""),"")</f>
        <v/>
      </c>
      <c r="W45" s="23">
        <f>IF($P45&lt;ConceptDemo!$C$17+$E$24-10,$G$27,0)</f>
        <v>0.16393442622950818</v>
      </c>
      <c r="X45" s="23">
        <f>IF($P45&lt;ConceptDemo!$C$17+$E$24-10,$H$27,0)</f>
        <v>0.32786885245901637</v>
      </c>
      <c r="Y45" s="13">
        <f t="shared" si="1"/>
        <v>1.9346938775510203</v>
      </c>
      <c r="Z45" s="13">
        <f t="shared" si="2"/>
        <v>0</v>
      </c>
      <c r="AA45" s="13">
        <f t="shared" si="3"/>
        <v>0</v>
      </c>
      <c r="AB45" s="13">
        <f t="shared" si="4"/>
        <v>0</v>
      </c>
      <c r="AC45" s="23">
        <f t="shared" si="5"/>
        <v>0.57089327534292411</v>
      </c>
      <c r="AD45" s="23">
        <f>IF(P45&lt;=ConceptDemo!$C$19,AD44+SUM(W45:AB45)-(Q45-Q44)-AC45,0)</f>
        <v>21.787805316794909</v>
      </c>
      <c r="AE45" s="23">
        <f>IF(ConceptDemo!$C$7=Backend!$A$2,AD45,IF(AE44&lt;&gt;AD44,IF(P45&lt;=ConceptDemo!$C$19,AE44+SUM(W45:AB45)-(Q45-Q44)-AC45,0),IF(P45=ConceptDemo!$C$40,ConceptDemo!$C$39,AD45)))</f>
        <v>21.787805316794909</v>
      </c>
      <c r="AF45" s="23">
        <f t="shared" si="7"/>
        <v>17.357618235713279</v>
      </c>
      <c r="AG45" s="23">
        <f t="shared" si="8"/>
        <v>25.077763919630939</v>
      </c>
      <c r="AH45" s="23">
        <f t="shared" si="6"/>
        <v>7.7201456839176608</v>
      </c>
    </row>
    <row r="46" spans="1:34" x14ac:dyDescent="0.25">
      <c r="A46" t="s">
        <v>90</v>
      </c>
      <c r="B46" s="23">
        <f>B38/B45</f>
        <v>1.4510204081632654</v>
      </c>
      <c r="C46" t="s">
        <v>91</v>
      </c>
      <c r="F46" s="28" t="s">
        <v>105</v>
      </c>
      <c r="P46" s="16">
        <f>IFERROR(IF(P45+1=ConceptDemo!$C$19+10,"",Backend!P45+1),"")</f>
        <v>44464</v>
      </c>
      <c r="Q46" s="13">
        <f>IF(OR(P46&lt;ConceptDemo!$C$17,Backend!P46&gt;ConceptDemo!$C$19),0,IF(Backend!P46&lt;=Backend!$R$12,Backend!Q45+Backend!$T$12,IF(Backend!P46&lt;=Backend!$R$13,Backend!Q45+Backend!$T$13,IF(Backend!P46&lt;=Backend!$R$14,Backend!Q45+Backend!$T$14,IF(Backend!P46&lt;=Backend!$R$15,Backend!Q45+Backend!$T$15,IF(Backend!P46&lt;=Backend!$X$16,Backend!Q45+Backend!$Z$16))))))</f>
        <v>6.8295867845132197</v>
      </c>
      <c r="R46" s="24" t="str">
        <f>IF(1&lt;=ConceptDemo!$K$41,IF(P46=$W$12,ConceptDemo!$K$39,""),"")</f>
        <v/>
      </c>
      <c r="S46" s="24" t="str">
        <f>IF(2&lt;=ConceptDemo!$K$41,IF(P46=$W$13,ConceptDemo!$K$39,""),"")</f>
        <v/>
      </c>
      <c r="T46" s="24" t="str">
        <f>IF(3&lt;=ConceptDemo!$K$41,IF(P46=$W$14,ConceptDemo!$K$39,""),"")</f>
        <v/>
      </c>
      <c r="U46" s="24" t="str">
        <f>IF(4&lt;=ConceptDemo!$K$41,IF(P46=$W$15,ConceptDemo!$K$39,""),"")</f>
        <v/>
      </c>
      <c r="W46" s="23">
        <f>IF($P46&lt;ConceptDemo!$C$17+$E$24-10,$G$27,0)</f>
        <v>0.16393442622950818</v>
      </c>
      <c r="X46" s="23">
        <f>IF($P46&lt;ConceptDemo!$C$17+$E$24-10,$H$27,0)</f>
        <v>0.32786885245901637</v>
      </c>
      <c r="Y46" s="13">
        <f t="shared" si="1"/>
        <v>1.9346938775510203</v>
      </c>
      <c r="Z46" s="13">
        <f t="shared" si="2"/>
        <v>0</v>
      </c>
      <c r="AA46" s="13">
        <f t="shared" si="3"/>
        <v>0</v>
      </c>
      <c r="AB46" s="13">
        <f t="shared" si="4"/>
        <v>0</v>
      </c>
      <c r="AC46" s="23">
        <f t="shared" si="5"/>
        <v>0.57089327534292411</v>
      </c>
      <c r="AD46" s="23">
        <f>IF(P46&lt;=ConceptDemo!$C$19,AD45+SUM(W46:AB46)-(Q46-Q45)-AC46,0)</f>
        <v>23.02253767182669</v>
      </c>
      <c r="AE46" s="23">
        <f>IF(ConceptDemo!$C$7=Backend!$A$2,AD46,IF(AE45&lt;&gt;AD45,IF(P46&lt;=ConceptDemo!$C$19,AE45+SUM(W46:AB46)-(Q46-Q45)-AC46,0),IF(P46=ConceptDemo!$C$40,ConceptDemo!$C$39,AD46)))</f>
        <v>23.02253767182669</v>
      </c>
      <c r="AF46" s="23">
        <f t="shared" si="7"/>
        <v>18.34128834522193</v>
      </c>
      <c r="AG46" s="23">
        <f t="shared" si="8"/>
        <v>26.498940860272519</v>
      </c>
      <c r="AH46" s="23">
        <f t="shared" si="6"/>
        <v>8.1576525150505894</v>
      </c>
    </row>
    <row r="47" spans="1:34" x14ac:dyDescent="0.25">
      <c r="A47">
        <v>20</v>
      </c>
      <c r="B47">
        <v>120</v>
      </c>
      <c r="E47" t="s">
        <v>106</v>
      </c>
      <c r="F47">
        <v>2.4</v>
      </c>
      <c r="P47" s="16">
        <f>IFERROR(IF(P46+1=ConceptDemo!$C$19+10,"",Backend!P46+1),"")</f>
        <v>44465</v>
      </c>
      <c r="Q47" s="13">
        <f>IF(OR(P47&lt;ConceptDemo!$C$17,Backend!P47&gt;ConceptDemo!$C$19),0,IF(Backend!P47&lt;=Backend!$R$12,Backend!Q46+Backend!$T$12,IF(Backend!P47&lt;=Backend!$R$13,Backend!Q46+Backend!$T$13,IF(Backend!P47&lt;=Backend!$R$14,Backend!Q46+Backend!$T$14,IF(Backend!P47&lt;=Backend!$R$15,Backend!Q46+Backend!$T$15,IF(Backend!P47&lt;=Backend!$X$16,Backend!Q46+Backend!$Z$16))))))</f>
        <v>7.4504583103780577</v>
      </c>
      <c r="R47" s="24" t="str">
        <f>IF(1&lt;=ConceptDemo!$K$41,IF(P47=$W$12,ConceptDemo!$K$39,""),"")</f>
        <v/>
      </c>
      <c r="S47" s="24" t="str">
        <f>IF(2&lt;=ConceptDemo!$K$41,IF(P47=$W$13,ConceptDemo!$K$39,""),"")</f>
        <v/>
      </c>
      <c r="T47" s="24" t="str">
        <f>IF(3&lt;=ConceptDemo!$K$41,IF(P47=$W$14,ConceptDemo!$K$39,""),"")</f>
        <v/>
      </c>
      <c r="U47" s="24" t="str">
        <f>IF(4&lt;=ConceptDemo!$K$41,IF(P47=$W$15,ConceptDemo!$K$39,""),"")</f>
        <v/>
      </c>
      <c r="W47" s="23">
        <f>IF($P47&lt;ConceptDemo!$C$17+$E$24-10,$G$27,0)</f>
        <v>0.16393442622950818</v>
      </c>
      <c r="X47" s="23">
        <f>IF($P47&lt;ConceptDemo!$C$17+$E$24-10,$H$27,0)</f>
        <v>0.32786885245901637</v>
      </c>
      <c r="Y47" s="13">
        <f t="shared" si="1"/>
        <v>1.9346938775510203</v>
      </c>
      <c r="Z47" s="13">
        <f t="shared" si="2"/>
        <v>0</v>
      </c>
      <c r="AA47" s="13">
        <f t="shared" si="3"/>
        <v>0</v>
      </c>
      <c r="AB47" s="13">
        <f t="shared" si="4"/>
        <v>0</v>
      </c>
      <c r="AC47" s="23">
        <f t="shared" si="5"/>
        <v>0.57089327534292411</v>
      </c>
      <c r="AD47" s="23">
        <f>IF(P47&lt;=ConceptDemo!$C$19,AD46+SUM(W47:AB47)-(Q47-Q46)-AC47,0)</f>
        <v>24.257270026858471</v>
      </c>
      <c r="AE47" s="23">
        <f>IF(ConceptDemo!$C$7=Backend!$A$2,AD47,IF(AE46&lt;&gt;AD46,IF(P47&lt;=ConceptDemo!$C$19,AE46+SUM(W47:AB47)-(Q47-Q46)-AC47,0),IF(P47=ConceptDemo!$C$40,ConceptDemo!$C$39,AD47)))</f>
        <v>24.257270026858471</v>
      </c>
      <c r="AF47" s="23">
        <f t="shared" si="7"/>
        <v>19.324958454730581</v>
      </c>
      <c r="AG47" s="23">
        <f t="shared" si="8"/>
        <v>27.920117800914099</v>
      </c>
      <c r="AH47" s="23">
        <f t="shared" si="6"/>
        <v>8.5951593461835181</v>
      </c>
    </row>
    <row r="48" spans="1:34" x14ac:dyDescent="0.25">
      <c r="A48">
        <v>40</v>
      </c>
      <c r="B48">
        <v>100</v>
      </c>
      <c r="P48" s="16">
        <f>IFERROR(IF(P47+1=ConceptDemo!$C$19+10,"",Backend!P47+1),"")</f>
        <v>44466</v>
      </c>
      <c r="Q48" s="13">
        <f>IF(OR(P48&lt;ConceptDemo!$C$17,Backend!P48&gt;ConceptDemo!$C$19),0,IF(Backend!P48&lt;=Backend!$R$12,Backend!Q47+Backend!$T$12,IF(Backend!P48&lt;=Backend!$R$13,Backend!Q47+Backend!$T$13,IF(Backend!P48&lt;=Backend!$R$14,Backend!Q47+Backend!$T$14,IF(Backend!P48&lt;=Backend!$R$15,Backend!Q47+Backend!$T$15,IF(Backend!P48&lt;=Backend!$X$16,Backend!Q47+Backend!$Z$16))))))</f>
        <v>8.0713298362428958</v>
      </c>
      <c r="R48" s="24" t="str">
        <f>IF(1&lt;=ConceptDemo!$K$41,IF(P48=$W$12,ConceptDemo!$K$39,""),"")</f>
        <v/>
      </c>
      <c r="S48" s="24" t="str">
        <f>IF(2&lt;=ConceptDemo!$K$41,IF(P48=$W$13,ConceptDemo!$K$39,""),"")</f>
        <v/>
      </c>
      <c r="T48" s="24" t="str">
        <f>IF(3&lt;=ConceptDemo!$K$41,IF(P48=$W$14,ConceptDemo!$K$39,""),"")</f>
        <v/>
      </c>
      <c r="U48" s="24" t="str">
        <f>IF(4&lt;=ConceptDemo!$K$41,IF(P48=$W$15,ConceptDemo!$K$39,""),"")</f>
        <v/>
      </c>
      <c r="W48" s="23">
        <f>IF($P48&lt;ConceptDemo!$C$17+$E$24-10,$G$27,0)</f>
        <v>0.16393442622950818</v>
      </c>
      <c r="X48" s="23">
        <f>IF($P48&lt;ConceptDemo!$C$17+$E$24-10,$H$27,0)</f>
        <v>0.32786885245901637</v>
      </c>
      <c r="Y48" s="13">
        <f t="shared" si="1"/>
        <v>1.9346938775510203</v>
      </c>
      <c r="Z48" s="13">
        <f t="shared" si="2"/>
        <v>0</v>
      </c>
      <c r="AA48" s="13">
        <f t="shared" si="3"/>
        <v>0</v>
      </c>
      <c r="AB48" s="13">
        <f t="shared" si="4"/>
        <v>0</v>
      </c>
      <c r="AC48" s="23">
        <f t="shared" si="5"/>
        <v>0.57089327534292411</v>
      </c>
      <c r="AD48" s="23">
        <f>IF(P48&lt;=ConceptDemo!$C$19,AD47+SUM(W48:AB48)-(Q48-Q47)-AC48,0)</f>
        <v>25.492002381890252</v>
      </c>
      <c r="AE48" s="23">
        <f>IF(ConceptDemo!$C$7=Backend!$A$2,AD48,IF(AE47&lt;&gt;AD47,IF(P48&lt;=ConceptDemo!$C$19,AE47+SUM(W48:AB48)-(Q48-Q47)-AC48,0),IF(P48=ConceptDemo!$C$40,ConceptDemo!$C$39,AD48)))</f>
        <v>25.492002381890252</v>
      </c>
      <c r="AF48" s="23">
        <f t="shared" si="7"/>
        <v>20.308628564239235</v>
      </c>
      <c r="AG48" s="23">
        <f t="shared" si="8"/>
        <v>29.341294741555679</v>
      </c>
      <c r="AH48" s="23">
        <f t="shared" si="6"/>
        <v>9.0326661773164432</v>
      </c>
    </row>
    <row r="49" spans="1:34" x14ac:dyDescent="0.25">
      <c r="A49">
        <v>60</v>
      </c>
      <c r="B49">
        <v>80</v>
      </c>
      <c r="E49" t="s">
        <v>107</v>
      </c>
      <c r="P49" s="16">
        <f>IFERROR(IF(P48+1=ConceptDemo!$C$19+10,"",Backend!P48+1),"")</f>
        <v>44467</v>
      </c>
      <c r="Q49" s="13">
        <f>IF(OR(P49&lt;ConceptDemo!$C$17,Backend!P49&gt;ConceptDemo!$C$19),0,IF(Backend!P49&lt;=Backend!$R$12,Backend!Q48+Backend!$T$12,IF(Backend!P49&lt;=Backend!$R$13,Backend!Q48+Backend!$T$13,IF(Backend!P49&lt;=Backend!$R$14,Backend!Q48+Backend!$T$14,IF(Backend!P49&lt;=Backend!$R$15,Backend!Q48+Backend!$T$15,IF(Backend!P49&lt;=Backend!$X$16,Backend!Q48+Backend!$Z$16))))))</f>
        <v>8.6922013621077348</v>
      </c>
      <c r="R49" s="24" t="str">
        <f>IF(1&lt;=ConceptDemo!$K$41,IF(P49=$W$12,ConceptDemo!$K$39,""),"")</f>
        <v/>
      </c>
      <c r="S49" s="24" t="str">
        <f>IF(2&lt;=ConceptDemo!$K$41,IF(P49=$W$13,ConceptDemo!$K$39,""),"")</f>
        <v/>
      </c>
      <c r="T49" s="24" t="str">
        <f>IF(3&lt;=ConceptDemo!$K$41,IF(P49=$W$14,ConceptDemo!$K$39,""),"")</f>
        <v/>
      </c>
      <c r="U49" s="24" t="str">
        <f>IF(4&lt;=ConceptDemo!$K$41,IF(P49=$W$15,ConceptDemo!$K$39,""),"")</f>
        <v/>
      </c>
      <c r="W49" s="23">
        <f>IF($P49&lt;ConceptDemo!$C$17+$E$24-10,$G$27,0)</f>
        <v>0.16393442622950818</v>
      </c>
      <c r="X49" s="23">
        <f>IF($P49&lt;ConceptDemo!$C$17+$E$24-10,$H$27,0)</f>
        <v>0.32786885245901637</v>
      </c>
      <c r="Y49" s="13">
        <f t="shared" si="1"/>
        <v>1.9346938775510203</v>
      </c>
      <c r="Z49" s="13">
        <f t="shared" si="2"/>
        <v>0</v>
      </c>
      <c r="AA49" s="13">
        <f t="shared" si="3"/>
        <v>0</v>
      </c>
      <c r="AB49" s="13">
        <f t="shared" si="4"/>
        <v>0</v>
      </c>
      <c r="AC49" s="23">
        <f t="shared" si="5"/>
        <v>0.57089327534292411</v>
      </c>
      <c r="AD49" s="23">
        <f>IF(P49&lt;=ConceptDemo!$C$19,AD48+SUM(W49:AB49)-(Q49-Q48)-AC49,0)</f>
        <v>26.726734736922033</v>
      </c>
      <c r="AE49" s="23">
        <f>IF(ConceptDemo!$C$7=Backend!$A$2,AD49,IF(AE48&lt;&gt;AD48,IF(P49&lt;=ConceptDemo!$C$19,AE48+SUM(W49:AB49)-(Q49-Q48)-AC49,0),IF(P49=ConceptDemo!$C$40,ConceptDemo!$C$39,AD49)))</f>
        <v>26.726734736922033</v>
      </c>
      <c r="AF49" s="23">
        <f t="shared" si="7"/>
        <v>21.292298673747887</v>
      </c>
      <c r="AG49" s="23">
        <f t="shared" si="8"/>
        <v>30.762471682197258</v>
      </c>
      <c r="AH49" s="23">
        <f t="shared" si="6"/>
        <v>9.4701730084493718</v>
      </c>
    </row>
    <row r="50" spans="1:34" ht="45" x14ac:dyDescent="0.25">
      <c r="A50">
        <v>80</v>
      </c>
      <c r="B50">
        <v>60</v>
      </c>
      <c r="E50" s="26" t="s">
        <v>108</v>
      </c>
      <c r="F50" s="26" t="s">
        <v>109</v>
      </c>
      <c r="G50" s="26" t="s">
        <v>110</v>
      </c>
      <c r="H50" s="26" t="s">
        <v>111</v>
      </c>
      <c r="I50" s="26" t="s">
        <v>112</v>
      </c>
      <c r="P50" s="16">
        <f>IFERROR(IF(P49+1=ConceptDemo!$C$19+10,"",Backend!P49+1),"")</f>
        <v>44468</v>
      </c>
      <c r="Q50" s="13">
        <f>IF(OR(P50&lt;ConceptDemo!$C$17,Backend!P50&gt;ConceptDemo!$C$19),0,IF(Backend!P50&lt;=Backend!$R$12,Backend!Q49+Backend!$T$12,IF(Backend!P50&lt;=Backend!$R$13,Backend!Q49+Backend!$T$13,IF(Backend!P50&lt;=Backend!$R$14,Backend!Q49+Backend!$T$14,IF(Backend!P50&lt;=Backend!$R$15,Backend!Q49+Backend!$T$15,IF(Backend!P50&lt;=Backend!$X$16,Backend!Q49+Backend!$Z$16))))))</f>
        <v>9.3130728879725737</v>
      </c>
      <c r="R50" s="24" t="str">
        <f>IF(1&lt;=ConceptDemo!$K$41,IF(P50=$W$12,ConceptDemo!$K$39,""),"")</f>
        <v/>
      </c>
      <c r="S50" s="24" t="str">
        <f>IF(2&lt;=ConceptDemo!$K$41,IF(P50=$W$13,ConceptDemo!$K$39,""),"")</f>
        <v/>
      </c>
      <c r="T50" s="24" t="str">
        <f>IF(3&lt;=ConceptDemo!$K$41,IF(P50=$W$14,ConceptDemo!$K$39,""),"")</f>
        <v/>
      </c>
      <c r="U50" s="24" t="str">
        <f>IF(4&lt;=ConceptDemo!$K$41,IF(P50=$W$15,ConceptDemo!$K$39,""),"")</f>
        <v/>
      </c>
      <c r="W50" s="23">
        <f>IF($P50&lt;ConceptDemo!$C$17+$E$24-10,$G$27,0)</f>
        <v>0.16393442622950818</v>
      </c>
      <c r="X50" s="23">
        <f>IF($P50&lt;ConceptDemo!$C$17+$E$24-10,$H$27,0)</f>
        <v>0.32786885245901637</v>
      </c>
      <c r="Y50" s="13">
        <f t="shared" si="1"/>
        <v>1.9346938775510203</v>
      </c>
      <c r="Z50" s="13">
        <f t="shared" si="2"/>
        <v>0</v>
      </c>
      <c r="AA50" s="13">
        <f t="shared" si="3"/>
        <v>0</v>
      </c>
      <c r="AB50" s="13">
        <f t="shared" si="4"/>
        <v>0</v>
      </c>
      <c r="AC50" s="23">
        <f t="shared" si="5"/>
        <v>0.57089327534292411</v>
      </c>
      <c r="AD50" s="23">
        <f>IF(P50&lt;=ConceptDemo!$C$19,AD49+SUM(W50:AB50)-(Q50-Q49)-AC50,0)</f>
        <v>27.961467091953814</v>
      </c>
      <c r="AE50" s="23">
        <f>IF(ConceptDemo!$C$7=Backend!$A$2,AD50,IF(AE49&lt;&gt;AD49,IF(P50&lt;=ConceptDemo!$C$19,AE49+SUM(W50:AB50)-(Q50-Q49)-AC50,0),IF(P50=ConceptDemo!$C$40,ConceptDemo!$C$39,AD50)))</f>
        <v>27.961467091953814</v>
      </c>
      <c r="AF50" s="23">
        <f t="shared" si="7"/>
        <v>22.275968783256538</v>
      </c>
      <c r="AG50" s="23">
        <f t="shared" si="8"/>
        <v>32.183648622838838</v>
      </c>
      <c r="AH50" s="23">
        <f t="shared" si="6"/>
        <v>9.9076798395823005</v>
      </c>
    </row>
    <row r="51" spans="1:34" x14ac:dyDescent="0.25">
      <c r="A51">
        <v>100</v>
      </c>
      <c r="B51">
        <v>40</v>
      </c>
      <c r="E51">
        <v>0.3</v>
      </c>
      <c r="F51">
        <v>4</v>
      </c>
      <c r="G51" s="10">
        <f>E51/F51</f>
        <v>7.4999999999999997E-2</v>
      </c>
      <c r="H51">
        <v>6.1</v>
      </c>
      <c r="I51" s="29">
        <f>G51*H51/100</f>
        <v>4.5749999999999992E-3</v>
      </c>
      <c r="P51" s="16">
        <f>IFERROR(IF(P50+1=ConceptDemo!$C$19+10,"",Backend!P50+1),"")</f>
        <v>44469</v>
      </c>
      <c r="Q51" s="13">
        <f>IF(OR(P51&lt;ConceptDemo!$C$17,Backend!P51&gt;ConceptDemo!$C$19),0,IF(Backend!P51&lt;=Backend!$R$12,Backend!Q50+Backend!$T$12,IF(Backend!P51&lt;=Backend!$R$13,Backend!Q50+Backend!$T$13,IF(Backend!P51&lt;=Backend!$R$14,Backend!Q50+Backend!$T$14,IF(Backend!P51&lt;=Backend!$R$15,Backend!Q50+Backend!$T$15,IF(Backend!P51&lt;=Backend!$X$16,Backend!Q50+Backend!$Z$16))))))</f>
        <v>9.9339444138374127</v>
      </c>
      <c r="R51" s="24" t="str">
        <f>IF(1&lt;=ConceptDemo!$K$41,IF(P51=$W$12,ConceptDemo!$K$39,""),"")</f>
        <v/>
      </c>
      <c r="S51" s="24" t="str">
        <f>IF(2&lt;=ConceptDemo!$K$41,IF(P51=$W$13,ConceptDemo!$K$39,""),"")</f>
        <v/>
      </c>
      <c r="T51" s="24" t="str">
        <f>IF(3&lt;=ConceptDemo!$K$41,IF(P51=$W$14,ConceptDemo!$K$39,""),"")</f>
        <v/>
      </c>
      <c r="U51" s="24" t="str">
        <f>IF(4&lt;=ConceptDemo!$K$41,IF(P51=$W$15,ConceptDemo!$K$39,""),"")</f>
        <v/>
      </c>
      <c r="W51" s="23">
        <f>IF($P51&lt;ConceptDemo!$C$17+$E$24-10,$G$27,0)</f>
        <v>0.16393442622950818</v>
      </c>
      <c r="X51" s="23">
        <f>IF($P51&lt;ConceptDemo!$C$17+$E$24-10,$H$27,0)</f>
        <v>0.32786885245901637</v>
      </c>
      <c r="Y51" s="13">
        <f t="shared" si="1"/>
        <v>1.9346938775510203</v>
      </c>
      <c r="Z51" s="13">
        <f t="shared" si="2"/>
        <v>0</v>
      </c>
      <c r="AA51" s="13">
        <f t="shared" si="3"/>
        <v>0</v>
      </c>
      <c r="AB51" s="13">
        <f t="shared" si="4"/>
        <v>0</v>
      </c>
      <c r="AC51" s="23">
        <f t="shared" si="5"/>
        <v>0.57089327534292411</v>
      </c>
      <c r="AD51" s="23">
        <f>IF(P51&lt;=ConceptDemo!$C$19,AD50+SUM(W51:AB51)-(Q51-Q50)-AC51,0)</f>
        <v>29.196199446985595</v>
      </c>
      <c r="AE51" s="23">
        <f>IF(ConceptDemo!$C$7=Backend!$A$2,AD51,IF(AE50&lt;&gt;AD50,IF(P51&lt;=ConceptDemo!$C$19,AE50+SUM(W51:AB51)-(Q51-Q50)-AC51,0),IF(P51=ConceptDemo!$C$40,ConceptDemo!$C$39,AD51)))</f>
        <v>29.196199446985595</v>
      </c>
      <c r="AF51" s="23">
        <f t="shared" si="7"/>
        <v>23.259638892765189</v>
      </c>
      <c r="AG51" s="23">
        <f t="shared" si="8"/>
        <v>33.604825563480418</v>
      </c>
      <c r="AH51" s="23">
        <f t="shared" si="6"/>
        <v>10.345186670715229</v>
      </c>
    </row>
    <row r="52" spans="1:34" x14ac:dyDescent="0.25">
      <c r="A52">
        <v>120</v>
      </c>
      <c r="B52">
        <v>20</v>
      </c>
      <c r="E52">
        <v>4.4000000000000004</v>
      </c>
      <c r="F52">
        <v>66</v>
      </c>
      <c r="G52" s="10">
        <f t="shared" ref="G52:G53" si="9">E52/F52</f>
        <v>6.6666666666666666E-2</v>
      </c>
      <c r="H52">
        <v>5</v>
      </c>
      <c r="I52" s="29">
        <f t="shared" ref="I52:I53" si="10">G52*H52/100</f>
        <v>3.3333333333333331E-3</v>
      </c>
      <c r="P52" s="16">
        <f>IFERROR(IF(P51+1=ConceptDemo!$C$19+10,"",Backend!P51+1),"")</f>
        <v>44470</v>
      </c>
      <c r="Q52" s="13">
        <f>IF(OR(P52&lt;ConceptDemo!$C$17,Backend!P52&gt;ConceptDemo!$C$19),0,IF(Backend!P52&lt;=Backend!$R$12,Backend!Q51+Backend!$T$12,IF(Backend!P52&lt;=Backend!$R$13,Backend!Q51+Backend!$T$13,IF(Backend!P52&lt;=Backend!$R$14,Backend!Q51+Backend!$T$14,IF(Backend!P52&lt;=Backend!$R$15,Backend!Q51+Backend!$T$15,IF(Backend!P52&lt;=Backend!$X$16,Backend!Q51+Backend!$Z$16))))))</f>
        <v>12.417430517296765</v>
      </c>
      <c r="R52" s="24" t="str">
        <f>IF(1&lt;=ConceptDemo!$K$41,IF(P52=$W$12,ConceptDemo!$K$39,""),"")</f>
        <v/>
      </c>
      <c r="S52" s="24" t="str">
        <f>IF(2&lt;=ConceptDemo!$K$41,IF(P52=$W$13,ConceptDemo!$K$39,""),"")</f>
        <v/>
      </c>
      <c r="T52" s="24" t="str">
        <f>IF(3&lt;=ConceptDemo!$K$41,IF(P52=$W$14,ConceptDemo!$K$39,""),"")</f>
        <v/>
      </c>
      <c r="U52" s="24" t="str">
        <f>IF(4&lt;=ConceptDemo!$K$41,IF(P52=$W$15,ConceptDemo!$K$39,""),"")</f>
        <v/>
      </c>
      <c r="W52" s="23">
        <f>IF($P52&lt;ConceptDemo!$C$17+$E$24-10,$G$27,0)</f>
        <v>0.16393442622950818</v>
      </c>
      <c r="X52" s="23">
        <f>IF($P52&lt;ConceptDemo!$C$17+$E$24-10,$H$27,0)</f>
        <v>0.32786885245901637</v>
      </c>
      <c r="Y52" s="13">
        <f t="shared" si="1"/>
        <v>1.9346938775510203</v>
      </c>
      <c r="Z52" s="13">
        <f t="shared" si="2"/>
        <v>0</v>
      </c>
      <c r="AA52" s="13">
        <f t="shared" si="3"/>
        <v>0</v>
      </c>
      <c r="AB52" s="13">
        <f t="shared" si="4"/>
        <v>0</v>
      </c>
      <c r="AC52" s="23">
        <f t="shared" si="5"/>
        <v>0.57089327534292411</v>
      </c>
      <c r="AD52" s="23">
        <f>IF(P52&lt;=ConceptDemo!$C$19,AD51+SUM(W52:AB52)-(Q52-Q51)-AC52,0)</f>
        <v>28.568317224422863</v>
      </c>
      <c r="AE52" s="23">
        <f>IF(ConceptDemo!$C$7=Backend!$A$2,AD52,IF(AE51&lt;&gt;AD51,IF(P52&lt;=ConceptDemo!$C$19,AE51+SUM(W52:AB52)-(Q52-Q51)-AC52,0),IF(P52=ConceptDemo!$C$40,ConceptDemo!$C$39,AD52)))</f>
        <v>28.568317224422863</v>
      </c>
      <c r="AF52" s="23">
        <f t="shared" si="7"/>
        <v>22.759426055456881</v>
      </c>
      <c r="AG52" s="23">
        <f t="shared" si="8"/>
        <v>32.882133125310716</v>
      </c>
      <c r="AH52" s="23">
        <f t="shared" si="6"/>
        <v>10.122707069853835</v>
      </c>
    </row>
    <row r="53" spans="1:34" x14ac:dyDescent="0.25">
      <c r="A53">
        <v>140</v>
      </c>
      <c r="B53">
        <v>0</v>
      </c>
      <c r="E53">
        <v>23</v>
      </c>
      <c r="F53">
        <v>334</v>
      </c>
      <c r="G53" s="10">
        <f t="shared" si="9"/>
        <v>6.8862275449101798E-2</v>
      </c>
      <c r="H53">
        <v>3.4</v>
      </c>
      <c r="I53" s="29">
        <f t="shared" si="10"/>
        <v>2.3413173652694613E-3</v>
      </c>
      <c r="P53" s="16">
        <f>IFERROR(IF(P52+1=ConceptDemo!$C$19+10,"",Backend!P52+1),"")</f>
        <v>44471</v>
      </c>
      <c r="Q53" s="13">
        <f>IF(OR(P53&lt;ConceptDemo!$C$17,Backend!P53&gt;ConceptDemo!$C$19),0,IF(Backend!P53&lt;=Backend!$R$12,Backend!Q52+Backend!$T$12,IF(Backend!P53&lt;=Backend!$R$13,Backend!Q52+Backend!$T$13,IF(Backend!P53&lt;=Backend!$R$14,Backend!Q52+Backend!$T$14,IF(Backend!P53&lt;=Backend!$R$15,Backend!Q52+Backend!$T$15,IF(Backend!P53&lt;=Backend!$X$16,Backend!Q52+Backend!$Z$16))))))</f>
        <v>14.900916620756117</v>
      </c>
      <c r="R53" s="24" t="str">
        <f>IF(1&lt;=ConceptDemo!$K$41,IF(P53=$W$12,ConceptDemo!$K$39,""),"")</f>
        <v/>
      </c>
      <c r="S53" s="24" t="str">
        <f>IF(2&lt;=ConceptDemo!$K$41,IF(P53=$W$13,ConceptDemo!$K$39,""),"")</f>
        <v/>
      </c>
      <c r="T53" s="24" t="str">
        <f>IF(3&lt;=ConceptDemo!$K$41,IF(P53=$W$14,ConceptDemo!$K$39,""),"")</f>
        <v/>
      </c>
      <c r="U53" s="24" t="str">
        <f>IF(4&lt;=ConceptDemo!$K$41,IF(P53=$W$15,ConceptDemo!$K$39,""),"")</f>
        <v/>
      </c>
      <c r="W53" s="23">
        <f>IF($P53&lt;ConceptDemo!$C$17+$E$24-10,$G$27,0)</f>
        <v>0.16393442622950818</v>
      </c>
      <c r="X53" s="23">
        <f>IF($P53&lt;ConceptDemo!$C$17+$E$24-10,$H$27,0)</f>
        <v>0.32786885245901637</v>
      </c>
      <c r="Y53" s="13">
        <f t="shared" si="1"/>
        <v>1.9346938775510203</v>
      </c>
      <c r="Z53" s="13">
        <f t="shared" si="2"/>
        <v>0</v>
      </c>
      <c r="AA53" s="13">
        <f t="shared" si="3"/>
        <v>0</v>
      </c>
      <c r="AB53" s="13">
        <f t="shared" si="4"/>
        <v>0</v>
      </c>
      <c r="AC53" s="23">
        <f t="shared" si="5"/>
        <v>0.57089327534292411</v>
      </c>
      <c r="AD53" s="23">
        <f>IF(P53&lt;=ConceptDemo!$C$19,AD52+SUM(W53:AB53)-(Q53-Q52)-AC53,0)</f>
        <v>27.940435001860131</v>
      </c>
      <c r="AE53" s="23">
        <f>IF(ConceptDemo!$C$7=Backend!$A$2,AD53,IF(AE52&lt;&gt;AD52,IF(P53&lt;=ConceptDemo!$C$19,AE52+SUM(W53:AB53)-(Q53-Q52)-AC53,0),IF(P53=ConceptDemo!$C$40,ConceptDemo!$C$39,AD53)))</f>
        <v>27.940435001860131</v>
      </c>
      <c r="AF53" s="23">
        <f t="shared" si="7"/>
        <v>22.25921321814857</v>
      </c>
      <c r="AG53" s="23">
        <f t="shared" si="8"/>
        <v>32.159440687141007</v>
      </c>
      <c r="AH53" s="23">
        <f t="shared" si="6"/>
        <v>9.900227468992437</v>
      </c>
    </row>
    <row r="54" spans="1:34" x14ac:dyDescent="0.25">
      <c r="P54" s="16">
        <f>IFERROR(IF(P53+1=ConceptDemo!$C$19+10,"",Backend!P53+1),"")</f>
        <v>44472</v>
      </c>
      <c r="Q54" s="13">
        <f>IF(OR(P54&lt;ConceptDemo!$C$17,Backend!P54&gt;ConceptDemo!$C$19),0,IF(Backend!P54&lt;=Backend!$R$12,Backend!Q53+Backend!$T$12,IF(Backend!P54&lt;=Backend!$R$13,Backend!Q53+Backend!$T$13,IF(Backend!P54&lt;=Backend!$R$14,Backend!Q53+Backend!$T$14,IF(Backend!P54&lt;=Backend!$R$15,Backend!Q53+Backend!$T$15,IF(Backend!P54&lt;=Backend!$X$16,Backend!Q53+Backend!$Z$16))))))</f>
        <v>17.38440272421547</v>
      </c>
      <c r="R54" s="24" t="str">
        <f>IF(1&lt;=ConceptDemo!$K$41,IF(P54=$W$12,ConceptDemo!$K$39,""),"")</f>
        <v/>
      </c>
      <c r="S54" s="24" t="str">
        <f>IF(2&lt;=ConceptDemo!$K$41,IF(P54=$W$13,ConceptDemo!$K$39,""),"")</f>
        <v/>
      </c>
      <c r="T54" s="24" t="str">
        <f>IF(3&lt;=ConceptDemo!$K$41,IF(P54=$W$14,ConceptDemo!$K$39,""),"")</f>
        <v/>
      </c>
      <c r="U54" s="24" t="str">
        <f>IF(4&lt;=ConceptDemo!$K$41,IF(P54=$W$15,ConceptDemo!$K$39,""),"")</f>
        <v/>
      </c>
      <c r="W54" s="23">
        <f>IF($P54&lt;ConceptDemo!$C$17+$E$24-10,$G$27,0)</f>
        <v>0.16393442622950818</v>
      </c>
      <c r="X54" s="23">
        <f>IF($P54&lt;ConceptDemo!$C$17+$E$24-10,$H$27,0)</f>
        <v>0.32786885245901637</v>
      </c>
      <c r="Y54" s="13">
        <f t="shared" si="1"/>
        <v>1.9346938775510203</v>
      </c>
      <c r="Z54" s="13">
        <f t="shared" si="2"/>
        <v>0</v>
      </c>
      <c r="AA54" s="13">
        <f t="shared" si="3"/>
        <v>0</v>
      </c>
      <c r="AB54" s="13">
        <f t="shared" si="4"/>
        <v>0</v>
      </c>
      <c r="AC54" s="23">
        <f t="shared" si="5"/>
        <v>0.57089327534292411</v>
      </c>
      <c r="AD54" s="23">
        <f>IF(P54&lt;=ConceptDemo!$C$19,AD53+SUM(W54:AB54)-(Q54-Q53)-AC54,0)</f>
        <v>27.312552779297398</v>
      </c>
      <c r="AE54" s="23">
        <f>IF(ConceptDemo!$C$7=Backend!$A$2,AD54,IF(AE53&lt;&gt;AD53,IF(P54&lt;=ConceptDemo!$C$19,AE53+SUM(W54:AB54)-(Q54-Q53)-AC54,0),IF(P54=ConceptDemo!$C$40,ConceptDemo!$C$39,AD54)))</f>
        <v>27.312552779297398</v>
      </c>
      <c r="AF54" s="23">
        <f t="shared" si="7"/>
        <v>21.759000380840259</v>
      </c>
      <c r="AG54" s="23">
        <f t="shared" si="8"/>
        <v>31.436748248971305</v>
      </c>
      <c r="AH54" s="23">
        <f t="shared" si="6"/>
        <v>9.6777478681310463</v>
      </c>
    </row>
    <row r="55" spans="1:34" x14ac:dyDescent="0.25">
      <c r="F55" s="29"/>
      <c r="P55" s="16">
        <f>IFERROR(IF(P54+1=ConceptDemo!$C$19+10,"",Backend!P54+1),"")</f>
        <v>44473</v>
      </c>
      <c r="Q55" s="13">
        <f>IF(OR(P55&lt;ConceptDemo!$C$17,Backend!P55&gt;ConceptDemo!$C$19),0,IF(Backend!P55&lt;=Backend!$R$12,Backend!Q54+Backend!$T$12,IF(Backend!P55&lt;=Backend!$R$13,Backend!Q54+Backend!$T$13,IF(Backend!P55&lt;=Backend!$R$14,Backend!Q54+Backend!$T$14,IF(Backend!P55&lt;=Backend!$R$15,Backend!Q54+Backend!$T$15,IF(Backend!P55&lt;=Backend!$X$16,Backend!Q54+Backend!$Z$16))))))</f>
        <v>19.867888827674822</v>
      </c>
      <c r="R55" s="24" t="str">
        <f>IF(1&lt;=ConceptDemo!$K$41,IF(P55=$W$12,ConceptDemo!$K$39,""),"")</f>
        <v/>
      </c>
      <c r="S55" s="24" t="str">
        <f>IF(2&lt;=ConceptDemo!$K$41,IF(P55=$W$13,ConceptDemo!$K$39,""),"")</f>
        <v/>
      </c>
      <c r="T55" s="24" t="str">
        <f>IF(3&lt;=ConceptDemo!$K$41,IF(P55=$W$14,ConceptDemo!$K$39,""),"")</f>
        <v/>
      </c>
      <c r="U55" s="24" t="str">
        <f>IF(4&lt;=ConceptDemo!$K$41,IF(P55=$W$15,ConceptDemo!$K$39,""),"")</f>
        <v/>
      </c>
      <c r="W55" s="23">
        <f>IF($P55&lt;ConceptDemo!$C$17+$E$24-10,$G$27,0)</f>
        <v>0.16393442622950818</v>
      </c>
      <c r="X55" s="23">
        <f>IF($P55&lt;ConceptDemo!$C$17+$E$24-10,$H$27,0)</f>
        <v>0.32786885245901637</v>
      </c>
      <c r="Y55" s="13">
        <f t="shared" si="1"/>
        <v>1.9346938775510203</v>
      </c>
      <c r="Z55" s="13">
        <f t="shared" si="2"/>
        <v>0</v>
      </c>
      <c r="AA55" s="13">
        <f t="shared" si="3"/>
        <v>0</v>
      </c>
      <c r="AB55" s="13">
        <f t="shared" si="4"/>
        <v>0</v>
      </c>
      <c r="AC55" s="23">
        <f t="shared" si="5"/>
        <v>0.57089327534292411</v>
      </c>
      <c r="AD55" s="23">
        <f>IF(P55&lt;=ConceptDemo!$C$19,AD54+SUM(W55:AB55)-(Q55-Q54)-AC55,0)</f>
        <v>26.684670556734666</v>
      </c>
      <c r="AE55" s="23">
        <f>IF(ConceptDemo!$C$7=Backend!$A$2,AD55,IF(AE54&lt;&gt;AD54,IF(P55&lt;=ConceptDemo!$C$19,AE54+SUM(W55:AB55)-(Q55-Q54)-AC55,0),IF(P55=ConceptDemo!$C$40,ConceptDemo!$C$39,AD55)))</f>
        <v>26.684670556734666</v>
      </c>
      <c r="AF55" s="23">
        <f t="shared" si="7"/>
        <v>21.258787543531952</v>
      </c>
      <c r="AG55" s="23">
        <f t="shared" si="8"/>
        <v>30.7140558108016</v>
      </c>
      <c r="AH55" s="23">
        <f t="shared" si="6"/>
        <v>9.4552682672696484</v>
      </c>
    </row>
    <row r="56" spans="1:34" x14ac:dyDescent="0.25">
      <c r="A56" t="s">
        <v>101</v>
      </c>
      <c r="B56" s="24">
        <f>(-ConceptDemo!C37+140)*B46</f>
        <v>174.12244897959184</v>
      </c>
      <c r="C56" t="s">
        <v>102</v>
      </c>
      <c r="E56" t="s">
        <v>114</v>
      </c>
      <c r="F56" s="29">
        <f>0.0058*(ConceptDemo!C24*1000)^-0.147</f>
        <v>2.175087893588844E-3</v>
      </c>
      <c r="P56" s="16">
        <f>IFERROR(IF(P55+1=ConceptDemo!$C$19+10,"",Backend!P55+1),"")</f>
        <v>44474</v>
      </c>
      <c r="Q56" s="13">
        <f>IF(OR(P56&lt;ConceptDemo!$C$17,Backend!P56&gt;ConceptDemo!$C$19),0,IF(Backend!P56&lt;=Backend!$R$12,Backend!Q55+Backend!$T$12,IF(Backend!P56&lt;=Backend!$R$13,Backend!Q55+Backend!$T$13,IF(Backend!P56&lt;=Backend!$R$14,Backend!Q55+Backend!$T$14,IF(Backend!P56&lt;=Backend!$R$15,Backend!Q55+Backend!$T$15,IF(Backend!P56&lt;=Backend!$X$16,Backend!Q55+Backend!$Z$16))))))</f>
        <v>22.351374931134174</v>
      </c>
      <c r="R56" s="24" t="str">
        <f>IF(1&lt;=ConceptDemo!$K$41,IF(P56=$W$12,ConceptDemo!$K$39,""),"")</f>
        <v/>
      </c>
      <c r="S56" s="24" t="str">
        <f>IF(2&lt;=ConceptDemo!$K$41,IF(P56=$W$13,ConceptDemo!$K$39,""),"")</f>
        <v/>
      </c>
      <c r="T56" s="24" t="str">
        <f>IF(3&lt;=ConceptDemo!$K$41,IF(P56=$W$14,ConceptDemo!$K$39,""),"")</f>
        <v/>
      </c>
      <c r="U56" s="24" t="str">
        <f>IF(4&lt;=ConceptDemo!$K$41,IF(P56=$W$15,ConceptDemo!$K$39,""),"")</f>
        <v/>
      </c>
      <c r="W56" s="23">
        <f>IF($P56&lt;ConceptDemo!$C$17+$E$24-10,$G$27,0)</f>
        <v>0.16393442622950818</v>
      </c>
      <c r="X56" s="23">
        <f>IF($P56&lt;ConceptDemo!$C$17+$E$24-10,$H$27,0)</f>
        <v>0.32786885245901637</v>
      </c>
      <c r="Y56" s="13">
        <f t="shared" si="1"/>
        <v>1.9346938775510203</v>
      </c>
      <c r="Z56" s="13">
        <f t="shared" si="2"/>
        <v>0</v>
      </c>
      <c r="AA56" s="13">
        <f t="shared" si="3"/>
        <v>0</v>
      </c>
      <c r="AB56" s="13">
        <f t="shared" si="4"/>
        <v>0</v>
      </c>
      <c r="AC56" s="23">
        <f t="shared" si="5"/>
        <v>0.57089327534292411</v>
      </c>
      <c r="AD56" s="23">
        <f>IF(P56&lt;=ConceptDemo!$C$19,AD55+SUM(W56:AB56)-(Q56-Q55)-AC56,0)</f>
        <v>26.056788334171934</v>
      </c>
      <c r="AE56" s="23">
        <f>IF(ConceptDemo!$C$7=Backend!$A$2,AD56,IF(AE55&lt;&gt;AD55,IF(P56&lt;=ConceptDemo!$C$19,AE55+SUM(W56:AB56)-(Q56-Q55)-AC56,0),IF(P56=ConceptDemo!$C$40,ConceptDemo!$C$39,AD56)))</f>
        <v>26.056788334171934</v>
      </c>
      <c r="AF56" s="23">
        <f t="shared" si="7"/>
        <v>20.758574706223641</v>
      </c>
      <c r="AG56" s="23">
        <f t="shared" si="8"/>
        <v>29.991363372631895</v>
      </c>
      <c r="AH56" s="23">
        <f t="shared" si="6"/>
        <v>9.2327886664082541</v>
      </c>
    </row>
    <row r="57" spans="1:34" x14ac:dyDescent="0.25">
      <c r="E57" s="5" t="s">
        <v>113</v>
      </c>
      <c r="F57" s="20">
        <f>F56*B38*1000</f>
        <v>94.682907694387836</v>
      </c>
      <c r="G57" t="s">
        <v>102</v>
      </c>
      <c r="P57" s="16">
        <f>IFERROR(IF(P56+1=ConceptDemo!$C$19+10,"",Backend!P56+1),"")</f>
        <v>44475</v>
      </c>
      <c r="Q57" s="13">
        <f>IF(OR(P57&lt;ConceptDemo!$C$17,Backend!P57&gt;ConceptDemo!$C$19),0,IF(Backend!P57&lt;=Backend!$R$12,Backend!Q56+Backend!$T$12,IF(Backend!P57&lt;=Backend!$R$13,Backend!Q56+Backend!$T$13,IF(Backend!P57&lt;=Backend!$R$14,Backend!Q56+Backend!$T$14,IF(Backend!P57&lt;=Backend!$R$15,Backend!Q56+Backend!$T$15,IF(Backend!P57&lt;=Backend!$X$16,Backend!Q56+Backend!$Z$16))))))</f>
        <v>24.834861034593526</v>
      </c>
      <c r="R57" s="24" t="str">
        <f>IF(1&lt;=ConceptDemo!$K$41,IF(P57=$W$12,ConceptDemo!$K$39,""),"")</f>
        <v/>
      </c>
      <c r="S57" s="24" t="str">
        <f>IF(2&lt;=ConceptDemo!$K$41,IF(P57=$W$13,ConceptDemo!$K$39,""),"")</f>
        <v/>
      </c>
      <c r="T57" s="24" t="str">
        <f>IF(3&lt;=ConceptDemo!$K$41,IF(P57=$W$14,ConceptDemo!$K$39,""),"")</f>
        <v/>
      </c>
      <c r="U57" s="24" t="str">
        <f>IF(4&lt;=ConceptDemo!$K$41,IF(P57=$W$15,ConceptDemo!$K$39,""),"")</f>
        <v/>
      </c>
      <c r="W57" s="23">
        <f>IF($P57&lt;ConceptDemo!$C$17+$E$24-10,$G$27,0)</f>
        <v>0.16393442622950818</v>
      </c>
      <c r="X57" s="23">
        <f>IF($P57&lt;ConceptDemo!$C$17+$E$24-10,$H$27,0)</f>
        <v>0.32786885245901637</v>
      </c>
      <c r="Y57" s="13">
        <f t="shared" si="1"/>
        <v>1.9346938775510203</v>
      </c>
      <c r="Z57" s="13">
        <f t="shared" si="2"/>
        <v>0</v>
      </c>
      <c r="AA57" s="13">
        <f t="shared" si="3"/>
        <v>0</v>
      </c>
      <c r="AB57" s="13">
        <f t="shared" si="4"/>
        <v>0</v>
      </c>
      <c r="AC57" s="23">
        <f t="shared" si="5"/>
        <v>0.57089327534292411</v>
      </c>
      <c r="AD57" s="23">
        <f>IF(P57&lt;=ConceptDemo!$C$19,AD56+SUM(W57:AB57)-(Q57-Q56)-AC57,0)</f>
        <v>25.428906111609201</v>
      </c>
      <c r="AE57" s="23">
        <f>IF(ConceptDemo!$C$7=Backend!$A$2,AD57,IF(AE56&lt;&gt;AD56,IF(P57&lt;=ConceptDemo!$C$19,AE56+SUM(W57:AB57)-(Q57-Q56)-AC57,0),IF(P57=ConceptDemo!$C$40,ConceptDemo!$C$39,AD57)))</f>
        <v>25.428906111609201</v>
      </c>
      <c r="AF57" s="23">
        <f t="shared" si="7"/>
        <v>20.25836186891533</v>
      </c>
      <c r="AG57" s="23">
        <f t="shared" si="8"/>
        <v>29.26867093446219</v>
      </c>
      <c r="AH57" s="23">
        <f t="shared" si="6"/>
        <v>9.0103090655468598</v>
      </c>
    </row>
    <row r="58" spans="1:34" x14ac:dyDescent="0.25">
      <c r="E58" t="s">
        <v>120</v>
      </c>
      <c r="F58" s="20">
        <f>F56*B40*1000</f>
        <v>69.591937155375049</v>
      </c>
      <c r="G58" t="s">
        <v>102</v>
      </c>
      <c r="P58" s="16">
        <f>IFERROR(IF(P57+1=ConceptDemo!$C$19+10,"",Backend!P57+1),"")</f>
        <v>44476</v>
      </c>
      <c r="Q58" s="13">
        <f>IF(OR(P58&lt;ConceptDemo!$C$17,Backend!P58&gt;ConceptDemo!$C$19),0,IF(Backend!P58&lt;=Backend!$R$12,Backend!Q57+Backend!$T$12,IF(Backend!P58&lt;=Backend!$R$13,Backend!Q57+Backend!$T$13,IF(Backend!P58&lt;=Backend!$R$14,Backend!Q57+Backend!$T$14,IF(Backend!P58&lt;=Backend!$R$15,Backend!Q57+Backend!$T$15,IF(Backend!P58&lt;=Backend!$X$16,Backend!Q57+Backend!$Z$16))))))</f>
        <v>27.318347138052879</v>
      </c>
      <c r="R58" s="24" t="str">
        <f>IF(1&lt;=ConceptDemo!$K$41,IF(P58=$W$12,ConceptDemo!$K$39,""),"")</f>
        <v/>
      </c>
      <c r="S58" s="24" t="str">
        <f>IF(2&lt;=ConceptDemo!$K$41,IF(P58=$W$13,ConceptDemo!$K$39,""),"")</f>
        <v/>
      </c>
      <c r="T58" s="24" t="str">
        <f>IF(3&lt;=ConceptDemo!$K$41,IF(P58=$W$14,ConceptDemo!$K$39,""),"")</f>
        <v/>
      </c>
      <c r="U58" s="24" t="str">
        <f>IF(4&lt;=ConceptDemo!$K$41,IF(P58=$W$15,ConceptDemo!$K$39,""),"")</f>
        <v/>
      </c>
      <c r="W58" s="23">
        <f>IF($P58&lt;ConceptDemo!$C$17+$E$24-10,$G$27,0)</f>
        <v>0.16393442622950818</v>
      </c>
      <c r="X58" s="23">
        <f>IF($P58&lt;ConceptDemo!$C$17+$E$24-10,$H$27,0)</f>
        <v>0.32786885245901637</v>
      </c>
      <c r="Y58" s="13">
        <f t="shared" si="1"/>
        <v>1.9346938775510203</v>
      </c>
      <c r="Z58" s="13">
        <f t="shared" si="2"/>
        <v>0</v>
      </c>
      <c r="AA58" s="13">
        <f t="shared" si="3"/>
        <v>0</v>
      </c>
      <c r="AB58" s="13">
        <f t="shared" si="4"/>
        <v>0</v>
      </c>
      <c r="AC58" s="23">
        <f t="shared" si="5"/>
        <v>0.57089327534292411</v>
      </c>
      <c r="AD58" s="23">
        <f>IF(P58&lt;=ConceptDemo!$C$19,AD57+SUM(W58:AB58)-(Q58-Q57)-AC58,0)</f>
        <v>24.801023889046469</v>
      </c>
      <c r="AE58" s="23">
        <f>IF(ConceptDemo!$C$7=Backend!$A$2,AD58,IF(AE57&lt;&gt;AD57,IF(P58&lt;=ConceptDemo!$C$19,AE57+SUM(W58:AB58)-(Q58-Q57)-AC58,0),IF(P58=ConceptDemo!$C$40,ConceptDemo!$C$39,AD58)))</f>
        <v>24.801023889046469</v>
      </c>
      <c r="AF58" s="23">
        <f t="shared" si="7"/>
        <v>19.758149031607019</v>
      </c>
      <c r="AG58" s="23">
        <f t="shared" si="8"/>
        <v>28.545978496292484</v>
      </c>
      <c r="AH58" s="23">
        <f t="shared" si="6"/>
        <v>8.7878294646854656</v>
      </c>
    </row>
    <row r="59" spans="1:34" x14ac:dyDescent="0.25">
      <c r="E59" t="s">
        <v>121</v>
      </c>
      <c r="F59" s="20">
        <f>F57-F58</f>
        <v>25.090970539012787</v>
      </c>
      <c r="G59" t="s">
        <v>102</v>
      </c>
      <c r="P59" s="16">
        <f>IFERROR(IF(P58+1=ConceptDemo!$C$19+10,"",Backend!P58+1),"")</f>
        <v>44477</v>
      </c>
      <c r="Q59" s="13">
        <f>IF(OR(P59&lt;ConceptDemo!$C$17,Backend!P59&gt;ConceptDemo!$C$19),0,IF(Backend!P59&lt;=Backend!$R$12,Backend!Q58+Backend!$T$12,IF(Backend!P59&lt;=Backend!$R$13,Backend!Q58+Backend!$T$13,IF(Backend!P59&lt;=Backend!$R$14,Backend!Q58+Backend!$T$14,IF(Backend!P59&lt;=Backend!$R$15,Backend!Q58+Backend!$T$15,IF(Backend!P59&lt;=Backend!$X$16,Backend!Q58+Backend!$Z$16))))))</f>
        <v>29.801833241512231</v>
      </c>
      <c r="R59" s="24" t="str">
        <f>IF(1&lt;=ConceptDemo!$K$41,IF(P59=$W$12,ConceptDemo!$K$39,""),"")</f>
        <v/>
      </c>
      <c r="S59" s="24">
        <f>IF(2&lt;=ConceptDemo!$K$41,IF(P59=$W$13,ConceptDemo!$K$39,""),"")</f>
        <v>58.04081632653061</v>
      </c>
      <c r="T59" s="24" t="str">
        <f>IF(3&lt;=ConceptDemo!$K$41,IF(P59=$W$14,ConceptDemo!$K$39,""),"")</f>
        <v/>
      </c>
      <c r="U59" s="24" t="str">
        <f>IF(4&lt;=ConceptDemo!$K$41,IF(P59=$W$15,ConceptDemo!$K$39,""),"")</f>
        <v/>
      </c>
      <c r="W59" s="23">
        <f>IF($P59&lt;ConceptDemo!$C$17+$E$24-10,$G$27,0)</f>
        <v>0.16393442622950818</v>
      </c>
      <c r="X59" s="23">
        <f>IF($P59&lt;ConceptDemo!$C$17+$E$24-10,$H$27,0)</f>
        <v>0.32786885245901637</v>
      </c>
      <c r="Y59" s="13">
        <f t="shared" si="1"/>
        <v>1.9346938775510203</v>
      </c>
      <c r="Z59" s="13">
        <f t="shared" si="2"/>
        <v>1.9346938775510203</v>
      </c>
      <c r="AA59" s="13">
        <f t="shared" si="3"/>
        <v>0</v>
      </c>
      <c r="AB59" s="13">
        <f t="shared" si="4"/>
        <v>0</v>
      </c>
      <c r="AC59" s="23">
        <f t="shared" si="5"/>
        <v>0.57089327534292411</v>
      </c>
      <c r="AD59" s="23">
        <f>IF(P59&lt;=ConceptDemo!$C$19,AD58+SUM(W59:AB59)-(Q59-Q58)-AC59,0)</f>
        <v>26.107835544034756</v>
      </c>
      <c r="AE59" s="23">
        <f>IF(ConceptDemo!$C$7=Backend!$A$2,AD59,IF(AE58&lt;&gt;AD58,IF(P59&lt;=ConceptDemo!$C$19,AE58+SUM(W59:AB59)-(Q59-Q58)-AC59,0),IF(P59=ConceptDemo!$C$40,ConceptDemo!$C$39,AD59)))</f>
        <v>26.107835544034756</v>
      </c>
      <c r="AF59" s="23">
        <f t="shared" si="7"/>
        <v>20.799242316747687</v>
      </c>
      <c r="AG59" s="23">
        <f t="shared" si="8"/>
        <v>30.050118711184005</v>
      </c>
      <c r="AH59" s="23">
        <f t="shared" si="6"/>
        <v>9.2508763944363182</v>
      </c>
    </row>
    <row r="60" spans="1:34" x14ac:dyDescent="0.25">
      <c r="P60" s="16">
        <f>IFERROR(IF(P59+1=ConceptDemo!$C$19+10,"",Backend!P59+1),"")</f>
        <v>44478</v>
      </c>
      <c r="Q60" s="13">
        <f>IF(OR(P60&lt;ConceptDemo!$C$17,Backend!P60&gt;ConceptDemo!$C$19),0,IF(Backend!P60&lt;=Backend!$R$12,Backend!Q59+Backend!$T$12,IF(Backend!P60&lt;=Backend!$R$13,Backend!Q59+Backend!$T$13,IF(Backend!P60&lt;=Backend!$R$14,Backend!Q59+Backend!$T$14,IF(Backend!P60&lt;=Backend!$R$15,Backend!Q59+Backend!$T$15,IF(Backend!P60&lt;=Backend!$X$16,Backend!Q59+Backend!$Z$16))))))</f>
        <v>32.285319344971583</v>
      </c>
      <c r="R60" s="24" t="str">
        <f>IF(1&lt;=ConceptDemo!$K$41,IF(P60=$W$12,ConceptDemo!$K$39,""),"")</f>
        <v/>
      </c>
      <c r="S60" s="24" t="str">
        <f>IF(2&lt;=ConceptDemo!$K$41,IF(P60=$W$13,ConceptDemo!$K$39,""),"")</f>
        <v/>
      </c>
      <c r="T60" s="24" t="str">
        <f>IF(3&lt;=ConceptDemo!$K$41,IF(P60=$W$14,ConceptDemo!$K$39,""),"")</f>
        <v/>
      </c>
      <c r="U60" s="24" t="str">
        <f>IF(4&lt;=ConceptDemo!$K$41,IF(P60=$W$15,ConceptDemo!$K$39,""),"")</f>
        <v/>
      </c>
      <c r="W60" s="23">
        <f>IF($P60&lt;ConceptDemo!$C$17+$E$24-10,$G$27,0)</f>
        <v>0.16393442622950818</v>
      </c>
      <c r="X60" s="23">
        <f>IF($P60&lt;ConceptDemo!$C$17+$E$24-10,$H$27,0)</f>
        <v>0.32786885245901637</v>
      </c>
      <c r="Y60" s="13">
        <f t="shared" si="1"/>
        <v>1.9346938775510203</v>
      </c>
      <c r="Z60" s="13">
        <f t="shared" si="2"/>
        <v>1.9346938775510203</v>
      </c>
      <c r="AA60" s="13">
        <f t="shared" si="3"/>
        <v>0</v>
      </c>
      <c r="AB60" s="13">
        <f t="shared" si="4"/>
        <v>0</v>
      </c>
      <c r="AC60" s="23">
        <f t="shared" si="5"/>
        <v>0.57089327534292411</v>
      </c>
      <c r="AD60" s="23">
        <f>IF(P60&lt;=ConceptDemo!$C$19,AD59+SUM(W60:AB60)-(Q60-Q59)-AC60,0)</f>
        <v>27.414647199023044</v>
      </c>
      <c r="AE60" s="23">
        <f>IF(ConceptDemo!$C$7=Backend!$A$2,AD60,IF(AE59&lt;&gt;AD59,IF(P60&lt;=ConceptDemo!$C$19,AE59+SUM(W60:AB60)-(Q60-Q59)-AC60,0),IF(P60=ConceptDemo!$C$40,ConceptDemo!$C$39,AD60)))</f>
        <v>27.414647199023044</v>
      </c>
      <c r="AF60" s="23">
        <f t="shared" si="7"/>
        <v>21.840335601888359</v>
      </c>
      <c r="AG60" s="23">
        <f t="shared" si="8"/>
        <v>31.554258926075523</v>
      </c>
      <c r="AH60" s="23">
        <f t="shared" si="6"/>
        <v>9.7139233241871636</v>
      </c>
    </row>
    <row r="61" spans="1:34" x14ac:dyDescent="0.25">
      <c r="P61" s="16">
        <f>IFERROR(IF(P60+1=ConceptDemo!$C$19+10,"",Backend!P60+1),"")</f>
        <v>44479</v>
      </c>
      <c r="Q61" s="13">
        <f>IF(OR(P61&lt;ConceptDemo!$C$17,Backend!P61&gt;ConceptDemo!$C$19),0,IF(Backend!P61&lt;=Backend!$R$12,Backend!Q60+Backend!$T$12,IF(Backend!P61&lt;=Backend!$R$13,Backend!Q60+Backend!$T$13,IF(Backend!P61&lt;=Backend!$R$14,Backend!Q60+Backend!$T$14,IF(Backend!P61&lt;=Backend!$R$15,Backend!Q60+Backend!$T$15,IF(Backend!P61&lt;=Backend!$X$16,Backend!Q60+Backend!$Z$16))))))</f>
        <v>34.768805448430939</v>
      </c>
      <c r="R61" s="24" t="str">
        <f>IF(1&lt;=ConceptDemo!$K$41,IF(P61=$W$12,ConceptDemo!$K$39,""),"")</f>
        <v/>
      </c>
      <c r="S61" s="24" t="str">
        <f>IF(2&lt;=ConceptDemo!$K$41,IF(P61=$W$13,ConceptDemo!$K$39,""),"")</f>
        <v/>
      </c>
      <c r="T61" s="24" t="str">
        <f>IF(3&lt;=ConceptDemo!$K$41,IF(P61=$W$14,ConceptDemo!$K$39,""),"")</f>
        <v/>
      </c>
      <c r="U61" s="24" t="str">
        <f>IF(4&lt;=ConceptDemo!$K$41,IF(P61=$W$15,ConceptDemo!$K$39,""),"")</f>
        <v/>
      </c>
      <c r="W61" s="23">
        <f>IF($P61&lt;ConceptDemo!$C$17+$E$24-10,$G$27,0)</f>
        <v>0.16393442622950818</v>
      </c>
      <c r="X61" s="23">
        <f>IF($P61&lt;ConceptDemo!$C$17+$E$24-10,$H$27,0)</f>
        <v>0.32786885245901637</v>
      </c>
      <c r="Y61" s="13">
        <f t="shared" si="1"/>
        <v>1.9346938775510203</v>
      </c>
      <c r="Z61" s="13">
        <f t="shared" si="2"/>
        <v>1.9346938775510203</v>
      </c>
      <c r="AA61" s="13">
        <f t="shared" si="3"/>
        <v>0</v>
      </c>
      <c r="AB61" s="13">
        <f t="shared" si="4"/>
        <v>0</v>
      </c>
      <c r="AC61" s="23">
        <f t="shared" si="5"/>
        <v>0.57089327534292411</v>
      </c>
      <c r="AD61" s="23">
        <f>IF(P61&lt;=ConceptDemo!$C$19,AD60+SUM(W61:AB61)-(Q61-Q60)-AC61,0)</f>
        <v>28.721458854011328</v>
      </c>
      <c r="AE61" s="23">
        <f>IF(ConceptDemo!$C$7=Backend!$A$2,AD61,IF(AE60&lt;&gt;AD60,IF(P61&lt;=ConceptDemo!$C$19,AE60+SUM(W61:AB61)-(Q61-Q60)-AC61,0),IF(P61=ConceptDemo!$C$40,ConceptDemo!$C$39,AD61)))</f>
        <v>28.721458854011328</v>
      </c>
      <c r="AF61" s="23">
        <f t="shared" si="7"/>
        <v>22.881428887029024</v>
      </c>
      <c r="AG61" s="23">
        <f t="shared" si="8"/>
        <v>33.05839914096704</v>
      </c>
      <c r="AH61" s="23">
        <f t="shared" si="6"/>
        <v>10.176970253938016</v>
      </c>
    </row>
    <row r="62" spans="1:34" x14ac:dyDescent="0.25">
      <c r="P62" s="16">
        <f>IFERROR(IF(P61+1=ConceptDemo!$C$19+10,"",Backend!P61+1),"")</f>
        <v>44480</v>
      </c>
      <c r="Q62" s="13">
        <f>IF(OR(P62&lt;ConceptDemo!$C$17,Backend!P62&gt;ConceptDemo!$C$19),0,IF(Backend!P62&lt;=Backend!$R$12,Backend!Q61+Backend!$T$12,IF(Backend!P62&lt;=Backend!$R$13,Backend!Q61+Backend!$T$13,IF(Backend!P62&lt;=Backend!$R$14,Backend!Q61+Backend!$T$14,IF(Backend!P62&lt;=Backend!$R$15,Backend!Q61+Backend!$T$15,IF(Backend!P62&lt;=Backend!$X$16,Backend!Q61+Backend!$Z$16))))))</f>
        <v>37.252291551890295</v>
      </c>
      <c r="R62" s="24" t="str">
        <f>IF(1&lt;=ConceptDemo!$K$41,IF(P62=$W$12,ConceptDemo!$K$39,""),"")</f>
        <v/>
      </c>
      <c r="S62" s="24" t="str">
        <f>IF(2&lt;=ConceptDemo!$K$41,IF(P62=$W$13,ConceptDemo!$K$39,""),"")</f>
        <v/>
      </c>
      <c r="T62" s="24" t="str">
        <f>IF(3&lt;=ConceptDemo!$K$41,IF(P62=$W$14,ConceptDemo!$K$39,""),"")</f>
        <v/>
      </c>
      <c r="U62" s="24" t="str">
        <f>IF(4&lt;=ConceptDemo!$K$41,IF(P62=$W$15,ConceptDemo!$K$39,""),"")</f>
        <v/>
      </c>
      <c r="W62" s="23">
        <f>IF($P62&lt;ConceptDemo!$C$17+$E$24-10,$G$27,0)</f>
        <v>0.16393442622950818</v>
      </c>
      <c r="X62" s="23">
        <f>IF($P62&lt;ConceptDemo!$C$17+$E$24-10,$H$27,0)</f>
        <v>0.32786885245901637</v>
      </c>
      <c r="Y62" s="13">
        <f t="shared" si="1"/>
        <v>1.9346938775510203</v>
      </c>
      <c r="Z62" s="13">
        <f t="shared" si="2"/>
        <v>1.9346938775510203</v>
      </c>
      <c r="AA62" s="13">
        <f t="shared" si="3"/>
        <v>0</v>
      </c>
      <c r="AB62" s="13">
        <f t="shared" si="4"/>
        <v>0</v>
      </c>
      <c r="AC62" s="23">
        <f t="shared" si="5"/>
        <v>0.57089327534292411</v>
      </c>
      <c r="AD62" s="23">
        <f>IF(P62&lt;=ConceptDemo!$C$19,AD61+SUM(W62:AB62)-(Q62-Q61)-AC62,0)</f>
        <v>30.028270508999611</v>
      </c>
      <c r="AE62" s="23">
        <f>IF(ConceptDemo!$C$7=Backend!$A$2,AD62,IF(AE61&lt;&gt;AD61,IF(P62&lt;=ConceptDemo!$C$19,AE61+SUM(W62:AB62)-(Q62-Q61)-AC62,0),IF(P62=ConceptDemo!$C$40,ConceptDemo!$C$39,AD62)))</f>
        <v>30.028270508999611</v>
      </c>
      <c r="AF62" s="23">
        <f t="shared" si="7"/>
        <v>23.922522172169689</v>
      </c>
      <c r="AG62" s="23">
        <f t="shared" si="8"/>
        <v>34.562539355858554</v>
      </c>
      <c r="AH62" s="23">
        <f t="shared" si="6"/>
        <v>10.640017183688865</v>
      </c>
    </row>
    <row r="63" spans="1:34" x14ac:dyDescent="0.25">
      <c r="P63" s="16">
        <f>IFERROR(IF(P62+1=ConceptDemo!$C$19+10,"",Backend!P62+1),"")</f>
        <v>44481</v>
      </c>
      <c r="Q63" s="13">
        <f>IF(OR(P63&lt;ConceptDemo!$C$17,Backend!P63&gt;ConceptDemo!$C$19),0,IF(Backend!P63&lt;=Backend!$R$12,Backend!Q62+Backend!$T$12,IF(Backend!P63&lt;=Backend!$R$13,Backend!Q62+Backend!$T$13,IF(Backend!P63&lt;=Backend!$R$14,Backend!Q62+Backend!$T$14,IF(Backend!P63&lt;=Backend!$R$15,Backend!Q62+Backend!$T$15,IF(Backend!P63&lt;=Backend!$X$16,Backend!Q62+Backend!$Z$16))))))</f>
        <v>39.735777655349651</v>
      </c>
      <c r="R63" s="24" t="str">
        <f>IF(1&lt;=ConceptDemo!$K$41,IF(P63=$W$12,ConceptDemo!$K$39,""),"")</f>
        <v/>
      </c>
      <c r="S63" s="24" t="str">
        <f>IF(2&lt;=ConceptDemo!$K$41,IF(P63=$W$13,ConceptDemo!$K$39,""),"")</f>
        <v/>
      </c>
      <c r="T63" s="24" t="str">
        <f>IF(3&lt;=ConceptDemo!$K$41,IF(P63=$W$14,ConceptDemo!$K$39,""),"")</f>
        <v/>
      </c>
      <c r="U63" s="24" t="str">
        <f>IF(4&lt;=ConceptDemo!$K$41,IF(P63=$W$15,ConceptDemo!$K$39,""),"")</f>
        <v/>
      </c>
      <c r="W63" s="23">
        <f>IF($P63&lt;ConceptDemo!$C$17+$E$24-10,$G$27,0)</f>
        <v>0.16393442622950818</v>
      </c>
      <c r="X63" s="23">
        <f>IF($P63&lt;ConceptDemo!$C$17+$E$24-10,$H$27,0)</f>
        <v>0.32786885245901637</v>
      </c>
      <c r="Y63" s="13">
        <f t="shared" si="1"/>
        <v>1.9346938775510203</v>
      </c>
      <c r="Z63" s="13">
        <f t="shared" si="2"/>
        <v>1.9346938775510203</v>
      </c>
      <c r="AA63" s="13">
        <f t="shared" si="3"/>
        <v>0</v>
      </c>
      <c r="AB63" s="13">
        <f t="shared" si="4"/>
        <v>0</v>
      </c>
      <c r="AC63" s="23">
        <f t="shared" si="5"/>
        <v>0.57089327534292411</v>
      </c>
      <c r="AD63" s="23">
        <f>IF(P63&lt;=ConceptDemo!$C$19,AD62+SUM(W63:AB63)-(Q63-Q62)-AC63,0)</f>
        <v>31.335082163987892</v>
      </c>
      <c r="AE63" s="23">
        <f>IF(ConceptDemo!$C$7=Backend!$A$2,AD63,IF(AE62&lt;&gt;AD62,IF(P63&lt;=ConceptDemo!$C$19,AE62+SUM(W63:AB63)-(Q63-Q62)-AC63,0),IF(P63=ConceptDemo!$C$40,ConceptDemo!$C$39,AD63)))</f>
        <v>31.335082163987892</v>
      </c>
      <c r="AF63" s="23">
        <f t="shared" si="7"/>
        <v>24.963615457310354</v>
      </c>
      <c r="AG63" s="23">
        <f t="shared" si="8"/>
        <v>36.066679570750061</v>
      </c>
      <c r="AH63" s="23">
        <f t="shared" si="6"/>
        <v>11.103064113439707</v>
      </c>
    </row>
    <row r="64" spans="1:34" x14ac:dyDescent="0.25">
      <c r="P64" s="16">
        <f>IFERROR(IF(P63+1=ConceptDemo!$C$19+10,"",Backend!P63+1),"")</f>
        <v>44482</v>
      </c>
      <c r="Q64" s="13">
        <f>IF(OR(P64&lt;ConceptDemo!$C$17,Backend!P64&gt;ConceptDemo!$C$19),0,IF(Backend!P64&lt;=Backend!$R$12,Backend!Q63+Backend!$T$12,IF(Backend!P64&lt;=Backend!$R$13,Backend!Q63+Backend!$T$13,IF(Backend!P64&lt;=Backend!$R$14,Backend!Q63+Backend!$T$14,IF(Backend!P64&lt;=Backend!$R$15,Backend!Q63+Backend!$T$15,IF(Backend!P64&lt;=Backend!$X$16,Backend!Q63+Backend!$Z$16))))))</f>
        <v>42.219263758809007</v>
      </c>
      <c r="R64" s="24" t="str">
        <f>IF(1&lt;=ConceptDemo!$K$41,IF(P64=$W$12,ConceptDemo!$K$39,""),"")</f>
        <v/>
      </c>
      <c r="S64" s="24" t="str">
        <f>IF(2&lt;=ConceptDemo!$K$41,IF(P64=$W$13,ConceptDemo!$K$39,""),"")</f>
        <v/>
      </c>
      <c r="T64" s="24" t="str">
        <f>IF(3&lt;=ConceptDemo!$K$41,IF(P64=$W$14,ConceptDemo!$K$39,""),"")</f>
        <v/>
      </c>
      <c r="U64" s="24" t="str">
        <f>IF(4&lt;=ConceptDemo!$K$41,IF(P64=$W$15,ConceptDemo!$K$39,""),"")</f>
        <v/>
      </c>
      <c r="W64" s="23">
        <f>IF($P64&lt;ConceptDemo!$C$17+$E$24-10,$G$27,0)</f>
        <v>0.16393442622950818</v>
      </c>
      <c r="X64" s="23">
        <f>IF($P64&lt;ConceptDemo!$C$17+$E$24-10,$H$27,0)</f>
        <v>0.32786885245901637</v>
      </c>
      <c r="Y64" s="13">
        <f t="shared" si="1"/>
        <v>1.9346938775510203</v>
      </c>
      <c r="Z64" s="13">
        <f t="shared" si="2"/>
        <v>1.9346938775510203</v>
      </c>
      <c r="AA64" s="13">
        <f t="shared" si="3"/>
        <v>0</v>
      </c>
      <c r="AB64" s="13">
        <f t="shared" si="4"/>
        <v>0</v>
      </c>
      <c r="AC64" s="23">
        <f t="shared" si="5"/>
        <v>0.57089327534292411</v>
      </c>
      <c r="AD64" s="23">
        <f>IF(P64&lt;=ConceptDemo!$C$19,AD63+SUM(W64:AB64)-(Q64-Q63)-AC64,0)</f>
        <v>32.641893818976172</v>
      </c>
      <c r="AE64" s="23">
        <f>IF(ConceptDemo!$C$7=Backend!$A$2,AD64,IF(AE63&lt;&gt;AD63,IF(P64&lt;=ConceptDemo!$C$19,AE63+SUM(W64:AB64)-(Q64-Q63)-AC64,0),IF(P64=ConceptDemo!$C$40,ConceptDemo!$C$39,AD64)))</f>
        <v>32.641893818976172</v>
      </c>
      <c r="AF64" s="23">
        <f t="shared" si="7"/>
        <v>26.004708742451015</v>
      </c>
      <c r="AG64" s="23">
        <f t="shared" si="8"/>
        <v>37.570819785641575</v>
      </c>
      <c r="AH64" s="23">
        <f t="shared" si="6"/>
        <v>11.56611104319056</v>
      </c>
    </row>
    <row r="65" spans="1:34" x14ac:dyDescent="0.25">
      <c r="P65" s="16">
        <f>IFERROR(IF(P64+1=ConceptDemo!$C$19+10,"",Backend!P64+1),"")</f>
        <v>44483</v>
      </c>
      <c r="Q65" s="13">
        <f>IF(OR(P65&lt;ConceptDemo!$C$17,Backend!P65&gt;ConceptDemo!$C$19),0,IF(Backend!P65&lt;=Backend!$R$12,Backend!Q64+Backend!$T$12,IF(Backend!P65&lt;=Backend!$R$13,Backend!Q64+Backend!$T$13,IF(Backend!P65&lt;=Backend!$R$14,Backend!Q64+Backend!$T$14,IF(Backend!P65&lt;=Backend!$R$15,Backend!Q64+Backend!$T$15,IF(Backend!P65&lt;=Backend!$X$16,Backend!Q64+Backend!$Z$16))))))</f>
        <v>44.702749862268362</v>
      </c>
      <c r="R65" s="24" t="str">
        <f>IF(1&lt;=ConceptDemo!$K$41,IF(P65=$W$12,ConceptDemo!$K$39,""),"")</f>
        <v/>
      </c>
      <c r="S65" s="24" t="str">
        <f>IF(2&lt;=ConceptDemo!$K$41,IF(P65=$W$13,ConceptDemo!$K$39,""),"")</f>
        <v/>
      </c>
      <c r="T65" s="24" t="str">
        <f>IF(3&lt;=ConceptDemo!$K$41,IF(P65=$W$14,ConceptDemo!$K$39,""),"")</f>
        <v/>
      </c>
      <c r="U65" s="24" t="str">
        <f>IF(4&lt;=ConceptDemo!$K$41,IF(P65=$W$15,ConceptDemo!$K$39,""),"")</f>
        <v/>
      </c>
      <c r="W65" s="23">
        <f>IF($P65&lt;ConceptDemo!$C$17+$E$24-10,$G$27,0)</f>
        <v>0.16393442622950818</v>
      </c>
      <c r="X65" s="23">
        <f>IF($P65&lt;ConceptDemo!$C$17+$E$24-10,$H$27,0)</f>
        <v>0.32786885245901637</v>
      </c>
      <c r="Y65" s="13">
        <f t="shared" si="1"/>
        <v>1.9346938775510203</v>
      </c>
      <c r="Z65" s="13">
        <f t="shared" si="2"/>
        <v>1.9346938775510203</v>
      </c>
      <c r="AA65" s="13">
        <f t="shared" si="3"/>
        <v>0</v>
      </c>
      <c r="AB65" s="13">
        <f t="shared" si="4"/>
        <v>0</v>
      </c>
      <c r="AC65" s="23">
        <f t="shared" si="5"/>
        <v>0.57089327534292411</v>
      </c>
      <c r="AD65" s="23">
        <f>IF(P65&lt;=ConceptDemo!$C$19,AD64+SUM(W65:AB65)-(Q65-Q64)-AC65,0)</f>
        <v>33.948705473964452</v>
      </c>
      <c r="AE65" s="23">
        <f>IF(ConceptDemo!$C$7=Backend!$A$2,AD65,IF(AE64&lt;&gt;AD64,IF(P65&lt;=ConceptDemo!$C$19,AE64+SUM(W65:AB65)-(Q65-Q64)-AC65,0),IF(P65=ConceptDemo!$C$40,ConceptDemo!$C$39,AD65)))</f>
        <v>33.948705473964452</v>
      </c>
      <c r="AF65" s="23">
        <f t="shared" si="7"/>
        <v>27.04580202759168</v>
      </c>
      <c r="AG65" s="23">
        <f t="shared" si="8"/>
        <v>39.074960000533082</v>
      </c>
      <c r="AH65" s="23">
        <f t="shared" si="6"/>
        <v>12.029157972941402</v>
      </c>
    </row>
    <row r="66" spans="1:34" x14ac:dyDescent="0.25">
      <c r="P66" s="16">
        <f>IFERROR(IF(P65+1=ConceptDemo!$C$19+10,"",Backend!P65+1),"")</f>
        <v>44484</v>
      </c>
      <c r="Q66" s="13">
        <f>IF(OR(P66&lt;ConceptDemo!$C$17,Backend!P66&gt;ConceptDemo!$C$19),0,IF(Backend!P66&lt;=Backend!$R$12,Backend!Q65+Backend!$T$12,IF(Backend!P66&lt;=Backend!$R$13,Backend!Q65+Backend!$T$13,IF(Backend!P66&lt;=Backend!$R$14,Backend!Q65+Backend!$T$14,IF(Backend!P66&lt;=Backend!$R$15,Backend!Q65+Backend!$T$15,IF(Backend!P66&lt;=Backend!$X$16,Backend!Q65+Backend!$Z$16))))))</f>
        <v>47.186235965727718</v>
      </c>
      <c r="R66" s="24" t="str">
        <f>IF(1&lt;=ConceptDemo!$K$41,IF(P66=$W$12,ConceptDemo!$K$39,""),"")</f>
        <v/>
      </c>
      <c r="S66" s="24" t="str">
        <f>IF(2&lt;=ConceptDemo!$K$41,IF(P66=$W$13,ConceptDemo!$K$39,""),"")</f>
        <v/>
      </c>
      <c r="T66" s="24" t="str">
        <f>IF(3&lt;=ConceptDemo!$K$41,IF(P66=$W$14,ConceptDemo!$K$39,""),"")</f>
        <v/>
      </c>
      <c r="U66" s="24" t="str">
        <f>IF(4&lt;=ConceptDemo!$K$41,IF(P66=$W$15,ConceptDemo!$K$39,""),"")</f>
        <v/>
      </c>
      <c r="W66" s="23">
        <f>IF($P66&lt;ConceptDemo!$C$17+$E$24-10,$G$27,0)</f>
        <v>0.16393442622950818</v>
      </c>
      <c r="X66" s="23">
        <f>IF($P66&lt;ConceptDemo!$C$17+$E$24-10,$H$27,0)</f>
        <v>0.32786885245901637</v>
      </c>
      <c r="Y66" s="13">
        <f t="shared" si="1"/>
        <v>1.9346938775510203</v>
      </c>
      <c r="Z66" s="13">
        <f t="shared" si="2"/>
        <v>1.9346938775510203</v>
      </c>
      <c r="AA66" s="13">
        <f t="shared" si="3"/>
        <v>0</v>
      </c>
      <c r="AB66" s="13">
        <f t="shared" si="4"/>
        <v>0</v>
      </c>
      <c r="AC66" s="23">
        <f t="shared" si="5"/>
        <v>0.57089327534292411</v>
      </c>
      <c r="AD66" s="23">
        <f>IF(P66&lt;=ConceptDemo!$C$19,AD65+SUM(W66:AB66)-(Q66-Q65)-AC66,0)</f>
        <v>35.255517128952732</v>
      </c>
      <c r="AE66" s="23">
        <f>IF(ConceptDemo!$C$7=Backend!$A$2,AD66,IF(AE65&lt;&gt;AD65,IF(P66&lt;=ConceptDemo!$C$19,AE65+SUM(W66:AB66)-(Q66-Q65)-AC66,0),IF(P66=ConceptDemo!$C$40,ConceptDemo!$C$39,AD66)))</f>
        <v>35.255517128952732</v>
      </c>
      <c r="AF66" s="23">
        <f t="shared" si="7"/>
        <v>28.086895312732345</v>
      </c>
      <c r="AG66" s="23">
        <f t="shared" si="8"/>
        <v>40.579100215424596</v>
      </c>
      <c r="AH66" s="23">
        <f t="shared" si="6"/>
        <v>12.492204902692251</v>
      </c>
    </row>
    <row r="67" spans="1:34" x14ac:dyDescent="0.25">
      <c r="P67" s="16">
        <f>IFERROR(IF(P66+1=ConceptDemo!$C$19+10,"",Backend!P66+1),"")</f>
        <v>44485</v>
      </c>
      <c r="Q67" s="13">
        <f>IF(OR(P67&lt;ConceptDemo!$C$17,Backend!P67&gt;ConceptDemo!$C$19),0,IF(Backend!P67&lt;=Backend!$R$12,Backend!Q66+Backend!$T$12,IF(Backend!P67&lt;=Backend!$R$13,Backend!Q66+Backend!$T$13,IF(Backend!P67&lt;=Backend!$R$14,Backend!Q66+Backend!$T$14,IF(Backend!P67&lt;=Backend!$R$15,Backend!Q66+Backend!$T$15,IF(Backend!P67&lt;=Backend!$X$16,Backend!Q66+Backend!$Z$16))))))</f>
        <v>49.359286306254653</v>
      </c>
      <c r="R67" s="24" t="str">
        <f>IF(1&lt;=ConceptDemo!$K$41,IF(P67=$W$12,ConceptDemo!$K$39,""),"")</f>
        <v/>
      </c>
      <c r="S67" s="24" t="str">
        <f>IF(2&lt;=ConceptDemo!$K$41,IF(P67=$W$13,ConceptDemo!$K$39,""),"")</f>
        <v/>
      </c>
      <c r="T67" s="24" t="str">
        <f>IF(3&lt;=ConceptDemo!$K$41,IF(P67=$W$14,ConceptDemo!$K$39,""),"")</f>
        <v/>
      </c>
      <c r="U67" s="24" t="str">
        <f>IF(4&lt;=ConceptDemo!$K$41,IF(P67=$W$15,ConceptDemo!$K$39,""),"")</f>
        <v/>
      </c>
      <c r="W67" s="23">
        <f>IF($P67&lt;ConceptDemo!$C$17+$E$24-10,$G$27,0)</f>
        <v>0.16393442622950818</v>
      </c>
      <c r="X67" s="23">
        <f>IF($P67&lt;ConceptDemo!$C$17+$E$24-10,$H$27,0)</f>
        <v>0.32786885245901637</v>
      </c>
      <c r="Y67" s="13">
        <f t="shared" si="1"/>
        <v>1.9346938775510203</v>
      </c>
      <c r="Z67" s="13">
        <f t="shared" si="2"/>
        <v>1.9346938775510203</v>
      </c>
      <c r="AA67" s="13">
        <f t="shared" si="3"/>
        <v>0</v>
      </c>
      <c r="AB67" s="13">
        <f t="shared" si="4"/>
        <v>0</v>
      </c>
      <c r="AC67" s="23">
        <f t="shared" si="5"/>
        <v>0.57089327534292411</v>
      </c>
      <c r="AD67" s="23">
        <f>IF(P67&lt;=ConceptDemo!$C$19,AD66+SUM(W67:AB67)-(Q67-Q66)-AC67,0)</f>
        <v>36.872764546873434</v>
      </c>
      <c r="AE67" s="23">
        <f>IF(ConceptDemo!$C$7=Backend!$A$2,AD67,IF(AE66&lt;&gt;AD66,IF(P67&lt;=ConceptDemo!$C$19,AE66+SUM(W67:AB67)-(Q67-Q66)-AC67,0),IF(P67=ConceptDemo!$C$40,ConceptDemo!$C$39,AD67)))</f>
        <v>36.872764546873434</v>
      </c>
      <c r="AF67" s="23">
        <f t="shared" si="7"/>
        <v>29.3753024223425</v>
      </c>
      <c r="AG67" s="23">
        <f t="shared" si="8"/>
        <v>42.440551993451322</v>
      </c>
      <c r="AH67" s="23">
        <f t="shared" si="6"/>
        <v>13.065249571108822</v>
      </c>
    </row>
    <row r="68" spans="1:34" x14ac:dyDescent="0.25">
      <c r="P68" s="16">
        <f>IFERROR(IF(P67+1=ConceptDemo!$C$19+10,"",Backend!P67+1),"")</f>
        <v>44486</v>
      </c>
      <c r="Q68" s="13">
        <f>IF(OR(P68&lt;ConceptDemo!$C$17,Backend!P68&gt;ConceptDemo!$C$19),0,IF(Backend!P68&lt;=Backend!$R$12,Backend!Q67+Backend!$T$12,IF(Backend!P68&lt;=Backend!$R$13,Backend!Q67+Backend!$T$13,IF(Backend!P68&lt;=Backend!$R$14,Backend!Q67+Backend!$T$14,IF(Backend!P68&lt;=Backend!$R$15,Backend!Q67+Backend!$T$15,IF(Backend!P68&lt;=Backend!$X$16,Backend!Q67+Backend!$Z$16))))))</f>
        <v>51.532336646781587</v>
      </c>
      <c r="R68" s="24" t="str">
        <f>IF(1&lt;=ConceptDemo!$K$41,IF(P68=$W$12,ConceptDemo!$K$39,""),"")</f>
        <v/>
      </c>
      <c r="S68" s="24" t="str">
        <f>IF(2&lt;=ConceptDemo!$K$41,IF(P68=$W$13,ConceptDemo!$K$39,""),"")</f>
        <v/>
      </c>
      <c r="T68" s="24" t="str">
        <f>IF(3&lt;=ConceptDemo!$K$41,IF(P68=$W$14,ConceptDemo!$K$39,""),"")</f>
        <v/>
      </c>
      <c r="U68" s="24" t="str">
        <f>IF(4&lt;=ConceptDemo!$K$41,IF(P68=$W$15,ConceptDemo!$K$39,""),"")</f>
        <v/>
      </c>
      <c r="W68" s="23">
        <f>IF($P68&lt;ConceptDemo!$C$17+$E$24-10,$G$27,0)</f>
        <v>0.16393442622950818</v>
      </c>
      <c r="X68" s="23">
        <f>IF($P68&lt;ConceptDemo!$C$17+$E$24-10,$H$27,0)</f>
        <v>0.32786885245901637</v>
      </c>
      <c r="Y68" s="13">
        <f t="shared" si="1"/>
        <v>1.9346938775510203</v>
      </c>
      <c r="Z68" s="13">
        <f t="shared" si="2"/>
        <v>1.9346938775510203</v>
      </c>
      <c r="AA68" s="13">
        <f t="shared" si="3"/>
        <v>0</v>
      </c>
      <c r="AB68" s="13">
        <f t="shared" si="4"/>
        <v>0</v>
      </c>
      <c r="AC68" s="23">
        <f t="shared" si="5"/>
        <v>0.57089327534292411</v>
      </c>
      <c r="AD68" s="23">
        <f>IF(P68&lt;=ConceptDemo!$C$19,AD67+SUM(W68:AB68)-(Q68-Q67)-AC68,0)</f>
        <v>38.490011964794142</v>
      </c>
      <c r="AE68" s="23">
        <f>IF(ConceptDemo!$C$7=Backend!$A$2,AD68,IF(AE67&lt;&gt;AD67,IF(P68&lt;=ConceptDemo!$C$19,AE67+SUM(W68:AB68)-(Q68-Q67)-AC68,0),IF(P68=ConceptDemo!$C$40,ConceptDemo!$C$39,AD68)))</f>
        <v>38.490011964794142</v>
      </c>
      <c r="AF68" s="23">
        <f t="shared" si="7"/>
        <v>30.663709531952666</v>
      </c>
      <c r="AG68" s="23">
        <f t="shared" si="8"/>
        <v>44.302003771478056</v>
      </c>
      <c r="AH68" s="23">
        <f t="shared" si="6"/>
        <v>13.63829423952539</v>
      </c>
    </row>
    <row r="69" spans="1:34" x14ac:dyDescent="0.25">
      <c r="P69" s="16">
        <f>IFERROR(IF(P68+1=ConceptDemo!$C$19+10,"",Backend!P68+1),"")</f>
        <v>44487</v>
      </c>
      <c r="Q69" s="13">
        <f>IF(OR(P69&lt;ConceptDemo!$C$17,Backend!P69&gt;ConceptDemo!$C$19),0,IF(Backend!P69&lt;=Backend!$R$12,Backend!Q68+Backend!$T$12,IF(Backend!P69&lt;=Backend!$R$13,Backend!Q68+Backend!$T$13,IF(Backend!P69&lt;=Backend!$R$14,Backend!Q68+Backend!$T$14,IF(Backend!P69&lt;=Backend!$R$15,Backend!Q68+Backend!$T$15,IF(Backend!P69&lt;=Backend!$X$16,Backend!Q68+Backend!$Z$16))))))</f>
        <v>53.705386987308522</v>
      </c>
      <c r="R69" s="24" t="str">
        <f>IF(1&lt;=ConceptDemo!$K$41,IF(P69=$W$12,ConceptDemo!$K$39,""),"")</f>
        <v/>
      </c>
      <c r="S69" s="24" t="str">
        <f>IF(2&lt;=ConceptDemo!$K$41,IF(P69=$W$13,ConceptDemo!$K$39,""),"")</f>
        <v/>
      </c>
      <c r="T69" s="24" t="str">
        <f>IF(3&lt;=ConceptDemo!$K$41,IF(P69=$W$14,ConceptDemo!$K$39,""),"")</f>
        <v/>
      </c>
      <c r="U69" s="24" t="str">
        <f>IF(4&lt;=ConceptDemo!$K$41,IF(P69=$W$15,ConceptDemo!$K$39,""),"")</f>
        <v/>
      </c>
      <c r="W69" s="23">
        <f>IF($P69&lt;ConceptDemo!$C$17+$E$24-10,$G$27,0)</f>
        <v>0.16393442622950818</v>
      </c>
      <c r="X69" s="23">
        <f>IF($P69&lt;ConceptDemo!$C$17+$E$24-10,$H$27,0)</f>
        <v>0.32786885245901637</v>
      </c>
      <c r="Y69" s="13">
        <f t="shared" si="1"/>
        <v>1.9346938775510203</v>
      </c>
      <c r="Z69" s="13">
        <f t="shared" si="2"/>
        <v>1.9346938775510203</v>
      </c>
      <c r="AA69" s="13">
        <f t="shared" si="3"/>
        <v>0</v>
      </c>
      <c r="AB69" s="13">
        <f t="shared" si="4"/>
        <v>0</v>
      </c>
      <c r="AC69" s="23">
        <f t="shared" si="5"/>
        <v>0.57089327534292411</v>
      </c>
      <c r="AD69" s="23">
        <f>IF(P69&lt;=ConceptDemo!$C$19,AD68+SUM(W69:AB69)-(Q69-Q68)-AC69,0)</f>
        <v>40.107259382714851</v>
      </c>
      <c r="AE69" s="23">
        <f>IF(ConceptDemo!$C$7=Backend!$A$2,AD69,IF(AE68&lt;&gt;AD68,IF(P69&lt;=ConceptDemo!$C$19,AE68+SUM(W69:AB69)-(Q69-Q68)-AC69,0),IF(P69=ConceptDemo!$C$40,ConceptDemo!$C$39,AD69)))</f>
        <v>40.107259382714851</v>
      </c>
      <c r="AF69" s="23">
        <f t="shared" si="7"/>
        <v>31.952116641562831</v>
      </c>
      <c r="AG69" s="23">
        <f t="shared" si="8"/>
        <v>46.163455549504796</v>
      </c>
      <c r="AH69" s="23">
        <f t="shared" si="6"/>
        <v>14.211338907941965</v>
      </c>
    </row>
    <row r="70" spans="1:34" x14ac:dyDescent="0.25">
      <c r="P70" s="16">
        <f>IFERROR(IF(P69+1=ConceptDemo!$C$19+10,"",Backend!P69+1),"")</f>
        <v>44488</v>
      </c>
      <c r="Q70" s="13">
        <f>IF(OR(P70&lt;ConceptDemo!$C$17,Backend!P70&gt;ConceptDemo!$C$19),0,IF(Backend!P70&lt;=Backend!$R$12,Backend!Q69+Backend!$T$12,IF(Backend!P70&lt;=Backend!$R$13,Backend!Q69+Backend!$T$13,IF(Backend!P70&lt;=Backend!$R$14,Backend!Q69+Backend!$T$14,IF(Backend!P70&lt;=Backend!$R$15,Backend!Q69+Backend!$T$15,IF(Backend!P70&lt;=Backend!$X$16,Backend!Q69+Backend!$Z$16))))))</f>
        <v>55.878437327835456</v>
      </c>
      <c r="R70" s="24" t="str">
        <f>IF(1&lt;=ConceptDemo!$K$41,IF(P70=$W$12,ConceptDemo!$K$39,""),"")</f>
        <v/>
      </c>
      <c r="S70" s="24" t="str">
        <f>IF(2&lt;=ConceptDemo!$K$41,IF(P70=$W$13,ConceptDemo!$K$39,""),"")</f>
        <v/>
      </c>
      <c r="T70" s="24" t="str">
        <f>IF(3&lt;=ConceptDemo!$K$41,IF(P70=$W$14,ConceptDemo!$K$39,""),"")</f>
        <v/>
      </c>
      <c r="U70" s="24" t="str">
        <f>IF(4&lt;=ConceptDemo!$K$41,IF(P70=$W$15,ConceptDemo!$K$39,""),"")</f>
        <v/>
      </c>
      <c r="W70" s="23">
        <f>IF($P70&lt;ConceptDemo!$C$17+$E$24-10,$G$27,0)</f>
        <v>0.16393442622950818</v>
      </c>
      <c r="X70" s="23">
        <f>IF($P70&lt;ConceptDemo!$C$17+$E$24-10,$H$27,0)</f>
        <v>0.32786885245901637</v>
      </c>
      <c r="Y70" s="13">
        <f t="shared" si="1"/>
        <v>1.9346938775510203</v>
      </c>
      <c r="Z70" s="13">
        <f t="shared" si="2"/>
        <v>1.9346938775510203</v>
      </c>
      <c r="AA70" s="13">
        <f t="shared" si="3"/>
        <v>0</v>
      </c>
      <c r="AB70" s="13">
        <f t="shared" si="4"/>
        <v>0</v>
      </c>
      <c r="AC70" s="23">
        <f t="shared" si="5"/>
        <v>0.57089327534292411</v>
      </c>
      <c r="AD70" s="23">
        <f>IF(P70&lt;=ConceptDemo!$C$19,AD69+SUM(W70:AB70)-(Q70-Q69)-AC70,0)</f>
        <v>41.72450680063556</v>
      </c>
      <c r="AE70" s="23">
        <f>IF(ConceptDemo!$C$7=Backend!$A$2,AD70,IF(AE69&lt;&gt;AD69,IF(P70&lt;=ConceptDemo!$C$19,AE69+SUM(W70:AB70)-(Q70-Q69)-AC70,0),IF(P70=ConceptDemo!$C$40,ConceptDemo!$C$39,AD70)))</f>
        <v>41.72450680063556</v>
      </c>
      <c r="AF70" s="23">
        <f t="shared" si="7"/>
        <v>33.240523751172994</v>
      </c>
      <c r="AG70" s="23">
        <f t="shared" si="8"/>
        <v>48.02490732753153</v>
      </c>
      <c r="AH70" s="23">
        <f t="shared" si="6"/>
        <v>14.784383576358536</v>
      </c>
    </row>
    <row r="71" spans="1:34" x14ac:dyDescent="0.25">
      <c r="P71" s="16">
        <f>IFERROR(IF(P70+1=ConceptDemo!$C$19+10,"",Backend!P70+1),"")</f>
        <v>44489</v>
      </c>
      <c r="Q71" s="13">
        <f>IF(OR(P71&lt;ConceptDemo!$C$17,Backend!P71&gt;ConceptDemo!$C$19),0,IF(Backend!P71&lt;=Backend!$R$12,Backend!Q70+Backend!$T$12,IF(Backend!P71&lt;=Backend!$R$13,Backend!Q70+Backend!$T$13,IF(Backend!P71&lt;=Backend!$R$14,Backend!Q70+Backend!$T$14,IF(Backend!P71&lt;=Backend!$R$15,Backend!Q70+Backend!$T$15,IF(Backend!P71&lt;=Backend!$X$16,Backend!Q70+Backend!$Z$16))))))</f>
        <v>58.051487668362391</v>
      </c>
      <c r="R71" s="24" t="str">
        <f>IF(1&lt;=ConceptDemo!$K$41,IF(P71=$W$12,ConceptDemo!$K$39,""),"")</f>
        <v/>
      </c>
      <c r="S71" s="24" t="str">
        <f>IF(2&lt;=ConceptDemo!$K$41,IF(P71=$W$13,ConceptDemo!$K$39,""),"")</f>
        <v/>
      </c>
      <c r="T71" s="24" t="str">
        <f>IF(3&lt;=ConceptDemo!$K$41,IF(P71=$W$14,ConceptDemo!$K$39,""),"")</f>
        <v/>
      </c>
      <c r="U71" s="24" t="str">
        <f>IF(4&lt;=ConceptDemo!$K$41,IF(P71=$W$15,ConceptDemo!$K$39,""),"")</f>
        <v/>
      </c>
      <c r="W71" s="23">
        <f>IF($P71&lt;ConceptDemo!$C$17+$E$24-10,$G$27,0)</f>
        <v>0.16393442622950818</v>
      </c>
      <c r="X71" s="23">
        <f>IF($P71&lt;ConceptDemo!$C$17+$E$24-10,$H$27,0)</f>
        <v>0.32786885245901637</v>
      </c>
      <c r="Y71" s="13">
        <f t="shared" si="1"/>
        <v>1.9346938775510203</v>
      </c>
      <c r="Z71" s="13">
        <f t="shared" si="2"/>
        <v>1.9346938775510203</v>
      </c>
      <c r="AA71" s="13">
        <f t="shared" si="3"/>
        <v>0</v>
      </c>
      <c r="AB71" s="13">
        <f t="shared" si="4"/>
        <v>0</v>
      </c>
      <c r="AC71" s="23">
        <f t="shared" si="5"/>
        <v>0.57089327534292411</v>
      </c>
      <c r="AD71" s="23">
        <f>IF(P71&lt;=ConceptDemo!$C$19,AD70+SUM(W71:AB71)-(Q71-Q70)-AC71,0)</f>
        <v>43.341754218556268</v>
      </c>
      <c r="AE71" s="23">
        <f>IF(ConceptDemo!$C$7=Backend!$A$2,AD71,IF(AE70&lt;&gt;AD70,IF(P71&lt;=ConceptDemo!$C$19,AE70+SUM(W71:AB71)-(Q71-Q70)-AC71,0),IF(P71=ConceptDemo!$C$40,ConceptDemo!$C$39,AD71)))</f>
        <v>43.341754218556268</v>
      </c>
      <c r="AF71" s="23">
        <f t="shared" si="7"/>
        <v>34.528930860783163</v>
      </c>
      <c r="AG71" s="23">
        <f t="shared" si="8"/>
        <v>49.886359105558263</v>
      </c>
      <c r="AH71" s="23">
        <f t="shared" si="6"/>
        <v>15.3574282447751</v>
      </c>
    </row>
    <row r="72" spans="1:34" x14ac:dyDescent="0.25">
      <c r="P72" s="16">
        <f>IFERROR(IF(P71+1=ConceptDemo!$C$19+10,"",Backend!P71+1),"")</f>
        <v>44490</v>
      </c>
      <c r="Q72" s="13">
        <f>IF(OR(P72&lt;ConceptDemo!$C$17,Backend!P72&gt;ConceptDemo!$C$19),0,IF(Backend!P72&lt;=Backend!$R$12,Backend!Q71+Backend!$T$12,IF(Backend!P72&lt;=Backend!$R$13,Backend!Q71+Backend!$T$13,IF(Backend!P72&lt;=Backend!$R$14,Backend!Q71+Backend!$T$14,IF(Backend!P72&lt;=Backend!$R$15,Backend!Q71+Backend!$T$15,IF(Backend!P72&lt;=Backend!$X$16,Backend!Q71+Backend!$Z$16))))))</f>
        <v>60.224538008889326</v>
      </c>
      <c r="R72" s="24" t="str">
        <f>IF(1&lt;=ConceptDemo!$K$41,IF(P72=$W$12,ConceptDemo!$K$39,""),"")</f>
        <v/>
      </c>
      <c r="S72" s="24" t="str">
        <f>IF(2&lt;=ConceptDemo!$K$41,IF(P72=$W$13,ConceptDemo!$K$39,""),"")</f>
        <v/>
      </c>
      <c r="T72" s="24">
        <f>IF(3&lt;=ConceptDemo!$K$41,IF(P72=$W$14,ConceptDemo!$K$39,""),"")</f>
        <v>58.04081632653061</v>
      </c>
      <c r="U72" s="24" t="str">
        <f>IF(4&lt;=ConceptDemo!$K$41,IF(P72=$W$15,ConceptDemo!$K$39,""),"")</f>
        <v/>
      </c>
      <c r="W72" s="23">
        <f>IF($P72&lt;ConceptDemo!$C$17+$E$24-10,$G$27,0)</f>
        <v>0.16393442622950818</v>
      </c>
      <c r="X72" s="23">
        <f>IF($P72&lt;ConceptDemo!$C$17+$E$24-10,$H$27,0)</f>
        <v>0.32786885245901637</v>
      </c>
      <c r="Y72" s="13">
        <f t="shared" si="1"/>
        <v>1.9346938775510203</v>
      </c>
      <c r="Z72" s="13">
        <f t="shared" si="2"/>
        <v>1.9346938775510203</v>
      </c>
      <c r="AA72" s="13">
        <f t="shared" si="3"/>
        <v>1.9346938775510203</v>
      </c>
      <c r="AB72" s="13">
        <f t="shared" si="4"/>
        <v>0</v>
      </c>
      <c r="AC72" s="23">
        <f t="shared" si="5"/>
        <v>0.57089327534292411</v>
      </c>
      <c r="AD72" s="23">
        <f>IF(P72&lt;=ConceptDemo!$C$19,AD71+SUM(W72:AB72)-(Q72-Q71)-AC72,0)</f>
        <v>46.893695514027996</v>
      </c>
      <c r="AE72" s="23">
        <f>IF(ConceptDemo!$C$7=Backend!$A$2,AD72,IF(AE71&lt;&gt;AD71,IF(P72&lt;=ConceptDemo!$C$19,AE71+SUM(W72:AB72)-(Q72-Q71)-AC72,0),IF(P72=ConceptDemo!$C$40,ConceptDemo!$C$39,AD72)))</f>
        <v>46.893695514027996</v>
      </c>
      <c r="AF72" s="23">
        <f t="shared" si="7"/>
        <v>37.358644092842304</v>
      </c>
      <c r="AG72" s="23">
        <f t="shared" si="8"/>
        <v>53.974643536646226</v>
      </c>
      <c r="AH72" s="23">
        <f t="shared" si="6"/>
        <v>16.615999443803922</v>
      </c>
    </row>
    <row r="73" spans="1:34" x14ac:dyDescent="0.25">
      <c r="P73" s="16">
        <f>IFERROR(IF(P72+1=ConceptDemo!$C$19+10,"",Backend!P72+1),"")</f>
        <v>44491</v>
      </c>
      <c r="Q73" s="13">
        <f>IF(OR(P73&lt;ConceptDemo!$C$17,Backend!P73&gt;ConceptDemo!$C$19),0,IF(Backend!P73&lt;=Backend!$R$12,Backend!Q72+Backend!$T$12,IF(Backend!P73&lt;=Backend!$R$13,Backend!Q72+Backend!$T$13,IF(Backend!P73&lt;=Backend!$R$14,Backend!Q72+Backend!$T$14,IF(Backend!P73&lt;=Backend!$R$15,Backend!Q72+Backend!$T$15,IF(Backend!P73&lt;=Backend!$X$16,Backend!Q72+Backend!$Z$16))))))</f>
        <v>62.39758834941626</v>
      </c>
      <c r="R73" s="24" t="str">
        <f>IF(1&lt;=ConceptDemo!$K$41,IF(P73=$W$12,ConceptDemo!$K$39,""),"")</f>
        <v/>
      </c>
      <c r="S73" s="24" t="str">
        <f>IF(2&lt;=ConceptDemo!$K$41,IF(P73=$W$13,ConceptDemo!$K$39,""),"")</f>
        <v/>
      </c>
      <c r="T73" s="24" t="str">
        <f>IF(3&lt;=ConceptDemo!$K$41,IF(P73=$W$14,ConceptDemo!$K$39,""),"")</f>
        <v/>
      </c>
      <c r="U73" s="24" t="str">
        <f>IF(4&lt;=ConceptDemo!$K$41,IF(P73=$W$15,ConceptDemo!$K$39,""),"")</f>
        <v/>
      </c>
      <c r="W73" s="23">
        <f>IF($P73&lt;ConceptDemo!$C$17+$E$24-10,$G$27,0)</f>
        <v>0.16393442622950818</v>
      </c>
      <c r="X73" s="23">
        <f>IF($P73&lt;ConceptDemo!$C$17+$E$24-10,$H$27,0)</f>
        <v>0.32786885245901637</v>
      </c>
      <c r="Y73" s="13">
        <f t="shared" si="1"/>
        <v>1.9346938775510203</v>
      </c>
      <c r="Z73" s="13">
        <f t="shared" si="2"/>
        <v>1.9346938775510203</v>
      </c>
      <c r="AA73" s="13">
        <f t="shared" si="3"/>
        <v>1.9346938775510203</v>
      </c>
      <c r="AB73" s="13">
        <f t="shared" si="4"/>
        <v>0</v>
      </c>
      <c r="AC73" s="23">
        <f t="shared" si="5"/>
        <v>0.57089327534292411</v>
      </c>
      <c r="AD73" s="23">
        <f>IF(P73&lt;=ConceptDemo!$C$19,AD72+SUM(W73:AB73)-(Q73-Q72)-AC73,0)</f>
        <v>50.445636809499725</v>
      </c>
      <c r="AE73" s="23">
        <f>IF(ConceptDemo!$C$7=Backend!$A$2,AD73,IF(AE72&lt;&gt;AD72,IF(P73&lt;=ConceptDemo!$C$19,AE72+SUM(W73:AB73)-(Q73-Q72)-AC73,0),IF(P73=ConceptDemo!$C$40,ConceptDemo!$C$39,AD73)))</f>
        <v>50.445636809499725</v>
      </c>
      <c r="AF73" s="23">
        <f t="shared" si="7"/>
        <v>40.188357324901446</v>
      </c>
      <c r="AG73" s="23">
        <f t="shared" si="8"/>
        <v>58.062927967734183</v>
      </c>
      <c r="AH73" s="23">
        <f t="shared" si="6"/>
        <v>17.874570642832737</v>
      </c>
    </row>
    <row r="74" spans="1:34" x14ac:dyDescent="0.25">
      <c r="P74" s="16">
        <f>IFERROR(IF(P73+1=ConceptDemo!$C$19+10,"",Backend!P73+1),"")</f>
        <v>44492</v>
      </c>
      <c r="Q74" s="13">
        <f>IF(OR(P74&lt;ConceptDemo!$C$17,Backend!P74&gt;ConceptDemo!$C$19),0,IF(Backend!P74&lt;=Backend!$R$12,Backend!Q73+Backend!$T$12,IF(Backend!P74&lt;=Backend!$R$13,Backend!Q73+Backend!$T$13,IF(Backend!P74&lt;=Backend!$R$14,Backend!Q73+Backend!$T$14,IF(Backend!P74&lt;=Backend!$R$15,Backend!Q73+Backend!$T$15,IF(Backend!P74&lt;=Backend!$X$16,Backend!Q73+Backend!$Z$16))))))</f>
        <v>64.570638689943195</v>
      </c>
      <c r="R74" s="24" t="str">
        <f>IF(1&lt;=ConceptDemo!$K$41,IF(P74=$W$12,ConceptDemo!$K$39,""),"")</f>
        <v/>
      </c>
      <c r="S74" s="24" t="str">
        <f>IF(2&lt;=ConceptDemo!$K$41,IF(P74=$W$13,ConceptDemo!$K$39,""),"")</f>
        <v/>
      </c>
      <c r="T74" s="24" t="str">
        <f>IF(3&lt;=ConceptDemo!$K$41,IF(P74=$W$14,ConceptDemo!$K$39,""),"")</f>
        <v/>
      </c>
      <c r="U74" s="24" t="str">
        <f>IF(4&lt;=ConceptDemo!$K$41,IF(P74=$W$15,ConceptDemo!$K$39,""),"")</f>
        <v/>
      </c>
      <c r="W74" s="23">
        <f>IF($P74&lt;ConceptDemo!$C$17+$E$24-10,$G$27,0)</f>
        <v>0.16393442622950818</v>
      </c>
      <c r="X74" s="23">
        <f>IF($P74&lt;ConceptDemo!$C$17+$E$24-10,$H$27,0)</f>
        <v>0.32786885245901637</v>
      </c>
      <c r="Y74" s="13">
        <f t="shared" si="1"/>
        <v>0</v>
      </c>
      <c r="Z74" s="13">
        <f t="shared" si="2"/>
        <v>1.9346938775510203</v>
      </c>
      <c r="AA74" s="13">
        <f t="shared" si="3"/>
        <v>1.9346938775510203</v>
      </c>
      <c r="AB74" s="13">
        <f t="shared" si="4"/>
        <v>0</v>
      </c>
      <c r="AC74" s="23">
        <f t="shared" si="5"/>
        <v>0.57089327534292411</v>
      </c>
      <c r="AD74" s="23">
        <f>IF(P74&lt;=ConceptDemo!$C$19,AD73+SUM(W74:AB74)-(Q74-Q73)-AC74,0)</f>
        <v>52.062884227420433</v>
      </c>
      <c r="AE74" s="23">
        <f>IF(ConceptDemo!$C$7=Backend!$A$2,AD74,IF(AE73&lt;&gt;AD73,IF(P74&lt;=ConceptDemo!$C$19,AE73+SUM(W74:AB74)-(Q74-Q73)-AC74,0),IF(P74=ConceptDemo!$C$40,ConceptDemo!$C$39,AD74)))</f>
        <v>52.062884227420433</v>
      </c>
      <c r="AF74" s="23">
        <f t="shared" si="7"/>
        <v>41.476764434511608</v>
      </c>
      <c r="AG74" s="23">
        <f t="shared" si="8"/>
        <v>59.924379745760916</v>
      </c>
      <c r="AH74" s="23">
        <f t="shared" si="6"/>
        <v>18.447615311249308</v>
      </c>
    </row>
    <row r="75" spans="1:34" x14ac:dyDescent="0.25">
      <c r="A75" s="6" t="s">
        <v>30</v>
      </c>
      <c r="P75" s="16">
        <f>IFERROR(IF(P74+1=ConceptDemo!$C$19+10,"",Backend!P74+1),"")</f>
        <v>44493</v>
      </c>
      <c r="Q75" s="13">
        <f>IF(OR(P75&lt;ConceptDemo!$C$17,Backend!P75&gt;ConceptDemo!$C$19),0,IF(Backend!P75&lt;=Backend!$R$12,Backend!Q74+Backend!$T$12,IF(Backend!P75&lt;=Backend!$R$13,Backend!Q74+Backend!$T$13,IF(Backend!P75&lt;=Backend!$R$14,Backend!Q74+Backend!$T$14,IF(Backend!P75&lt;=Backend!$R$15,Backend!Q74+Backend!$T$15,IF(Backend!P75&lt;=Backend!$X$16,Backend!Q74+Backend!$Z$16))))))</f>
        <v>66.743689030470122</v>
      </c>
      <c r="R75" s="24" t="str">
        <f>IF(1&lt;=ConceptDemo!$K$41,IF(P75=$W$12,ConceptDemo!$K$39,""),"")</f>
        <v/>
      </c>
      <c r="S75" s="24" t="str">
        <f>IF(2&lt;=ConceptDemo!$K$41,IF(P75=$W$13,ConceptDemo!$K$39,""),"")</f>
        <v/>
      </c>
      <c r="T75" s="24" t="str">
        <f>IF(3&lt;=ConceptDemo!$K$41,IF(P75=$W$14,ConceptDemo!$K$39,""),"")</f>
        <v/>
      </c>
      <c r="U75" s="24" t="str">
        <f>IF(4&lt;=ConceptDemo!$K$41,IF(P75=$W$15,ConceptDemo!$K$39,""),"")</f>
        <v/>
      </c>
      <c r="W75" s="23">
        <f>IF($P75&lt;ConceptDemo!$C$17+$E$24-10,$G$27,0)</f>
        <v>0.16393442622950818</v>
      </c>
      <c r="X75" s="23">
        <f>IF($P75&lt;ConceptDemo!$C$17+$E$24-10,$H$27,0)</f>
        <v>0.32786885245901637</v>
      </c>
      <c r="Y75" s="13">
        <f t="shared" si="1"/>
        <v>0</v>
      </c>
      <c r="Z75" s="13">
        <f t="shared" si="2"/>
        <v>1.9346938775510203</v>
      </c>
      <c r="AA75" s="13">
        <f t="shared" si="3"/>
        <v>1.9346938775510203</v>
      </c>
      <c r="AB75" s="13">
        <f t="shared" si="4"/>
        <v>0</v>
      </c>
      <c r="AC75" s="23">
        <f t="shared" si="5"/>
        <v>0.57089327534292411</v>
      </c>
      <c r="AD75" s="23">
        <f>IF(P75&lt;=ConceptDemo!$C$19,AD74+SUM(W75:AB75)-(Q75-Q74)-AC75,0)</f>
        <v>53.680131645341149</v>
      </c>
      <c r="AE75" s="23">
        <f>IF(ConceptDemo!$C$7=Backend!$A$2,AD75,IF(AE74&lt;&gt;AD74,IF(P75&lt;=ConceptDemo!$C$19,AE74+SUM(W75:AB75)-(Q75-Q74)-AC75,0),IF(P75=ConceptDemo!$C$40,ConceptDemo!$C$39,AD75)))</f>
        <v>53.680131645341149</v>
      </c>
      <c r="AF75" s="23">
        <f t="shared" si="7"/>
        <v>42.765171544121785</v>
      </c>
      <c r="AG75" s="23">
        <f t="shared" si="8"/>
        <v>61.785831523787664</v>
      </c>
      <c r="AH75" s="23">
        <f t="shared" si="6"/>
        <v>19.020659979665879</v>
      </c>
    </row>
    <row r="76" spans="1:34" x14ac:dyDescent="0.25">
      <c r="P76" s="16">
        <f>IFERROR(IF(P75+1=ConceptDemo!$C$19+10,"",Backend!P75+1),"")</f>
        <v>44494</v>
      </c>
      <c r="Q76" s="13">
        <f>IF(OR(P76&lt;ConceptDemo!$C$17,Backend!P76&gt;ConceptDemo!$C$19),0,IF(Backend!P76&lt;=Backend!$R$12,Backend!Q75+Backend!$T$12,IF(Backend!P76&lt;=Backend!$R$13,Backend!Q75+Backend!$T$13,IF(Backend!P76&lt;=Backend!$R$14,Backend!Q75+Backend!$T$14,IF(Backend!P76&lt;=Backend!$R$15,Backend!Q75+Backend!$T$15,IF(Backend!P76&lt;=Backend!$X$16,Backend!Q75+Backend!$Z$16))))))</f>
        <v>68.91673937099705</v>
      </c>
      <c r="R76" s="24" t="str">
        <f>IF(1&lt;=ConceptDemo!$K$41,IF(P76=$W$12,ConceptDemo!$K$39,""),"")</f>
        <v/>
      </c>
      <c r="S76" s="24" t="str">
        <f>IF(2&lt;=ConceptDemo!$K$41,IF(P76=$W$13,ConceptDemo!$K$39,""),"")</f>
        <v/>
      </c>
      <c r="T76" s="24" t="str">
        <f>IF(3&lt;=ConceptDemo!$K$41,IF(P76=$W$14,ConceptDemo!$K$39,""),"")</f>
        <v/>
      </c>
      <c r="U76" s="24" t="str">
        <f>IF(4&lt;=ConceptDemo!$K$41,IF(P76=$W$15,ConceptDemo!$K$39,""),"")</f>
        <v/>
      </c>
      <c r="W76" s="23">
        <f>IF($P76&lt;ConceptDemo!$C$17+$E$24-10,$G$27,0)</f>
        <v>0.16393442622950818</v>
      </c>
      <c r="X76" s="23">
        <f>IF($P76&lt;ConceptDemo!$C$17+$E$24-10,$H$27,0)</f>
        <v>0.32786885245901637</v>
      </c>
      <c r="Y76" s="13">
        <f t="shared" si="1"/>
        <v>0</v>
      </c>
      <c r="Z76" s="13">
        <f t="shared" si="2"/>
        <v>1.9346938775510203</v>
      </c>
      <c r="AA76" s="13">
        <f t="shared" si="3"/>
        <v>1.9346938775510203</v>
      </c>
      <c r="AB76" s="13">
        <f t="shared" si="4"/>
        <v>0</v>
      </c>
      <c r="AC76" s="23">
        <f t="shared" si="5"/>
        <v>0.57089327534292411</v>
      </c>
      <c r="AD76" s="23">
        <f>IF(P76&lt;=ConceptDemo!$C$19,AD75+SUM(W76:AB76)-(Q76-Q75)-AC76,0)</f>
        <v>55.297379063261857</v>
      </c>
      <c r="AE76" s="23">
        <f>IF(ConceptDemo!$C$7=Backend!$A$2,AD76,IF(AE75&lt;&gt;AD75,IF(P76&lt;=ConceptDemo!$C$19,AE75+SUM(W76:AB76)-(Q76-Q75)-AC76,0),IF(P76=ConceptDemo!$C$40,ConceptDemo!$C$39,AD76)))</f>
        <v>55.297379063261857</v>
      </c>
      <c r="AF76" s="23">
        <f t="shared" si="7"/>
        <v>44.053578653731947</v>
      </c>
      <c r="AG76" s="23">
        <f t="shared" si="8"/>
        <v>63.647283301814397</v>
      </c>
      <c r="AH76" s="23">
        <f t="shared" si="6"/>
        <v>19.593704648082451</v>
      </c>
    </row>
    <row r="77" spans="1:34" x14ac:dyDescent="0.25">
      <c r="A77" t="s">
        <v>100</v>
      </c>
      <c r="B77" s="19">
        <f>ConceptDemo!C23/C13</f>
        <v>56842.1052631579</v>
      </c>
      <c r="C77" t="s">
        <v>5</v>
      </c>
      <c r="P77" s="16">
        <f>IFERROR(IF(P76+1=ConceptDemo!$C$19+10,"",Backend!P76+1),"")</f>
        <v>44495</v>
      </c>
      <c r="Q77" s="13">
        <f>IF(OR(P77&lt;ConceptDemo!$C$17,Backend!P77&gt;ConceptDemo!$C$19),0,IF(Backend!P77&lt;=Backend!$R$12,Backend!Q76+Backend!$T$12,IF(Backend!P77&lt;=Backend!$R$13,Backend!Q76+Backend!$T$13,IF(Backend!P77&lt;=Backend!$R$14,Backend!Q76+Backend!$T$14,IF(Backend!P77&lt;=Backend!$R$15,Backend!Q76+Backend!$T$15,IF(Backend!P77&lt;=Backend!$X$16,Backend!Q76+Backend!$Z$16))))))</f>
        <v>71.089789711523977</v>
      </c>
      <c r="R77" s="24" t="str">
        <f>IF(1&lt;=ConceptDemo!$K$41,IF(P77=$W$12,ConceptDemo!$K$39,""),"")</f>
        <v/>
      </c>
      <c r="S77" s="24" t="str">
        <f>IF(2&lt;=ConceptDemo!$K$41,IF(P77=$W$13,ConceptDemo!$K$39,""),"")</f>
        <v/>
      </c>
      <c r="T77" s="24" t="str">
        <f>IF(3&lt;=ConceptDemo!$K$41,IF(P77=$W$14,ConceptDemo!$K$39,""),"")</f>
        <v/>
      </c>
      <c r="U77" s="24" t="str">
        <f>IF(4&lt;=ConceptDemo!$K$41,IF(P77=$W$15,ConceptDemo!$K$39,""),"")</f>
        <v/>
      </c>
      <c r="W77" s="23">
        <f>IF($P77&lt;ConceptDemo!$C$17+$E$24-10,$G$27,0)</f>
        <v>0.16393442622950818</v>
      </c>
      <c r="X77" s="23">
        <f>IF($P77&lt;ConceptDemo!$C$17+$E$24-10,$H$27,0)</f>
        <v>0.32786885245901637</v>
      </c>
      <c r="Y77" s="13">
        <f t="shared" si="1"/>
        <v>0</v>
      </c>
      <c r="Z77" s="13">
        <f t="shared" si="2"/>
        <v>1.9346938775510203</v>
      </c>
      <c r="AA77" s="13">
        <f t="shared" si="3"/>
        <v>1.9346938775510203</v>
      </c>
      <c r="AB77" s="13">
        <f t="shared" si="4"/>
        <v>0</v>
      </c>
      <c r="AC77" s="23">
        <f t="shared" si="5"/>
        <v>0.57089327534292411</v>
      </c>
      <c r="AD77" s="23">
        <f>IF(P77&lt;=ConceptDemo!$C$19,AD76+SUM(W77:AB77)-(Q77-Q76)-AC77,0)</f>
        <v>56.914626481182566</v>
      </c>
      <c r="AE77" s="23">
        <f>IF(ConceptDemo!$C$7=Backend!$A$2,AD77,IF(AE76&lt;&gt;AD76,IF(P77&lt;=ConceptDemo!$C$19,AE76+SUM(W77:AB77)-(Q77-Q76)-AC77,0),IF(P77=ConceptDemo!$C$40,ConceptDemo!$C$39,AD77)))</f>
        <v>56.914626481182566</v>
      </c>
      <c r="AF77" s="23">
        <f t="shared" si="7"/>
        <v>45.341985763342109</v>
      </c>
      <c r="AG77" s="23">
        <f t="shared" si="8"/>
        <v>65.508735079841131</v>
      </c>
      <c r="AH77" s="23">
        <f t="shared" si="6"/>
        <v>20.166749316499022</v>
      </c>
    </row>
    <row r="78" spans="1:34" x14ac:dyDescent="0.25">
      <c r="A78" t="s">
        <v>116</v>
      </c>
      <c r="B78" s="20">
        <f>B77*C13</f>
        <v>54000</v>
      </c>
      <c r="C78" t="s">
        <v>5</v>
      </c>
      <c r="P78" s="16">
        <f>IFERROR(IF(P77+1=ConceptDemo!$C$19+10,"",Backend!P77+1),"")</f>
        <v>44496</v>
      </c>
      <c r="Q78" s="13">
        <f>IF(OR(P78&lt;ConceptDemo!$C$17,Backend!P78&gt;ConceptDemo!$C$19),0,IF(Backend!P78&lt;=Backend!$R$12,Backend!Q77+Backend!$T$12,IF(Backend!P78&lt;=Backend!$R$13,Backend!Q77+Backend!$T$13,IF(Backend!P78&lt;=Backend!$R$14,Backend!Q77+Backend!$T$14,IF(Backend!P78&lt;=Backend!$R$15,Backend!Q77+Backend!$T$15,IF(Backend!P78&lt;=Backend!$X$16,Backend!Q77+Backend!$Z$16))))))</f>
        <v>73.262840052050905</v>
      </c>
      <c r="R78" s="24" t="str">
        <f>IF(1&lt;=ConceptDemo!$K$41,IF(P78=$W$12,ConceptDemo!$K$39,""),"")</f>
        <v/>
      </c>
      <c r="S78" s="24" t="str">
        <f>IF(2&lt;=ConceptDemo!$K$41,IF(P78=$W$13,ConceptDemo!$K$39,""),"")</f>
        <v/>
      </c>
      <c r="T78" s="24" t="str">
        <f>IF(3&lt;=ConceptDemo!$K$41,IF(P78=$W$14,ConceptDemo!$K$39,""),"")</f>
        <v/>
      </c>
      <c r="U78" s="24" t="str">
        <f>IF(4&lt;=ConceptDemo!$K$41,IF(P78=$W$15,ConceptDemo!$K$39,""),"")</f>
        <v/>
      </c>
      <c r="W78" s="23">
        <f>IF($P78&lt;ConceptDemo!$C$17+$E$24-10,$G$27,0)</f>
        <v>0.16393442622950818</v>
      </c>
      <c r="X78" s="23">
        <f>IF($P78&lt;ConceptDemo!$C$17+$E$24-10,$H$27,0)</f>
        <v>0.32786885245901637</v>
      </c>
      <c r="Y78" s="13">
        <f t="shared" si="1"/>
        <v>0</v>
      </c>
      <c r="Z78" s="13">
        <f t="shared" si="2"/>
        <v>1.9346938775510203</v>
      </c>
      <c r="AA78" s="13">
        <f t="shared" si="3"/>
        <v>1.9346938775510203</v>
      </c>
      <c r="AB78" s="13">
        <f t="shared" si="4"/>
        <v>0</v>
      </c>
      <c r="AC78" s="23">
        <f t="shared" si="5"/>
        <v>0.57089327534292411</v>
      </c>
      <c r="AD78" s="23">
        <f>IF(P78&lt;=ConceptDemo!$C$19,AD77+SUM(W78:AB78)-(Q78-Q77)-AC78,0)</f>
        <v>58.531873899103275</v>
      </c>
      <c r="AE78" s="23">
        <f>IF(ConceptDemo!$C$7=Backend!$A$2,AD78,IF(AE77&lt;&gt;AD77,IF(P78&lt;=ConceptDemo!$C$19,AE77+SUM(W78:AB78)-(Q78-Q77)-AC78,0),IF(P78=ConceptDemo!$C$40,ConceptDemo!$C$39,AD78)))</f>
        <v>58.531873899103275</v>
      </c>
      <c r="AF78" s="23">
        <f t="shared" si="7"/>
        <v>46.630392872952271</v>
      </c>
      <c r="AG78" s="23">
        <f t="shared" si="8"/>
        <v>67.370186857867864</v>
      </c>
      <c r="AH78" s="23">
        <f t="shared" si="6"/>
        <v>20.739793984915593</v>
      </c>
    </row>
    <row r="79" spans="1:34" x14ac:dyDescent="0.25">
      <c r="A79" t="s">
        <v>115</v>
      </c>
      <c r="B79" s="20">
        <f>B78*B13</f>
        <v>43200</v>
      </c>
      <c r="C79" t="s">
        <v>5</v>
      </c>
      <c r="P79" s="16">
        <f>IFERROR(IF(P78+1=ConceptDemo!$C$19+10,"",Backend!P78+1),"")</f>
        <v>44497</v>
      </c>
      <c r="Q79" s="13">
        <f>IF(OR(P79&lt;ConceptDemo!$C$17,Backend!P79&gt;ConceptDemo!$C$19),0,IF(Backend!P79&lt;=Backend!$R$12,Backend!Q78+Backend!$T$12,IF(Backend!P79&lt;=Backend!$R$13,Backend!Q78+Backend!$T$13,IF(Backend!P79&lt;=Backend!$R$14,Backend!Q78+Backend!$T$14,IF(Backend!P79&lt;=Backend!$R$15,Backend!Q78+Backend!$T$15,IF(Backend!P79&lt;=Backend!$X$16,Backend!Q78+Backend!$Z$16))))))</f>
        <v>75.435890392577832</v>
      </c>
      <c r="R79" s="24" t="str">
        <f>IF(1&lt;=ConceptDemo!$K$41,IF(P79=$W$12,ConceptDemo!$K$39,""),"")</f>
        <v/>
      </c>
      <c r="S79" s="24" t="str">
        <f>IF(2&lt;=ConceptDemo!$K$41,IF(P79=$W$13,ConceptDemo!$K$39,""),"")</f>
        <v/>
      </c>
      <c r="T79" s="24" t="str">
        <f>IF(3&lt;=ConceptDemo!$K$41,IF(P79=$W$14,ConceptDemo!$K$39,""),"")</f>
        <v/>
      </c>
      <c r="U79" s="24" t="str">
        <f>IF(4&lt;=ConceptDemo!$K$41,IF(P79=$W$15,ConceptDemo!$K$39,""),"")</f>
        <v/>
      </c>
      <c r="W79" s="23">
        <f>IF($P79&lt;ConceptDemo!$C$17+$E$24-10,$G$27,0)</f>
        <v>0.16393442622950818</v>
      </c>
      <c r="X79" s="23">
        <f>IF($P79&lt;ConceptDemo!$C$17+$E$24-10,$H$27,0)</f>
        <v>0.32786885245901637</v>
      </c>
      <c r="Y79" s="13">
        <f t="shared" si="1"/>
        <v>0</v>
      </c>
      <c r="Z79" s="13">
        <f t="shared" si="2"/>
        <v>1.9346938775510203</v>
      </c>
      <c r="AA79" s="13">
        <f t="shared" si="3"/>
        <v>1.9346938775510203</v>
      </c>
      <c r="AB79" s="13">
        <f t="shared" si="4"/>
        <v>0</v>
      </c>
      <c r="AC79" s="23">
        <f t="shared" si="5"/>
        <v>0.57089327534292411</v>
      </c>
      <c r="AD79" s="23">
        <f>IF(P79&lt;=ConceptDemo!$C$19,AD78+SUM(W79:AB79)-(Q79-Q78)-AC79,0)</f>
        <v>60.149121317023983</v>
      </c>
      <c r="AE79" s="23">
        <f>IF(ConceptDemo!$C$7=Backend!$A$2,AD79,IF(AE78&lt;&gt;AD78,IF(P79&lt;=ConceptDemo!$C$19,AE78+SUM(W79:AB79)-(Q79-Q78)-AC79,0),IF(P79=ConceptDemo!$C$40,ConceptDemo!$C$39,AD79)))</f>
        <v>60.149121317023983</v>
      </c>
      <c r="AF79" s="23">
        <f t="shared" si="7"/>
        <v>47.91879998256244</v>
      </c>
      <c r="AG79" s="23">
        <f t="shared" si="8"/>
        <v>69.231638635894598</v>
      </c>
      <c r="AH79" s="23">
        <f t="shared" si="6"/>
        <v>21.312838653332157</v>
      </c>
    </row>
    <row r="80" spans="1:34" x14ac:dyDescent="0.25">
      <c r="A80" t="s">
        <v>117</v>
      </c>
      <c r="B80" s="20">
        <f>B79*D13</f>
        <v>38880</v>
      </c>
      <c r="C80" t="s">
        <v>5</v>
      </c>
      <c r="P80" s="16">
        <f>IFERROR(IF(P79+1=ConceptDemo!$C$19+10,"",Backend!P79+1),"")</f>
        <v>44498</v>
      </c>
      <c r="Q80" s="13">
        <f>IF(OR(P80&lt;ConceptDemo!$C$17,Backend!P80&gt;ConceptDemo!$C$19),0,IF(Backend!P80&lt;=Backend!$R$12,Backend!Q79+Backend!$T$12,IF(Backend!P80&lt;=Backend!$R$13,Backend!Q79+Backend!$T$13,IF(Backend!P80&lt;=Backend!$R$14,Backend!Q79+Backend!$T$14,IF(Backend!P80&lt;=Backend!$R$15,Backend!Q79+Backend!$T$15,IF(Backend!P80&lt;=Backend!$X$16,Backend!Q79+Backend!$Z$16))))))</f>
        <v>77.60894073310476</v>
      </c>
      <c r="R80" s="24" t="str">
        <f>IF(1&lt;=ConceptDemo!$K$41,IF(P80=$W$12,ConceptDemo!$K$39,""),"")</f>
        <v/>
      </c>
      <c r="S80" s="24" t="str">
        <f>IF(2&lt;=ConceptDemo!$K$41,IF(P80=$W$13,ConceptDemo!$K$39,""),"")</f>
        <v/>
      </c>
      <c r="T80" s="24" t="str">
        <f>IF(3&lt;=ConceptDemo!$K$41,IF(P80=$W$14,ConceptDemo!$K$39,""),"")</f>
        <v/>
      </c>
      <c r="U80" s="24" t="str">
        <f>IF(4&lt;=ConceptDemo!$K$41,IF(P80=$W$15,ConceptDemo!$K$39,""),"")</f>
        <v/>
      </c>
      <c r="W80" s="23">
        <f>IF($P80&lt;ConceptDemo!$C$17+$E$24-10,$G$27,0)</f>
        <v>0.16393442622950818</v>
      </c>
      <c r="X80" s="23">
        <f>IF($P80&lt;ConceptDemo!$C$17+$E$24-10,$H$27,0)</f>
        <v>0.32786885245901637</v>
      </c>
      <c r="Y80" s="13">
        <f t="shared" si="1"/>
        <v>0</v>
      </c>
      <c r="Z80" s="13">
        <f t="shared" si="2"/>
        <v>1.9346938775510203</v>
      </c>
      <c r="AA80" s="13">
        <f t="shared" si="3"/>
        <v>1.9346938775510203</v>
      </c>
      <c r="AB80" s="13">
        <f t="shared" si="4"/>
        <v>0</v>
      </c>
      <c r="AC80" s="23">
        <f t="shared" si="5"/>
        <v>0.57089327534292411</v>
      </c>
      <c r="AD80" s="23">
        <f>IF(P80&lt;=ConceptDemo!$C$19,AD79+SUM(W80:AB80)-(Q80-Q79)-AC80,0)</f>
        <v>61.766368734944692</v>
      </c>
      <c r="AE80" s="23">
        <f>IF(ConceptDemo!$C$7=Backend!$A$2,AD80,IF(AE79&lt;&gt;AD79,IF(P80&lt;=ConceptDemo!$C$19,AE79+SUM(W80:AB80)-(Q80-Q79)-AC80,0),IF(P80=ConceptDemo!$C$40,ConceptDemo!$C$39,AD80)))</f>
        <v>61.766368734944692</v>
      </c>
      <c r="AF80" s="23">
        <f t="shared" si="7"/>
        <v>49.207207092172602</v>
      </c>
      <c r="AG80" s="23">
        <f t="shared" si="8"/>
        <v>71.093090413921345</v>
      </c>
      <c r="AH80" s="23">
        <f t="shared" si="6"/>
        <v>21.885883321748743</v>
      </c>
    </row>
    <row r="81" spans="1:34" x14ac:dyDescent="0.25">
      <c r="P81" s="16">
        <f>IFERROR(IF(P80+1=ConceptDemo!$C$19+10,"",Backend!P80+1),"")</f>
        <v>44499</v>
      </c>
      <c r="Q81" s="13">
        <f>IF(OR(P81&lt;ConceptDemo!$C$17,Backend!P81&gt;ConceptDemo!$C$19),0,IF(Backend!P81&lt;=Backend!$R$12,Backend!Q80+Backend!$T$12,IF(Backend!P81&lt;=Backend!$R$13,Backend!Q80+Backend!$T$13,IF(Backend!P81&lt;=Backend!$R$14,Backend!Q80+Backend!$T$14,IF(Backend!P81&lt;=Backend!$R$15,Backend!Q80+Backend!$T$15,IF(Backend!P81&lt;=Backend!$X$16,Backend!Q80+Backend!$Z$16))))))</f>
        <v>79.781991073631687</v>
      </c>
      <c r="R81" s="24" t="str">
        <f>IF(1&lt;=ConceptDemo!$K$41,IF(P81=$W$12,ConceptDemo!$K$39,""),"")</f>
        <v/>
      </c>
      <c r="S81" s="24" t="str">
        <f>IF(2&lt;=ConceptDemo!$K$41,IF(P81=$W$13,ConceptDemo!$K$39,""),"")</f>
        <v/>
      </c>
      <c r="T81" s="24" t="str">
        <f>IF(3&lt;=ConceptDemo!$K$41,IF(P81=$W$14,ConceptDemo!$K$39,""),"")</f>
        <v/>
      </c>
      <c r="U81" s="24" t="str">
        <f>IF(4&lt;=ConceptDemo!$K$41,IF(P81=$W$15,ConceptDemo!$K$39,""),"")</f>
        <v/>
      </c>
      <c r="W81" s="23">
        <f>IF($P81&lt;ConceptDemo!$C$17+$E$24-10,$G$27,0)</f>
        <v>0.16393442622950818</v>
      </c>
      <c r="X81" s="23">
        <f>IF($P81&lt;ConceptDemo!$C$17+$E$24-10,$H$27,0)</f>
        <v>0.32786885245901637</v>
      </c>
      <c r="Y81" s="13">
        <f t="shared" si="1"/>
        <v>0</v>
      </c>
      <c r="Z81" s="13">
        <f t="shared" si="2"/>
        <v>1.9346938775510203</v>
      </c>
      <c r="AA81" s="13">
        <f t="shared" si="3"/>
        <v>1.9346938775510203</v>
      </c>
      <c r="AB81" s="13">
        <f t="shared" si="4"/>
        <v>0</v>
      </c>
      <c r="AC81" s="23">
        <f t="shared" si="5"/>
        <v>0.57089327534292411</v>
      </c>
      <c r="AD81" s="23">
        <f>IF(P81&lt;=ConceptDemo!$C$19,AD80+SUM(W81:AB81)-(Q81-Q80)-AC81,0)</f>
        <v>63.3836161528654</v>
      </c>
      <c r="AE81" s="23">
        <f>IF(ConceptDemo!$C$7=Backend!$A$2,AD81,IF(AE80&lt;&gt;AD80,IF(P81&lt;=ConceptDemo!$C$19,AE80+SUM(W81:AB81)-(Q81-Q80)-AC81,0),IF(P81=ConceptDemo!$C$40,ConceptDemo!$C$39,AD81)))</f>
        <v>63.3836161528654</v>
      </c>
      <c r="AF81" s="23">
        <f t="shared" si="7"/>
        <v>50.495614201782772</v>
      </c>
      <c r="AG81" s="23">
        <f t="shared" si="8"/>
        <v>72.954542191948079</v>
      </c>
      <c r="AH81" s="23">
        <f t="shared" si="6"/>
        <v>22.458927990165307</v>
      </c>
    </row>
    <row r="82" spans="1:34" x14ac:dyDescent="0.25">
      <c r="A82" t="s">
        <v>72</v>
      </c>
      <c r="E82" t="s">
        <v>30</v>
      </c>
      <c r="P82" s="16">
        <f>IFERROR(IF(P81+1=ConceptDemo!$C$19+10,"",Backend!P81+1),"")</f>
        <v>44500</v>
      </c>
      <c r="Q82" s="13">
        <f>IF(OR(P82&lt;ConceptDemo!$C$17,Backend!P82&gt;ConceptDemo!$C$19),0,IF(Backend!P82&lt;=Backend!$R$12,Backend!Q81+Backend!$T$12,IF(Backend!P82&lt;=Backend!$R$13,Backend!Q81+Backend!$T$13,IF(Backend!P82&lt;=Backend!$R$14,Backend!Q81+Backend!$T$14,IF(Backend!P82&lt;=Backend!$R$15,Backend!Q81+Backend!$T$15,IF(Backend!P82&lt;=Backend!$X$16,Backend!Q81+Backend!$Z$16))))))</f>
        <v>80.713298362428944</v>
      </c>
      <c r="R82" s="24" t="str">
        <f>IF(1&lt;=ConceptDemo!$K$41,IF(P82=$W$12,ConceptDemo!$K$39,""),"")</f>
        <v/>
      </c>
      <c r="S82" s="24" t="str">
        <f>IF(2&lt;=ConceptDemo!$K$41,IF(P82=$W$13,ConceptDemo!$K$39,""),"")</f>
        <v/>
      </c>
      <c r="T82" s="24" t="str">
        <f>IF(3&lt;=ConceptDemo!$K$41,IF(P82=$W$14,ConceptDemo!$K$39,""),"")</f>
        <v/>
      </c>
      <c r="U82" s="24" t="str">
        <f>IF(4&lt;=ConceptDemo!$K$41,IF(P82=$W$15,ConceptDemo!$K$39,""),"")</f>
        <v/>
      </c>
      <c r="W82" s="23">
        <f>IF($P82&lt;ConceptDemo!$C$17+$E$24-10,$G$27,0)</f>
        <v>0.16393442622950818</v>
      </c>
      <c r="X82" s="23">
        <f>IF($P82&lt;ConceptDemo!$C$17+$E$24-10,$H$27,0)</f>
        <v>0.32786885245901637</v>
      </c>
      <c r="Y82" s="13">
        <f t="shared" si="1"/>
        <v>0</v>
      </c>
      <c r="Z82" s="13">
        <f t="shared" si="2"/>
        <v>1.9346938775510203</v>
      </c>
      <c r="AA82" s="13">
        <f t="shared" si="3"/>
        <v>1.9346938775510203</v>
      </c>
      <c r="AB82" s="13">
        <f t="shared" si="4"/>
        <v>0</v>
      </c>
      <c r="AC82" s="23">
        <f t="shared" si="5"/>
        <v>0.57089327534292411</v>
      </c>
      <c r="AD82" s="23">
        <f>IF(P82&lt;=ConceptDemo!$C$19,AD81+SUM(W82:AB82)-(Q82-Q81)-AC82,0)</f>
        <v>66.24260662251578</v>
      </c>
      <c r="AE82" s="23">
        <f>IF(ConceptDemo!$C$7=Backend!$A$2,AD82,IF(AE81&lt;&gt;AD81,IF(P82&lt;=ConceptDemo!$C$19,AE81+SUM(W82:AB82)-(Q82-Q81)-AC82,0),IF(P82=ConceptDemo!$C$40,ConceptDemo!$C$39,AD82)))</f>
        <v>66.24260662251578</v>
      </c>
      <c r="AF82" s="23">
        <f t="shared" si="7"/>
        <v>52.773276609270908</v>
      </c>
      <c r="AG82" s="23">
        <f t="shared" si="8"/>
        <v>76.245240222515662</v>
      </c>
      <c r="AH82" s="23">
        <f t="shared" si="6"/>
        <v>23.471963613244753</v>
      </c>
    </row>
    <row r="83" spans="1:34" x14ac:dyDescent="0.25">
      <c r="A83" t="s">
        <v>124</v>
      </c>
      <c r="P83" s="16">
        <f>IFERROR(IF(P82+1=ConceptDemo!$C$19+10,"",Backend!P82+1),"")</f>
        <v>44501</v>
      </c>
      <c r="Q83" s="13">
        <f>IF(OR(P83&lt;ConceptDemo!$C$17,Backend!P83&gt;ConceptDemo!$C$19),0,IF(Backend!P83&lt;=Backend!$R$12,Backend!Q82+Backend!$T$12,IF(Backend!P83&lt;=Backend!$R$13,Backend!Q82+Backend!$T$13,IF(Backend!P83&lt;=Backend!$R$14,Backend!Q82+Backend!$T$14,IF(Backend!P83&lt;=Backend!$R$15,Backend!Q82+Backend!$T$15,IF(Backend!P83&lt;=Backend!$X$16,Backend!Q82+Backend!$Z$16))))))</f>
        <v>81.6446056512262</v>
      </c>
      <c r="R83" s="24" t="str">
        <f>IF(1&lt;=ConceptDemo!$K$41,IF(P83=$W$12,ConceptDemo!$K$39,""),"")</f>
        <v/>
      </c>
      <c r="S83" s="24" t="str">
        <f>IF(2&lt;=ConceptDemo!$K$41,IF(P83=$W$13,ConceptDemo!$K$39,""),"")</f>
        <v/>
      </c>
      <c r="T83" s="24" t="str">
        <f>IF(3&lt;=ConceptDemo!$K$41,IF(P83=$W$14,ConceptDemo!$K$39,""),"")</f>
        <v/>
      </c>
      <c r="U83" s="24" t="str">
        <f>IF(4&lt;=ConceptDemo!$K$41,IF(P83=$W$15,ConceptDemo!$K$39,""),"")</f>
        <v/>
      </c>
      <c r="W83" s="23">
        <f>IF($P83&lt;ConceptDemo!$C$17+$E$24-10,$G$27,0)</f>
        <v>0.16393442622950818</v>
      </c>
      <c r="X83" s="23">
        <f>IF($P83&lt;ConceptDemo!$C$17+$E$24-10,$H$27,0)</f>
        <v>0.32786885245901637</v>
      </c>
      <c r="Y83" s="13">
        <f t="shared" si="1"/>
        <v>0</v>
      </c>
      <c r="Z83" s="13">
        <f t="shared" si="2"/>
        <v>1.9346938775510203</v>
      </c>
      <c r="AA83" s="13">
        <f t="shared" si="3"/>
        <v>1.9346938775510203</v>
      </c>
      <c r="AB83" s="13">
        <f t="shared" si="4"/>
        <v>0</v>
      </c>
      <c r="AC83" s="23">
        <f t="shared" si="5"/>
        <v>0.57089327534292411</v>
      </c>
      <c r="AD83" s="23">
        <f>IF(P83&lt;=ConceptDemo!$C$19,AD82+SUM(W83:AB83)-(Q83-Q82)-AC83,0)</f>
        <v>69.101597092166159</v>
      </c>
      <c r="AE83" s="23">
        <f>IF(ConceptDemo!$C$7=Backend!$A$2,AD83,IF(AE82&lt;&gt;AD82,IF(P83&lt;=ConceptDemo!$C$19,AE82+SUM(W83:AB83)-(Q83-Q82)-AC83,0),IF(P83=ConceptDemo!$C$40,ConceptDemo!$C$39,AD83)))</f>
        <v>69.101597092166159</v>
      </c>
      <c r="AF83" s="23">
        <f t="shared" si="7"/>
        <v>55.050939016759038</v>
      </c>
      <c r="AG83" s="23">
        <f t="shared" si="8"/>
        <v>79.535938253083245</v>
      </c>
      <c r="AH83" s="23">
        <f t="shared" si="6"/>
        <v>24.484999236324207</v>
      </c>
    </row>
    <row r="84" spans="1:34" x14ac:dyDescent="0.25">
      <c r="A84" t="s">
        <v>30</v>
      </c>
      <c r="B84">
        <v>100</v>
      </c>
      <c r="C84" t="s">
        <v>5</v>
      </c>
      <c r="E84" t="s">
        <v>126</v>
      </c>
      <c r="P84" s="16">
        <f>IFERROR(IF(P83+1=ConceptDemo!$C$19+10,"",Backend!P83+1),"")</f>
        <v>44502</v>
      </c>
      <c r="Q84" s="13">
        <f>IF(OR(P84&lt;ConceptDemo!$C$17,Backend!P84&gt;ConceptDemo!$C$19),0,IF(Backend!P84&lt;=Backend!$R$12,Backend!Q83+Backend!$T$12,IF(Backend!P84&lt;=Backend!$R$13,Backend!Q83+Backend!$T$13,IF(Backend!P84&lt;=Backend!$R$14,Backend!Q83+Backend!$T$14,IF(Backend!P84&lt;=Backend!$R$15,Backend!Q83+Backend!$T$15,IF(Backend!P84&lt;=Backend!$X$16,Backend!Q83+Backend!$Z$16))))))</f>
        <v>82.575912940023457</v>
      </c>
      <c r="R84" s="24" t="str">
        <f>IF(1&lt;=ConceptDemo!$K$41,IF(P84=$W$12,ConceptDemo!$K$39,""),"")</f>
        <v/>
      </c>
      <c r="S84" s="24" t="str">
        <f>IF(2&lt;=ConceptDemo!$K$41,IF(P84=$W$13,ConceptDemo!$K$39,""),"")</f>
        <v/>
      </c>
      <c r="T84" s="24" t="str">
        <f>IF(3&lt;=ConceptDemo!$K$41,IF(P84=$W$14,ConceptDemo!$K$39,""),"")</f>
        <v/>
      </c>
      <c r="U84" s="24" t="str">
        <f>IF(4&lt;=ConceptDemo!$K$41,IF(P84=$W$15,ConceptDemo!$K$39,""),"")</f>
        <v/>
      </c>
      <c r="W84" s="23">
        <f>IF($P84&lt;ConceptDemo!$C$17+$E$24-10,$G$27,0)</f>
        <v>0.16393442622950818</v>
      </c>
      <c r="X84" s="23">
        <f>IF($P84&lt;ConceptDemo!$C$17+$E$24-10,$H$27,0)</f>
        <v>0.32786885245901637</v>
      </c>
      <c r="Y84" s="13">
        <f t="shared" si="1"/>
        <v>0</v>
      </c>
      <c r="Z84" s="13">
        <f t="shared" si="2"/>
        <v>1.9346938775510203</v>
      </c>
      <c r="AA84" s="13">
        <f t="shared" si="3"/>
        <v>1.9346938775510203</v>
      </c>
      <c r="AB84" s="13">
        <f t="shared" si="4"/>
        <v>0</v>
      </c>
      <c r="AC84" s="23">
        <f t="shared" si="5"/>
        <v>0.57089327534292411</v>
      </c>
      <c r="AD84" s="23">
        <f>IF(P84&lt;=ConceptDemo!$C$19,AD83+SUM(W84:AB84)-(Q84-Q83)-AC84,0)</f>
        <v>71.960587561816538</v>
      </c>
      <c r="AE84" s="23">
        <f>IF(ConceptDemo!$C$7=Backend!$A$2,AD84,IF(AE83&lt;&gt;AD83,IF(P84&lt;=ConceptDemo!$C$19,AE83+SUM(W84:AB84)-(Q84-Q83)-AC84,0),IF(P84=ConceptDemo!$C$40,ConceptDemo!$C$39,AD84)))</f>
        <v>71.960587561816538</v>
      </c>
      <c r="AF84" s="23">
        <f t="shared" si="7"/>
        <v>57.328601424247175</v>
      </c>
      <c r="AG84" s="23">
        <f t="shared" si="8"/>
        <v>82.826636283650828</v>
      </c>
      <c r="AH84" s="23">
        <f t="shared" si="6"/>
        <v>25.498034859403653</v>
      </c>
    </row>
    <row r="85" spans="1:34" x14ac:dyDescent="0.25">
      <c r="A85" t="s">
        <v>90</v>
      </c>
      <c r="B85" s="23">
        <f>B77/B84</f>
        <v>568.42105263157896</v>
      </c>
      <c r="C85" t="s">
        <v>91</v>
      </c>
      <c r="E85" t="s">
        <v>127</v>
      </c>
      <c r="F85" s="31">
        <f>B77/77</f>
        <v>738.20915926179089</v>
      </c>
      <c r="P85" s="16">
        <f>IFERROR(IF(P84+1=ConceptDemo!$C$19+10,"",Backend!P84+1),"")</f>
        <v>44503</v>
      </c>
      <c r="Q85" s="13">
        <f>IF(OR(P85&lt;ConceptDemo!$C$17,Backend!P85&gt;ConceptDemo!$C$19),0,IF(Backend!P85&lt;=Backend!$R$12,Backend!Q84+Backend!$T$12,IF(Backend!P85&lt;=Backend!$R$13,Backend!Q84+Backend!$T$13,IF(Backend!P85&lt;=Backend!$R$14,Backend!Q84+Backend!$T$14,IF(Backend!P85&lt;=Backend!$R$15,Backend!Q84+Backend!$T$15,IF(Backend!P85&lt;=Backend!$X$16,Backend!Q84+Backend!$Z$16))))))</f>
        <v>83.507220228820714</v>
      </c>
      <c r="R85" s="24" t="str">
        <f>IF(1&lt;=ConceptDemo!$K$41,IF(P85=$W$12,ConceptDemo!$K$39,""),"")</f>
        <v/>
      </c>
      <c r="S85" s="24" t="str">
        <f>IF(2&lt;=ConceptDemo!$K$41,IF(P85=$W$13,ConceptDemo!$K$39,""),"")</f>
        <v/>
      </c>
      <c r="T85" s="24" t="str">
        <f>IF(3&lt;=ConceptDemo!$K$41,IF(P85=$W$14,ConceptDemo!$K$39,""),"")</f>
        <v/>
      </c>
      <c r="U85" s="24" t="str">
        <f>IF(4&lt;=ConceptDemo!$K$41,IF(P85=$W$15,ConceptDemo!$K$39,""),"")</f>
        <v/>
      </c>
      <c r="W85" s="23">
        <f>IF($P85&lt;ConceptDemo!$C$17+$E$24-10,$G$27,0)</f>
        <v>0.16393442622950818</v>
      </c>
      <c r="X85" s="23">
        <f>IF($P85&lt;ConceptDemo!$C$17+$E$24-10,$H$27,0)</f>
        <v>0.32786885245901637</v>
      </c>
      <c r="Y85" s="13">
        <f t="shared" si="1"/>
        <v>0</v>
      </c>
      <c r="Z85" s="13">
        <f t="shared" si="2"/>
        <v>1.9346938775510203</v>
      </c>
      <c r="AA85" s="13">
        <f t="shared" si="3"/>
        <v>1.9346938775510203</v>
      </c>
      <c r="AB85" s="13">
        <f t="shared" si="4"/>
        <v>0</v>
      </c>
      <c r="AC85" s="23">
        <f t="shared" si="5"/>
        <v>0.57089327534292411</v>
      </c>
      <c r="AD85" s="23">
        <f>IF(P85&lt;=ConceptDemo!$C$19,AD84+SUM(W85:AB85)-(Q85-Q84)-AC85,0)</f>
        <v>74.819578031466918</v>
      </c>
      <c r="AE85" s="23">
        <f>IF(ConceptDemo!$C$7=Backend!$A$2,AD85,IF(AE84&lt;&gt;AD84,IF(P85&lt;=ConceptDemo!$C$19,AE84+SUM(W85:AB85)-(Q85-Q84)-AC85,0),IF(P85=ConceptDemo!$C$40,ConceptDemo!$C$39,AD85)))</f>
        <v>74.819578031466918</v>
      </c>
      <c r="AF85" s="23">
        <f t="shared" si="7"/>
        <v>59.606263831735312</v>
      </c>
      <c r="AG85" s="23">
        <f t="shared" si="8"/>
        <v>86.117334314218425</v>
      </c>
      <c r="AH85" s="23">
        <f t="shared" si="6"/>
        <v>26.511070482483113</v>
      </c>
    </row>
    <row r="86" spans="1:34" x14ac:dyDescent="0.25">
      <c r="A86">
        <v>50</v>
      </c>
      <c r="B86">
        <v>225</v>
      </c>
      <c r="F86" s="28" t="s">
        <v>105</v>
      </c>
      <c r="P86" s="16">
        <f>IFERROR(IF(P85+1=ConceptDemo!$C$19+10,"",Backend!P85+1),"")</f>
        <v>44504</v>
      </c>
      <c r="Q86" s="13">
        <f>IF(OR(P86&lt;ConceptDemo!$C$17,Backend!P86&gt;ConceptDemo!$C$19),0,IF(Backend!P86&lt;=Backend!$R$12,Backend!Q85+Backend!$T$12,IF(Backend!P86&lt;=Backend!$R$13,Backend!Q85+Backend!$T$13,IF(Backend!P86&lt;=Backend!$R$14,Backend!Q85+Backend!$T$14,IF(Backend!P86&lt;=Backend!$R$15,Backend!Q85+Backend!$T$15,IF(Backend!P86&lt;=Backend!$X$16,Backend!Q85+Backend!$Z$16))))))</f>
        <v>84.43852751761797</v>
      </c>
      <c r="R86" s="24" t="str">
        <f>IF(1&lt;=ConceptDemo!$K$41,IF(P86=$W$12,ConceptDemo!$K$39,""),"")</f>
        <v/>
      </c>
      <c r="S86" s="24" t="str">
        <f>IF(2&lt;=ConceptDemo!$K$41,IF(P86=$W$13,ConceptDemo!$K$39,""),"")</f>
        <v/>
      </c>
      <c r="T86" s="24" t="str">
        <f>IF(3&lt;=ConceptDemo!$K$41,IF(P86=$W$14,ConceptDemo!$K$39,""),"")</f>
        <v/>
      </c>
      <c r="U86" s="24" t="str">
        <f>IF(4&lt;=ConceptDemo!$K$41,IF(P86=$W$15,ConceptDemo!$K$39,""),"")</f>
        <v/>
      </c>
      <c r="W86" s="23">
        <f>IF($P86&lt;ConceptDemo!$C$17+$E$24-10,$G$27,0)</f>
        <v>0.16393442622950818</v>
      </c>
      <c r="X86" s="23">
        <f>IF($P86&lt;ConceptDemo!$C$17+$E$24-10,$H$27,0)</f>
        <v>0.32786885245901637</v>
      </c>
      <c r="Y86" s="13">
        <f t="shared" si="1"/>
        <v>0</v>
      </c>
      <c r="Z86" s="13">
        <f t="shared" si="2"/>
        <v>1.9346938775510203</v>
      </c>
      <c r="AA86" s="13">
        <f t="shared" si="3"/>
        <v>1.9346938775510203</v>
      </c>
      <c r="AB86" s="13">
        <f t="shared" si="4"/>
        <v>0</v>
      </c>
      <c r="AC86" s="23">
        <f t="shared" si="5"/>
        <v>0.57089327534292411</v>
      </c>
      <c r="AD86" s="23">
        <f>IF(P86&lt;=ConceptDemo!$C$19,AD85+SUM(W86:AB86)-(Q86-Q85)-AC86,0)</f>
        <v>77.678568501117297</v>
      </c>
      <c r="AE86" s="23">
        <f>IF(ConceptDemo!$C$7=Backend!$A$2,AD86,IF(AE85&lt;&gt;AD85,IF(P86&lt;=ConceptDemo!$C$19,AE85+SUM(W86:AB86)-(Q86-Q85)-AC86,0),IF(P86=ConceptDemo!$C$40,ConceptDemo!$C$39,AD86)))</f>
        <v>77.678568501117297</v>
      </c>
      <c r="AF86" s="23">
        <f t="shared" si="7"/>
        <v>61.883926239223449</v>
      </c>
      <c r="AG86" s="23">
        <f t="shared" si="8"/>
        <v>89.408032344786008</v>
      </c>
      <c r="AH86" s="23">
        <f t="shared" si="6"/>
        <v>27.524106105562559</v>
      </c>
    </row>
    <row r="87" spans="1:34" x14ac:dyDescent="0.25">
      <c r="A87">
        <v>100</v>
      </c>
      <c r="B87">
        <v>200</v>
      </c>
      <c r="E87" t="s">
        <v>106</v>
      </c>
      <c r="F87">
        <v>3.4</v>
      </c>
      <c r="P87" s="16">
        <f>IFERROR(IF(P86+1=ConceptDemo!$C$19+10,"",Backend!P86+1),"")</f>
        <v>44505</v>
      </c>
      <c r="Q87" s="13">
        <f>IF(OR(P87&lt;ConceptDemo!$C$17,Backend!P87&gt;ConceptDemo!$C$19),0,IF(Backend!P87&lt;=Backend!$R$12,Backend!Q86+Backend!$T$12,IF(Backend!P87&lt;=Backend!$R$13,Backend!Q86+Backend!$T$13,IF(Backend!P87&lt;=Backend!$R$14,Backend!Q86+Backend!$T$14,IF(Backend!P87&lt;=Backend!$R$15,Backend!Q86+Backend!$T$15,IF(Backend!P87&lt;=Backend!$X$16,Backend!Q86+Backend!$Z$16))))))</f>
        <v>85.369834806415227</v>
      </c>
      <c r="R87" s="24" t="str">
        <f>IF(1&lt;=ConceptDemo!$K$41,IF(P87=$W$12,ConceptDemo!$K$39,""),"")</f>
        <v/>
      </c>
      <c r="S87" s="24" t="str">
        <f>IF(2&lt;=ConceptDemo!$K$41,IF(P87=$W$13,ConceptDemo!$K$39,""),"")</f>
        <v/>
      </c>
      <c r="T87" s="24" t="str">
        <f>IF(3&lt;=ConceptDemo!$K$41,IF(P87=$W$14,ConceptDemo!$K$39,""),"")</f>
        <v/>
      </c>
      <c r="U87" s="24" t="str">
        <f>IF(4&lt;=ConceptDemo!$K$41,IF(P87=$W$15,ConceptDemo!$K$39,""),"")</f>
        <v/>
      </c>
      <c r="W87" s="23">
        <f>IF($P87&lt;ConceptDemo!$C$17+$E$24-10,$G$27,0)</f>
        <v>0</v>
      </c>
      <c r="X87" s="23">
        <f>IF($P87&lt;ConceptDemo!$C$17+$E$24-10,$H$27,0)</f>
        <v>0</v>
      </c>
      <c r="Y87" s="13">
        <f t="shared" si="1"/>
        <v>0</v>
      </c>
      <c r="Z87" s="13">
        <f t="shared" si="2"/>
        <v>1.9346938775510203</v>
      </c>
      <c r="AA87" s="13">
        <f t="shared" si="3"/>
        <v>1.9346938775510203</v>
      </c>
      <c r="AB87" s="13">
        <f t="shared" si="4"/>
        <v>0</v>
      </c>
      <c r="AC87" s="23">
        <f t="shared" si="5"/>
        <v>0.57089327534292411</v>
      </c>
      <c r="AD87" s="23">
        <f>IF(P87&lt;=ConceptDemo!$C$19,AD86+SUM(W87:AB87)-(Q87-Q86)-AC87,0)</f>
        <v>80.045755692079155</v>
      </c>
      <c r="AE87" s="23">
        <f>IF(ConceptDemo!$C$7=Backend!$A$2,AD87,IF(AE86&lt;&gt;AD86,IF(P87&lt;=ConceptDemo!$C$19,AE86+SUM(W87:AB87)-(Q87-Q86)-AC87,0),IF(P87=ConceptDemo!$C$40,ConceptDemo!$C$39,AD87)))</f>
        <v>80.045755692079155</v>
      </c>
      <c r="AF87" s="23">
        <f t="shared" si="7"/>
        <v>63.769785368023058</v>
      </c>
      <c r="AG87" s="23">
        <f t="shared" si="8"/>
        <v>92.132664801583104</v>
      </c>
      <c r="AH87" s="23">
        <f t="shared" si="6"/>
        <v>28.362879433560046</v>
      </c>
    </row>
    <row r="88" spans="1:34" x14ac:dyDescent="0.25">
      <c r="A88">
        <v>150</v>
      </c>
      <c r="B88">
        <v>150</v>
      </c>
      <c r="P88" s="16">
        <f>IFERROR(IF(P87+1=ConceptDemo!$C$19+10,"",Backend!P87+1),"")</f>
        <v>44506</v>
      </c>
      <c r="Q88" s="13">
        <f>IF(OR(P88&lt;ConceptDemo!$C$17,Backend!P88&gt;ConceptDemo!$C$19),0,IF(Backend!P88&lt;=Backend!$R$12,Backend!Q87+Backend!$T$12,IF(Backend!P88&lt;=Backend!$R$13,Backend!Q87+Backend!$T$13,IF(Backend!P88&lt;=Backend!$R$14,Backend!Q87+Backend!$T$14,IF(Backend!P88&lt;=Backend!$R$15,Backend!Q87+Backend!$T$15,IF(Backend!P88&lt;=Backend!$X$16,Backend!Q87+Backend!$Z$16))))))</f>
        <v>86.301142095212484</v>
      </c>
      <c r="R88" s="24" t="str">
        <f>IF(1&lt;=ConceptDemo!$K$41,IF(P88=$W$12,ConceptDemo!$K$39,""),"")</f>
        <v/>
      </c>
      <c r="S88" s="24" t="str">
        <f>IF(2&lt;=ConceptDemo!$K$41,IF(P88=$W$13,ConceptDemo!$K$39,""),"")</f>
        <v/>
      </c>
      <c r="T88" s="24" t="str">
        <f>IF(3&lt;=ConceptDemo!$K$41,IF(P88=$W$14,ConceptDemo!$K$39,""),"")</f>
        <v/>
      </c>
      <c r="U88" s="24" t="str">
        <f>IF(4&lt;=ConceptDemo!$K$41,IF(P88=$W$15,ConceptDemo!$K$39,""),"")</f>
        <v/>
      </c>
      <c r="W88" s="23">
        <f>IF($P88&lt;ConceptDemo!$C$17+$E$24-10,$G$27,0)</f>
        <v>0</v>
      </c>
      <c r="X88" s="23">
        <f>IF($P88&lt;ConceptDemo!$C$17+$E$24-10,$H$27,0)</f>
        <v>0</v>
      </c>
      <c r="Y88" s="13">
        <f t="shared" si="1"/>
        <v>0</v>
      </c>
      <c r="Z88" s="13">
        <f t="shared" si="2"/>
        <v>1.9346938775510203</v>
      </c>
      <c r="AA88" s="13">
        <f t="shared" si="3"/>
        <v>1.9346938775510203</v>
      </c>
      <c r="AB88" s="13">
        <f t="shared" si="4"/>
        <v>0</v>
      </c>
      <c r="AC88" s="23">
        <f t="shared" si="5"/>
        <v>0.57089327534292411</v>
      </c>
      <c r="AD88" s="23">
        <f>IF(P88&lt;=ConceptDemo!$C$19,AD87+SUM(W88:AB88)-(Q88-Q87)-AC88,0)</f>
        <v>82.412942883041012</v>
      </c>
      <c r="AE88" s="23">
        <f>IF(ConceptDemo!$C$7=Backend!$A$2,AD88,IF(AE87&lt;&gt;AD87,IF(P88&lt;=ConceptDemo!$C$19,AE87+SUM(W88:AB88)-(Q88-Q87)-AC88,0),IF(P88=ConceptDemo!$C$40,ConceptDemo!$C$39,AD88)))</f>
        <v>82.412942883041012</v>
      </c>
      <c r="AF88" s="23">
        <f t="shared" si="7"/>
        <v>65.655644496822674</v>
      </c>
      <c r="AG88" s="23">
        <f t="shared" si="8"/>
        <v>94.8572972583802</v>
      </c>
      <c r="AH88" s="23">
        <f t="shared" si="6"/>
        <v>29.201652761557526</v>
      </c>
    </row>
    <row r="89" spans="1:34" x14ac:dyDescent="0.25">
      <c r="A89">
        <v>200</v>
      </c>
      <c r="B89">
        <v>125</v>
      </c>
      <c r="E89" s="5" t="s">
        <v>113</v>
      </c>
      <c r="F89" s="21">
        <f>SUM(F90:F91)</f>
        <v>266574.70950102527</v>
      </c>
      <c r="G89" t="s">
        <v>102</v>
      </c>
      <c r="H89" s="26"/>
      <c r="I89" s="26"/>
      <c r="P89" s="16">
        <f>IFERROR(IF(P88+1=ConceptDemo!$C$19+10,"",Backend!P88+1),"")</f>
        <v>44507</v>
      </c>
      <c r="Q89" s="13">
        <f>IF(OR(P89&lt;ConceptDemo!$C$17,Backend!P89&gt;ConceptDemo!$C$19),0,IF(Backend!P89&lt;=Backend!$R$12,Backend!Q88+Backend!$T$12,IF(Backend!P89&lt;=Backend!$R$13,Backend!Q88+Backend!$T$13,IF(Backend!P89&lt;=Backend!$R$14,Backend!Q88+Backend!$T$14,IF(Backend!P89&lt;=Backend!$R$15,Backend!Q88+Backend!$T$15,IF(Backend!P89&lt;=Backend!$X$16,Backend!Q88+Backend!$Z$16))))))</f>
        <v>87.23244938400974</v>
      </c>
      <c r="R89" s="24" t="str">
        <f>IF(1&lt;=ConceptDemo!$K$41,IF(P89=$W$12,ConceptDemo!$K$39,""),"")</f>
        <v/>
      </c>
      <c r="S89" s="24" t="str">
        <f>IF(2&lt;=ConceptDemo!$K$41,IF(P89=$W$13,ConceptDemo!$K$39,""),"")</f>
        <v/>
      </c>
      <c r="T89" s="24" t="str">
        <f>IF(3&lt;=ConceptDemo!$K$41,IF(P89=$W$14,ConceptDemo!$K$39,""),"")</f>
        <v/>
      </c>
      <c r="U89" s="24" t="str">
        <f>IF(4&lt;=ConceptDemo!$K$41,IF(P89=$W$15,ConceptDemo!$K$39,""),"")</f>
        <v/>
      </c>
      <c r="W89" s="23">
        <f>IF($P89&lt;ConceptDemo!$C$17+$E$24-10,$G$27,0)</f>
        <v>0</v>
      </c>
      <c r="X89" s="23">
        <f>IF($P89&lt;ConceptDemo!$C$17+$E$24-10,$H$27,0)</f>
        <v>0</v>
      </c>
      <c r="Y89" s="13">
        <f t="shared" si="1"/>
        <v>0</v>
      </c>
      <c r="Z89" s="13">
        <f t="shared" si="2"/>
        <v>0</v>
      </c>
      <c r="AA89" s="13">
        <f t="shared" si="3"/>
        <v>1.9346938775510203</v>
      </c>
      <c r="AB89" s="13">
        <f t="shared" si="4"/>
        <v>0</v>
      </c>
      <c r="AC89" s="23">
        <f t="shared" si="5"/>
        <v>0.57089327534292411</v>
      </c>
      <c r="AD89" s="23">
        <f>IF(P89&lt;=ConceptDemo!$C$19,AD88+SUM(W89:AB89)-(Q89-Q88)-AC89,0)</f>
        <v>82.845436196451857</v>
      </c>
      <c r="AE89" s="23">
        <f>IF(ConceptDemo!$C$7=Backend!$A$2,AD89,IF(AE88&lt;&gt;AD88,IF(P89&lt;=ConceptDemo!$C$19,AE88+SUM(W89:AB89)-(Q89-Q88)-AC89,0),IF(P89=ConceptDemo!$C$40,ConceptDemo!$C$39,AD89)))</f>
        <v>82.845436196451857</v>
      </c>
      <c r="AF89" s="23">
        <f t="shared" si="7"/>
        <v>66.000197503173311</v>
      </c>
      <c r="AG89" s="23">
        <f t="shared" si="8"/>
        <v>95.355097062116087</v>
      </c>
      <c r="AH89" s="23">
        <f t="shared" si="6"/>
        <v>29.354899558942776</v>
      </c>
    </row>
    <row r="90" spans="1:34" x14ac:dyDescent="0.25">
      <c r="A90">
        <v>250</v>
      </c>
      <c r="B90">
        <v>75</v>
      </c>
      <c r="E90" t="s">
        <v>120</v>
      </c>
      <c r="F90" s="21">
        <f>B79*F87</f>
        <v>146880</v>
      </c>
      <c r="G90" t="s">
        <v>102</v>
      </c>
      <c r="I90" s="29"/>
      <c r="P90" s="16">
        <f>IFERROR(IF(P89+1=ConceptDemo!$C$19+10,"",Backend!P89+1),"")</f>
        <v>44508</v>
      </c>
      <c r="Q90" s="13">
        <f>IF(OR(P90&lt;ConceptDemo!$C$17,Backend!P90&gt;ConceptDemo!$C$19),0,IF(Backend!P90&lt;=Backend!$R$12,Backend!Q89+Backend!$T$12,IF(Backend!P90&lt;=Backend!$R$13,Backend!Q89+Backend!$T$13,IF(Backend!P90&lt;=Backend!$R$14,Backend!Q89+Backend!$T$14,IF(Backend!P90&lt;=Backend!$R$15,Backend!Q89+Backend!$T$15,IF(Backend!P90&lt;=Backend!$X$16,Backend!Q89+Backend!$Z$16))))))</f>
        <v>88.163756672806997</v>
      </c>
      <c r="R90" s="24" t="str">
        <f>IF(1&lt;=ConceptDemo!$K$41,IF(P90=$W$12,ConceptDemo!$K$39,""),"")</f>
        <v/>
      </c>
      <c r="S90" s="24" t="str">
        <f>IF(2&lt;=ConceptDemo!$K$41,IF(P90=$W$13,ConceptDemo!$K$39,""),"")</f>
        <v/>
      </c>
      <c r="T90" s="24" t="str">
        <f>IF(3&lt;=ConceptDemo!$K$41,IF(P90=$W$14,ConceptDemo!$K$39,""),"")</f>
        <v/>
      </c>
      <c r="U90" s="24" t="str">
        <f>IF(4&lt;=ConceptDemo!$K$41,IF(P90=$W$15,ConceptDemo!$K$39,""),"")</f>
        <v/>
      </c>
      <c r="W90" s="23">
        <f>IF($P90&lt;ConceptDemo!$C$17+$E$24-10,$G$27,0)</f>
        <v>0</v>
      </c>
      <c r="X90" s="23">
        <f>IF($P90&lt;ConceptDemo!$C$17+$E$24-10,$H$27,0)</f>
        <v>0</v>
      </c>
      <c r="Y90" s="13">
        <f t="shared" si="1"/>
        <v>0</v>
      </c>
      <c r="Z90" s="13">
        <f t="shared" si="2"/>
        <v>0</v>
      </c>
      <c r="AA90" s="13">
        <f t="shared" si="3"/>
        <v>1.9346938775510203</v>
      </c>
      <c r="AB90" s="13">
        <f t="shared" si="4"/>
        <v>0</v>
      </c>
      <c r="AC90" s="23">
        <f t="shared" si="5"/>
        <v>0.57089327534292411</v>
      </c>
      <c r="AD90" s="23">
        <f>IF(P90&lt;=ConceptDemo!$C$19,AD89+SUM(W90:AB90)-(Q90-Q89)-AC90,0)</f>
        <v>83.277929509862702</v>
      </c>
      <c r="AE90" s="23">
        <f>IF(ConceptDemo!$C$7=Backend!$A$2,AD90,IF(AE89&lt;&gt;AD89,IF(P90&lt;=ConceptDemo!$C$19,AE89+SUM(W90:AB90)-(Q90-Q89)-AC90,0),IF(P90=ConceptDemo!$C$40,ConceptDemo!$C$39,AD90)))</f>
        <v>83.277929509862702</v>
      </c>
      <c r="AF90" s="23">
        <f t="shared" si="7"/>
        <v>66.344750509523948</v>
      </c>
      <c r="AG90" s="23">
        <f t="shared" si="8"/>
        <v>95.852896865851974</v>
      </c>
      <c r="AH90" s="23">
        <f t="shared" si="6"/>
        <v>29.508146356328027</v>
      </c>
    </row>
    <row r="91" spans="1:34" x14ac:dyDescent="0.25">
      <c r="A91">
        <v>300</v>
      </c>
      <c r="B91">
        <v>50</v>
      </c>
      <c r="E91" t="s">
        <v>121</v>
      </c>
      <c r="F91" s="21">
        <f>112.4*F85+(B78-B79)*F87</f>
        <v>119694.7095010253</v>
      </c>
      <c r="G91" t="s">
        <v>102</v>
      </c>
      <c r="I91" s="29"/>
      <c r="P91" s="16">
        <f>IFERROR(IF(P90+1=ConceptDemo!$C$19+10,"",Backend!P90+1),"")</f>
        <v>44509</v>
      </c>
      <c r="Q91" s="13">
        <f>IF(OR(P91&lt;ConceptDemo!$C$17,Backend!P91&gt;ConceptDemo!$C$19),0,IF(Backend!P91&lt;=Backend!$R$12,Backend!Q90+Backend!$T$12,IF(Backend!P91&lt;=Backend!$R$13,Backend!Q90+Backend!$T$13,IF(Backend!P91&lt;=Backend!$R$14,Backend!Q90+Backend!$T$14,IF(Backend!P91&lt;=Backend!$R$15,Backend!Q90+Backend!$T$15,IF(Backend!P91&lt;=Backend!$X$16,Backend!Q90+Backend!$Z$16))))))</f>
        <v>89.095063961604254</v>
      </c>
      <c r="R91" s="24" t="str">
        <f>IF(1&lt;=ConceptDemo!$K$41,IF(P91=$W$12,ConceptDemo!$K$39,""),"")</f>
        <v/>
      </c>
      <c r="S91" s="24" t="str">
        <f>IF(2&lt;=ConceptDemo!$K$41,IF(P91=$W$13,ConceptDemo!$K$39,""),"")</f>
        <v/>
      </c>
      <c r="T91" s="24" t="str">
        <f>IF(3&lt;=ConceptDemo!$K$41,IF(P91=$W$14,ConceptDemo!$K$39,""),"")</f>
        <v/>
      </c>
      <c r="U91" s="24" t="str">
        <f>IF(4&lt;=ConceptDemo!$K$41,IF(P91=$W$15,ConceptDemo!$K$39,""),"")</f>
        <v/>
      </c>
      <c r="W91" s="23">
        <f>IF($P91&lt;ConceptDemo!$C$17+$E$24-10,$G$27,0)</f>
        <v>0</v>
      </c>
      <c r="X91" s="23">
        <f>IF($P91&lt;ConceptDemo!$C$17+$E$24-10,$H$27,0)</f>
        <v>0</v>
      </c>
      <c r="Y91" s="13">
        <f t="shared" ref="Y91:Y154" si="11">IFERROR(IF(AND($P91&gt;=$W$12,$P91&lt;$W$12+$I$25),$I$27,0),0)</f>
        <v>0</v>
      </c>
      <c r="Z91" s="13">
        <f t="shared" ref="Z91:Z154" si="12">IFERROR(IF(AND($P91&gt;=$W$13,$P91&lt;$W$13+$I$25),$I$27,0),0)</f>
        <v>0</v>
      </c>
      <c r="AA91" s="13">
        <f t="shared" ref="AA91:AA154" si="13">IFERROR(IF(AND($P91&gt;=$W$14,$P91&lt;$W$14+$I$25),$I$27,0),0)</f>
        <v>1.9346938775510203</v>
      </c>
      <c r="AB91" s="13">
        <f t="shared" ref="AB91:AB154" si="14">IFERROR(IF(AND($P91&gt;=$W$15,$P91&lt;$W$15+$I$25),$I$27,0),0)</f>
        <v>0</v>
      </c>
      <c r="AC91" s="23">
        <f t="shared" ref="AC91:AC154" si="15">IF(Q91&gt;0,$J$27,0)</f>
        <v>0.57089327534292411</v>
      </c>
      <c r="AD91" s="23">
        <f>IF(P91&lt;=ConceptDemo!$C$19,AD90+SUM(W91:AB91)-(Q91-Q90)-AC91,0)</f>
        <v>83.710422823273547</v>
      </c>
      <c r="AE91" s="23">
        <f>IF(ConceptDemo!$C$7=Backend!$A$2,AD91,IF(AE90&lt;&gt;AD90,IF(P91&lt;=ConceptDemo!$C$19,AE90+SUM(W91:AB91)-(Q91-Q90)-AC91,0),IF(P91=ConceptDemo!$C$40,ConceptDemo!$C$39,AD91)))</f>
        <v>83.710422823273547</v>
      </c>
      <c r="AF91" s="23">
        <f t="shared" si="7"/>
        <v>66.689303515874599</v>
      </c>
      <c r="AG91" s="23">
        <f t="shared" si="8"/>
        <v>96.350696669587848</v>
      </c>
      <c r="AH91" s="23">
        <f t="shared" ref="AH91:AH154" si="16">AG91-AF91</f>
        <v>29.661393153713249</v>
      </c>
    </row>
    <row r="92" spans="1:34" x14ac:dyDescent="0.25">
      <c r="A92">
        <v>350</v>
      </c>
      <c r="B92">
        <v>25</v>
      </c>
      <c r="G92" s="10"/>
      <c r="I92" s="29"/>
      <c r="P92" s="16">
        <f>IFERROR(IF(P91+1=ConceptDemo!$C$19+10,"",Backend!P91+1),"")</f>
        <v>44510</v>
      </c>
      <c r="Q92" s="13">
        <f>IF(OR(P92&lt;ConceptDemo!$C$17,Backend!P92&gt;ConceptDemo!$C$19),0,IF(Backend!P92&lt;=Backend!$R$12,Backend!Q91+Backend!$T$12,IF(Backend!P92&lt;=Backend!$R$13,Backend!Q91+Backend!$T$13,IF(Backend!P92&lt;=Backend!$R$14,Backend!Q91+Backend!$T$14,IF(Backend!P92&lt;=Backend!$R$15,Backend!Q91+Backend!$T$15,IF(Backend!P92&lt;=Backend!$X$16,Backend!Q91+Backend!$Z$16))))))</f>
        <v>90.02637125040151</v>
      </c>
      <c r="R92" s="24" t="str">
        <f>IF(1&lt;=ConceptDemo!$K$41,IF(P92=$W$12,ConceptDemo!$K$39,""),"")</f>
        <v/>
      </c>
      <c r="S92" s="24" t="str">
        <f>IF(2&lt;=ConceptDemo!$K$41,IF(P92=$W$13,ConceptDemo!$K$39,""),"")</f>
        <v/>
      </c>
      <c r="T92" s="24" t="str">
        <f>IF(3&lt;=ConceptDemo!$K$41,IF(P92=$W$14,ConceptDemo!$K$39,""),"")</f>
        <v/>
      </c>
      <c r="U92" s="24" t="str">
        <f>IF(4&lt;=ConceptDemo!$K$41,IF(P92=$W$15,ConceptDemo!$K$39,""),"")</f>
        <v/>
      </c>
      <c r="W92" s="23">
        <f>IF($P92&lt;ConceptDemo!$C$17+$E$24-10,$G$27,0)</f>
        <v>0</v>
      </c>
      <c r="X92" s="23">
        <f>IF($P92&lt;ConceptDemo!$C$17+$E$24-10,$H$27,0)</f>
        <v>0</v>
      </c>
      <c r="Y92" s="13">
        <f t="shared" si="11"/>
        <v>0</v>
      </c>
      <c r="Z92" s="13">
        <f t="shared" si="12"/>
        <v>0</v>
      </c>
      <c r="AA92" s="13">
        <f t="shared" si="13"/>
        <v>1.9346938775510203</v>
      </c>
      <c r="AB92" s="13">
        <f t="shared" si="14"/>
        <v>0</v>
      </c>
      <c r="AC92" s="23">
        <f t="shared" si="15"/>
        <v>0.57089327534292411</v>
      </c>
      <c r="AD92" s="23">
        <f>IF(P92&lt;=ConceptDemo!$C$19,AD91+SUM(W92:AB92)-(Q92-Q91)-AC92,0)</f>
        <v>84.142916136684391</v>
      </c>
      <c r="AE92" s="23">
        <f>IF(ConceptDemo!$C$7=Backend!$A$2,AD92,IF(AE91&lt;&gt;AD91,IF(P92&lt;=ConceptDemo!$C$19,AE91+SUM(W92:AB92)-(Q92-Q91)-AC92,0),IF(P92=ConceptDemo!$C$40,ConceptDemo!$C$39,AD92)))</f>
        <v>84.142916136684391</v>
      </c>
      <c r="AF92" s="23">
        <f t="shared" ref="AF92:AF155" si="17">IF(AE92=0,0,IF(AE92-(AE92*($AF$22+0.1%))&gt;=AE92-(AE92*$AG$22),AE92-(AE92*$AG$22),AE92-(AE92*($AF$22+0.1%))))</f>
        <v>67.033856522225236</v>
      </c>
      <c r="AG92" s="23">
        <f t="shared" ref="AG92:AG155" si="18">IF(AE92=0,0,IF(AE92+(AE92*($AF$22+0.1%))&gt;=AE92+(AE92*$AG$22),AE92+(AE92*$AG$22),AE92+(AE92*($AF$22+0.1%))))</f>
        <v>96.848496473323735</v>
      </c>
      <c r="AH92" s="23">
        <f t="shared" si="16"/>
        <v>29.814639951098499</v>
      </c>
    </row>
    <row r="93" spans="1:34" x14ac:dyDescent="0.25">
      <c r="A93">
        <v>400</v>
      </c>
      <c r="B93">
        <v>0</v>
      </c>
      <c r="P93" s="16">
        <f>IFERROR(IF(P92+1=ConceptDemo!$C$19+10,"",Backend!P92+1),"")</f>
        <v>44511</v>
      </c>
      <c r="Q93" s="13">
        <f>IF(OR(P93&lt;ConceptDemo!$C$17,Backend!P93&gt;ConceptDemo!$C$19),0,IF(Backend!P93&lt;=Backend!$R$12,Backend!Q92+Backend!$T$12,IF(Backend!P93&lt;=Backend!$R$13,Backend!Q92+Backend!$T$13,IF(Backend!P93&lt;=Backend!$R$14,Backend!Q92+Backend!$T$14,IF(Backend!P93&lt;=Backend!$R$15,Backend!Q92+Backend!$T$15,IF(Backend!P93&lt;=Backend!$X$16,Backend!Q92+Backend!$Z$16))))))</f>
        <v>90.957678539198767</v>
      </c>
      <c r="R93" s="24" t="str">
        <f>IF(1&lt;=ConceptDemo!$K$41,IF(P93=$W$12,ConceptDemo!$K$39,""),"")</f>
        <v/>
      </c>
      <c r="S93" s="24" t="str">
        <f>IF(2&lt;=ConceptDemo!$K$41,IF(P93=$W$13,ConceptDemo!$K$39,""),"")</f>
        <v/>
      </c>
      <c r="T93" s="24" t="str">
        <f>IF(3&lt;=ConceptDemo!$K$41,IF(P93=$W$14,ConceptDemo!$K$39,""),"")</f>
        <v/>
      </c>
      <c r="U93" s="24" t="str">
        <f>IF(4&lt;=ConceptDemo!$K$41,IF(P93=$W$15,ConceptDemo!$K$39,""),"")</f>
        <v/>
      </c>
      <c r="W93" s="23">
        <f>IF($P93&lt;ConceptDemo!$C$17+$E$24-10,$G$27,0)</f>
        <v>0</v>
      </c>
      <c r="X93" s="23">
        <f>IF($P93&lt;ConceptDemo!$C$17+$E$24-10,$H$27,0)</f>
        <v>0</v>
      </c>
      <c r="Y93" s="13">
        <f t="shared" si="11"/>
        <v>0</v>
      </c>
      <c r="Z93" s="13">
        <f t="shared" si="12"/>
        <v>0</v>
      </c>
      <c r="AA93" s="13">
        <f t="shared" si="13"/>
        <v>1.9346938775510203</v>
      </c>
      <c r="AB93" s="13">
        <f t="shared" si="14"/>
        <v>0</v>
      </c>
      <c r="AC93" s="23">
        <f t="shared" si="15"/>
        <v>0.57089327534292411</v>
      </c>
      <c r="AD93" s="23">
        <f>IF(P93&lt;=ConceptDemo!$C$19,AD92+SUM(W93:AB93)-(Q93-Q92)-AC93,0)</f>
        <v>84.575409450095236</v>
      </c>
      <c r="AE93" s="23">
        <f>IF(ConceptDemo!$C$7=Backend!$A$2,AD93,IF(AE92&lt;&gt;AD92,IF(P93&lt;=ConceptDemo!$C$19,AE92+SUM(W93:AB93)-(Q93-Q92)-AC93,0),IF(P93=ConceptDemo!$C$40,ConceptDemo!$C$39,AD93)))</f>
        <v>84.575409450095236</v>
      </c>
      <c r="AF93" s="23">
        <f t="shared" si="17"/>
        <v>67.378409528575872</v>
      </c>
      <c r="AG93" s="23">
        <f t="shared" si="18"/>
        <v>97.346296277059622</v>
      </c>
      <c r="AH93" s="23">
        <f t="shared" si="16"/>
        <v>29.96788674848375</v>
      </c>
    </row>
    <row r="94" spans="1:34" x14ac:dyDescent="0.25">
      <c r="F94" s="29"/>
      <c r="P94" s="16">
        <f>IFERROR(IF(P93+1=ConceptDemo!$C$19+10,"",Backend!P93+1),"")</f>
        <v>44512</v>
      </c>
      <c r="Q94" s="13">
        <f>IF(OR(P94&lt;ConceptDemo!$C$17,Backend!P94&gt;ConceptDemo!$C$19),0,IF(Backend!P94&lt;=Backend!$R$12,Backend!Q93+Backend!$T$12,IF(Backend!P94&lt;=Backend!$R$13,Backend!Q93+Backend!$T$13,IF(Backend!P94&lt;=Backend!$R$14,Backend!Q93+Backend!$T$14,IF(Backend!P94&lt;=Backend!$R$15,Backend!Q93+Backend!$T$15,IF(Backend!P94&lt;=Backend!$X$16,Backend!Q93+Backend!$Z$16))))))</f>
        <v>91.888985827996024</v>
      </c>
      <c r="R94" s="24" t="str">
        <f>IF(1&lt;=ConceptDemo!$K$41,IF(P94=$W$12,ConceptDemo!$K$39,""),"")</f>
        <v/>
      </c>
      <c r="S94" s="24" t="str">
        <f>IF(2&lt;=ConceptDemo!$K$41,IF(P94=$W$13,ConceptDemo!$K$39,""),"")</f>
        <v/>
      </c>
      <c r="T94" s="24" t="str">
        <f>IF(3&lt;=ConceptDemo!$K$41,IF(P94=$W$14,ConceptDemo!$K$39,""),"")</f>
        <v/>
      </c>
      <c r="U94" s="24" t="str">
        <f>IF(4&lt;=ConceptDemo!$K$41,IF(P94=$W$15,ConceptDemo!$K$39,""),"")</f>
        <v/>
      </c>
      <c r="W94" s="23">
        <f>IF($P94&lt;ConceptDemo!$C$17+$E$24-10,$G$27,0)</f>
        <v>0</v>
      </c>
      <c r="X94" s="23">
        <f>IF($P94&lt;ConceptDemo!$C$17+$E$24-10,$H$27,0)</f>
        <v>0</v>
      </c>
      <c r="Y94" s="13">
        <f t="shared" si="11"/>
        <v>0</v>
      </c>
      <c r="Z94" s="13">
        <f t="shared" si="12"/>
        <v>0</v>
      </c>
      <c r="AA94" s="13">
        <f t="shared" si="13"/>
        <v>1.9346938775510203</v>
      </c>
      <c r="AB94" s="13">
        <f t="shared" si="14"/>
        <v>0</v>
      </c>
      <c r="AC94" s="23">
        <f t="shared" si="15"/>
        <v>0.57089327534292411</v>
      </c>
      <c r="AD94" s="23">
        <f>IF(P94&lt;=ConceptDemo!$C$19,AD93+SUM(W94:AB94)-(Q94-Q93)-AC94,0)</f>
        <v>85.007902763506081</v>
      </c>
      <c r="AE94" s="23">
        <f>IF(ConceptDemo!$C$7=Backend!$A$2,AD94,IF(AE93&lt;&gt;AD93,IF(P94&lt;=ConceptDemo!$C$19,AE93+SUM(W94:AB94)-(Q94-Q93)-AC94,0),IF(P94=ConceptDemo!$C$40,ConceptDemo!$C$39,AD94)))</f>
        <v>85.007902763506081</v>
      </c>
      <c r="AF94" s="23">
        <f t="shared" si="17"/>
        <v>67.722962534926509</v>
      </c>
      <c r="AG94" s="23">
        <f t="shared" si="18"/>
        <v>97.844096080795495</v>
      </c>
      <c r="AH94" s="23">
        <f t="shared" si="16"/>
        <v>30.121133545868986</v>
      </c>
    </row>
    <row r="95" spans="1:34" x14ac:dyDescent="0.25">
      <c r="P95" s="16">
        <f>IFERROR(IF(P94+1=ConceptDemo!$C$19+10,"",Backend!P94+1),"")</f>
        <v>44513</v>
      </c>
      <c r="Q95" s="13">
        <f>IF(OR(P95&lt;ConceptDemo!$C$17,Backend!P95&gt;ConceptDemo!$C$19),0,IF(Backend!P95&lt;=Backend!$R$12,Backend!Q94+Backend!$T$12,IF(Backend!P95&lt;=Backend!$R$13,Backend!Q94+Backend!$T$13,IF(Backend!P95&lt;=Backend!$R$14,Backend!Q94+Backend!$T$14,IF(Backend!P95&lt;=Backend!$R$15,Backend!Q94+Backend!$T$15,IF(Backend!P95&lt;=Backend!$X$16,Backend!Q94+Backend!$Z$16))))))</f>
        <v>92.82029311679328</v>
      </c>
      <c r="R95" s="24" t="str">
        <f>IF(1&lt;=ConceptDemo!$K$41,IF(P95=$W$12,ConceptDemo!$K$39,""),"")</f>
        <v/>
      </c>
      <c r="S95" s="24" t="str">
        <f>IF(2&lt;=ConceptDemo!$K$41,IF(P95=$W$13,ConceptDemo!$K$39,""),"")</f>
        <v/>
      </c>
      <c r="T95" s="24" t="str">
        <f>IF(3&lt;=ConceptDemo!$K$41,IF(P95=$W$14,ConceptDemo!$K$39,""),"")</f>
        <v/>
      </c>
      <c r="U95" s="24" t="str">
        <f>IF(4&lt;=ConceptDemo!$K$41,IF(P95=$W$15,ConceptDemo!$K$39,""),"")</f>
        <v/>
      </c>
      <c r="W95" s="23">
        <f>IF($P95&lt;ConceptDemo!$C$17+$E$24-10,$G$27,0)</f>
        <v>0</v>
      </c>
      <c r="X95" s="23">
        <f>IF($P95&lt;ConceptDemo!$C$17+$E$24-10,$H$27,0)</f>
        <v>0</v>
      </c>
      <c r="Y95" s="13">
        <f t="shared" si="11"/>
        <v>0</v>
      </c>
      <c r="Z95" s="13">
        <f t="shared" si="12"/>
        <v>0</v>
      </c>
      <c r="AA95" s="13">
        <f t="shared" si="13"/>
        <v>1.9346938775510203</v>
      </c>
      <c r="AB95" s="13">
        <f t="shared" si="14"/>
        <v>0</v>
      </c>
      <c r="AC95" s="23">
        <f t="shared" si="15"/>
        <v>0.57089327534292411</v>
      </c>
      <c r="AD95" s="23">
        <f>IF(P95&lt;=ConceptDemo!$C$19,AD94+SUM(W95:AB95)-(Q95-Q94)-AC95,0)</f>
        <v>85.440396076916926</v>
      </c>
      <c r="AE95" s="23">
        <f>IF(ConceptDemo!$C$7=Backend!$A$2,AD95,IF(AE94&lt;&gt;AD94,IF(P95&lt;=ConceptDemo!$C$19,AE94+SUM(W95:AB95)-(Q95-Q94)-AC95,0),IF(P95=ConceptDemo!$C$40,ConceptDemo!$C$39,AD95)))</f>
        <v>85.440396076916926</v>
      </c>
      <c r="AF95" s="23">
        <f t="shared" si="17"/>
        <v>68.067515541277146</v>
      </c>
      <c r="AG95" s="23">
        <f t="shared" si="18"/>
        <v>98.341895884531382</v>
      </c>
      <c r="AH95" s="23">
        <f t="shared" si="16"/>
        <v>30.274380343254236</v>
      </c>
    </row>
    <row r="96" spans="1:34" x14ac:dyDescent="0.25">
      <c r="A96" t="s">
        <v>101</v>
      </c>
      <c r="B96" s="24">
        <f>((-0.6667*ConceptDemo!C37)+256.25)*B85</f>
        <v>138078.56842105262</v>
      </c>
      <c r="C96" t="s">
        <v>102</v>
      </c>
      <c r="P96" s="16">
        <f>IFERROR(IF(P95+1=ConceptDemo!$C$19+10,"",Backend!P95+1),"")</f>
        <v>44514</v>
      </c>
      <c r="Q96" s="13">
        <f>IF(OR(P96&lt;ConceptDemo!$C$17,Backend!P96&gt;ConceptDemo!$C$19),0,IF(Backend!P96&lt;=Backend!$R$12,Backend!Q95+Backend!$T$12,IF(Backend!P96&lt;=Backend!$R$13,Backend!Q95+Backend!$T$13,IF(Backend!P96&lt;=Backend!$R$14,Backend!Q95+Backend!$T$14,IF(Backend!P96&lt;=Backend!$R$15,Backend!Q95+Backend!$T$15,IF(Backend!P96&lt;=Backend!$X$16,Backend!Q95+Backend!$Z$16))))))</f>
        <v>93.751600405590537</v>
      </c>
      <c r="R96" s="24" t="str">
        <f>IF(1&lt;=ConceptDemo!$K$41,IF(P96=$W$12,ConceptDemo!$K$39,""),"")</f>
        <v/>
      </c>
      <c r="S96" s="24" t="str">
        <f>IF(2&lt;=ConceptDemo!$K$41,IF(P96=$W$13,ConceptDemo!$K$39,""),"")</f>
        <v/>
      </c>
      <c r="T96" s="24" t="str">
        <f>IF(3&lt;=ConceptDemo!$K$41,IF(P96=$W$14,ConceptDemo!$K$39,""),"")</f>
        <v/>
      </c>
      <c r="U96" s="24" t="str">
        <f>IF(4&lt;=ConceptDemo!$K$41,IF(P96=$W$15,ConceptDemo!$K$39,""),"")</f>
        <v/>
      </c>
      <c r="W96" s="23">
        <f>IF($P96&lt;ConceptDemo!$C$17+$E$24-10,$G$27,0)</f>
        <v>0</v>
      </c>
      <c r="X96" s="23">
        <f>IF($P96&lt;ConceptDemo!$C$17+$E$24-10,$H$27,0)</f>
        <v>0</v>
      </c>
      <c r="Y96" s="13">
        <f t="shared" si="11"/>
        <v>0</v>
      </c>
      <c r="Z96" s="13">
        <f t="shared" si="12"/>
        <v>0</v>
      </c>
      <c r="AA96" s="13">
        <f t="shared" si="13"/>
        <v>1.9346938775510203</v>
      </c>
      <c r="AB96" s="13">
        <f t="shared" si="14"/>
        <v>0</v>
      </c>
      <c r="AC96" s="23">
        <f t="shared" si="15"/>
        <v>0.57089327534292411</v>
      </c>
      <c r="AD96" s="23">
        <f>IF(P96&lt;=ConceptDemo!$C$19,AD95+SUM(W96:AB96)-(Q96-Q95)-AC96,0)</f>
        <v>85.872889390327771</v>
      </c>
      <c r="AE96" s="23">
        <f>IF(ConceptDemo!$C$7=Backend!$A$2,AD96,IF(AE95&lt;&gt;AD95,IF(P96&lt;=ConceptDemo!$C$19,AE95+SUM(W96:AB96)-(Q96-Q95)-AC96,0),IF(P96=ConceptDemo!$C$40,ConceptDemo!$C$39,AD96)))</f>
        <v>85.872889390327771</v>
      </c>
      <c r="AF96" s="23">
        <f t="shared" si="17"/>
        <v>68.412068547627797</v>
      </c>
      <c r="AG96" s="23">
        <f t="shared" si="18"/>
        <v>98.83969568826727</v>
      </c>
      <c r="AH96" s="23">
        <f t="shared" si="16"/>
        <v>30.427627140639473</v>
      </c>
    </row>
    <row r="97" spans="16:34" x14ac:dyDescent="0.25">
      <c r="P97" s="16">
        <f>IFERROR(IF(P96+1=ConceptDemo!$C$19+10,"",Backend!P96+1),"")</f>
        <v>44515</v>
      </c>
      <c r="Q97" s="13">
        <f>IF(OR(P97&lt;ConceptDemo!$C$17,Backend!P97&gt;ConceptDemo!$C$19),0,IF(Backend!P97&lt;=Backend!$R$12,Backend!Q96+Backend!$T$12,IF(Backend!P97&lt;=Backend!$R$13,Backend!Q96+Backend!$T$13,IF(Backend!P97&lt;=Backend!$R$14,Backend!Q96+Backend!$T$14,IF(Backend!P97&lt;=Backend!$R$15,Backend!Q96+Backend!$T$15,IF(Backend!P97&lt;=Backend!$X$16,Backend!Q96+Backend!$Z$16))))))</f>
        <v>94.682907694387794</v>
      </c>
      <c r="R97" s="24" t="str">
        <f>IF(1&lt;=ConceptDemo!$K$41,IF(P97=$W$12,ConceptDemo!$K$39,""),"")</f>
        <v/>
      </c>
      <c r="S97" s="24" t="str">
        <f>IF(2&lt;=ConceptDemo!$K$41,IF(P97=$W$13,ConceptDemo!$K$39,""),"")</f>
        <v/>
      </c>
      <c r="T97" s="24" t="str">
        <f>IF(3&lt;=ConceptDemo!$K$41,IF(P97=$W$14,ConceptDemo!$K$39,""),"")</f>
        <v/>
      </c>
      <c r="U97" s="24" t="str">
        <f>IF(4&lt;=ConceptDemo!$K$41,IF(P97=$W$15,ConceptDemo!$K$39,""),"")</f>
        <v/>
      </c>
      <c r="W97" s="23">
        <f>IF($P97&lt;ConceptDemo!$C$17+$E$24-10,$G$27,0)</f>
        <v>0</v>
      </c>
      <c r="X97" s="23">
        <f>IF($P97&lt;ConceptDemo!$C$17+$E$24-10,$H$27,0)</f>
        <v>0</v>
      </c>
      <c r="Y97" s="13">
        <f t="shared" si="11"/>
        <v>0</v>
      </c>
      <c r="Z97" s="13">
        <f t="shared" si="12"/>
        <v>0</v>
      </c>
      <c r="AA97" s="13">
        <f t="shared" si="13"/>
        <v>1.9346938775510203</v>
      </c>
      <c r="AB97" s="13">
        <f t="shared" si="14"/>
        <v>0</v>
      </c>
      <c r="AC97" s="23">
        <f t="shared" si="15"/>
        <v>0.57089327534292411</v>
      </c>
      <c r="AD97" s="23">
        <f>IF(P97&lt;=ConceptDemo!$C$19,AD96+SUM(W97:AB97)-(Q97-Q96)-AC97,0)</f>
        <v>86.305382703738616</v>
      </c>
      <c r="AE97" s="23">
        <f>IF(ConceptDemo!$C$7=Backend!$A$2,AD97,IF(AE96&lt;&gt;AD96,IF(P97&lt;=ConceptDemo!$C$19,AE96+SUM(W97:AB97)-(Q97-Q96)-AC97,0),IF(P97=ConceptDemo!$C$40,ConceptDemo!$C$39,AD97)))</f>
        <v>86.305382703738616</v>
      </c>
      <c r="AF97" s="23">
        <f t="shared" si="17"/>
        <v>68.756621553978434</v>
      </c>
      <c r="AG97" s="23">
        <f t="shared" si="18"/>
        <v>99.337495492003143</v>
      </c>
      <c r="AH97" s="23">
        <f t="shared" si="16"/>
        <v>30.580873938024709</v>
      </c>
    </row>
    <row r="98" spans="16:34" x14ac:dyDescent="0.25">
      <c r="P98" s="16">
        <f>IFERROR(IF(P97+1=ConceptDemo!$C$19+10,"",Backend!P97+1),"")</f>
        <v>44516</v>
      </c>
      <c r="Q98" s="13">
        <f>IF(OR(P98&lt;ConceptDemo!$C$17,Backend!P98&gt;ConceptDemo!$C$19),0,IF(Backend!P98&lt;=Backend!$R$12,Backend!Q97+Backend!$T$12,IF(Backend!P98&lt;=Backend!$R$13,Backend!Q97+Backend!$T$13,IF(Backend!P98&lt;=Backend!$R$14,Backend!Q97+Backend!$T$14,IF(Backend!P98&lt;=Backend!$R$15,Backend!Q97+Backend!$T$15,IF(Backend!P98&lt;=Backend!$X$16,Backend!Q97+Backend!$Z$16))))))</f>
        <v>0</v>
      </c>
      <c r="R98" s="24" t="str">
        <f>IF(1&lt;=ConceptDemo!$K$41,IF(P98=$W$12,ConceptDemo!$K$39,""),"")</f>
        <v/>
      </c>
      <c r="S98" s="24" t="str">
        <f>IF(2&lt;=ConceptDemo!$K$41,IF(P98=$W$13,ConceptDemo!$K$39,""),"")</f>
        <v/>
      </c>
      <c r="T98" s="24" t="str">
        <f>IF(3&lt;=ConceptDemo!$K$41,IF(P98=$W$14,ConceptDemo!$K$39,""),"")</f>
        <v/>
      </c>
      <c r="U98" s="24" t="str">
        <f>IF(4&lt;=ConceptDemo!$K$41,IF(P98=$W$15,ConceptDemo!$K$39,""),"")</f>
        <v/>
      </c>
      <c r="W98" s="23">
        <f>IF($P98&lt;ConceptDemo!$C$17+$E$24-10,$G$27,0)</f>
        <v>0</v>
      </c>
      <c r="X98" s="23">
        <f>IF($P98&lt;ConceptDemo!$C$17+$E$24-10,$H$27,0)</f>
        <v>0</v>
      </c>
      <c r="Y98" s="13">
        <f t="shared" si="11"/>
        <v>0</v>
      </c>
      <c r="Z98" s="13">
        <f t="shared" si="12"/>
        <v>0</v>
      </c>
      <c r="AA98" s="13">
        <f t="shared" si="13"/>
        <v>1.9346938775510203</v>
      </c>
      <c r="AB98" s="13">
        <f t="shared" si="14"/>
        <v>0</v>
      </c>
      <c r="AC98" s="23">
        <f t="shared" si="15"/>
        <v>0</v>
      </c>
      <c r="AD98" s="23">
        <f>IF(P98&lt;=ConceptDemo!$C$19,AD97+SUM(W98:AB98)-(Q98-Q97)-AC98,0)</f>
        <v>0</v>
      </c>
      <c r="AE98" s="23">
        <f>IF(ConceptDemo!$C$7=Backend!$A$2,AD98,IF(AE97&lt;&gt;AD97,IF(P98&lt;=ConceptDemo!$C$19,AE97+SUM(W98:AB98)-(Q98-Q97)-AC98,0),IF(P98=ConceptDemo!$C$40,ConceptDemo!$C$39,AD98)))</f>
        <v>0</v>
      </c>
      <c r="AF98" s="23">
        <f t="shared" si="17"/>
        <v>0</v>
      </c>
      <c r="AG98" s="23">
        <f t="shared" si="18"/>
        <v>0</v>
      </c>
      <c r="AH98" s="23">
        <f t="shared" si="16"/>
        <v>0</v>
      </c>
    </row>
    <row r="99" spans="16:34" x14ac:dyDescent="0.25">
      <c r="P99" s="16">
        <f>IFERROR(IF(P98+1=ConceptDemo!$C$19+10,"",Backend!P98+1),"")</f>
        <v>44517</v>
      </c>
      <c r="Q99" s="13">
        <f>IF(OR(P99&lt;ConceptDemo!$C$17,Backend!P99&gt;ConceptDemo!$C$19),0,IF(Backend!P99&lt;=Backend!$R$12,Backend!Q98+Backend!$T$12,IF(Backend!P99&lt;=Backend!$R$13,Backend!Q98+Backend!$T$13,IF(Backend!P99&lt;=Backend!$R$14,Backend!Q98+Backend!$T$14,IF(Backend!P99&lt;=Backend!$R$15,Backend!Q98+Backend!$T$15,IF(Backend!P99&lt;=Backend!$X$16,Backend!Q98+Backend!$Z$16))))))</f>
        <v>0</v>
      </c>
      <c r="R99" s="24" t="str">
        <f>IF(1&lt;=ConceptDemo!$K$41,IF(P99=$W$12,ConceptDemo!$K$39,""),"")</f>
        <v/>
      </c>
      <c r="S99" s="24" t="str">
        <f>IF(2&lt;=ConceptDemo!$K$41,IF(P99=$W$13,ConceptDemo!$K$39,""),"")</f>
        <v/>
      </c>
      <c r="T99" s="24" t="str">
        <f>IF(3&lt;=ConceptDemo!$K$41,IF(P99=$W$14,ConceptDemo!$K$39,""),"")</f>
        <v/>
      </c>
      <c r="U99" s="24" t="str">
        <f>IF(4&lt;=ConceptDemo!$K$41,IF(P99=$W$15,ConceptDemo!$K$39,""),"")</f>
        <v/>
      </c>
      <c r="W99" s="23">
        <f>IF($P99&lt;ConceptDemo!$C$17+$E$24-10,$G$27,0)</f>
        <v>0</v>
      </c>
      <c r="X99" s="23">
        <f>IF($P99&lt;ConceptDemo!$C$17+$E$24-10,$H$27,0)</f>
        <v>0</v>
      </c>
      <c r="Y99" s="13">
        <f t="shared" si="11"/>
        <v>0</v>
      </c>
      <c r="Z99" s="13">
        <f t="shared" si="12"/>
        <v>0</v>
      </c>
      <c r="AA99" s="13">
        <f t="shared" si="13"/>
        <v>1.9346938775510203</v>
      </c>
      <c r="AB99" s="13">
        <f t="shared" si="14"/>
        <v>0</v>
      </c>
      <c r="AC99" s="23">
        <f t="shared" si="15"/>
        <v>0</v>
      </c>
      <c r="AD99" s="23">
        <f>IF(P99&lt;=ConceptDemo!$C$19,AD98+SUM(W99:AB99)-(Q99-Q98)-AC99,0)</f>
        <v>0</v>
      </c>
      <c r="AE99" s="23">
        <f>IF(ConceptDemo!$C$7=Backend!$A$2,AD99,IF(AE98&lt;&gt;AD98,IF(P99&lt;=ConceptDemo!$C$19,AE98+SUM(W99:AB99)-(Q99-Q98)-AC99,0),IF(P99=ConceptDemo!$C$40,ConceptDemo!$C$39,AD99)))</f>
        <v>0</v>
      </c>
      <c r="AF99" s="23">
        <f t="shared" si="17"/>
        <v>0</v>
      </c>
      <c r="AG99" s="23">
        <f t="shared" si="18"/>
        <v>0</v>
      </c>
      <c r="AH99" s="23">
        <f t="shared" si="16"/>
        <v>0</v>
      </c>
    </row>
    <row r="100" spans="16:34" x14ac:dyDescent="0.25">
      <c r="P100" s="16">
        <f>IFERROR(IF(P99+1=ConceptDemo!$C$19+10,"",Backend!P99+1),"")</f>
        <v>44518</v>
      </c>
      <c r="Q100" s="13">
        <f>IF(OR(P100&lt;ConceptDemo!$C$17,Backend!P100&gt;ConceptDemo!$C$19),0,IF(Backend!P100&lt;=Backend!$R$12,Backend!Q99+Backend!$T$12,IF(Backend!P100&lt;=Backend!$R$13,Backend!Q99+Backend!$T$13,IF(Backend!P100&lt;=Backend!$R$14,Backend!Q99+Backend!$T$14,IF(Backend!P100&lt;=Backend!$R$15,Backend!Q99+Backend!$T$15,IF(Backend!P100&lt;=Backend!$X$16,Backend!Q99+Backend!$Z$16))))))</f>
        <v>0</v>
      </c>
      <c r="R100" s="24" t="str">
        <f>IF(1&lt;=ConceptDemo!$K$41,IF(P100=$W$12,ConceptDemo!$K$39,""),"")</f>
        <v/>
      </c>
      <c r="S100" s="24" t="str">
        <f>IF(2&lt;=ConceptDemo!$K$41,IF(P100=$W$13,ConceptDemo!$K$39,""),"")</f>
        <v/>
      </c>
      <c r="T100" s="24" t="str">
        <f>IF(3&lt;=ConceptDemo!$K$41,IF(P100=$W$14,ConceptDemo!$K$39,""),"")</f>
        <v/>
      </c>
      <c r="U100" s="24" t="str">
        <f>IF(4&lt;=ConceptDemo!$K$41,IF(P100=$W$15,ConceptDemo!$K$39,""),"")</f>
        <v/>
      </c>
      <c r="W100" s="23">
        <f>IF($P100&lt;ConceptDemo!$C$17+$E$24-10,$G$27,0)</f>
        <v>0</v>
      </c>
      <c r="X100" s="23">
        <f>IF($P100&lt;ConceptDemo!$C$17+$E$24-10,$H$27,0)</f>
        <v>0</v>
      </c>
      <c r="Y100" s="13">
        <f t="shared" si="11"/>
        <v>0</v>
      </c>
      <c r="Z100" s="13">
        <f t="shared" si="12"/>
        <v>0</v>
      </c>
      <c r="AA100" s="13">
        <f t="shared" si="13"/>
        <v>1.9346938775510203</v>
      </c>
      <c r="AB100" s="13">
        <f t="shared" si="14"/>
        <v>0</v>
      </c>
      <c r="AC100" s="23">
        <f t="shared" si="15"/>
        <v>0</v>
      </c>
      <c r="AD100" s="23">
        <f>IF(P100&lt;=ConceptDemo!$C$19,AD99+SUM(W100:AB100)-(Q100-Q99)-AC100,0)</f>
        <v>0</v>
      </c>
      <c r="AE100" s="23">
        <f>IF(ConceptDemo!$C$7=Backend!$A$2,AD100,IF(AE99&lt;&gt;AD99,IF(P100&lt;=ConceptDemo!$C$19,AE99+SUM(W100:AB100)-(Q100-Q99)-AC100,0),IF(P100=ConceptDemo!$C$40,ConceptDemo!$C$39,AD100)))</f>
        <v>0</v>
      </c>
      <c r="AF100" s="23">
        <f t="shared" si="17"/>
        <v>0</v>
      </c>
      <c r="AG100" s="23">
        <f t="shared" si="18"/>
        <v>0</v>
      </c>
      <c r="AH100" s="23">
        <f t="shared" si="16"/>
        <v>0</v>
      </c>
    </row>
    <row r="101" spans="16:34" x14ac:dyDescent="0.25">
      <c r="P101" s="16">
        <f>IFERROR(IF(P100+1=ConceptDemo!$C$19+10,"",Backend!P100+1),"")</f>
        <v>44519</v>
      </c>
      <c r="Q101" s="13">
        <f>IF(OR(P101&lt;ConceptDemo!$C$17,Backend!P101&gt;ConceptDemo!$C$19),0,IF(Backend!P101&lt;=Backend!$R$12,Backend!Q100+Backend!$T$12,IF(Backend!P101&lt;=Backend!$R$13,Backend!Q100+Backend!$T$13,IF(Backend!P101&lt;=Backend!$R$14,Backend!Q100+Backend!$T$14,IF(Backend!P101&lt;=Backend!$R$15,Backend!Q100+Backend!$T$15,IF(Backend!P101&lt;=Backend!$X$16,Backend!Q100+Backend!$Z$16))))))</f>
        <v>0</v>
      </c>
      <c r="R101" s="24" t="str">
        <f>IF(1&lt;=ConceptDemo!$K$41,IF(P101=$W$12,ConceptDemo!$K$39,""),"")</f>
        <v/>
      </c>
      <c r="S101" s="24" t="str">
        <f>IF(2&lt;=ConceptDemo!$K$41,IF(P101=$W$13,ConceptDemo!$K$39,""),"")</f>
        <v/>
      </c>
      <c r="T101" s="24" t="str">
        <f>IF(3&lt;=ConceptDemo!$K$41,IF(P101=$W$14,ConceptDemo!$K$39,""),"")</f>
        <v/>
      </c>
      <c r="U101" s="24" t="str">
        <f>IF(4&lt;=ConceptDemo!$K$41,IF(P101=$W$15,ConceptDemo!$K$39,""),"")</f>
        <v/>
      </c>
      <c r="W101" s="23">
        <f>IF($P101&lt;ConceptDemo!$C$17+$E$24-10,$G$27,0)</f>
        <v>0</v>
      </c>
      <c r="X101" s="23">
        <f>IF($P101&lt;ConceptDemo!$C$17+$E$24-10,$H$27,0)</f>
        <v>0</v>
      </c>
      <c r="Y101" s="13">
        <f t="shared" si="11"/>
        <v>0</v>
      </c>
      <c r="Z101" s="13">
        <f t="shared" si="12"/>
        <v>0</v>
      </c>
      <c r="AA101" s="13">
        <f t="shared" si="13"/>
        <v>1.9346938775510203</v>
      </c>
      <c r="AB101" s="13">
        <f t="shared" si="14"/>
        <v>0</v>
      </c>
      <c r="AC101" s="23">
        <f t="shared" si="15"/>
        <v>0</v>
      </c>
      <c r="AD101" s="23">
        <f>IF(P101&lt;=ConceptDemo!$C$19,AD100+SUM(W101:AB101)-(Q101-Q100)-AC101,0)</f>
        <v>0</v>
      </c>
      <c r="AE101" s="23">
        <f>IF(ConceptDemo!$C$7=Backend!$A$2,AD101,IF(AE100&lt;&gt;AD100,IF(P101&lt;=ConceptDemo!$C$19,AE100+SUM(W101:AB101)-(Q101-Q100)-AC101,0),IF(P101=ConceptDemo!$C$40,ConceptDemo!$C$39,AD101)))</f>
        <v>0</v>
      </c>
      <c r="AF101" s="23">
        <f t="shared" si="17"/>
        <v>0</v>
      </c>
      <c r="AG101" s="23">
        <f t="shared" si="18"/>
        <v>0</v>
      </c>
      <c r="AH101" s="23">
        <f t="shared" si="16"/>
        <v>0</v>
      </c>
    </row>
    <row r="102" spans="16:34" x14ac:dyDescent="0.25">
      <c r="P102" s="16">
        <f>IFERROR(IF(P101+1=ConceptDemo!$C$19+10,"",Backend!P101+1),"")</f>
        <v>44520</v>
      </c>
      <c r="Q102" s="13">
        <f>IF(OR(P102&lt;ConceptDemo!$C$17,Backend!P102&gt;ConceptDemo!$C$19),0,IF(Backend!P102&lt;=Backend!$R$12,Backend!Q101+Backend!$T$12,IF(Backend!P102&lt;=Backend!$R$13,Backend!Q101+Backend!$T$13,IF(Backend!P102&lt;=Backend!$R$14,Backend!Q101+Backend!$T$14,IF(Backend!P102&lt;=Backend!$R$15,Backend!Q101+Backend!$T$15,IF(Backend!P102&lt;=Backend!$X$16,Backend!Q101+Backend!$Z$16))))))</f>
        <v>0</v>
      </c>
      <c r="R102" s="24" t="str">
        <f>IF(1&lt;=ConceptDemo!$K$41,IF(P102=$W$12,ConceptDemo!$K$39,""),"")</f>
        <v/>
      </c>
      <c r="S102" s="24" t="str">
        <f>IF(2&lt;=ConceptDemo!$K$41,IF(P102=$W$13,ConceptDemo!$K$39,""),"")</f>
        <v/>
      </c>
      <c r="T102" s="24" t="str">
        <f>IF(3&lt;=ConceptDemo!$K$41,IF(P102=$W$14,ConceptDemo!$K$39,""),"")</f>
        <v/>
      </c>
      <c r="U102" s="24" t="str">
        <f>IF(4&lt;=ConceptDemo!$K$41,IF(P102=$W$15,ConceptDemo!$K$39,""),"")</f>
        <v/>
      </c>
      <c r="W102" s="23">
        <f>IF($P102&lt;ConceptDemo!$C$17+$E$24-10,$G$27,0)</f>
        <v>0</v>
      </c>
      <c r="X102" s="23">
        <f>IF($P102&lt;ConceptDemo!$C$17+$E$24-10,$H$27,0)</f>
        <v>0</v>
      </c>
      <c r="Y102" s="13">
        <f t="shared" si="11"/>
        <v>0</v>
      </c>
      <c r="Z102" s="13">
        <f t="shared" si="12"/>
        <v>0</v>
      </c>
      <c r="AA102" s="13">
        <f t="shared" si="13"/>
        <v>0</v>
      </c>
      <c r="AB102" s="13">
        <f t="shared" si="14"/>
        <v>0</v>
      </c>
      <c r="AC102" s="23">
        <f t="shared" si="15"/>
        <v>0</v>
      </c>
      <c r="AD102" s="23">
        <f>IF(P102&lt;=ConceptDemo!$C$19,AD101+SUM(W102:AB102)-(Q102-Q101)-AC102,0)</f>
        <v>0</v>
      </c>
      <c r="AE102" s="23">
        <f>IF(ConceptDemo!$C$7=Backend!$A$2,AD102,IF(AE101&lt;&gt;AD101,IF(P102&lt;=ConceptDemo!$C$19,AE101+SUM(W102:AB102)-(Q102-Q101)-AC102,0),IF(P102=ConceptDemo!$C$40,ConceptDemo!$C$39,AD102)))</f>
        <v>0</v>
      </c>
      <c r="AF102" s="23">
        <f t="shared" si="17"/>
        <v>0</v>
      </c>
      <c r="AG102" s="23">
        <f t="shared" si="18"/>
        <v>0</v>
      </c>
      <c r="AH102" s="23">
        <f t="shared" si="16"/>
        <v>0</v>
      </c>
    </row>
    <row r="103" spans="16:34" x14ac:dyDescent="0.25">
      <c r="P103" s="16">
        <f>IFERROR(IF(P102+1=ConceptDemo!$C$19+10,"",Backend!P102+1),"")</f>
        <v>44521</v>
      </c>
      <c r="Q103" s="13">
        <f>IF(OR(P103&lt;ConceptDemo!$C$17,Backend!P103&gt;ConceptDemo!$C$19),0,IF(Backend!P103&lt;=Backend!$R$12,Backend!Q102+Backend!$T$12,IF(Backend!P103&lt;=Backend!$R$13,Backend!Q102+Backend!$T$13,IF(Backend!P103&lt;=Backend!$R$14,Backend!Q102+Backend!$T$14,IF(Backend!P103&lt;=Backend!$R$15,Backend!Q102+Backend!$T$15,IF(Backend!P103&lt;=Backend!$X$16,Backend!Q102+Backend!$Z$16))))))</f>
        <v>0</v>
      </c>
      <c r="R103" s="24" t="str">
        <f>IF(1&lt;=ConceptDemo!$K$41,IF(P103=$W$12,ConceptDemo!$K$39,""),"")</f>
        <v/>
      </c>
      <c r="S103" s="24" t="str">
        <f>IF(2&lt;=ConceptDemo!$K$41,IF(P103=$W$13,ConceptDemo!$K$39,""),"")</f>
        <v/>
      </c>
      <c r="T103" s="24" t="str">
        <f>IF(3&lt;=ConceptDemo!$K$41,IF(P103=$W$14,ConceptDemo!$K$39,""),"")</f>
        <v/>
      </c>
      <c r="U103" s="24" t="str">
        <f>IF(4&lt;=ConceptDemo!$K$41,IF(P103=$W$15,ConceptDemo!$K$39,""),"")</f>
        <v/>
      </c>
      <c r="W103" s="23">
        <f>IF($P103&lt;ConceptDemo!$C$17+$E$24-10,$G$27,0)</f>
        <v>0</v>
      </c>
      <c r="X103" s="23">
        <f>IF($P103&lt;ConceptDemo!$C$17+$E$24-10,$H$27,0)</f>
        <v>0</v>
      </c>
      <c r="Y103" s="13">
        <f t="shared" si="11"/>
        <v>0</v>
      </c>
      <c r="Z103" s="13">
        <f t="shared" si="12"/>
        <v>0</v>
      </c>
      <c r="AA103" s="13">
        <f t="shared" si="13"/>
        <v>0</v>
      </c>
      <c r="AB103" s="13">
        <f t="shared" si="14"/>
        <v>0</v>
      </c>
      <c r="AC103" s="23">
        <f t="shared" si="15"/>
        <v>0</v>
      </c>
      <c r="AD103" s="23">
        <f>IF(P103&lt;=ConceptDemo!$C$19,AD102+SUM(W103:AB103)-(Q103-Q102)-AC103,0)</f>
        <v>0</v>
      </c>
      <c r="AE103" s="23">
        <f>IF(ConceptDemo!$C$7=Backend!$A$2,AD103,IF(AE102&lt;&gt;AD102,IF(P103&lt;=ConceptDemo!$C$19,AE102+SUM(W103:AB103)-(Q103-Q102)-AC103,0),IF(P103=ConceptDemo!$C$40,ConceptDemo!$C$39,AD103)))</f>
        <v>0</v>
      </c>
      <c r="AF103" s="23">
        <f t="shared" si="17"/>
        <v>0</v>
      </c>
      <c r="AG103" s="23">
        <f t="shared" si="18"/>
        <v>0</v>
      </c>
      <c r="AH103" s="23">
        <f t="shared" si="16"/>
        <v>0</v>
      </c>
    </row>
    <row r="104" spans="16:34" x14ac:dyDescent="0.25">
      <c r="P104" s="16">
        <f>IFERROR(IF(P103+1=ConceptDemo!$C$19+10,"",Backend!P103+1),"")</f>
        <v>44522</v>
      </c>
      <c r="Q104" s="13">
        <f>IF(OR(P104&lt;ConceptDemo!$C$17,Backend!P104&gt;ConceptDemo!$C$19),0,IF(Backend!P104&lt;=Backend!$R$12,Backend!Q103+Backend!$T$12,IF(Backend!P104&lt;=Backend!$R$13,Backend!Q103+Backend!$T$13,IF(Backend!P104&lt;=Backend!$R$14,Backend!Q103+Backend!$T$14,IF(Backend!P104&lt;=Backend!$R$15,Backend!Q103+Backend!$T$15,IF(Backend!P104&lt;=Backend!$X$16,Backend!Q103+Backend!$Z$16))))))</f>
        <v>0</v>
      </c>
      <c r="R104" s="24" t="str">
        <f>IF(1&lt;=ConceptDemo!$K$41,IF(P104=$W$12,ConceptDemo!$K$39,""),"")</f>
        <v/>
      </c>
      <c r="S104" s="24" t="str">
        <f>IF(2&lt;=ConceptDemo!$K$41,IF(P104=$W$13,ConceptDemo!$K$39,""),"")</f>
        <v/>
      </c>
      <c r="T104" s="24" t="str">
        <f>IF(3&lt;=ConceptDemo!$K$41,IF(P104=$W$14,ConceptDemo!$K$39,""),"")</f>
        <v/>
      </c>
      <c r="U104" s="24" t="str">
        <f>IF(4&lt;=ConceptDemo!$K$41,IF(P104=$W$15,ConceptDemo!$K$39,""),"")</f>
        <v/>
      </c>
      <c r="W104" s="23">
        <f>IF($P104&lt;ConceptDemo!$C$17+$E$24-10,$G$27,0)</f>
        <v>0</v>
      </c>
      <c r="X104" s="23">
        <f>IF($P104&lt;ConceptDemo!$C$17+$E$24-10,$H$27,0)</f>
        <v>0</v>
      </c>
      <c r="Y104" s="13">
        <f t="shared" si="11"/>
        <v>0</v>
      </c>
      <c r="Z104" s="13">
        <f t="shared" si="12"/>
        <v>0</v>
      </c>
      <c r="AA104" s="13">
        <f t="shared" si="13"/>
        <v>0</v>
      </c>
      <c r="AB104" s="13">
        <f t="shared" si="14"/>
        <v>0</v>
      </c>
      <c r="AC104" s="23">
        <f t="shared" si="15"/>
        <v>0</v>
      </c>
      <c r="AD104" s="23">
        <f>IF(P104&lt;=ConceptDemo!$C$19,AD103+SUM(W104:AB104)-(Q104-Q103)-AC104,0)</f>
        <v>0</v>
      </c>
      <c r="AE104" s="23">
        <f>IF(ConceptDemo!$C$7=Backend!$A$2,AD104,IF(AE103&lt;&gt;AD103,IF(P104&lt;=ConceptDemo!$C$19,AE103+SUM(W104:AB104)-(Q104-Q103)-AC104,0),IF(P104=ConceptDemo!$C$40,ConceptDemo!$C$39,AD104)))</f>
        <v>0</v>
      </c>
      <c r="AF104" s="23">
        <f t="shared" si="17"/>
        <v>0</v>
      </c>
      <c r="AG104" s="23">
        <f t="shared" si="18"/>
        <v>0</v>
      </c>
      <c r="AH104" s="23">
        <f t="shared" si="16"/>
        <v>0</v>
      </c>
    </row>
    <row r="105" spans="16:34" x14ac:dyDescent="0.25">
      <c r="P105" s="16">
        <f>IFERROR(IF(P104+1=ConceptDemo!$C$19+10,"",Backend!P104+1),"")</f>
        <v>44523</v>
      </c>
      <c r="Q105" s="13">
        <f>IF(OR(P105&lt;ConceptDemo!$C$17,Backend!P105&gt;ConceptDemo!$C$19),0,IF(Backend!P105&lt;=Backend!$R$12,Backend!Q104+Backend!$T$12,IF(Backend!P105&lt;=Backend!$R$13,Backend!Q104+Backend!$T$13,IF(Backend!P105&lt;=Backend!$R$14,Backend!Q104+Backend!$T$14,IF(Backend!P105&lt;=Backend!$R$15,Backend!Q104+Backend!$T$15,IF(Backend!P105&lt;=Backend!$X$16,Backend!Q104+Backend!$Z$16))))))</f>
        <v>0</v>
      </c>
      <c r="R105" s="24" t="str">
        <f>IF(1&lt;=ConceptDemo!$K$41,IF(P105=$W$12,ConceptDemo!$K$39,""),"")</f>
        <v/>
      </c>
      <c r="S105" s="24" t="str">
        <f>IF(2&lt;=ConceptDemo!$K$41,IF(P105=$W$13,ConceptDemo!$K$39,""),"")</f>
        <v/>
      </c>
      <c r="T105" s="24" t="str">
        <f>IF(3&lt;=ConceptDemo!$K$41,IF(P105=$W$14,ConceptDemo!$K$39,""),"")</f>
        <v/>
      </c>
      <c r="U105" s="24" t="str">
        <f>IF(4&lt;=ConceptDemo!$K$41,IF(P105=$W$15,ConceptDemo!$K$39,""),"")</f>
        <v/>
      </c>
      <c r="W105" s="23">
        <f>IF($P105&lt;ConceptDemo!$C$17+$E$24-10,$G$27,0)</f>
        <v>0</v>
      </c>
      <c r="X105" s="23">
        <f>IF($P105&lt;ConceptDemo!$C$17+$E$24-10,$H$27,0)</f>
        <v>0</v>
      </c>
      <c r="Y105" s="13">
        <f t="shared" si="11"/>
        <v>0</v>
      </c>
      <c r="Z105" s="13">
        <f t="shared" si="12"/>
        <v>0</v>
      </c>
      <c r="AA105" s="13">
        <f t="shared" si="13"/>
        <v>0</v>
      </c>
      <c r="AB105" s="13">
        <f t="shared" si="14"/>
        <v>0</v>
      </c>
      <c r="AC105" s="23">
        <f t="shared" si="15"/>
        <v>0</v>
      </c>
      <c r="AD105" s="23">
        <f>IF(P105&lt;=ConceptDemo!$C$19,AD104+SUM(W105:AB105)-(Q105-Q104)-AC105,0)</f>
        <v>0</v>
      </c>
      <c r="AE105" s="23">
        <f>IF(ConceptDemo!$C$7=Backend!$A$2,AD105,IF(AE104&lt;&gt;AD104,IF(P105&lt;=ConceptDemo!$C$19,AE104+SUM(W105:AB105)-(Q105-Q104)-AC105,0),IF(P105=ConceptDemo!$C$40,ConceptDemo!$C$39,AD105)))</f>
        <v>0</v>
      </c>
      <c r="AF105" s="23">
        <f t="shared" si="17"/>
        <v>0</v>
      </c>
      <c r="AG105" s="23">
        <f t="shared" si="18"/>
        <v>0</v>
      </c>
      <c r="AH105" s="23">
        <f t="shared" si="16"/>
        <v>0</v>
      </c>
    </row>
    <row r="106" spans="16:34" x14ac:dyDescent="0.25">
      <c r="P106" s="16">
        <f>IFERROR(IF(P105+1=ConceptDemo!$C$19+10,"",Backend!P105+1),"")</f>
        <v>44524</v>
      </c>
      <c r="Q106" s="13">
        <f>IF(OR(P106&lt;ConceptDemo!$C$17,Backend!P106&gt;ConceptDemo!$C$19),0,IF(Backend!P106&lt;=Backend!$R$12,Backend!Q105+Backend!$T$12,IF(Backend!P106&lt;=Backend!$R$13,Backend!Q105+Backend!$T$13,IF(Backend!P106&lt;=Backend!$R$14,Backend!Q105+Backend!$T$14,IF(Backend!P106&lt;=Backend!$R$15,Backend!Q105+Backend!$T$15,IF(Backend!P106&lt;=Backend!$X$16,Backend!Q105+Backend!$Z$16))))))</f>
        <v>0</v>
      </c>
      <c r="R106" s="24" t="str">
        <f>IF(1&lt;=ConceptDemo!$K$41,IF(P106=$W$12,ConceptDemo!$K$39,""),"")</f>
        <v/>
      </c>
      <c r="S106" s="24" t="str">
        <f>IF(2&lt;=ConceptDemo!$K$41,IF(P106=$W$13,ConceptDemo!$K$39,""),"")</f>
        <v/>
      </c>
      <c r="T106" s="24" t="str">
        <f>IF(3&lt;=ConceptDemo!$K$41,IF(P106=$W$14,ConceptDemo!$K$39,""),"")</f>
        <v/>
      </c>
      <c r="U106" s="24" t="str">
        <f>IF(4&lt;=ConceptDemo!$K$41,IF(P106=$W$15,ConceptDemo!$K$39,""),"")</f>
        <v/>
      </c>
      <c r="W106" s="23">
        <f>IF($P106&lt;ConceptDemo!$C$17+$E$24-10,$G$27,0)</f>
        <v>0</v>
      </c>
      <c r="X106" s="23">
        <f>IF($P106&lt;ConceptDemo!$C$17+$E$24-10,$H$27,0)</f>
        <v>0</v>
      </c>
      <c r="Y106" s="13">
        <f t="shared" si="11"/>
        <v>0</v>
      </c>
      <c r="Z106" s="13">
        <f t="shared" si="12"/>
        <v>0</v>
      </c>
      <c r="AA106" s="13">
        <f t="shared" si="13"/>
        <v>0</v>
      </c>
      <c r="AB106" s="13">
        <f t="shared" si="14"/>
        <v>0</v>
      </c>
      <c r="AC106" s="23">
        <f t="shared" si="15"/>
        <v>0</v>
      </c>
      <c r="AD106" s="23">
        <f>IF(P106&lt;=ConceptDemo!$C$19,AD105+SUM(W106:AB106)-(Q106-Q105)-AC106,0)</f>
        <v>0</v>
      </c>
      <c r="AE106" s="23">
        <f>IF(ConceptDemo!$C$7=Backend!$A$2,AD106,IF(AE105&lt;&gt;AD105,IF(P106&lt;=ConceptDemo!$C$19,AE105+SUM(W106:AB106)-(Q106-Q105)-AC106,0),IF(P106=ConceptDemo!$C$40,ConceptDemo!$C$39,AD106)))</f>
        <v>0</v>
      </c>
      <c r="AF106" s="23">
        <f t="shared" si="17"/>
        <v>0</v>
      </c>
      <c r="AG106" s="23">
        <f t="shared" si="18"/>
        <v>0</v>
      </c>
      <c r="AH106" s="23">
        <f t="shared" si="16"/>
        <v>0</v>
      </c>
    </row>
    <row r="107" spans="16:34" x14ac:dyDescent="0.25">
      <c r="P107" s="16" t="str">
        <f>IFERROR(IF(P106+1=ConceptDemo!$C$19+10,"",Backend!P106+1),"")</f>
        <v/>
      </c>
      <c r="Q107" s="13">
        <f>IF(OR(P107&lt;ConceptDemo!$C$17,Backend!P107&gt;ConceptDemo!$C$19),0,IF(Backend!P107&lt;=Backend!$R$12,Backend!Q106+Backend!$T$12,IF(Backend!P107&lt;=Backend!$R$13,Backend!Q106+Backend!$T$13,IF(Backend!P107&lt;=Backend!$R$14,Backend!Q106+Backend!$T$14,IF(Backend!P107&lt;=Backend!$R$15,Backend!Q106+Backend!$T$15,IF(Backend!P107&lt;=Backend!$X$16,Backend!Q106+Backend!$Z$16))))))</f>
        <v>0</v>
      </c>
      <c r="R107" s="24" t="str">
        <f>IF(1&lt;=ConceptDemo!$K$41,IF(P107=$W$12,ConceptDemo!$K$39,""),"")</f>
        <v/>
      </c>
      <c r="S107" s="24" t="str">
        <f>IF(2&lt;=ConceptDemo!$K$41,IF(P107=$W$13,ConceptDemo!$K$39,""),"")</f>
        <v/>
      </c>
      <c r="T107" s="24" t="str">
        <f>IF(3&lt;=ConceptDemo!$K$41,IF(P107=$W$14,ConceptDemo!$K$39,""),"")</f>
        <v/>
      </c>
      <c r="U107" s="24" t="str">
        <f>IF(4&lt;=ConceptDemo!$K$41,IF(P107=$W$15,ConceptDemo!$K$39,""),"")</f>
        <v/>
      </c>
      <c r="W107" s="23">
        <f>IF($P107&lt;ConceptDemo!$C$17+$E$24-10,$G$27,0)</f>
        <v>0</v>
      </c>
      <c r="X107" s="23">
        <f>IF($P107&lt;ConceptDemo!$C$17+$E$24-10,$H$27,0)</f>
        <v>0</v>
      </c>
      <c r="Y107" s="13">
        <f t="shared" si="11"/>
        <v>0</v>
      </c>
      <c r="Z107" s="13">
        <f t="shared" si="12"/>
        <v>0</v>
      </c>
      <c r="AA107" s="13">
        <f t="shared" si="13"/>
        <v>0</v>
      </c>
      <c r="AB107" s="13">
        <f t="shared" si="14"/>
        <v>0</v>
      </c>
      <c r="AC107" s="23">
        <f t="shared" si="15"/>
        <v>0</v>
      </c>
      <c r="AD107" s="23">
        <f>IF(P107&lt;=ConceptDemo!$C$19,AD106+SUM(W107:AB107)-(Q107-Q106)-AC107,0)</f>
        <v>0</v>
      </c>
      <c r="AE107" s="23">
        <f>IF(ConceptDemo!$C$7=Backend!$A$2,AD107,IF(AE106&lt;&gt;AD106,IF(P107&lt;=ConceptDemo!$C$19,AE106+SUM(W107:AB107)-(Q107-Q106)-AC107,0),IF(P107=ConceptDemo!$C$40,ConceptDemo!$C$39,AD107)))</f>
        <v>0</v>
      </c>
      <c r="AF107" s="23">
        <f t="shared" si="17"/>
        <v>0</v>
      </c>
      <c r="AG107" s="23">
        <f t="shared" si="18"/>
        <v>0</v>
      </c>
      <c r="AH107" s="23">
        <f t="shared" si="16"/>
        <v>0</v>
      </c>
    </row>
    <row r="108" spans="16:34" x14ac:dyDescent="0.25">
      <c r="P108" s="16" t="str">
        <f>IFERROR(IF(P107+1=ConceptDemo!$C$19+10,"",Backend!P107+1),"")</f>
        <v/>
      </c>
      <c r="Q108" s="13">
        <f>IF(OR(P108&lt;ConceptDemo!$C$17,Backend!P108&gt;ConceptDemo!$C$19),0,IF(Backend!P108&lt;=Backend!$R$12,Backend!Q107+Backend!$T$12,IF(Backend!P108&lt;=Backend!$R$13,Backend!Q107+Backend!$T$13,IF(Backend!P108&lt;=Backend!$R$14,Backend!Q107+Backend!$T$14,IF(Backend!P108&lt;=Backend!$R$15,Backend!Q107+Backend!$T$15,IF(Backend!P108&lt;=Backend!$X$16,Backend!Q107+Backend!$Z$16))))))</f>
        <v>0</v>
      </c>
      <c r="R108" s="24" t="str">
        <f>IF(1&lt;=ConceptDemo!$K$41,IF(P108=$W$12,ConceptDemo!$K$39,""),"")</f>
        <v/>
      </c>
      <c r="S108" s="24" t="str">
        <f>IF(2&lt;=ConceptDemo!$K$41,IF(P108=$W$13,ConceptDemo!$K$39,""),"")</f>
        <v/>
      </c>
      <c r="T108" s="24" t="str">
        <f>IF(3&lt;=ConceptDemo!$K$41,IF(P108=$W$14,ConceptDemo!$K$39,""),"")</f>
        <v/>
      </c>
      <c r="U108" s="24" t="str">
        <f>IF(4&lt;=ConceptDemo!$K$41,IF(P108=$W$15,ConceptDemo!$K$39,""),"")</f>
        <v/>
      </c>
      <c r="W108" s="23">
        <f>IF($P108&lt;ConceptDemo!$C$17+$E$24-10,$G$27,0)</f>
        <v>0</v>
      </c>
      <c r="X108" s="23">
        <f>IF($P108&lt;ConceptDemo!$C$17+$E$24-10,$H$27,0)</f>
        <v>0</v>
      </c>
      <c r="Y108" s="13">
        <f t="shared" si="11"/>
        <v>0</v>
      </c>
      <c r="Z108" s="13">
        <f t="shared" si="12"/>
        <v>0</v>
      </c>
      <c r="AA108" s="13">
        <f t="shared" si="13"/>
        <v>0</v>
      </c>
      <c r="AB108" s="13">
        <f t="shared" si="14"/>
        <v>0</v>
      </c>
      <c r="AC108" s="23">
        <f t="shared" si="15"/>
        <v>0</v>
      </c>
      <c r="AD108" s="23">
        <f>IF(P108&lt;=ConceptDemo!$C$19,AD107+SUM(W108:AB108)-(Q108-Q107)-AC108,0)</f>
        <v>0</v>
      </c>
      <c r="AE108" s="23">
        <f>IF(ConceptDemo!$C$7=Backend!$A$2,AD108,IF(AE107&lt;&gt;AD107,IF(P108&lt;=ConceptDemo!$C$19,AE107+SUM(W108:AB108)-(Q108-Q107)-AC108,0),IF(P108=ConceptDemo!$C$40,ConceptDemo!$C$39,AD108)))</f>
        <v>0</v>
      </c>
      <c r="AF108" s="23">
        <f t="shared" si="17"/>
        <v>0</v>
      </c>
      <c r="AG108" s="23">
        <f t="shared" si="18"/>
        <v>0</v>
      </c>
      <c r="AH108" s="23">
        <f t="shared" si="16"/>
        <v>0</v>
      </c>
    </row>
    <row r="109" spans="16:34" x14ac:dyDescent="0.25">
      <c r="P109" s="16" t="str">
        <f>IFERROR(IF(P108+1=ConceptDemo!$C$19+10,"",Backend!P108+1),"")</f>
        <v/>
      </c>
      <c r="Q109" s="13">
        <f>IF(OR(P109&lt;ConceptDemo!$C$17,Backend!P109&gt;ConceptDemo!$C$19),0,IF(Backend!P109&lt;=Backend!$R$12,Backend!Q108+Backend!$T$12,IF(Backend!P109&lt;=Backend!$R$13,Backend!Q108+Backend!$T$13,IF(Backend!P109&lt;=Backend!$R$14,Backend!Q108+Backend!$T$14,IF(Backend!P109&lt;=Backend!$R$15,Backend!Q108+Backend!$T$15,IF(Backend!P109&lt;=Backend!$X$16,Backend!Q108+Backend!$Z$16))))))</f>
        <v>0</v>
      </c>
      <c r="R109" s="24" t="str">
        <f>IF(1&lt;=ConceptDemo!$K$41,IF(P109=$W$12,ConceptDemo!$K$39,""),"")</f>
        <v/>
      </c>
      <c r="S109" s="24" t="str">
        <f>IF(2&lt;=ConceptDemo!$K$41,IF(P109=$W$13,ConceptDemo!$K$39,""),"")</f>
        <v/>
      </c>
      <c r="T109" s="24" t="str">
        <f>IF(3&lt;=ConceptDemo!$K$41,IF(P109=$W$14,ConceptDemo!$K$39,""),"")</f>
        <v/>
      </c>
      <c r="U109" s="24" t="str">
        <f>IF(4&lt;=ConceptDemo!$K$41,IF(P109=$W$15,ConceptDemo!$K$39,""),"")</f>
        <v/>
      </c>
      <c r="W109" s="23">
        <f>IF($P109&lt;ConceptDemo!$C$17+$E$24-10,$G$27,0)</f>
        <v>0</v>
      </c>
      <c r="X109" s="23">
        <f>IF($P109&lt;ConceptDemo!$C$17+$E$24-10,$H$27,0)</f>
        <v>0</v>
      </c>
      <c r="Y109" s="13">
        <f t="shared" si="11"/>
        <v>0</v>
      </c>
      <c r="Z109" s="13">
        <f t="shared" si="12"/>
        <v>0</v>
      </c>
      <c r="AA109" s="13">
        <f t="shared" si="13"/>
        <v>0</v>
      </c>
      <c r="AB109" s="13">
        <f t="shared" si="14"/>
        <v>0</v>
      </c>
      <c r="AC109" s="23">
        <f t="shared" si="15"/>
        <v>0</v>
      </c>
      <c r="AD109" s="23">
        <f>IF(P109&lt;=ConceptDemo!$C$19,AD108+SUM(W109:AB109)-(Q109-Q108)-AC109,0)</f>
        <v>0</v>
      </c>
      <c r="AE109" s="23">
        <f>IF(ConceptDemo!$C$7=Backend!$A$2,AD109,IF(AE108&lt;&gt;AD108,IF(P109&lt;=ConceptDemo!$C$19,AE108+SUM(W109:AB109)-(Q109-Q108)-AC109,0),IF(P109=ConceptDemo!$C$40,ConceptDemo!$C$39,AD109)))</f>
        <v>0</v>
      </c>
      <c r="AF109" s="23">
        <f t="shared" si="17"/>
        <v>0</v>
      </c>
      <c r="AG109" s="23">
        <f t="shared" si="18"/>
        <v>0</v>
      </c>
      <c r="AH109" s="23">
        <f t="shared" si="16"/>
        <v>0</v>
      </c>
    </row>
    <row r="110" spans="16:34" x14ac:dyDescent="0.25">
      <c r="P110" s="16" t="str">
        <f>IFERROR(IF(P109+1=ConceptDemo!$C$19+10,"",Backend!P109+1),"")</f>
        <v/>
      </c>
      <c r="Q110" s="13">
        <f>IF(OR(P110&lt;ConceptDemo!$C$17,Backend!P110&gt;ConceptDemo!$C$19),0,IF(Backend!P110&lt;=Backend!$R$12,Backend!Q109+Backend!$T$12,IF(Backend!P110&lt;=Backend!$R$13,Backend!Q109+Backend!$T$13,IF(Backend!P110&lt;=Backend!$R$14,Backend!Q109+Backend!$T$14,IF(Backend!P110&lt;=Backend!$R$15,Backend!Q109+Backend!$T$15,IF(Backend!P110&lt;=Backend!$X$16,Backend!Q109+Backend!$Z$16))))))</f>
        <v>0</v>
      </c>
      <c r="R110" s="24" t="str">
        <f>IF(1&lt;=ConceptDemo!$K$41,IF(P110=$W$12,ConceptDemo!$K$39,""),"")</f>
        <v/>
      </c>
      <c r="S110" s="24" t="str">
        <f>IF(2&lt;=ConceptDemo!$K$41,IF(P110=$W$13,ConceptDemo!$K$39,""),"")</f>
        <v/>
      </c>
      <c r="T110" s="24" t="str">
        <f>IF(3&lt;=ConceptDemo!$K$41,IF(P110=$W$14,ConceptDemo!$K$39,""),"")</f>
        <v/>
      </c>
      <c r="U110" s="24" t="str">
        <f>IF(4&lt;=ConceptDemo!$K$41,IF(P110=$W$15,ConceptDemo!$K$39,""),"")</f>
        <v/>
      </c>
      <c r="W110" s="23">
        <f>IF($P110&lt;ConceptDemo!$C$17+$E$24-10,$G$27,0)</f>
        <v>0</v>
      </c>
      <c r="X110" s="23">
        <f>IF($P110&lt;ConceptDemo!$C$17+$E$24-10,$H$27,0)</f>
        <v>0</v>
      </c>
      <c r="Y110" s="13">
        <f t="shared" si="11"/>
        <v>0</v>
      </c>
      <c r="Z110" s="13">
        <f t="shared" si="12"/>
        <v>0</v>
      </c>
      <c r="AA110" s="13">
        <f t="shared" si="13"/>
        <v>0</v>
      </c>
      <c r="AB110" s="13">
        <f t="shared" si="14"/>
        <v>0</v>
      </c>
      <c r="AC110" s="23">
        <f t="shared" si="15"/>
        <v>0</v>
      </c>
      <c r="AD110" s="23">
        <f>IF(P110&lt;=ConceptDemo!$C$19,AD109+SUM(W110:AB110)-(Q110-Q109)-AC110,0)</f>
        <v>0</v>
      </c>
      <c r="AE110" s="23">
        <f>IF(ConceptDemo!$C$7=Backend!$A$2,AD110,IF(AE109&lt;&gt;AD109,IF(P110&lt;=ConceptDemo!$C$19,AE109+SUM(W110:AB110)-(Q110-Q109)-AC110,0),IF(P110=ConceptDemo!$C$40,ConceptDemo!$C$39,AD110)))</f>
        <v>0</v>
      </c>
      <c r="AF110" s="23">
        <f t="shared" si="17"/>
        <v>0</v>
      </c>
      <c r="AG110" s="23">
        <f t="shared" si="18"/>
        <v>0</v>
      </c>
      <c r="AH110" s="23">
        <f t="shared" si="16"/>
        <v>0</v>
      </c>
    </row>
    <row r="111" spans="16:34" x14ac:dyDescent="0.25">
      <c r="P111" s="16" t="str">
        <f>IFERROR(IF(P110+1=ConceptDemo!$C$19+10,"",Backend!P110+1),"")</f>
        <v/>
      </c>
      <c r="Q111" s="13">
        <f>IF(OR(P111&lt;ConceptDemo!$C$17,Backend!P111&gt;ConceptDemo!$C$19),0,IF(Backend!P111&lt;=Backend!$R$12,Backend!Q110+Backend!$T$12,IF(Backend!P111&lt;=Backend!$R$13,Backend!Q110+Backend!$T$13,IF(Backend!P111&lt;=Backend!$R$14,Backend!Q110+Backend!$T$14,IF(Backend!P111&lt;=Backend!$R$15,Backend!Q110+Backend!$T$15,IF(Backend!P111&lt;=Backend!$X$16,Backend!Q110+Backend!$Z$16))))))</f>
        <v>0</v>
      </c>
      <c r="R111" s="24" t="str">
        <f>IF(1&lt;=ConceptDemo!$K$41,IF(P111=$W$12,ConceptDemo!$K$39,""),"")</f>
        <v/>
      </c>
      <c r="S111" s="24" t="str">
        <f>IF(2&lt;=ConceptDemo!$K$41,IF(P111=$W$13,ConceptDemo!$K$39,""),"")</f>
        <v/>
      </c>
      <c r="T111" s="24" t="str">
        <f>IF(3&lt;=ConceptDemo!$K$41,IF(P111=$W$14,ConceptDemo!$K$39,""),"")</f>
        <v/>
      </c>
      <c r="U111" s="24" t="str">
        <f>IF(4&lt;=ConceptDemo!$K$41,IF(P111=$W$15,ConceptDemo!$K$39,""),"")</f>
        <v/>
      </c>
      <c r="W111" s="23">
        <f>IF($P111&lt;ConceptDemo!$C$17+$E$24-10,$G$27,0)</f>
        <v>0</v>
      </c>
      <c r="X111" s="23">
        <f>IF($P111&lt;ConceptDemo!$C$17+$E$24-10,$H$27,0)</f>
        <v>0</v>
      </c>
      <c r="Y111" s="13">
        <f t="shared" si="11"/>
        <v>0</v>
      </c>
      <c r="Z111" s="13">
        <f t="shared" si="12"/>
        <v>0</v>
      </c>
      <c r="AA111" s="13">
        <f t="shared" si="13"/>
        <v>0</v>
      </c>
      <c r="AB111" s="13">
        <f t="shared" si="14"/>
        <v>0</v>
      </c>
      <c r="AC111" s="23">
        <f t="shared" si="15"/>
        <v>0</v>
      </c>
      <c r="AD111" s="23">
        <f>IF(P111&lt;=ConceptDemo!$C$19,AD110+SUM(W111:AB111)-(Q111-Q110)-AC111,0)</f>
        <v>0</v>
      </c>
      <c r="AE111" s="23">
        <f>IF(ConceptDemo!$C$7=Backend!$A$2,AD111,IF(AE110&lt;&gt;AD110,IF(P111&lt;=ConceptDemo!$C$19,AE110+SUM(W111:AB111)-(Q111-Q110)-AC111,0),IF(P111=ConceptDemo!$C$40,ConceptDemo!$C$39,AD111)))</f>
        <v>0</v>
      </c>
      <c r="AF111" s="23">
        <f t="shared" si="17"/>
        <v>0</v>
      </c>
      <c r="AG111" s="23">
        <f t="shared" si="18"/>
        <v>0</v>
      </c>
      <c r="AH111" s="23">
        <f t="shared" si="16"/>
        <v>0</v>
      </c>
    </row>
    <row r="112" spans="16:34" x14ac:dyDescent="0.25">
      <c r="P112" s="16" t="str">
        <f>IFERROR(IF(P111+1=ConceptDemo!$C$19+10,"",Backend!P111+1),"")</f>
        <v/>
      </c>
      <c r="Q112" s="13">
        <f>IF(OR(P112&lt;ConceptDemo!$C$17,Backend!P112&gt;ConceptDemo!$C$19),0,IF(Backend!P112&lt;=Backend!$R$12,Backend!Q111+Backend!$T$12,IF(Backend!P112&lt;=Backend!$R$13,Backend!Q111+Backend!$T$13,IF(Backend!P112&lt;=Backend!$R$14,Backend!Q111+Backend!$T$14,IF(Backend!P112&lt;=Backend!$R$15,Backend!Q111+Backend!$T$15,IF(Backend!P112&lt;=Backend!$X$16,Backend!Q111+Backend!$Z$16))))))</f>
        <v>0</v>
      </c>
      <c r="R112" s="24" t="str">
        <f>IF(1&lt;=ConceptDemo!$K$41,IF(P112=$W$12,ConceptDemo!$K$39,""),"")</f>
        <v/>
      </c>
      <c r="S112" s="24" t="str">
        <f>IF(2&lt;=ConceptDemo!$K$41,IF(P112=$W$13,ConceptDemo!$K$39,""),"")</f>
        <v/>
      </c>
      <c r="T112" s="24" t="str">
        <f>IF(3&lt;=ConceptDemo!$K$41,IF(P112=$W$14,ConceptDemo!$K$39,""),"")</f>
        <v/>
      </c>
      <c r="U112" s="24" t="str">
        <f>IF(4&lt;=ConceptDemo!$K$41,IF(P112=$W$15,ConceptDemo!$K$39,""),"")</f>
        <v/>
      </c>
      <c r="W112" s="23">
        <f>IF($P112&lt;ConceptDemo!$C$17+$E$24-10,$G$27,0)</f>
        <v>0</v>
      </c>
      <c r="X112" s="23">
        <f>IF($P112&lt;ConceptDemo!$C$17+$E$24-10,$H$27,0)</f>
        <v>0</v>
      </c>
      <c r="Y112" s="13">
        <f t="shared" si="11"/>
        <v>0</v>
      </c>
      <c r="Z112" s="13">
        <f t="shared" si="12"/>
        <v>0</v>
      </c>
      <c r="AA112" s="13">
        <f t="shared" si="13"/>
        <v>0</v>
      </c>
      <c r="AB112" s="13">
        <f t="shared" si="14"/>
        <v>0</v>
      </c>
      <c r="AC112" s="23">
        <f t="shared" si="15"/>
        <v>0</v>
      </c>
      <c r="AD112" s="23">
        <f>IF(P112&lt;=ConceptDemo!$C$19,AD111+SUM(W112:AB112)-(Q112-Q111)-AC112,0)</f>
        <v>0</v>
      </c>
      <c r="AE112" s="23">
        <f>IF(ConceptDemo!$C$7=Backend!$A$2,AD112,IF(AE111&lt;&gt;AD111,IF(P112&lt;=ConceptDemo!$C$19,AE111+SUM(W112:AB112)-(Q112-Q111)-AC112,0),IF(P112=ConceptDemo!$C$40,ConceptDemo!$C$39,AD112)))</f>
        <v>0</v>
      </c>
      <c r="AF112" s="23">
        <f t="shared" si="17"/>
        <v>0</v>
      </c>
      <c r="AG112" s="23">
        <f t="shared" si="18"/>
        <v>0</v>
      </c>
      <c r="AH112" s="23">
        <f t="shared" si="16"/>
        <v>0</v>
      </c>
    </row>
    <row r="113" spans="1:34" x14ac:dyDescent="0.25">
      <c r="A113" s="6" t="s">
        <v>29</v>
      </c>
      <c r="P113" s="16" t="str">
        <f>IFERROR(IF(P112+1=ConceptDemo!$C$19+10,"",Backend!P112+1),"")</f>
        <v/>
      </c>
      <c r="Q113" s="13">
        <f>IF(OR(P113&lt;ConceptDemo!$C$17,Backend!P113&gt;ConceptDemo!$C$19),0,IF(Backend!P113&lt;=Backend!$R$12,Backend!Q112+Backend!$T$12,IF(Backend!P113&lt;=Backend!$R$13,Backend!Q112+Backend!$T$13,IF(Backend!P113&lt;=Backend!$R$14,Backend!Q112+Backend!$T$14,IF(Backend!P113&lt;=Backend!$R$15,Backend!Q112+Backend!$T$15,IF(Backend!P113&lt;=Backend!$X$16,Backend!Q112+Backend!$Z$16))))))</f>
        <v>0</v>
      </c>
      <c r="R113" s="24" t="str">
        <f>IF(1&lt;=ConceptDemo!$K$41,IF(P113=$W$12,ConceptDemo!$K$39,""),"")</f>
        <v/>
      </c>
      <c r="S113" s="24" t="str">
        <f>IF(2&lt;=ConceptDemo!$K$41,IF(P113=$W$13,ConceptDemo!$K$39,""),"")</f>
        <v/>
      </c>
      <c r="T113" s="24" t="str">
        <f>IF(3&lt;=ConceptDemo!$K$41,IF(P113=$W$14,ConceptDemo!$K$39,""),"")</f>
        <v/>
      </c>
      <c r="U113" s="24" t="str">
        <f>IF(4&lt;=ConceptDemo!$K$41,IF(P113=$W$15,ConceptDemo!$K$39,""),"")</f>
        <v/>
      </c>
      <c r="W113" s="23">
        <f>IF($P113&lt;ConceptDemo!$C$17+$E$24-10,$G$27,0)</f>
        <v>0</v>
      </c>
      <c r="X113" s="23">
        <f>IF($P113&lt;ConceptDemo!$C$17+$E$24-10,$H$27,0)</f>
        <v>0</v>
      </c>
      <c r="Y113" s="13">
        <f t="shared" si="11"/>
        <v>0</v>
      </c>
      <c r="Z113" s="13">
        <f t="shared" si="12"/>
        <v>0</v>
      </c>
      <c r="AA113" s="13">
        <f t="shared" si="13"/>
        <v>0</v>
      </c>
      <c r="AB113" s="13">
        <f t="shared" si="14"/>
        <v>0</v>
      </c>
      <c r="AC113" s="23">
        <f t="shared" si="15"/>
        <v>0</v>
      </c>
      <c r="AD113" s="23">
        <f>IF(P113&lt;=ConceptDemo!$C$19,AD112+SUM(W113:AB113)-(Q113-Q112)-AC113,0)</f>
        <v>0</v>
      </c>
      <c r="AE113" s="23">
        <f>IF(ConceptDemo!$C$7=Backend!$A$2,AD113,IF(AE112&lt;&gt;AD112,IF(P113&lt;=ConceptDemo!$C$19,AE112+SUM(W113:AB113)-(Q113-Q112)-AC113,0),IF(P113=ConceptDemo!$C$40,ConceptDemo!$C$39,AD113)))</f>
        <v>0</v>
      </c>
      <c r="AF113" s="23">
        <f t="shared" si="17"/>
        <v>0</v>
      </c>
      <c r="AG113" s="23">
        <f t="shared" si="18"/>
        <v>0</v>
      </c>
      <c r="AH113" s="23">
        <f t="shared" si="16"/>
        <v>0</v>
      </c>
    </row>
    <row r="114" spans="1:34" x14ac:dyDescent="0.25">
      <c r="P114" s="16" t="str">
        <f>IFERROR(IF(P113+1=ConceptDemo!$C$19+10,"",Backend!P113+1),"")</f>
        <v/>
      </c>
      <c r="Q114" s="13">
        <f>IF(OR(P114&lt;ConceptDemo!$C$17,Backend!P114&gt;ConceptDemo!$C$19),0,IF(Backend!P114&lt;=Backend!$R$12,Backend!Q113+Backend!$T$12,IF(Backend!P114&lt;=Backend!$R$13,Backend!Q113+Backend!$T$13,IF(Backend!P114&lt;=Backend!$R$14,Backend!Q113+Backend!$T$14,IF(Backend!P114&lt;=Backend!$R$15,Backend!Q113+Backend!$T$15,IF(Backend!P114&lt;=Backend!$X$16,Backend!Q113+Backend!$Z$16))))))</f>
        <v>0</v>
      </c>
      <c r="R114" s="24" t="str">
        <f>IF(1&lt;=ConceptDemo!$K$41,IF(P114=$W$12,ConceptDemo!$K$39,""),"")</f>
        <v/>
      </c>
      <c r="S114" s="24" t="str">
        <f>IF(2&lt;=ConceptDemo!$K$41,IF(P114=$W$13,ConceptDemo!$K$39,""),"")</f>
        <v/>
      </c>
      <c r="T114" s="24" t="str">
        <f>IF(3&lt;=ConceptDemo!$K$41,IF(P114=$W$14,ConceptDemo!$K$39,""),"")</f>
        <v/>
      </c>
      <c r="U114" s="24" t="str">
        <f>IF(4&lt;=ConceptDemo!$K$41,IF(P114=$W$15,ConceptDemo!$K$39,""),"")</f>
        <v/>
      </c>
      <c r="W114" s="23">
        <f>IF($P114&lt;ConceptDemo!$C$17+$E$24-10,$G$27,0)</f>
        <v>0</v>
      </c>
      <c r="X114" s="23">
        <f>IF($P114&lt;ConceptDemo!$C$17+$E$24-10,$H$27,0)</f>
        <v>0</v>
      </c>
      <c r="Y114" s="13">
        <f t="shared" si="11"/>
        <v>0</v>
      </c>
      <c r="Z114" s="13">
        <f t="shared" si="12"/>
        <v>0</v>
      </c>
      <c r="AA114" s="13">
        <f t="shared" si="13"/>
        <v>0</v>
      </c>
      <c r="AB114" s="13">
        <f t="shared" si="14"/>
        <v>0</v>
      </c>
      <c r="AC114" s="23">
        <f t="shared" si="15"/>
        <v>0</v>
      </c>
      <c r="AD114" s="23">
        <f>IF(P114&lt;=ConceptDemo!$C$19,AD113+SUM(W114:AB114)-(Q114-Q113)-AC114,0)</f>
        <v>0</v>
      </c>
      <c r="AE114" s="23">
        <f>IF(ConceptDemo!$C$7=Backend!$A$2,AD114,IF(AE113&lt;&gt;AD113,IF(P114&lt;=ConceptDemo!$C$19,AE113+SUM(W114:AB114)-(Q114-Q113)-AC114,0),IF(P114=ConceptDemo!$C$40,ConceptDemo!$C$39,AD114)))</f>
        <v>0</v>
      </c>
      <c r="AF114" s="23">
        <f t="shared" si="17"/>
        <v>0</v>
      </c>
      <c r="AG114" s="23">
        <f t="shared" si="18"/>
        <v>0</v>
      </c>
      <c r="AH114" s="23">
        <f t="shared" si="16"/>
        <v>0</v>
      </c>
    </row>
    <row r="115" spans="1:34" x14ac:dyDescent="0.25">
      <c r="A115" t="s">
        <v>100</v>
      </c>
      <c r="B115" s="19">
        <f>(ConceptDemo!C23/C14)</f>
        <v>54000</v>
      </c>
      <c r="C115" t="s">
        <v>5</v>
      </c>
      <c r="P115" s="16" t="str">
        <f>IFERROR(IF(P114+1=ConceptDemo!$C$19+10,"",Backend!P114+1),"")</f>
        <v/>
      </c>
      <c r="Q115" s="13">
        <f>IF(OR(P115&lt;ConceptDemo!$C$17,Backend!P115&gt;ConceptDemo!$C$19),0,IF(Backend!P115&lt;=Backend!$R$12,Backend!Q114+Backend!$T$12,IF(Backend!P115&lt;=Backend!$R$13,Backend!Q114+Backend!$T$13,IF(Backend!P115&lt;=Backend!$R$14,Backend!Q114+Backend!$T$14,IF(Backend!P115&lt;=Backend!$R$15,Backend!Q114+Backend!$T$15,IF(Backend!P115&lt;=Backend!$X$16,Backend!Q114+Backend!$Z$16))))))</f>
        <v>0</v>
      </c>
      <c r="R115" s="24" t="str">
        <f>IF(1&lt;=ConceptDemo!$K$41,IF(P115=$W$12,ConceptDemo!$K$39,""),"")</f>
        <v/>
      </c>
      <c r="S115" s="24" t="str">
        <f>IF(2&lt;=ConceptDemo!$K$41,IF(P115=$W$13,ConceptDemo!$K$39,""),"")</f>
        <v/>
      </c>
      <c r="T115" s="24" t="str">
        <f>IF(3&lt;=ConceptDemo!$K$41,IF(P115=$W$14,ConceptDemo!$K$39,""),"")</f>
        <v/>
      </c>
      <c r="U115" s="24" t="str">
        <f>IF(4&lt;=ConceptDemo!$K$41,IF(P115=$W$15,ConceptDemo!$K$39,""),"")</f>
        <v/>
      </c>
      <c r="W115" s="23">
        <f>IF($P115&lt;ConceptDemo!$C$17+$E$24-10,$G$27,0)</f>
        <v>0</v>
      </c>
      <c r="X115" s="23">
        <f>IF($P115&lt;ConceptDemo!$C$17+$E$24-10,$H$27,0)</f>
        <v>0</v>
      </c>
      <c r="Y115" s="13">
        <f t="shared" si="11"/>
        <v>0</v>
      </c>
      <c r="Z115" s="13">
        <f t="shared" si="12"/>
        <v>0</v>
      </c>
      <c r="AA115" s="13">
        <f t="shared" si="13"/>
        <v>0</v>
      </c>
      <c r="AB115" s="13">
        <f t="shared" si="14"/>
        <v>0</v>
      </c>
      <c r="AC115" s="23">
        <f t="shared" si="15"/>
        <v>0</v>
      </c>
      <c r="AD115" s="23">
        <f>IF(P115&lt;=ConceptDemo!$C$19,AD114+SUM(W115:AB115)-(Q115-Q114)-AC115,0)</f>
        <v>0</v>
      </c>
      <c r="AE115" s="23">
        <f>IF(ConceptDemo!$C$7=Backend!$A$2,AD115,IF(AE114&lt;&gt;AD114,IF(P115&lt;=ConceptDemo!$C$19,AE114+SUM(W115:AB115)-(Q115-Q114)-AC115,0),IF(P115=ConceptDemo!$C$40,ConceptDemo!$C$39,AD115)))</f>
        <v>0</v>
      </c>
      <c r="AF115" s="23">
        <f t="shared" si="17"/>
        <v>0</v>
      </c>
      <c r="AG115" s="23">
        <f t="shared" si="18"/>
        <v>0</v>
      </c>
      <c r="AH115" s="23">
        <f t="shared" si="16"/>
        <v>0</v>
      </c>
    </row>
    <row r="116" spans="1:34" x14ac:dyDescent="0.25">
      <c r="A116" t="s">
        <v>116</v>
      </c>
      <c r="B116" s="20">
        <f>B115*C14</f>
        <v>54000</v>
      </c>
      <c r="C116" t="s">
        <v>5</v>
      </c>
      <c r="P116" s="16" t="str">
        <f>IFERROR(IF(P115+1=ConceptDemo!$C$19+10,"",Backend!P115+1),"")</f>
        <v/>
      </c>
      <c r="Q116" s="13">
        <f>IF(OR(P116&lt;ConceptDemo!$C$17,Backend!P116&gt;ConceptDemo!$C$19),0,IF(Backend!P116&lt;=Backend!$R$12,Backend!Q115+Backend!$T$12,IF(Backend!P116&lt;=Backend!$R$13,Backend!Q115+Backend!$T$13,IF(Backend!P116&lt;=Backend!$R$14,Backend!Q115+Backend!$T$14,IF(Backend!P116&lt;=Backend!$R$15,Backend!Q115+Backend!$T$15,IF(Backend!P116&lt;=Backend!$X$16,Backend!Q115+Backend!$Z$16))))))</f>
        <v>0</v>
      </c>
      <c r="R116" s="24" t="str">
        <f>IF(1&lt;=ConceptDemo!$K$41,IF(P116=$W$12,ConceptDemo!$K$39,""),"")</f>
        <v/>
      </c>
      <c r="S116" s="24" t="str">
        <f>IF(2&lt;=ConceptDemo!$K$41,IF(P116=$W$13,ConceptDemo!$K$39,""),"")</f>
        <v/>
      </c>
      <c r="T116" s="24" t="str">
        <f>IF(3&lt;=ConceptDemo!$K$41,IF(P116=$W$14,ConceptDemo!$K$39,""),"")</f>
        <v/>
      </c>
      <c r="U116" s="24" t="str">
        <f>IF(4&lt;=ConceptDemo!$K$41,IF(P116=$W$15,ConceptDemo!$K$39,""),"")</f>
        <v/>
      </c>
      <c r="W116" s="23">
        <f>IF($P116&lt;ConceptDemo!$C$17+$E$24-10,$G$27,0)</f>
        <v>0</v>
      </c>
      <c r="X116" s="23">
        <f>IF($P116&lt;ConceptDemo!$C$17+$E$24-10,$H$27,0)</f>
        <v>0</v>
      </c>
      <c r="Y116" s="13">
        <f t="shared" si="11"/>
        <v>0</v>
      </c>
      <c r="Z116" s="13">
        <f t="shared" si="12"/>
        <v>0</v>
      </c>
      <c r="AA116" s="13">
        <f t="shared" si="13"/>
        <v>0</v>
      </c>
      <c r="AB116" s="13">
        <f t="shared" si="14"/>
        <v>0</v>
      </c>
      <c r="AC116" s="23">
        <f t="shared" si="15"/>
        <v>0</v>
      </c>
      <c r="AD116" s="23">
        <f>IF(P116&lt;=ConceptDemo!$C$19,AD115+SUM(W116:AB116)-(Q116-Q115)-AC116,0)</f>
        <v>0</v>
      </c>
      <c r="AE116" s="23">
        <f>IF(ConceptDemo!$C$7=Backend!$A$2,AD116,IF(AE115&lt;&gt;AD115,IF(P116&lt;=ConceptDemo!$C$19,AE115+SUM(W116:AB116)-(Q116-Q115)-AC116,0),IF(P116=ConceptDemo!$C$40,ConceptDemo!$C$39,AD116)))</f>
        <v>0</v>
      </c>
      <c r="AF116" s="23">
        <f t="shared" si="17"/>
        <v>0</v>
      </c>
      <c r="AG116" s="23">
        <f t="shared" si="18"/>
        <v>0</v>
      </c>
      <c r="AH116" s="23">
        <f t="shared" si="16"/>
        <v>0</v>
      </c>
    </row>
    <row r="117" spans="1:34" x14ac:dyDescent="0.25">
      <c r="A117" t="s">
        <v>115</v>
      </c>
      <c r="B117" s="20">
        <f>B116*B14</f>
        <v>51300</v>
      </c>
      <c r="C117" t="s">
        <v>5</v>
      </c>
      <c r="P117" s="16" t="str">
        <f>IFERROR(IF(P116+1=ConceptDemo!$C$19+10,"",Backend!P116+1),"")</f>
        <v/>
      </c>
      <c r="Q117" s="13">
        <f>IF(OR(P117&lt;ConceptDemo!$C$17,Backend!P117&gt;ConceptDemo!$C$19),0,IF(Backend!P117&lt;=Backend!$R$12,Backend!Q116+Backend!$T$12,IF(Backend!P117&lt;=Backend!$R$13,Backend!Q116+Backend!$T$13,IF(Backend!P117&lt;=Backend!$R$14,Backend!Q116+Backend!$T$14,IF(Backend!P117&lt;=Backend!$R$15,Backend!Q116+Backend!$T$15,IF(Backend!P117&lt;=Backend!$X$16,Backend!Q116+Backend!$Z$16))))))</f>
        <v>0</v>
      </c>
      <c r="R117" s="24" t="str">
        <f>IF(1&lt;=ConceptDemo!$K$41,IF(P117=$W$12,ConceptDemo!$K$39,""),"")</f>
        <v/>
      </c>
      <c r="S117" s="24" t="str">
        <f>IF(2&lt;=ConceptDemo!$K$41,IF(P117=$W$13,ConceptDemo!$K$39,""),"")</f>
        <v/>
      </c>
      <c r="T117" s="24" t="str">
        <f>IF(3&lt;=ConceptDemo!$K$41,IF(P117=$W$14,ConceptDemo!$K$39,""),"")</f>
        <v/>
      </c>
      <c r="U117" s="24" t="str">
        <f>IF(4&lt;=ConceptDemo!$K$41,IF(P117=$W$15,ConceptDemo!$K$39,""),"")</f>
        <v/>
      </c>
      <c r="W117" s="23">
        <f>IF($P117&lt;ConceptDemo!$C$17+$E$24-10,$G$27,0)</f>
        <v>0</v>
      </c>
      <c r="X117" s="23">
        <f>IF($P117&lt;ConceptDemo!$C$17+$E$24-10,$H$27,0)</f>
        <v>0</v>
      </c>
      <c r="Y117" s="13">
        <f t="shared" si="11"/>
        <v>0</v>
      </c>
      <c r="Z117" s="13">
        <f t="shared" si="12"/>
        <v>0</v>
      </c>
      <c r="AA117" s="13">
        <f t="shared" si="13"/>
        <v>0</v>
      </c>
      <c r="AB117" s="13">
        <f t="shared" si="14"/>
        <v>0</v>
      </c>
      <c r="AC117" s="23">
        <f t="shared" si="15"/>
        <v>0</v>
      </c>
      <c r="AD117" s="23">
        <f>IF(P117&lt;=ConceptDemo!$C$19,AD116+SUM(W117:AB117)-(Q117-Q116)-AC117,0)</f>
        <v>0</v>
      </c>
      <c r="AE117" s="23">
        <f>IF(ConceptDemo!$C$7=Backend!$A$2,AD117,IF(AE116&lt;&gt;AD116,IF(P117&lt;=ConceptDemo!$C$19,AE116+SUM(W117:AB117)-(Q117-Q116)-AC117,0),IF(P117=ConceptDemo!$C$40,ConceptDemo!$C$39,AD117)))</f>
        <v>0</v>
      </c>
      <c r="AF117" s="23">
        <f t="shared" si="17"/>
        <v>0</v>
      </c>
      <c r="AG117" s="23">
        <f t="shared" si="18"/>
        <v>0</v>
      </c>
      <c r="AH117" s="23">
        <f t="shared" si="16"/>
        <v>0</v>
      </c>
    </row>
    <row r="118" spans="1:34" x14ac:dyDescent="0.25">
      <c r="A118" t="s">
        <v>117</v>
      </c>
      <c r="B118" s="20">
        <f>B117*D14</f>
        <v>48735</v>
      </c>
      <c r="C118" t="s">
        <v>5</v>
      </c>
      <c r="P118" s="16" t="str">
        <f>IFERROR(IF(P117+1=ConceptDemo!$C$19+10,"",Backend!P117+1),"")</f>
        <v/>
      </c>
      <c r="Q118" s="13">
        <f>IF(OR(P118&lt;ConceptDemo!$C$17,Backend!P118&gt;ConceptDemo!$C$19),0,IF(Backend!P118&lt;=Backend!$R$12,Backend!Q117+Backend!$T$12,IF(Backend!P118&lt;=Backend!$R$13,Backend!Q117+Backend!$T$13,IF(Backend!P118&lt;=Backend!$R$14,Backend!Q117+Backend!$T$14,IF(Backend!P118&lt;=Backend!$R$15,Backend!Q117+Backend!$T$15,IF(Backend!P118&lt;=Backend!$X$16,Backend!Q117+Backend!$Z$16))))))</f>
        <v>0</v>
      </c>
      <c r="R118" s="24" t="str">
        <f>IF(1&lt;=ConceptDemo!$K$41,IF(P118=$W$12,ConceptDemo!$K$39,""),"")</f>
        <v/>
      </c>
      <c r="S118" s="24" t="str">
        <f>IF(2&lt;=ConceptDemo!$K$41,IF(P118=$W$13,ConceptDemo!$K$39,""),"")</f>
        <v/>
      </c>
      <c r="T118" s="24" t="str">
        <f>IF(3&lt;=ConceptDemo!$K$41,IF(P118=$W$14,ConceptDemo!$K$39,""),"")</f>
        <v/>
      </c>
      <c r="U118" s="24" t="str">
        <f>IF(4&lt;=ConceptDemo!$K$41,IF(P118=$W$15,ConceptDemo!$K$39,""),"")</f>
        <v/>
      </c>
      <c r="W118" s="23">
        <f>IF($P118&lt;ConceptDemo!$C$17+$E$24-10,$G$27,0)</f>
        <v>0</v>
      </c>
      <c r="X118" s="23">
        <f>IF($P118&lt;ConceptDemo!$C$17+$E$24-10,$H$27,0)</f>
        <v>0</v>
      </c>
      <c r="Y118" s="13">
        <f t="shared" si="11"/>
        <v>0</v>
      </c>
      <c r="Z118" s="13">
        <f t="shared" si="12"/>
        <v>0</v>
      </c>
      <c r="AA118" s="13">
        <f t="shared" si="13"/>
        <v>0</v>
      </c>
      <c r="AB118" s="13">
        <f t="shared" si="14"/>
        <v>0</v>
      </c>
      <c r="AC118" s="23">
        <f t="shared" si="15"/>
        <v>0</v>
      </c>
      <c r="AD118" s="23">
        <f>IF(P118&lt;=ConceptDemo!$C$19,AD117+SUM(W118:AB118)-(Q118-Q117)-AC118,0)</f>
        <v>0</v>
      </c>
      <c r="AE118" s="23">
        <f>IF(ConceptDemo!$C$7=Backend!$A$2,AD118,IF(AE117&lt;&gt;AD117,IF(P118&lt;=ConceptDemo!$C$19,AE117+SUM(W118:AB118)-(Q118-Q117)-AC118,0),IF(P118=ConceptDemo!$C$40,ConceptDemo!$C$39,AD118)))</f>
        <v>0</v>
      </c>
      <c r="AF118" s="23">
        <f t="shared" si="17"/>
        <v>0</v>
      </c>
      <c r="AG118" s="23">
        <f t="shared" si="18"/>
        <v>0</v>
      </c>
      <c r="AH118" s="23">
        <f t="shared" si="16"/>
        <v>0</v>
      </c>
    </row>
    <row r="119" spans="1:34" x14ac:dyDescent="0.25">
      <c r="P119" s="16" t="str">
        <f>IFERROR(IF(P118+1=ConceptDemo!$C$19+10,"",Backend!P118+1),"")</f>
        <v/>
      </c>
      <c r="Q119" s="13">
        <f>IF(OR(P119&lt;ConceptDemo!$C$17,Backend!P119&gt;ConceptDemo!$C$19),0,IF(Backend!P119&lt;=Backend!$R$12,Backend!Q118+Backend!$T$12,IF(Backend!P119&lt;=Backend!$R$13,Backend!Q118+Backend!$T$13,IF(Backend!P119&lt;=Backend!$R$14,Backend!Q118+Backend!$T$14,IF(Backend!P119&lt;=Backend!$R$15,Backend!Q118+Backend!$T$15,IF(Backend!P119&lt;=Backend!$X$16,Backend!Q118+Backend!$Z$16))))))</f>
        <v>0</v>
      </c>
      <c r="R119" s="24" t="str">
        <f>IF(1&lt;=ConceptDemo!$K$41,IF(P119=$W$12,ConceptDemo!$K$39,""),"")</f>
        <v/>
      </c>
      <c r="S119" s="24" t="str">
        <f>IF(2&lt;=ConceptDemo!$K$41,IF(P119=$W$13,ConceptDemo!$K$39,""),"")</f>
        <v/>
      </c>
      <c r="T119" s="24" t="str">
        <f>IF(3&lt;=ConceptDemo!$K$41,IF(P119=$W$14,ConceptDemo!$K$39,""),"")</f>
        <v/>
      </c>
      <c r="U119" s="24" t="str">
        <f>IF(4&lt;=ConceptDemo!$K$41,IF(P119=$W$15,ConceptDemo!$K$39,""),"")</f>
        <v/>
      </c>
      <c r="W119" s="23">
        <f>IF($P119&lt;ConceptDemo!$C$17+$E$24-10,$G$27,0)</f>
        <v>0</v>
      </c>
      <c r="X119" s="23">
        <f>IF($P119&lt;ConceptDemo!$C$17+$E$24-10,$H$27,0)</f>
        <v>0</v>
      </c>
      <c r="Y119" s="13">
        <f t="shared" si="11"/>
        <v>0</v>
      </c>
      <c r="Z119" s="13">
        <f t="shared" si="12"/>
        <v>0</v>
      </c>
      <c r="AA119" s="13">
        <f t="shared" si="13"/>
        <v>0</v>
      </c>
      <c r="AB119" s="13">
        <f t="shared" si="14"/>
        <v>0</v>
      </c>
      <c r="AC119" s="23">
        <f t="shared" si="15"/>
        <v>0</v>
      </c>
      <c r="AD119" s="23">
        <f>IF(P119&lt;=ConceptDemo!$C$19,AD118+SUM(W119:AB119)-(Q119-Q118)-AC119,0)</f>
        <v>0</v>
      </c>
      <c r="AE119" s="23">
        <f>IF(ConceptDemo!$C$7=Backend!$A$2,AD119,IF(AE118&lt;&gt;AD118,IF(P119&lt;=ConceptDemo!$C$19,AE118+SUM(W119:AB119)-(Q119-Q118)-AC119,0),IF(P119=ConceptDemo!$C$40,ConceptDemo!$C$39,AD119)))</f>
        <v>0</v>
      </c>
      <c r="AF119" s="23">
        <f t="shared" si="17"/>
        <v>0</v>
      </c>
      <c r="AG119" s="23">
        <f t="shared" si="18"/>
        <v>0</v>
      </c>
      <c r="AH119" s="23">
        <f t="shared" si="16"/>
        <v>0</v>
      </c>
    </row>
    <row r="120" spans="1:34" x14ac:dyDescent="0.25">
      <c r="A120" t="s">
        <v>72</v>
      </c>
      <c r="P120" s="16" t="str">
        <f>IFERROR(IF(P119+1=ConceptDemo!$C$19+10,"",Backend!P119+1),"")</f>
        <v/>
      </c>
      <c r="Q120" s="13">
        <f>IF(OR(P120&lt;ConceptDemo!$C$17,Backend!P120&gt;ConceptDemo!$C$19),0,IF(Backend!P120&lt;=Backend!$R$12,Backend!Q119+Backend!$T$12,IF(Backend!P120&lt;=Backend!$R$13,Backend!Q119+Backend!$T$13,IF(Backend!P120&lt;=Backend!$R$14,Backend!Q119+Backend!$T$14,IF(Backend!P120&lt;=Backend!$R$15,Backend!Q119+Backend!$T$15,IF(Backend!P120&lt;=Backend!$X$16,Backend!Q119+Backend!$Z$16))))))</f>
        <v>0</v>
      </c>
      <c r="R120" s="24" t="str">
        <f>IF(1&lt;=ConceptDemo!$K$41,IF(P120=$W$12,ConceptDemo!$K$39,""),"")</f>
        <v/>
      </c>
      <c r="S120" s="24" t="str">
        <f>IF(2&lt;=ConceptDemo!$K$41,IF(P120=$W$13,ConceptDemo!$K$39,""),"")</f>
        <v/>
      </c>
      <c r="T120" s="24" t="str">
        <f>IF(3&lt;=ConceptDemo!$K$41,IF(P120=$W$14,ConceptDemo!$K$39,""),"")</f>
        <v/>
      </c>
      <c r="U120" s="24" t="str">
        <f>IF(4&lt;=ConceptDemo!$K$41,IF(P120=$W$15,ConceptDemo!$K$39,""),"")</f>
        <v/>
      </c>
      <c r="W120" s="23">
        <f>IF($P120&lt;ConceptDemo!$C$17+$E$24-10,$G$27,0)</f>
        <v>0</v>
      </c>
      <c r="X120" s="23">
        <f>IF($P120&lt;ConceptDemo!$C$17+$E$24-10,$H$27,0)</f>
        <v>0</v>
      </c>
      <c r="Y120" s="13">
        <f t="shared" si="11"/>
        <v>0</v>
      </c>
      <c r="Z120" s="13">
        <f t="shared" si="12"/>
        <v>0</v>
      </c>
      <c r="AA120" s="13">
        <f t="shared" si="13"/>
        <v>0</v>
      </c>
      <c r="AB120" s="13">
        <f t="shared" si="14"/>
        <v>0</v>
      </c>
      <c r="AC120" s="23">
        <f t="shared" si="15"/>
        <v>0</v>
      </c>
      <c r="AD120" s="23">
        <f>IF(P120&lt;=ConceptDemo!$C$19,AD119+SUM(W120:AB120)-(Q120-Q119)-AC120,0)</f>
        <v>0</v>
      </c>
      <c r="AE120" s="23">
        <f>IF(ConceptDemo!$C$7=Backend!$A$2,AD120,IF(AE119&lt;&gt;AD119,IF(P120&lt;=ConceptDemo!$C$19,AE119+SUM(W120:AB120)-(Q120-Q119)-AC120,0),IF(P120=ConceptDemo!$C$40,ConceptDemo!$C$39,AD120)))</f>
        <v>0</v>
      </c>
      <c r="AF120" s="23">
        <f t="shared" si="17"/>
        <v>0</v>
      </c>
      <c r="AG120" s="23">
        <f t="shared" si="18"/>
        <v>0</v>
      </c>
      <c r="AH120" s="23">
        <f t="shared" si="16"/>
        <v>0</v>
      </c>
    </row>
    <row r="121" spans="1:34" x14ac:dyDescent="0.25">
      <c r="A121" t="s">
        <v>154</v>
      </c>
      <c r="B121">
        <v>10</v>
      </c>
      <c r="C121" t="s">
        <v>155</v>
      </c>
      <c r="E121" t="s">
        <v>29</v>
      </c>
      <c r="P121" s="16" t="str">
        <f>IFERROR(IF(P120+1=ConceptDemo!$C$19+10,"",Backend!P120+1),"")</f>
        <v/>
      </c>
      <c r="Q121" s="13">
        <f>IF(OR(P121&lt;ConceptDemo!$C$17,Backend!P121&gt;ConceptDemo!$C$19),0,IF(Backend!P121&lt;=Backend!$R$12,Backend!Q120+Backend!$T$12,IF(Backend!P121&lt;=Backend!$R$13,Backend!Q120+Backend!$T$13,IF(Backend!P121&lt;=Backend!$R$14,Backend!Q120+Backend!$T$14,IF(Backend!P121&lt;=Backend!$R$15,Backend!Q120+Backend!$T$15,IF(Backend!P121&lt;=Backend!$X$16,Backend!Q120+Backend!$Z$16))))))</f>
        <v>0</v>
      </c>
      <c r="R121" s="24" t="str">
        <f>IF(1&lt;=ConceptDemo!$K$41,IF(P121=$W$12,ConceptDemo!$K$39,""),"")</f>
        <v/>
      </c>
      <c r="S121" s="24" t="str">
        <f>IF(2&lt;=ConceptDemo!$K$41,IF(P121=$W$13,ConceptDemo!$K$39,""),"")</f>
        <v/>
      </c>
      <c r="T121" s="24" t="str">
        <f>IF(3&lt;=ConceptDemo!$K$41,IF(P121=$W$14,ConceptDemo!$K$39,""),"")</f>
        <v/>
      </c>
      <c r="U121" s="24" t="str">
        <f>IF(4&lt;=ConceptDemo!$K$41,IF(P121=$W$15,ConceptDemo!$K$39,""),"")</f>
        <v/>
      </c>
      <c r="W121" s="23">
        <f>IF($P121&lt;ConceptDemo!$C$17+$E$24-10,$G$27,0)</f>
        <v>0</v>
      </c>
      <c r="X121" s="23">
        <f>IF($P121&lt;ConceptDemo!$C$17+$E$24-10,$H$27,0)</f>
        <v>0</v>
      </c>
      <c r="Y121" s="13">
        <f t="shared" si="11"/>
        <v>0</v>
      </c>
      <c r="Z121" s="13">
        <f t="shared" si="12"/>
        <v>0</v>
      </c>
      <c r="AA121" s="13">
        <f t="shared" si="13"/>
        <v>0</v>
      </c>
      <c r="AB121" s="13">
        <f t="shared" si="14"/>
        <v>0</v>
      </c>
      <c r="AC121" s="23">
        <f t="shared" si="15"/>
        <v>0</v>
      </c>
      <c r="AD121" s="23">
        <f>IF(P121&lt;=ConceptDemo!$C$19,AD120+SUM(W121:AB121)-(Q121-Q120)-AC121,0)</f>
        <v>0</v>
      </c>
      <c r="AE121" s="23">
        <f>IF(ConceptDemo!$C$7=Backend!$A$2,AD121,IF(AE120&lt;&gt;AD120,IF(P121&lt;=ConceptDemo!$C$19,AE120+SUM(W121:AB121)-(Q121-Q120)-AC121,0),IF(P121=ConceptDemo!$C$40,ConceptDemo!$C$39,AD121)))</f>
        <v>0</v>
      </c>
      <c r="AF121" s="23">
        <f t="shared" si="17"/>
        <v>0</v>
      </c>
      <c r="AG121" s="23">
        <f t="shared" si="18"/>
        <v>0</v>
      </c>
      <c r="AH121" s="23">
        <f t="shared" si="16"/>
        <v>0</v>
      </c>
    </row>
    <row r="122" spans="1:34" x14ac:dyDescent="0.25">
      <c r="A122" t="s">
        <v>29</v>
      </c>
      <c r="B122">
        <v>70</v>
      </c>
      <c r="C122" t="s">
        <v>156</v>
      </c>
      <c r="E122" t="s">
        <v>104</v>
      </c>
      <c r="P122" s="16" t="str">
        <f>IFERROR(IF(P121+1=ConceptDemo!$C$19+10,"",Backend!P121+1),"")</f>
        <v/>
      </c>
      <c r="Q122" s="13">
        <f>IF(OR(P122&lt;ConceptDemo!$C$17,Backend!P122&gt;ConceptDemo!$C$19),0,IF(Backend!P122&lt;=Backend!$R$12,Backend!Q121+Backend!$T$12,IF(Backend!P122&lt;=Backend!$R$13,Backend!Q121+Backend!$T$13,IF(Backend!P122&lt;=Backend!$R$14,Backend!Q121+Backend!$T$14,IF(Backend!P122&lt;=Backend!$R$15,Backend!Q121+Backend!$T$15,IF(Backend!P122&lt;=Backend!$X$16,Backend!Q121+Backend!$Z$16))))))</f>
        <v>0</v>
      </c>
      <c r="R122" s="24" t="str">
        <f>IF(1&lt;=ConceptDemo!$K$41,IF(P122=$W$12,ConceptDemo!$K$39,""),"")</f>
        <v/>
      </c>
      <c r="S122" s="24" t="str">
        <f>IF(2&lt;=ConceptDemo!$K$41,IF(P122=$W$13,ConceptDemo!$K$39,""),"")</f>
        <v/>
      </c>
      <c r="T122" s="24" t="str">
        <f>IF(3&lt;=ConceptDemo!$K$41,IF(P122=$W$14,ConceptDemo!$K$39,""),"")</f>
        <v/>
      </c>
      <c r="U122" s="24" t="str">
        <f>IF(4&lt;=ConceptDemo!$K$41,IF(P122=$W$15,ConceptDemo!$K$39,""),"")</f>
        <v/>
      </c>
      <c r="W122" s="23">
        <f>IF($P122&lt;ConceptDemo!$C$17+$E$24-10,$G$27,0)</f>
        <v>0</v>
      </c>
      <c r="X122" s="23">
        <f>IF($P122&lt;ConceptDemo!$C$17+$E$24-10,$H$27,0)</f>
        <v>0</v>
      </c>
      <c r="Y122" s="13">
        <f t="shared" si="11"/>
        <v>0</v>
      </c>
      <c r="Z122" s="13">
        <f t="shared" si="12"/>
        <v>0</v>
      </c>
      <c r="AA122" s="13">
        <f t="shared" si="13"/>
        <v>0</v>
      </c>
      <c r="AB122" s="13">
        <f t="shared" si="14"/>
        <v>0</v>
      </c>
      <c r="AC122" s="23">
        <f t="shared" si="15"/>
        <v>0</v>
      </c>
      <c r="AD122" s="23">
        <f>IF(P122&lt;=ConceptDemo!$C$19,AD121+SUM(W122:AB122)-(Q122-Q121)-AC122,0)</f>
        <v>0</v>
      </c>
      <c r="AE122" s="23">
        <f>IF(ConceptDemo!$C$7=Backend!$A$2,AD122,IF(AE121&lt;&gt;AD121,IF(P122&lt;=ConceptDemo!$C$19,AE121+SUM(W122:AB122)-(Q122-Q121)-AC122,0),IF(P122=ConceptDemo!$C$40,ConceptDemo!$C$39,AD122)))</f>
        <v>0</v>
      </c>
      <c r="AF122" s="23">
        <f t="shared" si="17"/>
        <v>0</v>
      </c>
      <c r="AG122" s="23">
        <f t="shared" si="18"/>
        <v>0</v>
      </c>
      <c r="AH122" s="23">
        <f t="shared" si="16"/>
        <v>0</v>
      </c>
    </row>
    <row r="123" spans="1:34" x14ac:dyDescent="0.25">
      <c r="A123" t="s">
        <v>90</v>
      </c>
      <c r="B123" s="23">
        <f>B115/B122</f>
        <v>771.42857142857144</v>
      </c>
      <c r="C123" t="s">
        <v>91</v>
      </c>
      <c r="F123" s="28" t="s">
        <v>105</v>
      </c>
      <c r="P123" s="16" t="str">
        <f>IFERROR(IF(P122+1=ConceptDemo!$C$19+10,"",Backend!P122+1),"")</f>
        <v/>
      </c>
      <c r="Q123" s="13">
        <f>IF(OR(P123&lt;ConceptDemo!$C$17,Backend!P123&gt;ConceptDemo!$C$19),0,IF(Backend!P123&lt;=Backend!$R$12,Backend!Q122+Backend!$T$12,IF(Backend!P123&lt;=Backend!$R$13,Backend!Q122+Backend!$T$13,IF(Backend!P123&lt;=Backend!$R$14,Backend!Q122+Backend!$T$14,IF(Backend!P123&lt;=Backend!$R$15,Backend!Q122+Backend!$T$15,IF(Backend!P123&lt;=Backend!$X$16,Backend!Q122+Backend!$Z$16))))))</f>
        <v>0</v>
      </c>
      <c r="R123" s="24" t="str">
        <f>IF(1&lt;=ConceptDemo!$K$41,IF(P123=$W$12,ConceptDemo!$K$39,""),"")</f>
        <v/>
      </c>
      <c r="S123" s="24" t="str">
        <f>IF(2&lt;=ConceptDemo!$K$41,IF(P123=$W$13,ConceptDemo!$K$39,""),"")</f>
        <v/>
      </c>
      <c r="T123" s="24" t="str">
        <f>IF(3&lt;=ConceptDemo!$K$41,IF(P123=$W$14,ConceptDemo!$K$39,""),"")</f>
        <v/>
      </c>
      <c r="U123" s="24" t="str">
        <f>IF(4&lt;=ConceptDemo!$K$41,IF(P123=$W$15,ConceptDemo!$K$39,""),"")</f>
        <v/>
      </c>
      <c r="W123" s="23">
        <f>IF($P123&lt;ConceptDemo!$C$17+$E$24-10,$G$27,0)</f>
        <v>0</v>
      </c>
      <c r="X123" s="23">
        <f>IF($P123&lt;ConceptDemo!$C$17+$E$24-10,$H$27,0)</f>
        <v>0</v>
      </c>
      <c r="Y123" s="13">
        <f t="shared" si="11"/>
        <v>0</v>
      </c>
      <c r="Z123" s="13">
        <f t="shared" si="12"/>
        <v>0</v>
      </c>
      <c r="AA123" s="13">
        <f t="shared" si="13"/>
        <v>0</v>
      </c>
      <c r="AB123" s="13">
        <f t="shared" si="14"/>
        <v>0</v>
      </c>
      <c r="AC123" s="23">
        <f t="shared" si="15"/>
        <v>0</v>
      </c>
      <c r="AD123" s="23">
        <f>IF(P123&lt;=ConceptDemo!$C$19,AD122+SUM(W123:AB123)-(Q123-Q122)-AC123,0)</f>
        <v>0</v>
      </c>
      <c r="AE123" s="23">
        <f>IF(ConceptDemo!$C$7=Backend!$A$2,AD123,IF(AE122&lt;&gt;AD122,IF(P123&lt;=ConceptDemo!$C$19,AE122+SUM(W123:AB123)-(Q123-Q122)-AC123,0),IF(P123=ConceptDemo!$C$40,ConceptDemo!$C$39,AD123)))</f>
        <v>0</v>
      </c>
      <c r="AF123" s="23">
        <f t="shared" si="17"/>
        <v>0</v>
      </c>
      <c r="AG123" s="23">
        <f t="shared" si="18"/>
        <v>0</v>
      </c>
      <c r="AH123" s="23">
        <f t="shared" si="16"/>
        <v>0</v>
      </c>
    </row>
    <row r="124" spans="1:34" x14ac:dyDescent="0.25">
      <c r="A124">
        <v>20</v>
      </c>
      <c r="B124">
        <v>140</v>
      </c>
      <c r="E124" t="s">
        <v>106</v>
      </c>
      <c r="F124">
        <v>2.4</v>
      </c>
      <c r="P124" s="16" t="str">
        <f>IFERROR(IF(P123+1=ConceptDemo!$C$19+10,"",Backend!P123+1),"")</f>
        <v/>
      </c>
      <c r="Q124" s="13">
        <f>IF(OR(P124&lt;ConceptDemo!$C$17,Backend!P124&gt;ConceptDemo!$C$19),0,IF(Backend!P124&lt;=Backend!$R$12,Backend!Q123+Backend!$T$12,IF(Backend!P124&lt;=Backend!$R$13,Backend!Q123+Backend!$T$13,IF(Backend!P124&lt;=Backend!$R$14,Backend!Q123+Backend!$T$14,IF(Backend!P124&lt;=Backend!$R$15,Backend!Q123+Backend!$T$15,IF(Backend!P124&lt;=Backend!$X$16,Backend!Q123+Backend!$Z$16))))))</f>
        <v>0</v>
      </c>
      <c r="R124" s="24" t="str">
        <f>IF(1&lt;=ConceptDemo!$K$41,IF(P124=$W$12,ConceptDemo!$K$39,""),"")</f>
        <v/>
      </c>
      <c r="S124" s="24" t="str">
        <f>IF(2&lt;=ConceptDemo!$K$41,IF(P124=$W$13,ConceptDemo!$K$39,""),"")</f>
        <v/>
      </c>
      <c r="T124" s="24" t="str">
        <f>IF(3&lt;=ConceptDemo!$K$41,IF(P124=$W$14,ConceptDemo!$K$39,""),"")</f>
        <v/>
      </c>
      <c r="U124" s="24" t="str">
        <f>IF(4&lt;=ConceptDemo!$K$41,IF(P124=$W$15,ConceptDemo!$K$39,""),"")</f>
        <v/>
      </c>
      <c r="W124" s="23">
        <f>IF($P124&lt;ConceptDemo!$C$17+$E$24-10,$G$27,0)</f>
        <v>0</v>
      </c>
      <c r="X124" s="23">
        <f>IF($P124&lt;ConceptDemo!$C$17+$E$24-10,$H$27,0)</f>
        <v>0</v>
      </c>
      <c r="Y124" s="13">
        <f t="shared" si="11"/>
        <v>0</v>
      </c>
      <c r="Z124" s="13">
        <f t="shared" si="12"/>
        <v>0</v>
      </c>
      <c r="AA124" s="13">
        <f t="shared" si="13"/>
        <v>0</v>
      </c>
      <c r="AB124" s="13">
        <f t="shared" si="14"/>
        <v>0</v>
      </c>
      <c r="AC124" s="23">
        <f t="shared" si="15"/>
        <v>0</v>
      </c>
      <c r="AD124" s="23">
        <f>IF(P124&lt;=ConceptDemo!$C$19,AD123+SUM(W124:AB124)-(Q124-Q123)-AC124,0)</f>
        <v>0</v>
      </c>
      <c r="AE124" s="23">
        <f>IF(ConceptDemo!$C$7=Backend!$A$2,AD124,IF(AE123&lt;&gt;AD123,IF(P124&lt;=ConceptDemo!$C$19,AE123+SUM(W124:AB124)-(Q124-Q123)-AC124,0),IF(P124=ConceptDemo!$C$40,ConceptDemo!$C$39,AD124)))</f>
        <v>0</v>
      </c>
      <c r="AF124" s="23">
        <f t="shared" si="17"/>
        <v>0</v>
      </c>
      <c r="AG124" s="23">
        <f t="shared" si="18"/>
        <v>0</v>
      </c>
      <c r="AH124" s="23">
        <f t="shared" si="16"/>
        <v>0</v>
      </c>
    </row>
    <row r="125" spans="1:34" x14ac:dyDescent="0.25">
      <c r="A125">
        <v>40</v>
      </c>
      <c r="B125">
        <v>120</v>
      </c>
      <c r="P125" s="16" t="str">
        <f>IFERROR(IF(P124+1=ConceptDemo!$C$19+10,"",Backend!P124+1),"")</f>
        <v/>
      </c>
      <c r="Q125" s="13">
        <f>IF(OR(P125&lt;ConceptDemo!$C$17,Backend!P125&gt;ConceptDemo!$C$19),0,IF(Backend!P125&lt;=Backend!$R$12,Backend!Q124+Backend!$T$12,IF(Backend!P125&lt;=Backend!$R$13,Backend!Q124+Backend!$T$13,IF(Backend!P125&lt;=Backend!$R$14,Backend!Q124+Backend!$T$14,IF(Backend!P125&lt;=Backend!$R$15,Backend!Q124+Backend!$T$15,IF(Backend!P125&lt;=Backend!$X$16,Backend!Q124+Backend!$Z$16))))))</f>
        <v>0</v>
      </c>
      <c r="R125" s="24" t="str">
        <f>IF(1&lt;=ConceptDemo!$K$41,IF(P125=$W$12,ConceptDemo!$K$39,""),"")</f>
        <v/>
      </c>
      <c r="S125" s="24" t="str">
        <f>IF(2&lt;=ConceptDemo!$K$41,IF(P125=$W$13,ConceptDemo!$K$39,""),"")</f>
        <v/>
      </c>
      <c r="T125" s="24" t="str">
        <f>IF(3&lt;=ConceptDemo!$K$41,IF(P125=$W$14,ConceptDemo!$K$39,""),"")</f>
        <v/>
      </c>
      <c r="U125" s="24" t="str">
        <f>IF(4&lt;=ConceptDemo!$K$41,IF(P125=$W$15,ConceptDemo!$K$39,""),"")</f>
        <v/>
      </c>
      <c r="W125" s="23">
        <f>IF($P125&lt;ConceptDemo!$C$17+$E$24-10,$G$27,0)</f>
        <v>0</v>
      </c>
      <c r="X125" s="23">
        <f>IF($P125&lt;ConceptDemo!$C$17+$E$24-10,$H$27,0)</f>
        <v>0</v>
      </c>
      <c r="Y125" s="13">
        <f t="shared" si="11"/>
        <v>0</v>
      </c>
      <c r="Z125" s="13">
        <f t="shared" si="12"/>
        <v>0</v>
      </c>
      <c r="AA125" s="13">
        <f t="shared" si="13"/>
        <v>0</v>
      </c>
      <c r="AB125" s="13">
        <f t="shared" si="14"/>
        <v>0</v>
      </c>
      <c r="AC125" s="23">
        <f t="shared" si="15"/>
        <v>0</v>
      </c>
      <c r="AD125" s="23">
        <f>IF(P125&lt;=ConceptDemo!$C$19,AD124+SUM(W125:AB125)-(Q125-Q124)-AC125,0)</f>
        <v>0</v>
      </c>
      <c r="AE125" s="23">
        <f>IF(ConceptDemo!$C$7=Backend!$A$2,AD125,IF(AE124&lt;&gt;AD124,IF(P125&lt;=ConceptDemo!$C$19,AE124+SUM(W125:AB125)-(Q125-Q124)-AC125,0),IF(P125=ConceptDemo!$C$40,ConceptDemo!$C$39,AD125)))</f>
        <v>0</v>
      </c>
      <c r="AF125" s="23">
        <f t="shared" si="17"/>
        <v>0</v>
      </c>
      <c r="AG125" s="23">
        <f t="shared" si="18"/>
        <v>0</v>
      </c>
      <c r="AH125" s="23">
        <f t="shared" si="16"/>
        <v>0</v>
      </c>
    </row>
    <row r="126" spans="1:34" x14ac:dyDescent="0.25">
      <c r="A126">
        <v>60</v>
      </c>
      <c r="B126">
        <v>100</v>
      </c>
      <c r="E126" t="s">
        <v>159</v>
      </c>
      <c r="P126" s="16" t="str">
        <f>IFERROR(IF(P125+1=ConceptDemo!$C$19+10,"",Backend!P125+1),"")</f>
        <v/>
      </c>
      <c r="Q126" s="13">
        <f>IF(OR(P126&lt;ConceptDemo!$C$17,Backend!P126&gt;ConceptDemo!$C$19),0,IF(Backend!P126&lt;=Backend!$R$12,Backend!Q125+Backend!$T$12,IF(Backend!P126&lt;=Backend!$R$13,Backend!Q125+Backend!$T$13,IF(Backend!P126&lt;=Backend!$R$14,Backend!Q125+Backend!$T$14,IF(Backend!P126&lt;=Backend!$R$15,Backend!Q125+Backend!$T$15,IF(Backend!P126&lt;=Backend!$X$16,Backend!Q125+Backend!$Z$16))))))</f>
        <v>0</v>
      </c>
      <c r="R126" s="24" t="str">
        <f>IF(1&lt;=ConceptDemo!$K$41,IF(P126=$W$12,ConceptDemo!$K$39,""),"")</f>
        <v/>
      </c>
      <c r="S126" s="24" t="str">
        <f>IF(2&lt;=ConceptDemo!$K$41,IF(P126=$W$13,ConceptDemo!$K$39,""),"")</f>
        <v/>
      </c>
      <c r="T126" s="24" t="str">
        <f>IF(3&lt;=ConceptDemo!$K$41,IF(P126=$W$14,ConceptDemo!$K$39,""),"")</f>
        <v/>
      </c>
      <c r="U126" s="24" t="str">
        <f>IF(4&lt;=ConceptDemo!$K$41,IF(P126=$W$15,ConceptDemo!$K$39,""),"")</f>
        <v/>
      </c>
      <c r="W126" s="23">
        <f>IF($P126&lt;ConceptDemo!$C$17+$E$24-10,$G$27,0)</f>
        <v>0</v>
      </c>
      <c r="X126" s="23">
        <f>IF($P126&lt;ConceptDemo!$C$17+$E$24-10,$H$27,0)</f>
        <v>0</v>
      </c>
      <c r="Y126" s="13">
        <f t="shared" si="11"/>
        <v>0</v>
      </c>
      <c r="Z126" s="13">
        <f t="shared" si="12"/>
        <v>0</v>
      </c>
      <c r="AA126" s="13">
        <f t="shared" si="13"/>
        <v>0</v>
      </c>
      <c r="AB126" s="13">
        <f t="shared" si="14"/>
        <v>0</v>
      </c>
      <c r="AC126" s="23">
        <f t="shared" si="15"/>
        <v>0</v>
      </c>
      <c r="AD126" s="23">
        <f>IF(P126&lt;=ConceptDemo!$C$19,AD125+SUM(W126:AB126)-(Q126-Q125)-AC126,0)</f>
        <v>0</v>
      </c>
      <c r="AE126" s="23">
        <f>IF(ConceptDemo!$C$7=Backend!$A$2,AD126,IF(AE125&lt;&gt;AD125,IF(P126&lt;=ConceptDemo!$C$19,AE125+SUM(W126:AB126)-(Q126-Q125)-AC126,0),IF(P126=ConceptDemo!$C$40,ConceptDemo!$C$39,AD126)))</f>
        <v>0</v>
      </c>
      <c r="AF126" s="23">
        <f t="shared" si="17"/>
        <v>0</v>
      </c>
      <c r="AG126" s="23">
        <f t="shared" si="18"/>
        <v>0</v>
      </c>
      <c r="AH126" s="23">
        <f t="shared" si="16"/>
        <v>0</v>
      </c>
    </row>
    <row r="127" spans="1:34" ht="45" x14ac:dyDescent="0.25">
      <c r="A127">
        <v>80</v>
      </c>
      <c r="B127">
        <v>80</v>
      </c>
      <c r="E127" s="26" t="s">
        <v>157</v>
      </c>
      <c r="F127" s="26" t="s">
        <v>158</v>
      </c>
      <c r="G127" s="26" t="s">
        <v>110</v>
      </c>
      <c r="H127" s="26" t="s">
        <v>111</v>
      </c>
      <c r="I127" s="26" t="s">
        <v>112</v>
      </c>
      <c r="P127" s="16" t="str">
        <f>IFERROR(IF(P126+1=ConceptDemo!$C$19+10,"",Backend!P126+1),"")</f>
        <v/>
      </c>
      <c r="Q127" s="13">
        <f>IF(OR(P127&lt;ConceptDemo!$C$17,Backend!P127&gt;ConceptDemo!$C$19),0,IF(Backend!P127&lt;=Backend!$R$12,Backend!Q126+Backend!$T$12,IF(Backend!P127&lt;=Backend!$R$13,Backend!Q126+Backend!$T$13,IF(Backend!P127&lt;=Backend!$R$14,Backend!Q126+Backend!$T$14,IF(Backend!P127&lt;=Backend!$R$15,Backend!Q126+Backend!$T$15,IF(Backend!P127&lt;=Backend!$X$16,Backend!Q126+Backend!$Z$16))))))</f>
        <v>0</v>
      </c>
      <c r="R127" s="24" t="str">
        <f>IF(1&lt;=ConceptDemo!$K$41,IF(P127=$W$12,ConceptDemo!$K$39,""),"")</f>
        <v/>
      </c>
      <c r="S127" s="24" t="str">
        <f>IF(2&lt;=ConceptDemo!$K$41,IF(P127=$W$13,ConceptDemo!$K$39,""),"")</f>
        <v/>
      </c>
      <c r="T127" s="24" t="str">
        <f>IF(3&lt;=ConceptDemo!$K$41,IF(P127=$W$14,ConceptDemo!$K$39,""),"")</f>
        <v/>
      </c>
      <c r="U127" s="24" t="str">
        <f>IF(4&lt;=ConceptDemo!$K$41,IF(P127=$W$15,ConceptDemo!$K$39,""),"")</f>
        <v/>
      </c>
      <c r="W127" s="23">
        <f>IF($P127&lt;ConceptDemo!$C$17+$E$24-10,$G$27,0)</f>
        <v>0</v>
      </c>
      <c r="X127" s="23">
        <f>IF($P127&lt;ConceptDemo!$C$17+$E$24-10,$H$27,0)</f>
        <v>0</v>
      </c>
      <c r="Y127" s="13">
        <f t="shared" si="11"/>
        <v>0</v>
      </c>
      <c r="Z127" s="13">
        <f t="shared" si="12"/>
        <v>0</v>
      </c>
      <c r="AA127" s="13">
        <f t="shared" si="13"/>
        <v>0</v>
      </c>
      <c r="AB127" s="13">
        <f t="shared" si="14"/>
        <v>0</v>
      </c>
      <c r="AC127" s="23">
        <f t="shared" si="15"/>
        <v>0</v>
      </c>
      <c r="AD127" s="23">
        <f>IF(P127&lt;=ConceptDemo!$C$19,AD126+SUM(W127:AB127)-(Q127-Q126)-AC127,0)</f>
        <v>0</v>
      </c>
      <c r="AE127" s="23">
        <f>IF(ConceptDemo!$C$7=Backend!$A$2,AD127,IF(AE126&lt;&gt;AD126,IF(P127&lt;=ConceptDemo!$C$19,AE126+SUM(W127:AB127)-(Q127-Q126)-AC127,0),IF(P127=ConceptDemo!$C$40,ConceptDemo!$C$39,AD127)))</f>
        <v>0</v>
      </c>
      <c r="AF127" s="23">
        <f t="shared" si="17"/>
        <v>0</v>
      </c>
      <c r="AG127" s="23">
        <f t="shared" si="18"/>
        <v>0</v>
      </c>
      <c r="AH127" s="23">
        <f t="shared" si="16"/>
        <v>0</v>
      </c>
    </row>
    <row r="128" spans="1:34" x14ac:dyDescent="0.25">
      <c r="A128">
        <v>100</v>
      </c>
      <c r="B128">
        <v>60</v>
      </c>
      <c r="E128">
        <v>10</v>
      </c>
      <c r="F128">
        <v>70</v>
      </c>
      <c r="G128" s="10">
        <f>E128/F128</f>
        <v>0.14285714285714285</v>
      </c>
      <c r="H128">
        <v>1.5</v>
      </c>
      <c r="I128" s="29">
        <f>G128*H128/100</f>
        <v>2.1428571428571425E-3</v>
      </c>
      <c r="P128" s="16" t="str">
        <f>IFERROR(IF(P127+1=ConceptDemo!$C$19+10,"",Backend!P127+1),"")</f>
        <v/>
      </c>
      <c r="Q128" s="13">
        <f>IF(OR(P128&lt;ConceptDemo!$C$17,Backend!P128&gt;ConceptDemo!$C$19),0,IF(Backend!P128&lt;=Backend!$R$12,Backend!Q127+Backend!$T$12,IF(Backend!P128&lt;=Backend!$R$13,Backend!Q127+Backend!$T$13,IF(Backend!P128&lt;=Backend!$R$14,Backend!Q127+Backend!$T$14,IF(Backend!P128&lt;=Backend!$R$15,Backend!Q127+Backend!$T$15,IF(Backend!P128&lt;=Backend!$X$16,Backend!Q127+Backend!$Z$16))))))</f>
        <v>0</v>
      </c>
      <c r="R128" s="24" t="str">
        <f>IF(1&lt;=ConceptDemo!$K$41,IF(P128=$W$12,ConceptDemo!$K$39,""),"")</f>
        <v/>
      </c>
      <c r="S128" s="24" t="str">
        <f>IF(2&lt;=ConceptDemo!$K$41,IF(P128=$W$13,ConceptDemo!$K$39,""),"")</f>
        <v/>
      </c>
      <c r="T128" s="24" t="str">
        <f>IF(3&lt;=ConceptDemo!$K$41,IF(P128=$W$14,ConceptDemo!$K$39,""),"")</f>
        <v/>
      </c>
      <c r="U128" s="24" t="str">
        <f>IF(4&lt;=ConceptDemo!$K$41,IF(P128=$W$15,ConceptDemo!$K$39,""),"")</f>
        <v/>
      </c>
      <c r="W128" s="23">
        <f>IF($P128&lt;ConceptDemo!$C$17+$E$24-10,$G$27,0)</f>
        <v>0</v>
      </c>
      <c r="X128" s="23">
        <f>IF($P128&lt;ConceptDemo!$C$17+$E$24-10,$H$27,0)</f>
        <v>0</v>
      </c>
      <c r="Y128" s="13">
        <f t="shared" si="11"/>
        <v>0</v>
      </c>
      <c r="Z128" s="13">
        <f t="shared" si="12"/>
        <v>0</v>
      </c>
      <c r="AA128" s="13">
        <f t="shared" si="13"/>
        <v>0</v>
      </c>
      <c r="AB128" s="13">
        <f t="shared" si="14"/>
        <v>0</v>
      </c>
      <c r="AC128" s="23">
        <f t="shared" si="15"/>
        <v>0</v>
      </c>
      <c r="AD128" s="23">
        <f>IF(P128&lt;=ConceptDemo!$C$19,AD127+SUM(W128:AB128)-(Q128-Q127)-AC128,0)</f>
        <v>0</v>
      </c>
      <c r="AE128" s="23">
        <f>IF(ConceptDemo!$C$7=Backend!$A$2,AD128,IF(AE127&lt;&gt;AD127,IF(P128&lt;=ConceptDemo!$C$19,AE127+SUM(W128:AB128)-(Q128-Q127)-AC128,0),IF(P128=ConceptDemo!$C$40,ConceptDemo!$C$39,AD128)))</f>
        <v>0</v>
      </c>
      <c r="AF128" s="23">
        <f t="shared" si="17"/>
        <v>0</v>
      </c>
      <c r="AG128" s="23">
        <f t="shared" si="18"/>
        <v>0</v>
      </c>
      <c r="AH128" s="23">
        <f t="shared" si="16"/>
        <v>0</v>
      </c>
    </row>
    <row r="129" spans="1:34" x14ac:dyDescent="0.25">
      <c r="A129">
        <v>120</v>
      </c>
      <c r="B129">
        <v>40</v>
      </c>
      <c r="G129" s="10"/>
      <c r="I129" s="29"/>
      <c r="P129" s="16" t="str">
        <f>IFERROR(IF(P128+1=ConceptDemo!$C$19+10,"",Backend!P128+1),"")</f>
        <v/>
      </c>
      <c r="Q129" s="13">
        <f>IF(OR(P129&lt;ConceptDemo!$C$17,Backend!P129&gt;ConceptDemo!$C$19),0,IF(Backend!P129&lt;=Backend!$R$12,Backend!Q128+Backend!$T$12,IF(Backend!P129&lt;=Backend!$R$13,Backend!Q128+Backend!$T$13,IF(Backend!P129&lt;=Backend!$R$14,Backend!Q128+Backend!$T$14,IF(Backend!P129&lt;=Backend!$R$15,Backend!Q128+Backend!$T$15,IF(Backend!P129&lt;=Backend!$X$16,Backend!Q128+Backend!$Z$16))))))</f>
        <v>0</v>
      </c>
      <c r="R129" s="24" t="str">
        <f>IF(1&lt;=ConceptDemo!$K$41,IF(P129=$W$12,ConceptDemo!$K$39,""),"")</f>
        <v/>
      </c>
      <c r="S129" s="24" t="str">
        <f>IF(2&lt;=ConceptDemo!$K$41,IF(P129=$W$13,ConceptDemo!$K$39,""),"")</f>
        <v/>
      </c>
      <c r="T129" s="24" t="str">
        <f>IF(3&lt;=ConceptDemo!$K$41,IF(P129=$W$14,ConceptDemo!$K$39,""),"")</f>
        <v/>
      </c>
      <c r="U129" s="24" t="str">
        <f>IF(4&lt;=ConceptDemo!$K$41,IF(P129=$W$15,ConceptDemo!$K$39,""),"")</f>
        <v/>
      </c>
      <c r="W129" s="23">
        <f>IF($P129&lt;ConceptDemo!$C$17+$E$24-10,$G$27,0)</f>
        <v>0</v>
      </c>
      <c r="X129" s="23">
        <f>IF($P129&lt;ConceptDemo!$C$17+$E$24-10,$H$27,0)</f>
        <v>0</v>
      </c>
      <c r="Y129" s="13">
        <f t="shared" si="11"/>
        <v>0</v>
      </c>
      <c r="Z129" s="13">
        <f t="shared" si="12"/>
        <v>0</v>
      </c>
      <c r="AA129" s="13">
        <f t="shared" si="13"/>
        <v>0</v>
      </c>
      <c r="AB129" s="13">
        <f t="shared" si="14"/>
        <v>0</v>
      </c>
      <c r="AC129" s="23">
        <f t="shared" si="15"/>
        <v>0</v>
      </c>
      <c r="AD129" s="23">
        <f>IF(P129&lt;=ConceptDemo!$C$19,AD128+SUM(W129:AB129)-(Q129-Q128)-AC129,0)</f>
        <v>0</v>
      </c>
      <c r="AE129" s="23">
        <f>IF(ConceptDemo!$C$7=Backend!$A$2,AD129,IF(AE128&lt;&gt;AD128,IF(P129&lt;=ConceptDemo!$C$19,AE128+SUM(W129:AB129)-(Q129-Q128)-AC129,0),IF(P129=ConceptDemo!$C$40,ConceptDemo!$C$39,AD129)))</f>
        <v>0</v>
      </c>
      <c r="AF129" s="23">
        <f t="shared" si="17"/>
        <v>0</v>
      </c>
      <c r="AG129" s="23">
        <f t="shared" si="18"/>
        <v>0</v>
      </c>
      <c r="AH129" s="23">
        <f t="shared" si="16"/>
        <v>0</v>
      </c>
    </row>
    <row r="130" spans="1:34" x14ac:dyDescent="0.25">
      <c r="A130">
        <v>140</v>
      </c>
      <c r="B130">
        <v>20</v>
      </c>
      <c r="G130" s="10"/>
      <c r="I130" s="29"/>
      <c r="P130" s="16" t="str">
        <f>IFERROR(IF(P129+1=ConceptDemo!$C$19+10,"",Backend!P129+1),"")</f>
        <v/>
      </c>
      <c r="Q130" s="13">
        <f>IF(OR(P130&lt;ConceptDemo!$C$17,Backend!P130&gt;ConceptDemo!$C$19),0,IF(Backend!P130&lt;=Backend!$R$12,Backend!Q129+Backend!$T$12,IF(Backend!P130&lt;=Backend!$R$13,Backend!Q129+Backend!$T$13,IF(Backend!P130&lt;=Backend!$R$14,Backend!Q129+Backend!$T$14,IF(Backend!P130&lt;=Backend!$R$15,Backend!Q129+Backend!$T$15,IF(Backend!P130&lt;=Backend!$X$16,Backend!Q129+Backend!$Z$16))))))</f>
        <v>0</v>
      </c>
      <c r="R130" s="24" t="str">
        <f>IF(1&lt;=ConceptDemo!$K$41,IF(P130=$W$12,ConceptDemo!$K$39,""),"")</f>
        <v/>
      </c>
      <c r="S130" s="24" t="str">
        <f>IF(2&lt;=ConceptDemo!$K$41,IF(P130=$W$13,ConceptDemo!$K$39,""),"")</f>
        <v/>
      </c>
      <c r="T130" s="24" t="str">
        <f>IF(3&lt;=ConceptDemo!$K$41,IF(P130=$W$14,ConceptDemo!$K$39,""),"")</f>
        <v/>
      </c>
      <c r="U130" s="24" t="str">
        <f>IF(4&lt;=ConceptDemo!$K$41,IF(P130=$W$15,ConceptDemo!$K$39,""),"")</f>
        <v/>
      </c>
      <c r="W130" s="23">
        <f>IF($P130&lt;ConceptDemo!$C$17+$E$24-10,$G$27,0)</f>
        <v>0</v>
      </c>
      <c r="X130" s="23">
        <f>IF($P130&lt;ConceptDemo!$C$17+$E$24-10,$H$27,0)</f>
        <v>0</v>
      </c>
      <c r="Y130" s="13">
        <f t="shared" si="11"/>
        <v>0</v>
      </c>
      <c r="Z130" s="13">
        <f t="shared" si="12"/>
        <v>0</v>
      </c>
      <c r="AA130" s="13">
        <f t="shared" si="13"/>
        <v>0</v>
      </c>
      <c r="AB130" s="13">
        <f t="shared" si="14"/>
        <v>0</v>
      </c>
      <c r="AC130" s="23">
        <f t="shared" si="15"/>
        <v>0</v>
      </c>
      <c r="AD130" s="23">
        <f>IF(P130&lt;=ConceptDemo!$C$19,AD129+SUM(W130:AB130)-(Q130-Q129)-AC130,0)</f>
        <v>0</v>
      </c>
      <c r="AE130" s="23">
        <f>IF(ConceptDemo!$C$7=Backend!$A$2,AD130,IF(AE129&lt;&gt;AD129,IF(P130&lt;=ConceptDemo!$C$19,AE129+SUM(W130:AB130)-(Q130-Q129)-AC130,0),IF(P130=ConceptDemo!$C$40,ConceptDemo!$C$39,AD130)))</f>
        <v>0</v>
      </c>
      <c r="AF130" s="23">
        <f t="shared" si="17"/>
        <v>0</v>
      </c>
      <c r="AG130" s="23">
        <f t="shared" si="18"/>
        <v>0</v>
      </c>
      <c r="AH130" s="23">
        <f t="shared" si="16"/>
        <v>0</v>
      </c>
    </row>
    <row r="131" spans="1:34" x14ac:dyDescent="0.25">
      <c r="A131">
        <v>160</v>
      </c>
      <c r="B131">
        <v>0</v>
      </c>
      <c r="P131" s="16" t="str">
        <f>IFERROR(IF(P130+1=ConceptDemo!$C$19+10,"",Backend!P130+1),"")</f>
        <v/>
      </c>
      <c r="Q131" s="13">
        <f>IF(OR(P131&lt;ConceptDemo!$C$17,Backend!P131&gt;ConceptDemo!$C$19),0,IF(Backend!P131&lt;=Backend!$R$12,Backend!Q130+Backend!$T$12,IF(Backend!P131&lt;=Backend!$R$13,Backend!Q130+Backend!$T$13,IF(Backend!P131&lt;=Backend!$R$14,Backend!Q130+Backend!$T$14,IF(Backend!P131&lt;=Backend!$R$15,Backend!Q130+Backend!$T$15,IF(Backend!P131&lt;=Backend!$X$16,Backend!Q130+Backend!$Z$16))))))</f>
        <v>0</v>
      </c>
      <c r="R131" s="24" t="str">
        <f>IF(1&lt;=ConceptDemo!$K$41,IF(P131=$W$12,ConceptDemo!$K$39,""),"")</f>
        <v/>
      </c>
      <c r="S131" s="24" t="str">
        <f>IF(2&lt;=ConceptDemo!$K$41,IF(P131=$W$13,ConceptDemo!$K$39,""),"")</f>
        <v/>
      </c>
      <c r="T131" s="24" t="str">
        <f>IF(3&lt;=ConceptDemo!$K$41,IF(P131=$W$14,ConceptDemo!$K$39,""),"")</f>
        <v/>
      </c>
      <c r="U131" s="24" t="str">
        <f>IF(4&lt;=ConceptDemo!$K$41,IF(P131=$W$15,ConceptDemo!$K$39,""),"")</f>
        <v/>
      </c>
      <c r="W131" s="23">
        <f>IF($P131&lt;ConceptDemo!$C$17+$E$24-10,$G$27,0)</f>
        <v>0</v>
      </c>
      <c r="X131" s="23">
        <f>IF($P131&lt;ConceptDemo!$C$17+$E$24-10,$H$27,0)</f>
        <v>0</v>
      </c>
      <c r="Y131" s="13">
        <f t="shared" si="11"/>
        <v>0</v>
      </c>
      <c r="Z131" s="13">
        <f t="shared" si="12"/>
        <v>0</v>
      </c>
      <c r="AA131" s="13">
        <f t="shared" si="13"/>
        <v>0</v>
      </c>
      <c r="AB131" s="13">
        <f t="shared" si="14"/>
        <v>0</v>
      </c>
      <c r="AC131" s="23">
        <f t="shared" si="15"/>
        <v>0</v>
      </c>
      <c r="AD131" s="23">
        <f>IF(P131&lt;=ConceptDemo!$C$19,AD130+SUM(W131:AB131)-(Q131-Q130)-AC131,0)</f>
        <v>0</v>
      </c>
      <c r="AE131" s="23">
        <f>IF(ConceptDemo!$C$7=Backend!$A$2,AD131,IF(AE130&lt;&gt;AD130,IF(P131&lt;=ConceptDemo!$C$19,AE130+SUM(W131:AB131)-(Q131-Q130)-AC131,0),IF(P131=ConceptDemo!$C$40,ConceptDemo!$C$39,AD131)))</f>
        <v>0</v>
      </c>
      <c r="AF131" s="23">
        <f t="shared" si="17"/>
        <v>0</v>
      </c>
      <c r="AG131" s="23">
        <f t="shared" si="18"/>
        <v>0</v>
      </c>
      <c r="AH131" s="23">
        <f t="shared" si="16"/>
        <v>0</v>
      </c>
    </row>
    <row r="132" spans="1:34" x14ac:dyDescent="0.25">
      <c r="F132" s="29"/>
      <c r="P132" s="16" t="str">
        <f>IFERROR(IF(P131+1=ConceptDemo!$C$19+10,"",Backend!P131+1),"")</f>
        <v/>
      </c>
      <c r="Q132" s="13">
        <f>IF(OR(P132&lt;ConceptDemo!$C$17,Backend!P132&gt;ConceptDemo!$C$19),0,IF(Backend!P132&lt;=Backend!$R$12,Backend!Q131+Backend!$T$12,IF(Backend!P132&lt;=Backend!$R$13,Backend!Q131+Backend!$T$13,IF(Backend!P132&lt;=Backend!$R$14,Backend!Q131+Backend!$T$14,IF(Backend!P132&lt;=Backend!$R$15,Backend!Q131+Backend!$T$15,IF(Backend!P132&lt;=Backend!$X$16,Backend!Q131+Backend!$Z$16))))))</f>
        <v>0</v>
      </c>
      <c r="R132" s="24" t="str">
        <f>IF(1&lt;=ConceptDemo!$K$41,IF(P132=$W$12,ConceptDemo!$K$39,""),"")</f>
        <v/>
      </c>
      <c r="S132" s="24" t="str">
        <f>IF(2&lt;=ConceptDemo!$K$41,IF(P132=$W$13,ConceptDemo!$K$39,""),"")</f>
        <v/>
      </c>
      <c r="T132" s="24" t="str">
        <f>IF(3&lt;=ConceptDemo!$K$41,IF(P132=$W$14,ConceptDemo!$K$39,""),"")</f>
        <v/>
      </c>
      <c r="U132" s="24" t="str">
        <f>IF(4&lt;=ConceptDemo!$K$41,IF(P132=$W$15,ConceptDemo!$K$39,""),"")</f>
        <v/>
      </c>
      <c r="W132" s="23">
        <f>IF($P132&lt;ConceptDemo!$C$17+$E$24-10,$G$27,0)</f>
        <v>0</v>
      </c>
      <c r="X132" s="23">
        <f>IF($P132&lt;ConceptDemo!$C$17+$E$24-10,$H$27,0)</f>
        <v>0</v>
      </c>
      <c r="Y132" s="13">
        <f t="shared" si="11"/>
        <v>0</v>
      </c>
      <c r="Z132" s="13">
        <f t="shared" si="12"/>
        <v>0</v>
      </c>
      <c r="AA132" s="13">
        <f t="shared" si="13"/>
        <v>0</v>
      </c>
      <c r="AB132" s="13">
        <f t="shared" si="14"/>
        <v>0</v>
      </c>
      <c r="AC132" s="23">
        <f t="shared" si="15"/>
        <v>0</v>
      </c>
      <c r="AD132" s="23">
        <f>IF(P132&lt;=ConceptDemo!$C$19,AD131+SUM(W132:AB132)-(Q132-Q131)-AC132,0)</f>
        <v>0</v>
      </c>
      <c r="AE132" s="23">
        <f>IF(ConceptDemo!$C$7=Backend!$A$2,AD132,IF(AE131&lt;&gt;AD131,IF(P132&lt;=ConceptDemo!$C$19,AE131+SUM(W132:AB132)-(Q132-Q131)-AC132,0),IF(P132=ConceptDemo!$C$40,ConceptDemo!$C$39,AD132)))</f>
        <v>0</v>
      </c>
      <c r="AF132" s="23">
        <f t="shared" si="17"/>
        <v>0</v>
      </c>
      <c r="AG132" s="23">
        <f t="shared" si="18"/>
        <v>0</v>
      </c>
      <c r="AH132" s="23">
        <f t="shared" si="16"/>
        <v>0</v>
      </c>
    </row>
    <row r="133" spans="1:34" x14ac:dyDescent="0.25">
      <c r="A133" t="s">
        <v>101</v>
      </c>
      <c r="B133" s="24">
        <f>(-ConceptDemo!C37+160)*B123</f>
        <v>108000</v>
      </c>
      <c r="C133" t="s">
        <v>102</v>
      </c>
      <c r="E133" s="5" t="s">
        <v>113</v>
      </c>
      <c r="F133" s="21">
        <f>SUM(F134:F135)</f>
        <v>115714.28571428571</v>
      </c>
      <c r="G133" t="s">
        <v>102</v>
      </c>
      <c r="P133" s="16" t="str">
        <f>IFERROR(IF(P132+1=ConceptDemo!$C$19+10,"",Backend!P132+1),"")</f>
        <v/>
      </c>
      <c r="Q133" s="13">
        <f>IF(OR(P133&lt;ConceptDemo!$C$17,Backend!P133&gt;ConceptDemo!$C$19),0,IF(Backend!P133&lt;=Backend!$R$12,Backend!Q132+Backend!$T$12,IF(Backend!P133&lt;=Backend!$R$13,Backend!Q132+Backend!$T$13,IF(Backend!P133&lt;=Backend!$R$14,Backend!Q132+Backend!$T$14,IF(Backend!P133&lt;=Backend!$R$15,Backend!Q132+Backend!$T$15,IF(Backend!P133&lt;=Backend!$X$16,Backend!Q132+Backend!$Z$16))))))</f>
        <v>0</v>
      </c>
      <c r="R133" s="24" t="str">
        <f>IF(1&lt;=ConceptDemo!$K$41,IF(P133=$W$12,ConceptDemo!$K$39,""),"")</f>
        <v/>
      </c>
      <c r="S133" s="24" t="str">
        <f>IF(2&lt;=ConceptDemo!$K$41,IF(P133=$W$13,ConceptDemo!$K$39,""),"")</f>
        <v/>
      </c>
      <c r="T133" s="24" t="str">
        <f>IF(3&lt;=ConceptDemo!$K$41,IF(P133=$W$14,ConceptDemo!$K$39,""),"")</f>
        <v/>
      </c>
      <c r="U133" s="24" t="str">
        <f>IF(4&lt;=ConceptDemo!$K$41,IF(P133=$W$15,ConceptDemo!$K$39,""),"")</f>
        <v/>
      </c>
      <c r="W133" s="23">
        <f>IF($P133&lt;ConceptDemo!$C$17+$E$24-10,$G$27,0)</f>
        <v>0</v>
      </c>
      <c r="X133" s="23">
        <f>IF($P133&lt;ConceptDemo!$C$17+$E$24-10,$H$27,0)</f>
        <v>0</v>
      </c>
      <c r="Y133" s="13">
        <f t="shared" si="11"/>
        <v>0</v>
      </c>
      <c r="Z133" s="13">
        <f t="shared" si="12"/>
        <v>0</v>
      </c>
      <c r="AA133" s="13">
        <f t="shared" si="13"/>
        <v>0</v>
      </c>
      <c r="AB133" s="13">
        <f t="shared" si="14"/>
        <v>0</v>
      </c>
      <c r="AC133" s="23">
        <f t="shared" si="15"/>
        <v>0</v>
      </c>
      <c r="AD133" s="23">
        <f>IF(P133&lt;=ConceptDemo!$C$19,AD132+SUM(W133:AB133)-(Q133-Q132)-AC133,0)</f>
        <v>0</v>
      </c>
      <c r="AE133" s="23">
        <f>IF(ConceptDemo!$C$7=Backend!$A$2,AD133,IF(AE132&lt;&gt;AD132,IF(P133&lt;=ConceptDemo!$C$19,AE132+SUM(W133:AB133)-(Q133-Q132)-AC133,0),IF(P133=ConceptDemo!$C$40,ConceptDemo!$C$39,AD133)))</f>
        <v>0</v>
      </c>
      <c r="AF133" s="23">
        <f t="shared" si="17"/>
        <v>0</v>
      </c>
      <c r="AG133" s="23">
        <f t="shared" si="18"/>
        <v>0</v>
      </c>
      <c r="AH133" s="23">
        <f t="shared" si="16"/>
        <v>0</v>
      </c>
    </row>
    <row r="134" spans="1:34" x14ac:dyDescent="0.25">
      <c r="E134" t="s">
        <v>120</v>
      </c>
      <c r="F134" s="21">
        <f>I128*B117*1000</f>
        <v>109928.57142857142</v>
      </c>
      <c r="G134" t="s">
        <v>102</v>
      </c>
      <c r="P134" s="16" t="str">
        <f>IFERROR(IF(P133+1=ConceptDemo!$C$19+10,"",Backend!P133+1),"")</f>
        <v/>
      </c>
      <c r="Q134" s="13">
        <f>IF(OR(P134&lt;ConceptDemo!$C$17,Backend!P134&gt;ConceptDemo!$C$19),0,IF(Backend!P134&lt;=Backend!$R$12,Backend!Q133+Backend!$T$12,IF(Backend!P134&lt;=Backend!$R$13,Backend!Q133+Backend!$T$13,IF(Backend!P134&lt;=Backend!$R$14,Backend!Q133+Backend!$T$14,IF(Backend!P134&lt;=Backend!$R$15,Backend!Q133+Backend!$T$15,IF(Backend!P134&lt;=Backend!$X$16,Backend!Q133+Backend!$Z$16))))))</f>
        <v>0</v>
      </c>
      <c r="R134" s="24" t="str">
        <f>IF(1&lt;=ConceptDemo!$K$41,IF(P134=$W$12,ConceptDemo!$K$39,""),"")</f>
        <v/>
      </c>
      <c r="S134" s="24" t="str">
        <f>IF(2&lt;=ConceptDemo!$K$41,IF(P134=$W$13,ConceptDemo!$K$39,""),"")</f>
        <v/>
      </c>
      <c r="T134" s="24" t="str">
        <f>IF(3&lt;=ConceptDemo!$K$41,IF(P134=$W$14,ConceptDemo!$K$39,""),"")</f>
        <v/>
      </c>
      <c r="U134" s="24" t="str">
        <f>IF(4&lt;=ConceptDemo!$K$41,IF(P134=$W$15,ConceptDemo!$K$39,""),"")</f>
        <v/>
      </c>
      <c r="W134" s="23">
        <f>IF($P134&lt;ConceptDemo!$C$17+$E$24-10,$G$27,0)</f>
        <v>0</v>
      </c>
      <c r="X134" s="23">
        <f>IF($P134&lt;ConceptDemo!$C$17+$E$24-10,$H$27,0)</f>
        <v>0</v>
      </c>
      <c r="Y134" s="13">
        <f t="shared" si="11"/>
        <v>0</v>
      </c>
      <c r="Z134" s="13">
        <f t="shared" si="12"/>
        <v>0</v>
      </c>
      <c r="AA134" s="13">
        <f t="shared" si="13"/>
        <v>0</v>
      </c>
      <c r="AB134" s="13">
        <f t="shared" si="14"/>
        <v>0</v>
      </c>
      <c r="AC134" s="23">
        <f t="shared" si="15"/>
        <v>0</v>
      </c>
      <c r="AD134" s="23">
        <f>IF(P134&lt;=ConceptDemo!$C$19,AD133+SUM(W134:AB134)-(Q134-Q133)-AC134,0)</f>
        <v>0</v>
      </c>
      <c r="AE134" s="23">
        <f>IF(ConceptDemo!$C$7=Backend!$A$2,AD134,IF(AE133&lt;&gt;AD133,IF(P134&lt;=ConceptDemo!$C$19,AE133+SUM(W134:AB134)-(Q134-Q133)-AC134,0),IF(P134=ConceptDemo!$C$40,ConceptDemo!$C$39,AD134)))</f>
        <v>0</v>
      </c>
      <c r="AF134" s="23">
        <f t="shared" si="17"/>
        <v>0</v>
      </c>
      <c r="AG134" s="23">
        <f t="shared" si="18"/>
        <v>0</v>
      </c>
      <c r="AH134" s="23">
        <f t="shared" si="16"/>
        <v>0</v>
      </c>
    </row>
    <row r="135" spans="1:34" x14ac:dyDescent="0.25">
      <c r="E135" t="s">
        <v>121</v>
      </c>
      <c r="F135" s="21">
        <f>I128*(B116-B117)*1000</f>
        <v>5785.7142857142844</v>
      </c>
      <c r="G135" t="s">
        <v>102</v>
      </c>
      <c r="P135" s="16" t="str">
        <f>IFERROR(IF(P134+1=ConceptDemo!$C$19+10,"",Backend!P134+1),"")</f>
        <v/>
      </c>
      <c r="Q135" s="13">
        <f>IF(OR(P135&lt;ConceptDemo!$C$17,Backend!P135&gt;ConceptDemo!$C$19),0,IF(Backend!P135&lt;=Backend!$R$12,Backend!Q134+Backend!$T$12,IF(Backend!P135&lt;=Backend!$R$13,Backend!Q134+Backend!$T$13,IF(Backend!P135&lt;=Backend!$R$14,Backend!Q134+Backend!$T$14,IF(Backend!P135&lt;=Backend!$R$15,Backend!Q134+Backend!$T$15,IF(Backend!P135&lt;=Backend!$X$16,Backend!Q134+Backend!$Z$16))))))</f>
        <v>0</v>
      </c>
      <c r="R135" s="24" t="str">
        <f>IF(1&lt;=ConceptDemo!$K$41,IF(P135=$W$12,ConceptDemo!$K$39,""),"")</f>
        <v/>
      </c>
      <c r="S135" s="24" t="str">
        <f>IF(2&lt;=ConceptDemo!$K$41,IF(P135=$W$13,ConceptDemo!$K$39,""),"")</f>
        <v/>
      </c>
      <c r="T135" s="24" t="str">
        <f>IF(3&lt;=ConceptDemo!$K$41,IF(P135=$W$14,ConceptDemo!$K$39,""),"")</f>
        <v/>
      </c>
      <c r="U135" s="24" t="str">
        <f>IF(4&lt;=ConceptDemo!$K$41,IF(P135=$W$15,ConceptDemo!$K$39,""),"")</f>
        <v/>
      </c>
      <c r="W135" s="23">
        <f>IF($P135&lt;ConceptDemo!$C$17+$E$24-10,$G$27,0)</f>
        <v>0</v>
      </c>
      <c r="X135" s="23">
        <f>IF($P135&lt;ConceptDemo!$C$17+$E$24-10,$H$27,0)</f>
        <v>0</v>
      </c>
      <c r="Y135" s="13">
        <f t="shared" si="11"/>
        <v>0</v>
      </c>
      <c r="Z135" s="13">
        <f t="shared" si="12"/>
        <v>0</v>
      </c>
      <c r="AA135" s="13">
        <f t="shared" si="13"/>
        <v>0</v>
      </c>
      <c r="AB135" s="13">
        <f t="shared" si="14"/>
        <v>0</v>
      </c>
      <c r="AC135" s="23">
        <f t="shared" si="15"/>
        <v>0</v>
      </c>
      <c r="AD135" s="23">
        <f>IF(P135&lt;=ConceptDemo!$C$19,AD134+SUM(W135:AB135)-(Q135-Q134)-AC135,0)</f>
        <v>0</v>
      </c>
      <c r="AE135" s="23">
        <f>IF(ConceptDemo!$C$7=Backend!$A$2,AD135,IF(AE134&lt;&gt;AD134,IF(P135&lt;=ConceptDemo!$C$19,AE134+SUM(W135:AB135)-(Q135-Q134)-AC135,0),IF(P135=ConceptDemo!$C$40,ConceptDemo!$C$39,AD135)))</f>
        <v>0</v>
      </c>
      <c r="AF135" s="23">
        <f t="shared" si="17"/>
        <v>0</v>
      </c>
      <c r="AG135" s="23">
        <f t="shared" si="18"/>
        <v>0</v>
      </c>
      <c r="AH135" s="23">
        <f t="shared" si="16"/>
        <v>0</v>
      </c>
    </row>
    <row r="136" spans="1:34" x14ac:dyDescent="0.25">
      <c r="F136" s="20"/>
      <c r="P136" s="16" t="str">
        <f>IFERROR(IF(P135+1=ConceptDemo!$C$19+10,"",Backend!P135+1),"")</f>
        <v/>
      </c>
      <c r="Q136" s="13">
        <f>IF(OR(P136&lt;ConceptDemo!$C$17,Backend!P136&gt;ConceptDemo!$C$19),0,IF(Backend!P136&lt;=Backend!$R$12,Backend!Q135+Backend!$T$12,IF(Backend!P136&lt;=Backend!$R$13,Backend!Q135+Backend!$T$13,IF(Backend!P136&lt;=Backend!$R$14,Backend!Q135+Backend!$T$14,IF(Backend!P136&lt;=Backend!$R$15,Backend!Q135+Backend!$T$15,IF(Backend!P136&lt;=Backend!$X$16,Backend!Q135+Backend!$Z$16))))))</f>
        <v>0</v>
      </c>
      <c r="R136" s="24" t="str">
        <f>IF(1&lt;=ConceptDemo!$K$41,IF(P136=$W$12,ConceptDemo!$K$39,""),"")</f>
        <v/>
      </c>
      <c r="S136" s="24" t="str">
        <f>IF(2&lt;=ConceptDemo!$K$41,IF(P136=$W$13,ConceptDemo!$K$39,""),"")</f>
        <v/>
      </c>
      <c r="T136" s="24" t="str">
        <f>IF(3&lt;=ConceptDemo!$K$41,IF(P136=$W$14,ConceptDemo!$K$39,""),"")</f>
        <v/>
      </c>
      <c r="U136" s="24" t="str">
        <f>IF(4&lt;=ConceptDemo!$K$41,IF(P136=$W$15,ConceptDemo!$K$39,""),"")</f>
        <v/>
      </c>
      <c r="W136" s="23">
        <f>IF($P136&lt;ConceptDemo!$C$17+$E$24-10,$G$27,0)</f>
        <v>0</v>
      </c>
      <c r="X136" s="23">
        <f>IF($P136&lt;ConceptDemo!$C$17+$E$24-10,$H$27,0)</f>
        <v>0</v>
      </c>
      <c r="Y136" s="13">
        <f t="shared" si="11"/>
        <v>0</v>
      </c>
      <c r="Z136" s="13">
        <f t="shared" si="12"/>
        <v>0</v>
      </c>
      <c r="AA136" s="13">
        <f t="shared" si="13"/>
        <v>0</v>
      </c>
      <c r="AB136" s="13">
        <f t="shared" si="14"/>
        <v>0</v>
      </c>
      <c r="AC136" s="23">
        <f t="shared" si="15"/>
        <v>0</v>
      </c>
      <c r="AD136" s="23">
        <f>IF(P136&lt;=ConceptDemo!$C$19,AD135+SUM(W136:AB136)-(Q136-Q135)-AC136,0)</f>
        <v>0</v>
      </c>
      <c r="AE136" s="23">
        <f>IF(ConceptDemo!$C$7=Backend!$A$2,AD136,IF(AE135&lt;&gt;AD135,IF(P136&lt;=ConceptDemo!$C$19,AE135+SUM(W136:AB136)-(Q136-Q135)-AC136,0),IF(P136=ConceptDemo!$C$40,ConceptDemo!$C$39,AD136)))</f>
        <v>0</v>
      </c>
      <c r="AF136" s="23">
        <f t="shared" si="17"/>
        <v>0</v>
      </c>
      <c r="AG136" s="23">
        <f t="shared" si="18"/>
        <v>0</v>
      </c>
      <c r="AH136" s="23">
        <f t="shared" si="16"/>
        <v>0</v>
      </c>
    </row>
    <row r="137" spans="1:34" x14ac:dyDescent="0.25">
      <c r="P137" s="16" t="str">
        <f>IFERROR(IF(P136+1=ConceptDemo!$C$19+10,"",Backend!P136+1),"")</f>
        <v/>
      </c>
      <c r="Q137" s="13">
        <f>IF(OR(P137&lt;ConceptDemo!$C$17,Backend!P137&gt;ConceptDemo!$C$19),0,IF(Backend!P137&lt;=Backend!$R$12,Backend!Q136+Backend!$T$12,IF(Backend!P137&lt;=Backend!$R$13,Backend!Q136+Backend!$T$13,IF(Backend!P137&lt;=Backend!$R$14,Backend!Q136+Backend!$T$14,IF(Backend!P137&lt;=Backend!$R$15,Backend!Q136+Backend!$T$15,IF(Backend!P137&lt;=Backend!$X$16,Backend!Q136+Backend!$Z$16))))))</f>
        <v>0</v>
      </c>
      <c r="R137" s="24" t="str">
        <f>IF(1&lt;=ConceptDemo!$K$41,IF(P137=$W$12,ConceptDemo!$K$39,""),"")</f>
        <v/>
      </c>
      <c r="S137" s="24" t="str">
        <f>IF(2&lt;=ConceptDemo!$K$41,IF(P137=$W$13,ConceptDemo!$K$39,""),"")</f>
        <v/>
      </c>
      <c r="T137" s="24" t="str">
        <f>IF(3&lt;=ConceptDemo!$K$41,IF(P137=$W$14,ConceptDemo!$K$39,""),"")</f>
        <v/>
      </c>
      <c r="U137" s="24" t="str">
        <f>IF(4&lt;=ConceptDemo!$K$41,IF(P137=$W$15,ConceptDemo!$K$39,""),"")</f>
        <v/>
      </c>
      <c r="W137" s="23">
        <f>IF($P137&lt;ConceptDemo!$C$17+$E$24-10,$G$27,0)</f>
        <v>0</v>
      </c>
      <c r="X137" s="23">
        <f>IF($P137&lt;ConceptDemo!$C$17+$E$24-10,$H$27,0)</f>
        <v>0</v>
      </c>
      <c r="Y137" s="13">
        <f t="shared" si="11"/>
        <v>0</v>
      </c>
      <c r="Z137" s="13">
        <f t="shared" si="12"/>
        <v>0</v>
      </c>
      <c r="AA137" s="13">
        <f t="shared" si="13"/>
        <v>0</v>
      </c>
      <c r="AB137" s="13">
        <f t="shared" si="14"/>
        <v>0</v>
      </c>
      <c r="AC137" s="23">
        <f t="shared" si="15"/>
        <v>0</v>
      </c>
      <c r="AD137" s="23">
        <f>IF(P137&lt;=ConceptDemo!$C$19,AD136+SUM(W137:AB137)-(Q137-Q136)-AC137,0)</f>
        <v>0</v>
      </c>
      <c r="AE137" s="23">
        <f>IF(ConceptDemo!$C$7=Backend!$A$2,AD137,IF(AE136&lt;&gt;AD136,IF(P137&lt;=ConceptDemo!$C$19,AE136+SUM(W137:AB137)-(Q137-Q136)-AC137,0),IF(P137=ConceptDemo!$C$40,ConceptDemo!$C$39,AD137)))</f>
        <v>0</v>
      </c>
      <c r="AF137" s="23">
        <f t="shared" si="17"/>
        <v>0</v>
      </c>
      <c r="AG137" s="23">
        <f t="shared" si="18"/>
        <v>0</v>
      </c>
      <c r="AH137" s="23">
        <f t="shared" si="16"/>
        <v>0</v>
      </c>
    </row>
    <row r="138" spans="1:34" x14ac:dyDescent="0.25">
      <c r="P138" s="16" t="str">
        <f>IFERROR(IF(P137+1=ConceptDemo!$C$19+10,"",Backend!P137+1),"")</f>
        <v/>
      </c>
      <c r="Q138" s="13">
        <f>IF(OR(P138&lt;ConceptDemo!$C$17,Backend!P138&gt;ConceptDemo!$C$19),0,IF(Backend!P138&lt;=Backend!$R$12,Backend!Q137+Backend!$T$12,IF(Backend!P138&lt;=Backend!$R$13,Backend!Q137+Backend!$T$13,IF(Backend!P138&lt;=Backend!$R$14,Backend!Q137+Backend!$T$14,IF(Backend!P138&lt;=Backend!$R$15,Backend!Q137+Backend!$T$15,IF(Backend!P138&lt;=Backend!$X$16,Backend!Q137+Backend!$Z$16))))))</f>
        <v>0</v>
      </c>
      <c r="R138" s="24" t="str">
        <f>IF(1&lt;=ConceptDemo!$K$41,IF(P138=$W$12,ConceptDemo!$K$39,""),"")</f>
        <v/>
      </c>
      <c r="S138" s="24" t="str">
        <f>IF(2&lt;=ConceptDemo!$K$41,IF(P138=$W$13,ConceptDemo!$K$39,""),"")</f>
        <v/>
      </c>
      <c r="T138" s="24" t="str">
        <f>IF(3&lt;=ConceptDemo!$K$41,IF(P138=$W$14,ConceptDemo!$K$39,""),"")</f>
        <v/>
      </c>
      <c r="U138" s="24" t="str">
        <f>IF(4&lt;=ConceptDemo!$K$41,IF(P138=$W$15,ConceptDemo!$K$39,""),"")</f>
        <v/>
      </c>
      <c r="W138" s="23">
        <f>IF($P138&lt;ConceptDemo!$C$17+$E$24-10,$G$27,0)</f>
        <v>0</v>
      </c>
      <c r="X138" s="23">
        <f>IF($P138&lt;ConceptDemo!$C$17+$E$24-10,$H$27,0)</f>
        <v>0</v>
      </c>
      <c r="Y138" s="13">
        <f t="shared" si="11"/>
        <v>0</v>
      </c>
      <c r="Z138" s="13">
        <f t="shared" si="12"/>
        <v>0</v>
      </c>
      <c r="AA138" s="13">
        <f t="shared" si="13"/>
        <v>0</v>
      </c>
      <c r="AB138" s="13">
        <f t="shared" si="14"/>
        <v>0</v>
      </c>
      <c r="AC138" s="23">
        <f t="shared" si="15"/>
        <v>0</v>
      </c>
      <c r="AD138" s="23">
        <f>IF(P138&lt;=ConceptDemo!$C$19,AD137+SUM(W138:AB138)-(Q138-Q137)-AC138,0)</f>
        <v>0</v>
      </c>
      <c r="AE138" s="23">
        <f>IF(ConceptDemo!$C$7=Backend!$A$2,AD138,IF(AE137&lt;&gt;AD137,IF(P138&lt;=ConceptDemo!$C$19,AE137+SUM(W138:AB138)-(Q138-Q137)-AC138,0),IF(P138=ConceptDemo!$C$40,ConceptDemo!$C$39,AD138)))</f>
        <v>0</v>
      </c>
      <c r="AF138" s="23">
        <f t="shared" si="17"/>
        <v>0</v>
      </c>
      <c r="AG138" s="23">
        <f t="shared" si="18"/>
        <v>0</v>
      </c>
      <c r="AH138" s="23">
        <f t="shared" si="16"/>
        <v>0</v>
      </c>
    </row>
    <row r="139" spans="1:34" x14ac:dyDescent="0.25">
      <c r="P139" s="16" t="str">
        <f>IFERROR(IF(P138+1=ConceptDemo!$C$19+10,"",Backend!P138+1),"")</f>
        <v/>
      </c>
      <c r="Q139" s="13">
        <f>IF(OR(P139&lt;ConceptDemo!$C$17,Backend!P139&gt;ConceptDemo!$C$19),0,IF(Backend!P139&lt;=Backend!$R$12,Backend!Q138+Backend!$T$12,IF(Backend!P139&lt;=Backend!$R$13,Backend!Q138+Backend!$T$13,IF(Backend!P139&lt;=Backend!$R$14,Backend!Q138+Backend!$T$14,IF(Backend!P139&lt;=Backend!$R$15,Backend!Q138+Backend!$T$15,IF(Backend!P139&lt;=Backend!$X$16,Backend!Q138+Backend!$Z$16))))))</f>
        <v>0</v>
      </c>
      <c r="R139" s="24" t="str">
        <f>IF(1&lt;=ConceptDemo!$K$41,IF(P139=$W$12,ConceptDemo!$K$39,""),"")</f>
        <v/>
      </c>
      <c r="S139" s="24" t="str">
        <f>IF(2&lt;=ConceptDemo!$K$41,IF(P139=$W$13,ConceptDemo!$K$39,""),"")</f>
        <v/>
      </c>
      <c r="T139" s="24" t="str">
        <f>IF(3&lt;=ConceptDemo!$K$41,IF(P139=$W$14,ConceptDemo!$K$39,""),"")</f>
        <v/>
      </c>
      <c r="U139" s="24" t="str">
        <f>IF(4&lt;=ConceptDemo!$K$41,IF(P139=$W$15,ConceptDemo!$K$39,""),"")</f>
        <v/>
      </c>
      <c r="W139" s="23">
        <f>IF($P139&lt;ConceptDemo!$C$17+$E$24-10,$G$27,0)</f>
        <v>0</v>
      </c>
      <c r="X139" s="23">
        <f>IF($P139&lt;ConceptDemo!$C$17+$E$24-10,$H$27,0)</f>
        <v>0</v>
      </c>
      <c r="Y139" s="13">
        <f t="shared" si="11"/>
        <v>0</v>
      </c>
      <c r="Z139" s="13">
        <f t="shared" si="12"/>
        <v>0</v>
      </c>
      <c r="AA139" s="13">
        <f t="shared" si="13"/>
        <v>0</v>
      </c>
      <c r="AB139" s="13">
        <f t="shared" si="14"/>
        <v>0</v>
      </c>
      <c r="AC139" s="23">
        <f t="shared" si="15"/>
        <v>0</v>
      </c>
      <c r="AD139" s="23">
        <f>IF(P139&lt;=ConceptDemo!$C$19,AD138+SUM(W139:AB139)-(Q139-Q138)-AC139,0)</f>
        <v>0</v>
      </c>
      <c r="AE139" s="23">
        <f>IF(ConceptDemo!$C$7=Backend!$A$2,AD139,IF(AE138&lt;&gt;AD138,IF(P139&lt;=ConceptDemo!$C$19,AE138+SUM(W139:AB139)-(Q139-Q138)-AC139,0),IF(P139=ConceptDemo!$C$40,ConceptDemo!$C$39,AD139)))</f>
        <v>0</v>
      </c>
      <c r="AF139" s="23">
        <f t="shared" si="17"/>
        <v>0</v>
      </c>
      <c r="AG139" s="23">
        <f t="shared" si="18"/>
        <v>0</v>
      </c>
      <c r="AH139" s="23">
        <f t="shared" si="16"/>
        <v>0</v>
      </c>
    </row>
    <row r="140" spans="1:34" x14ac:dyDescent="0.25">
      <c r="P140" s="16" t="str">
        <f>IFERROR(IF(P139+1=ConceptDemo!$C$19+10,"",Backend!P139+1),"")</f>
        <v/>
      </c>
      <c r="Q140" s="13">
        <f>IF(OR(P140&lt;ConceptDemo!$C$17,Backend!P140&gt;ConceptDemo!$C$19),0,IF(Backend!P140&lt;=Backend!$R$12,Backend!Q139+Backend!$T$12,IF(Backend!P140&lt;=Backend!$R$13,Backend!Q139+Backend!$T$13,IF(Backend!P140&lt;=Backend!$R$14,Backend!Q139+Backend!$T$14,IF(Backend!P140&lt;=Backend!$R$15,Backend!Q139+Backend!$T$15,IF(Backend!P140&lt;=Backend!$X$16,Backend!Q139+Backend!$Z$16))))))</f>
        <v>0</v>
      </c>
      <c r="R140" s="24" t="str">
        <f>IF(1&lt;=ConceptDemo!$K$41,IF(P140=$W$12,ConceptDemo!$K$39,""),"")</f>
        <v/>
      </c>
      <c r="S140" s="24" t="str">
        <f>IF(2&lt;=ConceptDemo!$K$41,IF(P140=$W$13,ConceptDemo!$K$39,""),"")</f>
        <v/>
      </c>
      <c r="T140" s="24" t="str">
        <f>IF(3&lt;=ConceptDemo!$K$41,IF(P140=$W$14,ConceptDemo!$K$39,""),"")</f>
        <v/>
      </c>
      <c r="U140" s="24" t="str">
        <f>IF(4&lt;=ConceptDemo!$K$41,IF(P140=$W$15,ConceptDemo!$K$39,""),"")</f>
        <v/>
      </c>
      <c r="W140" s="23">
        <f>IF($P140&lt;ConceptDemo!$C$17+$E$24-10,$G$27,0)</f>
        <v>0</v>
      </c>
      <c r="X140" s="23">
        <f>IF($P140&lt;ConceptDemo!$C$17+$E$24-10,$H$27,0)</f>
        <v>0</v>
      </c>
      <c r="Y140" s="13">
        <f t="shared" si="11"/>
        <v>0</v>
      </c>
      <c r="Z140" s="13">
        <f t="shared" si="12"/>
        <v>0</v>
      </c>
      <c r="AA140" s="13">
        <f t="shared" si="13"/>
        <v>0</v>
      </c>
      <c r="AB140" s="13">
        <f t="shared" si="14"/>
        <v>0</v>
      </c>
      <c r="AC140" s="23">
        <f t="shared" si="15"/>
        <v>0</v>
      </c>
      <c r="AD140" s="23">
        <f>IF(P140&lt;=ConceptDemo!$C$19,AD139+SUM(W140:AB140)-(Q140-Q139)-AC140,0)</f>
        <v>0</v>
      </c>
      <c r="AE140" s="23">
        <f>IF(ConceptDemo!$C$7=Backend!$A$2,AD140,IF(AE139&lt;&gt;AD139,IF(P140&lt;=ConceptDemo!$C$19,AE139+SUM(W140:AB140)-(Q140-Q139)-AC140,0),IF(P140=ConceptDemo!$C$40,ConceptDemo!$C$39,AD140)))</f>
        <v>0</v>
      </c>
      <c r="AF140" s="23">
        <f t="shared" si="17"/>
        <v>0</v>
      </c>
      <c r="AG140" s="23">
        <f t="shared" si="18"/>
        <v>0</v>
      </c>
      <c r="AH140" s="23">
        <f t="shared" si="16"/>
        <v>0</v>
      </c>
    </row>
    <row r="141" spans="1:34" x14ac:dyDescent="0.25">
      <c r="P141" s="16" t="str">
        <f>IFERROR(IF(P140+1=ConceptDemo!$C$19+10,"",Backend!P140+1),"")</f>
        <v/>
      </c>
      <c r="Q141" s="13">
        <f>IF(OR(P141&lt;ConceptDemo!$C$17,Backend!P141&gt;ConceptDemo!$C$19),0,IF(Backend!P141&lt;=Backend!$R$12,Backend!Q140+Backend!$T$12,IF(Backend!P141&lt;=Backend!$R$13,Backend!Q140+Backend!$T$13,IF(Backend!P141&lt;=Backend!$R$14,Backend!Q140+Backend!$T$14,IF(Backend!P141&lt;=Backend!$R$15,Backend!Q140+Backend!$T$15,IF(Backend!P141&lt;=Backend!$X$16,Backend!Q140+Backend!$Z$16))))))</f>
        <v>0</v>
      </c>
      <c r="R141" s="24" t="str">
        <f>IF(1&lt;=ConceptDemo!$K$41,IF(P141=$W$12,ConceptDemo!$K$39,""),"")</f>
        <v/>
      </c>
      <c r="S141" s="24" t="str">
        <f>IF(2&lt;=ConceptDemo!$K$41,IF(P141=$W$13,ConceptDemo!$K$39,""),"")</f>
        <v/>
      </c>
      <c r="T141" s="24" t="str">
        <f>IF(3&lt;=ConceptDemo!$K$41,IF(P141=$W$14,ConceptDemo!$K$39,""),"")</f>
        <v/>
      </c>
      <c r="U141" s="24" t="str">
        <f>IF(4&lt;=ConceptDemo!$K$41,IF(P141=$W$15,ConceptDemo!$K$39,""),"")</f>
        <v/>
      </c>
      <c r="W141" s="23">
        <f>IF($P141&lt;ConceptDemo!$C$17+$E$24-10,$G$27,0)</f>
        <v>0</v>
      </c>
      <c r="X141" s="23">
        <f>IF($P141&lt;ConceptDemo!$C$17+$E$24-10,$H$27,0)</f>
        <v>0</v>
      </c>
      <c r="Y141" s="13">
        <f t="shared" si="11"/>
        <v>0</v>
      </c>
      <c r="Z141" s="13">
        <f t="shared" si="12"/>
        <v>0</v>
      </c>
      <c r="AA141" s="13">
        <f t="shared" si="13"/>
        <v>0</v>
      </c>
      <c r="AB141" s="13">
        <f t="shared" si="14"/>
        <v>0</v>
      </c>
      <c r="AC141" s="23">
        <f t="shared" si="15"/>
        <v>0</v>
      </c>
      <c r="AD141" s="23">
        <f>IF(P141&lt;=ConceptDemo!$C$19,AD140+SUM(W141:AB141)-(Q141-Q140)-AC141,0)</f>
        <v>0</v>
      </c>
      <c r="AE141" s="23">
        <f>IF(ConceptDemo!$C$7=Backend!$A$2,AD141,IF(AE140&lt;&gt;AD140,IF(P141&lt;=ConceptDemo!$C$19,AE140+SUM(W141:AB141)-(Q141-Q140)-AC141,0),IF(P141=ConceptDemo!$C$40,ConceptDemo!$C$39,AD141)))</f>
        <v>0</v>
      </c>
      <c r="AF141" s="23">
        <f t="shared" si="17"/>
        <v>0</v>
      </c>
      <c r="AG141" s="23">
        <f t="shared" si="18"/>
        <v>0</v>
      </c>
      <c r="AH141" s="23">
        <f t="shared" si="16"/>
        <v>0</v>
      </c>
    </row>
    <row r="142" spans="1:34" x14ac:dyDescent="0.25">
      <c r="P142" s="16" t="str">
        <f>IFERROR(IF(P141+1=ConceptDemo!$C$19+10,"",Backend!P141+1),"")</f>
        <v/>
      </c>
      <c r="Q142" s="13">
        <f>IF(OR(P142&lt;ConceptDemo!$C$17,Backend!P142&gt;ConceptDemo!$C$19),0,IF(Backend!P142&lt;=Backend!$R$12,Backend!Q141+Backend!$T$12,IF(Backend!P142&lt;=Backend!$R$13,Backend!Q141+Backend!$T$13,IF(Backend!P142&lt;=Backend!$R$14,Backend!Q141+Backend!$T$14,IF(Backend!P142&lt;=Backend!$R$15,Backend!Q141+Backend!$T$15,IF(Backend!P142&lt;=Backend!$X$16,Backend!Q141+Backend!$Z$16))))))</f>
        <v>0</v>
      </c>
      <c r="R142" s="24" t="str">
        <f>IF(1&lt;=ConceptDemo!$K$41,IF(P142=$W$12,ConceptDemo!$K$39,""),"")</f>
        <v/>
      </c>
      <c r="S142" s="24" t="str">
        <f>IF(2&lt;=ConceptDemo!$K$41,IF(P142=$W$13,ConceptDemo!$K$39,""),"")</f>
        <v/>
      </c>
      <c r="T142" s="24" t="str">
        <f>IF(3&lt;=ConceptDemo!$K$41,IF(P142=$W$14,ConceptDemo!$K$39,""),"")</f>
        <v/>
      </c>
      <c r="U142" s="24" t="str">
        <f>IF(4&lt;=ConceptDemo!$K$41,IF(P142=$W$15,ConceptDemo!$K$39,""),"")</f>
        <v/>
      </c>
      <c r="W142" s="23">
        <f>IF($P142&lt;ConceptDemo!$C$17+$E$24-10,$G$27,0)</f>
        <v>0</v>
      </c>
      <c r="X142" s="23">
        <f>IF($P142&lt;ConceptDemo!$C$17+$E$24-10,$H$27,0)</f>
        <v>0</v>
      </c>
      <c r="Y142" s="13">
        <f t="shared" si="11"/>
        <v>0</v>
      </c>
      <c r="Z142" s="13">
        <f t="shared" si="12"/>
        <v>0</v>
      </c>
      <c r="AA142" s="13">
        <f t="shared" si="13"/>
        <v>0</v>
      </c>
      <c r="AB142" s="13">
        <f t="shared" si="14"/>
        <v>0</v>
      </c>
      <c r="AC142" s="23">
        <f t="shared" si="15"/>
        <v>0</v>
      </c>
      <c r="AD142" s="23">
        <f>IF(P142&lt;=ConceptDemo!$C$19,AD141+SUM(W142:AB142)-(Q142-Q141)-AC142,0)</f>
        <v>0</v>
      </c>
      <c r="AE142" s="23">
        <f>IF(ConceptDemo!$C$7=Backend!$A$2,AD142,IF(AE141&lt;&gt;AD141,IF(P142&lt;=ConceptDemo!$C$19,AE141+SUM(W142:AB142)-(Q142-Q141)-AC142,0),IF(P142=ConceptDemo!$C$40,ConceptDemo!$C$39,AD142)))</f>
        <v>0</v>
      </c>
      <c r="AF142" s="23">
        <f t="shared" si="17"/>
        <v>0</v>
      </c>
      <c r="AG142" s="23">
        <f t="shared" si="18"/>
        <v>0</v>
      </c>
      <c r="AH142" s="23">
        <f t="shared" si="16"/>
        <v>0</v>
      </c>
    </row>
    <row r="143" spans="1:34" x14ac:dyDescent="0.25">
      <c r="P143" s="16" t="str">
        <f>IFERROR(IF(P142+1=ConceptDemo!$C$19+10,"",Backend!P142+1),"")</f>
        <v/>
      </c>
      <c r="Q143" s="13">
        <f>IF(OR(P143&lt;ConceptDemo!$C$17,Backend!P143&gt;ConceptDemo!$C$19),0,IF(Backend!P143&lt;=Backend!$R$12,Backend!Q142+Backend!$T$12,IF(Backend!P143&lt;=Backend!$R$13,Backend!Q142+Backend!$T$13,IF(Backend!P143&lt;=Backend!$R$14,Backend!Q142+Backend!$T$14,IF(Backend!P143&lt;=Backend!$R$15,Backend!Q142+Backend!$T$15,IF(Backend!P143&lt;=Backend!$X$16,Backend!Q142+Backend!$Z$16))))))</f>
        <v>0</v>
      </c>
      <c r="R143" s="24" t="str">
        <f>IF(1&lt;=ConceptDemo!$K$41,IF(P143=$W$12,ConceptDemo!$K$39,""),"")</f>
        <v/>
      </c>
      <c r="S143" s="24" t="str">
        <f>IF(2&lt;=ConceptDemo!$K$41,IF(P143=$W$13,ConceptDemo!$K$39,""),"")</f>
        <v/>
      </c>
      <c r="T143" s="24" t="str">
        <f>IF(3&lt;=ConceptDemo!$K$41,IF(P143=$W$14,ConceptDemo!$K$39,""),"")</f>
        <v/>
      </c>
      <c r="U143" s="24" t="str">
        <f>IF(4&lt;=ConceptDemo!$K$41,IF(P143=$W$15,ConceptDemo!$K$39,""),"")</f>
        <v/>
      </c>
      <c r="W143" s="23">
        <f>IF($P143&lt;ConceptDemo!$C$17+$E$24-10,$G$27,0)</f>
        <v>0</v>
      </c>
      <c r="X143" s="23">
        <f>IF($P143&lt;ConceptDemo!$C$17+$E$24-10,$H$27,0)</f>
        <v>0</v>
      </c>
      <c r="Y143" s="13">
        <f t="shared" si="11"/>
        <v>0</v>
      </c>
      <c r="Z143" s="13">
        <f t="shared" si="12"/>
        <v>0</v>
      </c>
      <c r="AA143" s="13">
        <f t="shared" si="13"/>
        <v>0</v>
      </c>
      <c r="AB143" s="13">
        <f t="shared" si="14"/>
        <v>0</v>
      </c>
      <c r="AC143" s="23">
        <f t="shared" si="15"/>
        <v>0</v>
      </c>
      <c r="AD143" s="23">
        <f>IF(P143&lt;=ConceptDemo!$C$19,AD142+SUM(W143:AB143)-(Q143-Q142)-AC143,0)</f>
        <v>0</v>
      </c>
      <c r="AE143" s="23">
        <f>IF(ConceptDemo!$C$7=Backend!$A$2,AD143,IF(AE142&lt;&gt;AD142,IF(P143&lt;=ConceptDemo!$C$19,AE142+SUM(W143:AB143)-(Q143-Q142)-AC143,0),IF(P143=ConceptDemo!$C$40,ConceptDemo!$C$39,AD143)))</f>
        <v>0</v>
      </c>
      <c r="AF143" s="23">
        <f t="shared" si="17"/>
        <v>0</v>
      </c>
      <c r="AG143" s="23">
        <f t="shared" si="18"/>
        <v>0</v>
      </c>
      <c r="AH143" s="23">
        <f t="shared" si="16"/>
        <v>0</v>
      </c>
    </row>
    <row r="144" spans="1:34" x14ac:dyDescent="0.25">
      <c r="P144" s="16" t="str">
        <f>IFERROR(IF(P143+1=ConceptDemo!$C$19+10,"",Backend!P143+1),"")</f>
        <v/>
      </c>
      <c r="Q144" s="13">
        <f>IF(OR(P144&lt;ConceptDemo!$C$17,Backend!P144&gt;ConceptDemo!$C$19),0,IF(Backend!P144&lt;=Backend!$R$12,Backend!Q143+Backend!$T$12,IF(Backend!P144&lt;=Backend!$R$13,Backend!Q143+Backend!$T$13,IF(Backend!P144&lt;=Backend!$R$14,Backend!Q143+Backend!$T$14,IF(Backend!P144&lt;=Backend!$R$15,Backend!Q143+Backend!$T$15,IF(Backend!P144&lt;=Backend!$X$16,Backend!Q143+Backend!$Z$16))))))</f>
        <v>0</v>
      </c>
      <c r="R144" s="24" t="str">
        <f>IF(1&lt;=ConceptDemo!$K$41,IF(P144=$W$12,ConceptDemo!$K$39,""),"")</f>
        <v/>
      </c>
      <c r="S144" s="24" t="str">
        <f>IF(2&lt;=ConceptDemo!$K$41,IF(P144=$W$13,ConceptDemo!$K$39,""),"")</f>
        <v/>
      </c>
      <c r="T144" s="24" t="str">
        <f>IF(3&lt;=ConceptDemo!$K$41,IF(P144=$W$14,ConceptDemo!$K$39,""),"")</f>
        <v/>
      </c>
      <c r="U144" s="24" t="str">
        <f>IF(4&lt;=ConceptDemo!$K$41,IF(P144=$W$15,ConceptDemo!$K$39,""),"")</f>
        <v/>
      </c>
      <c r="W144" s="23">
        <f>IF($P144&lt;ConceptDemo!$C$17+$E$24-10,$G$27,0)</f>
        <v>0</v>
      </c>
      <c r="X144" s="23">
        <f>IF($P144&lt;ConceptDemo!$C$17+$E$24-10,$H$27,0)</f>
        <v>0</v>
      </c>
      <c r="Y144" s="13">
        <f t="shared" si="11"/>
        <v>0</v>
      </c>
      <c r="Z144" s="13">
        <f t="shared" si="12"/>
        <v>0</v>
      </c>
      <c r="AA144" s="13">
        <f t="shared" si="13"/>
        <v>0</v>
      </c>
      <c r="AB144" s="13">
        <f t="shared" si="14"/>
        <v>0</v>
      </c>
      <c r="AC144" s="23">
        <f t="shared" si="15"/>
        <v>0</v>
      </c>
      <c r="AD144" s="23">
        <f>IF(P144&lt;=ConceptDemo!$C$19,AD143+SUM(W144:AB144)-(Q144-Q143)-AC144,0)</f>
        <v>0</v>
      </c>
      <c r="AE144" s="23">
        <f>IF(ConceptDemo!$C$7=Backend!$A$2,AD144,IF(AE143&lt;&gt;AD143,IF(P144&lt;=ConceptDemo!$C$19,AE143+SUM(W144:AB144)-(Q144-Q143)-AC144,0),IF(P144=ConceptDemo!$C$40,ConceptDemo!$C$39,AD144)))</f>
        <v>0</v>
      </c>
      <c r="AF144" s="23">
        <f t="shared" si="17"/>
        <v>0</v>
      </c>
      <c r="AG144" s="23">
        <f t="shared" si="18"/>
        <v>0</v>
      </c>
      <c r="AH144" s="23">
        <f t="shared" si="16"/>
        <v>0</v>
      </c>
    </row>
    <row r="145" spans="16:34" x14ac:dyDescent="0.25">
      <c r="P145" s="16" t="str">
        <f>IFERROR(IF(P144+1=ConceptDemo!$C$19+10,"",Backend!P144+1),"")</f>
        <v/>
      </c>
      <c r="Q145" s="13">
        <f>IF(OR(P145&lt;ConceptDemo!$C$17,Backend!P145&gt;ConceptDemo!$C$19),0,IF(Backend!P145&lt;=Backend!$R$12,Backend!Q144+Backend!$T$12,IF(Backend!P145&lt;=Backend!$R$13,Backend!Q144+Backend!$T$13,IF(Backend!P145&lt;=Backend!$R$14,Backend!Q144+Backend!$T$14,IF(Backend!P145&lt;=Backend!$R$15,Backend!Q144+Backend!$T$15,IF(Backend!P145&lt;=Backend!$X$16,Backend!Q144+Backend!$Z$16))))))</f>
        <v>0</v>
      </c>
      <c r="R145" s="24" t="str">
        <f>IF(1&lt;=ConceptDemo!$K$41,IF(P145=$W$12,ConceptDemo!$K$39,""),"")</f>
        <v/>
      </c>
      <c r="S145" s="24" t="str">
        <f>IF(2&lt;=ConceptDemo!$K$41,IF(P145=$W$13,ConceptDemo!$K$39,""),"")</f>
        <v/>
      </c>
      <c r="T145" s="24" t="str">
        <f>IF(3&lt;=ConceptDemo!$K$41,IF(P145=$W$14,ConceptDemo!$K$39,""),"")</f>
        <v/>
      </c>
      <c r="U145" s="24" t="str">
        <f>IF(4&lt;=ConceptDemo!$K$41,IF(P145=$W$15,ConceptDemo!$K$39,""),"")</f>
        <v/>
      </c>
      <c r="W145" s="23">
        <f>IF($P145&lt;ConceptDemo!$C$17+$E$24-10,$G$27,0)</f>
        <v>0</v>
      </c>
      <c r="X145" s="23">
        <f>IF($P145&lt;ConceptDemo!$C$17+$E$24-10,$H$27,0)</f>
        <v>0</v>
      </c>
      <c r="Y145" s="13">
        <f t="shared" si="11"/>
        <v>0</v>
      </c>
      <c r="Z145" s="13">
        <f t="shared" si="12"/>
        <v>0</v>
      </c>
      <c r="AA145" s="13">
        <f t="shared" si="13"/>
        <v>0</v>
      </c>
      <c r="AB145" s="13">
        <f t="shared" si="14"/>
        <v>0</v>
      </c>
      <c r="AC145" s="23">
        <f t="shared" si="15"/>
        <v>0</v>
      </c>
      <c r="AD145" s="23">
        <f>IF(P145&lt;=ConceptDemo!$C$19,AD144+SUM(W145:AB145)-(Q145-Q144)-AC145,0)</f>
        <v>0</v>
      </c>
      <c r="AE145" s="23">
        <f>IF(ConceptDemo!$C$7=Backend!$A$2,AD145,IF(AE144&lt;&gt;AD144,IF(P145&lt;=ConceptDemo!$C$19,AE144+SUM(W145:AB145)-(Q145-Q144)-AC145,0),IF(P145=ConceptDemo!$C$40,ConceptDemo!$C$39,AD145)))</f>
        <v>0</v>
      </c>
      <c r="AF145" s="23">
        <f t="shared" si="17"/>
        <v>0</v>
      </c>
      <c r="AG145" s="23">
        <f t="shared" si="18"/>
        <v>0</v>
      </c>
      <c r="AH145" s="23">
        <f t="shared" si="16"/>
        <v>0</v>
      </c>
    </row>
    <row r="146" spans="16:34" x14ac:dyDescent="0.25">
      <c r="P146" s="16" t="str">
        <f>IFERROR(IF(P145+1=ConceptDemo!$C$19+10,"",Backend!P145+1),"")</f>
        <v/>
      </c>
      <c r="Q146" s="13">
        <f>IF(OR(P146&lt;ConceptDemo!$C$17,Backend!P146&gt;ConceptDemo!$C$19),0,IF(Backend!P146&lt;=Backend!$R$12,Backend!Q145+Backend!$T$12,IF(Backend!P146&lt;=Backend!$R$13,Backend!Q145+Backend!$T$13,IF(Backend!P146&lt;=Backend!$R$14,Backend!Q145+Backend!$T$14,IF(Backend!P146&lt;=Backend!$R$15,Backend!Q145+Backend!$T$15,IF(Backend!P146&lt;=Backend!$X$16,Backend!Q145+Backend!$Z$16))))))</f>
        <v>0</v>
      </c>
      <c r="R146" s="24" t="str">
        <f>IF(1&lt;=ConceptDemo!$K$41,IF(P146=$W$12,ConceptDemo!$K$39,""),"")</f>
        <v/>
      </c>
      <c r="S146" s="24" t="str">
        <f>IF(2&lt;=ConceptDemo!$K$41,IF(P146=$W$13,ConceptDemo!$K$39,""),"")</f>
        <v/>
      </c>
      <c r="T146" s="24" t="str">
        <f>IF(3&lt;=ConceptDemo!$K$41,IF(P146=$W$14,ConceptDemo!$K$39,""),"")</f>
        <v/>
      </c>
      <c r="U146" s="24" t="str">
        <f>IF(4&lt;=ConceptDemo!$K$41,IF(P146=$W$15,ConceptDemo!$K$39,""),"")</f>
        <v/>
      </c>
      <c r="W146" s="23">
        <f>IF($P146&lt;ConceptDemo!$C$17+$E$24-10,$G$27,0)</f>
        <v>0</v>
      </c>
      <c r="X146" s="23">
        <f>IF($P146&lt;ConceptDemo!$C$17+$E$24-10,$H$27,0)</f>
        <v>0</v>
      </c>
      <c r="Y146" s="13">
        <f t="shared" si="11"/>
        <v>0</v>
      </c>
      <c r="Z146" s="13">
        <f t="shared" si="12"/>
        <v>0</v>
      </c>
      <c r="AA146" s="13">
        <f t="shared" si="13"/>
        <v>0</v>
      </c>
      <c r="AB146" s="13">
        <f t="shared" si="14"/>
        <v>0</v>
      </c>
      <c r="AC146" s="23">
        <f t="shared" si="15"/>
        <v>0</v>
      </c>
      <c r="AD146" s="23">
        <f>IF(P146&lt;=ConceptDemo!$C$19,AD145+SUM(W146:AB146)-(Q146-Q145)-AC146,0)</f>
        <v>0</v>
      </c>
      <c r="AE146" s="23">
        <f>IF(ConceptDemo!$C$7=Backend!$A$2,AD146,IF(AE145&lt;&gt;AD145,IF(P146&lt;=ConceptDemo!$C$19,AE145+SUM(W146:AB146)-(Q146-Q145)-AC146,0),IF(P146=ConceptDemo!$C$40,ConceptDemo!$C$39,AD146)))</f>
        <v>0</v>
      </c>
      <c r="AF146" s="23">
        <f t="shared" si="17"/>
        <v>0</v>
      </c>
      <c r="AG146" s="23">
        <f t="shared" si="18"/>
        <v>0</v>
      </c>
      <c r="AH146" s="23">
        <f t="shared" si="16"/>
        <v>0</v>
      </c>
    </row>
    <row r="147" spans="16:34" x14ac:dyDescent="0.25">
      <c r="P147" s="16" t="str">
        <f>IFERROR(IF(P146+1=ConceptDemo!$C$19+10,"",Backend!P146+1),"")</f>
        <v/>
      </c>
      <c r="Q147" s="13">
        <f>IF(OR(P147&lt;ConceptDemo!$C$17,Backend!P147&gt;ConceptDemo!$C$19),0,IF(Backend!P147&lt;=Backend!$R$12,Backend!Q146+Backend!$T$12,IF(Backend!P147&lt;=Backend!$R$13,Backend!Q146+Backend!$T$13,IF(Backend!P147&lt;=Backend!$R$14,Backend!Q146+Backend!$T$14,IF(Backend!P147&lt;=Backend!$R$15,Backend!Q146+Backend!$T$15,IF(Backend!P147&lt;=Backend!$X$16,Backend!Q146+Backend!$Z$16))))))</f>
        <v>0</v>
      </c>
      <c r="R147" s="24" t="str">
        <f>IF(1&lt;=ConceptDemo!$K$41,IF(P147=$W$12,ConceptDemo!$K$39,""),"")</f>
        <v/>
      </c>
      <c r="S147" s="24" t="str">
        <f>IF(2&lt;=ConceptDemo!$K$41,IF(P147=$W$13,ConceptDemo!$K$39,""),"")</f>
        <v/>
      </c>
      <c r="T147" s="24" t="str">
        <f>IF(3&lt;=ConceptDemo!$K$41,IF(P147=$W$14,ConceptDemo!$K$39,""),"")</f>
        <v/>
      </c>
      <c r="U147" s="24" t="str">
        <f>IF(4&lt;=ConceptDemo!$K$41,IF(P147=$W$15,ConceptDemo!$K$39,""),"")</f>
        <v/>
      </c>
      <c r="W147" s="23">
        <f>IF($P147&lt;ConceptDemo!$C$17+$E$24-10,$G$27,0)</f>
        <v>0</v>
      </c>
      <c r="X147" s="23">
        <f>IF($P147&lt;ConceptDemo!$C$17+$E$24-10,$H$27,0)</f>
        <v>0</v>
      </c>
      <c r="Y147" s="13">
        <f t="shared" si="11"/>
        <v>0</v>
      </c>
      <c r="Z147" s="13">
        <f t="shared" si="12"/>
        <v>0</v>
      </c>
      <c r="AA147" s="13">
        <f t="shared" si="13"/>
        <v>0</v>
      </c>
      <c r="AB147" s="13">
        <f t="shared" si="14"/>
        <v>0</v>
      </c>
      <c r="AC147" s="23">
        <f t="shared" si="15"/>
        <v>0</v>
      </c>
      <c r="AD147" s="23">
        <f>IF(P147&lt;=ConceptDemo!$C$19,AD146+SUM(W147:AB147)-(Q147-Q146)-AC147,0)</f>
        <v>0</v>
      </c>
      <c r="AE147" s="23">
        <f>IF(ConceptDemo!$C$7=Backend!$A$2,AD147,IF(AE146&lt;&gt;AD146,IF(P147&lt;=ConceptDemo!$C$19,AE146+SUM(W147:AB147)-(Q147-Q146)-AC147,0),IF(P147=ConceptDemo!$C$40,ConceptDemo!$C$39,AD147)))</f>
        <v>0</v>
      </c>
      <c r="AF147" s="23">
        <f t="shared" si="17"/>
        <v>0</v>
      </c>
      <c r="AG147" s="23">
        <f t="shared" si="18"/>
        <v>0</v>
      </c>
      <c r="AH147" s="23">
        <f t="shared" si="16"/>
        <v>0</v>
      </c>
    </row>
    <row r="148" spans="16:34" x14ac:dyDescent="0.25">
      <c r="P148" s="16" t="str">
        <f>IFERROR(IF(P147+1=ConceptDemo!$C$19+10,"",Backend!P147+1),"")</f>
        <v/>
      </c>
      <c r="Q148" s="13">
        <f>IF(OR(P148&lt;ConceptDemo!$C$17,Backend!P148&gt;ConceptDemo!$C$19),0,IF(Backend!P148&lt;=Backend!$R$12,Backend!Q147+Backend!$T$12,IF(Backend!P148&lt;=Backend!$R$13,Backend!Q147+Backend!$T$13,IF(Backend!P148&lt;=Backend!$R$14,Backend!Q147+Backend!$T$14,IF(Backend!P148&lt;=Backend!$R$15,Backend!Q147+Backend!$T$15,IF(Backend!P148&lt;=Backend!$X$16,Backend!Q147+Backend!$Z$16))))))</f>
        <v>0</v>
      </c>
      <c r="R148" s="24" t="str">
        <f>IF(1&lt;=ConceptDemo!$K$41,IF(P148=$W$12,ConceptDemo!$K$39,""),"")</f>
        <v/>
      </c>
      <c r="S148" s="24" t="str">
        <f>IF(2&lt;=ConceptDemo!$K$41,IF(P148=$W$13,ConceptDemo!$K$39,""),"")</f>
        <v/>
      </c>
      <c r="T148" s="24" t="str">
        <f>IF(3&lt;=ConceptDemo!$K$41,IF(P148=$W$14,ConceptDemo!$K$39,""),"")</f>
        <v/>
      </c>
      <c r="U148" s="24" t="str">
        <f>IF(4&lt;=ConceptDemo!$K$41,IF(P148=$W$15,ConceptDemo!$K$39,""),"")</f>
        <v/>
      </c>
      <c r="W148" s="23">
        <f>IF($P148&lt;ConceptDemo!$C$17+$E$24-10,$G$27,0)</f>
        <v>0</v>
      </c>
      <c r="X148" s="23">
        <f>IF($P148&lt;ConceptDemo!$C$17+$E$24-10,$H$27,0)</f>
        <v>0</v>
      </c>
      <c r="Y148" s="13">
        <f t="shared" si="11"/>
        <v>0</v>
      </c>
      <c r="Z148" s="13">
        <f t="shared" si="12"/>
        <v>0</v>
      </c>
      <c r="AA148" s="13">
        <f t="shared" si="13"/>
        <v>0</v>
      </c>
      <c r="AB148" s="13">
        <f t="shared" si="14"/>
        <v>0</v>
      </c>
      <c r="AC148" s="23">
        <f t="shared" si="15"/>
        <v>0</v>
      </c>
      <c r="AD148" s="23">
        <f>IF(P148&lt;=ConceptDemo!$C$19,AD147+SUM(W148:AB148)-(Q148-Q147)-AC148,0)</f>
        <v>0</v>
      </c>
      <c r="AE148" s="23">
        <f>IF(ConceptDemo!$C$7=Backend!$A$2,AD148,IF(AE147&lt;&gt;AD147,IF(P148&lt;=ConceptDemo!$C$19,AE147+SUM(W148:AB148)-(Q148-Q147)-AC148,0),IF(P148=ConceptDemo!$C$40,ConceptDemo!$C$39,AD148)))</f>
        <v>0</v>
      </c>
      <c r="AF148" s="23">
        <f t="shared" si="17"/>
        <v>0</v>
      </c>
      <c r="AG148" s="23">
        <f t="shared" si="18"/>
        <v>0</v>
      </c>
      <c r="AH148" s="23">
        <f t="shared" si="16"/>
        <v>0</v>
      </c>
    </row>
    <row r="149" spans="16:34" x14ac:dyDescent="0.25">
      <c r="P149" s="16" t="str">
        <f>IFERROR(IF(P148+1=ConceptDemo!$C$19+10,"",Backend!P148+1),"")</f>
        <v/>
      </c>
      <c r="Q149" s="13">
        <f>IF(OR(P149&lt;ConceptDemo!$C$17,Backend!P149&gt;ConceptDemo!$C$19),0,IF(Backend!P149&lt;=Backend!$R$12,Backend!Q148+Backend!$T$12,IF(Backend!P149&lt;=Backend!$R$13,Backend!Q148+Backend!$T$13,IF(Backend!P149&lt;=Backend!$R$14,Backend!Q148+Backend!$T$14,IF(Backend!P149&lt;=Backend!$R$15,Backend!Q148+Backend!$T$15,IF(Backend!P149&lt;=Backend!$X$16,Backend!Q148+Backend!$Z$16))))))</f>
        <v>0</v>
      </c>
      <c r="R149" s="24" t="str">
        <f>IF(1&lt;=ConceptDemo!$K$41,IF(P149=$W$12,ConceptDemo!$K$39,""),"")</f>
        <v/>
      </c>
      <c r="S149" s="24" t="str">
        <f>IF(2&lt;=ConceptDemo!$K$41,IF(P149=$W$13,ConceptDemo!$K$39,""),"")</f>
        <v/>
      </c>
      <c r="T149" s="24" t="str">
        <f>IF(3&lt;=ConceptDemo!$K$41,IF(P149=$W$14,ConceptDemo!$K$39,""),"")</f>
        <v/>
      </c>
      <c r="U149" s="24" t="str">
        <f>IF(4&lt;=ConceptDemo!$K$41,IF(P149=$W$15,ConceptDemo!$K$39,""),"")</f>
        <v/>
      </c>
      <c r="W149" s="23">
        <f>IF($P149&lt;ConceptDemo!$C$17+$E$24-10,$G$27,0)</f>
        <v>0</v>
      </c>
      <c r="X149" s="23">
        <f>IF($P149&lt;ConceptDemo!$C$17+$E$24-10,$H$27,0)</f>
        <v>0</v>
      </c>
      <c r="Y149" s="13">
        <f t="shared" si="11"/>
        <v>0</v>
      </c>
      <c r="Z149" s="13">
        <f t="shared" si="12"/>
        <v>0</v>
      </c>
      <c r="AA149" s="13">
        <f t="shared" si="13"/>
        <v>0</v>
      </c>
      <c r="AB149" s="13">
        <f t="shared" si="14"/>
        <v>0</v>
      </c>
      <c r="AC149" s="23">
        <f t="shared" si="15"/>
        <v>0</v>
      </c>
      <c r="AD149" s="23">
        <f>IF(P149&lt;=ConceptDemo!$C$19,AD148+SUM(W149:AB149)-(Q149-Q148)-AC149,0)</f>
        <v>0</v>
      </c>
      <c r="AE149" s="23">
        <f>IF(ConceptDemo!$C$7=Backend!$A$2,AD149,IF(AE148&lt;&gt;AD148,IF(P149&lt;=ConceptDemo!$C$19,AE148+SUM(W149:AB149)-(Q149-Q148)-AC149,0),IF(P149=ConceptDemo!$C$40,ConceptDemo!$C$39,AD149)))</f>
        <v>0</v>
      </c>
      <c r="AF149" s="23">
        <f t="shared" si="17"/>
        <v>0</v>
      </c>
      <c r="AG149" s="23">
        <f t="shared" si="18"/>
        <v>0</v>
      </c>
      <c r="AH149" s="23">
        <f t="shared" si="16"/>
        <v>0</v>
      </c>
    </row>
    <row r="150" spans="16:34" x14ac:dyDescent="0.25">
      <c r="P150" s="16" t="str">
        <f>IFERROR(IF(P149+1=ConceptDemo!$C$19+10,"",Backend!P149+1),"")</f>
        <v/>
      </c>
      <c r="Q150" s="13">
        <f>IF(OR(P150&lt;ConceptDemo!$C$17,Backend!P150&gt;ConceptDemo!$C$19),0,IF(Backend!P150&lt;=Backend!$R$12,Backend!Q149+Backend!$T$12,IF(Backend!P150&lt;=Backend!$R$13,Backend!Q149+Backend!$T$13,IF(Backend!P150&lt;=Backend!$R$14,Backend!Q149+Backend!$T$14,IF(Backend!P150&lt;=Backend!$R$15,Backend!Q149+Backend!$T$15,IF(Backend!P150&lt;=Backend!$X$16,Backend!Q149+Backend!$Z$16))))))</f>
        <v>0</v>
      </c>
      <c r="R150" s="24" t="str">
        <f>IF(1&lt;=ConceptDemo!$K$41,IF(P150=$W$12,ConceptDemo!$K$39,""),"")</f>
        <v/>
      </c>
      <c r="S150" s="24" t="str">
        <f>IF(2&lt;=ConceptDemo!$K$41,IF(P150=$W$13,ConceptDemo!$K$39,""),"")</f>
        <v/>
      </c>
      <c r="T150" s="24" t="str">
        <f>IF(3&lt;=ConceptDemo!$K$41,IF(P150=$W$14,ConceptDemo!$K$39,""),"")</f>
        <v/>
      </c>
      <c r="U150" s="24" t="str">
        <f>IF(4&lt;=ConceptDemo!$K$41,IF(P150=$W$15,ConceptDemo!$K$39,""),"")</f>
        <v/>
      </c>
      <c r="W150" s="23">
        <f>IF($P150&lt;ConceptDemo!$C$17+$E$24-10,$G$27,0)</f>
        <v>0</v>
      </c>
      <c r="X150" s="23">
        <f>IF($P150&lt;ConceptDemo!$C$17+$E$24-10,$H$27,0)</f>
        <v>0</v>
      </c>
      <c r="Y150" s="13">
        <f t="shared" si="11"/>
        <v>0</v>
      </c>
      <c r="Z150" s="13">
        <f t="shared" si="12"/>
        <v>0</v>
      </c>
      <c r="AA150" s="13">
        <f t="shared" si="13"/>
        <v>0</v>
      </c>
      <c r="AB150" s="13">
        <f t="shared" si="14"/>
        <v>0</v>
      </c>
      <c r="AC150" s="23">
        <f t="shared" si="15"/>
        <v>0</v>
      </c>
      <c r="AD150" s="23">
        <f>IF(P150&lt;=ConceptDemo!$C$19,AD149+SUM(W150:AB150)-(Q150-Q149)-AC150,0)</f>
        <v>0</v>
      </c>
      <c r="AE150" s="23">
        <f>IF(ConceptDemo!$C$7=Backend!$A$2,AD150,IF(AE149&lt;&gt;AD149,IF(P150&lt;=ConceptDemo!$C$19,AE149+SUM(W150:AB150)-(Q150-Q149)-AC150,0),IF(P150=ConceptDemo!$C$40,ConceptDemo!$C$39,AD150)))</f>
        <v>0</v>
      </c>
      <c r="AF150" s="23">
        <f t="shared" si="17"/>
        <v>0</v>
      </c>
      <c r="AG150" s="23">
        <f t="shared" si="18"/>
        <v>0</v>
      </c>
      <c r="AH150" s="23">
        <f t="shared" si="16"/>
        <v>0</v>
      </c>
    </row>
    <row r="151" spans="16:34" x14ac:dyDescent="0.25">
      <c r="P151" s="16" t="str">
        <f>IFERROR(IF(P150+1=ConceptDemo!$C$19+10,"",Backend!P150+1),"")</f>
        <v/>
      </c>
      <c r="Q151" s="13">
        <f>IF(OR(P151&lt;ConceptDemo!$C$17,Backend!P151&gt;ConceptDemo!$C$19),0,IF(Backend!P151&lt;=Backend!$R$12,Backend!Q150+Backend!$T$12,IF(Backend!P151&lt;=Backend!$R$13,Backend!Q150+Backend!$T$13,IF(Backend!P151&lt;=Backend!$R$14,Backend!Q150+Backend!$T$14,IF(Backend!P151&lt;=Backend!$R$15,Backend!Q150+Backend!$T$15,IF(Backend!P151&lt;=Backend!$X$16,Backend!Q150+Backend!$Z$16))))))</f>
        <v>0</v>
      </c>
      <c r="R151" s="24" t="str">
        <f>IF(1&lt;=ConceptDemo!$K$41,IF(P151=$W$12,ConceptDemo!$K$39,""),"")</f>
        <v/>
      </c>
      <c r="S151" s="24" t="str">
        <f>IF(2&lt;=ConceptDemo!$K$41,IF(P151=$W$13,ConceptDemo!$K$39,""),"")</f>
        <v/>
      </c>
      <c r="T151" s="24" t="str">
        <f>IF(3&lt;=ConceptDemo!$K$41,IF(P151=$W$14,ConceptDemo!$K$39,""),"")</f>
        <v/>
      </c>
      <c r="U151" s="24" t="str">
        <f>IF(4&lt;=ConceptDemo!$K$41,IF(P151=$W$15,ConceptDemo!$K$39,""),"")</f>
        <v/>
      </c>
      <c r="W151" s="23">
        <f>IF($P151&lt;ConceptDemo!$C$17+$E$24-10,$G$27,0)</f>
        <v>0</v>
      </c>
      <c r="X151" s="23">
        <f>IF($P151&lt;ConceptDemo!$C$17+$E$24-10,$H$27,0)</f>
        <v>0</v>
      </c>
      <c r="Y151" s="13">
        <f t="shared" si="11"/>
        <v>0</v>
      </c>
      <c r="Z151" s="13">
        <f t="shared" si="12"/>
        <v>0</v>
      </c>
      <c r="AA151" s="13">
        <f t="shared" si="13"/>
        <v>0</v>
      </c>
      <c r="AB151" s="13">
        <f t="shared" si="14"/>
        <v>0</v>
      </c>
      <c r="AC151" s="23">
        <f t="shared" si="15"/>
        <v>0</v>
      </c>
      <c r="AD151" s="23">
        <f>IF(P151&lt;=ConceptDemo!$C$19,AD150+SUM(W151:AB151)-(Q151-Q150)-AC151,0)</f>
        <v>0</v>
      </c>
      <c r="AE151" s="23">
        <f>IF(ConceptDemo!$C$7=Backend!$A$2,AD151,IF(AE150&lt;&gt;AD150,IF(P151&lt;=ConceptDemo!$C$19,AE150+SUM(W151:AB151)-(Q151-Q150)-AC151,0),IF(P151=ConceptDemo!$C$40,ConceptDemo!$C$39,AD151)))</f>
        <v>0</v>
      </c>
      <c r="AF151" s="23">
        <f t="shared" si="17"/>
        <v>0</v>
      </c>
      <c r="AG151" s="23">
        <f t="shared" si="18"/>
        <v>0</v>
      </c>
      <c r="AH151" s="23">
        <f t="shared" si="16"/>
        <v>0</v>
      </c>
    </row>
    <row r="152" spans="16:34" x14ac:dyDescent="0.25">
      <c r="P152" s="16" t="str">
        <f>IFERROR(IF(P151+1=ConceptDemo!$C$19+10,"",Backend!P151+1),"")</f>
        <v/>
      </c>
      <c r="Q152" s="13">
        <f>IF(OR(P152&lt;ConceptDemo!$C$17,Backend!P152&gt;ConceptDemo!$C$19),0,IF(Backend!P152&lt;=Backend!$R$12,Backend!Q151+Backend!$T$12,IF(Backend!P152&lt;=Backend!$R$13,Backend!Q151+Backend!$T$13,IF(Backend!P152&lt;=Backend!$R$14,Backend!Q151+Backend!$T$14,IF(Backend!P152&lt;=Backend!$R$15,Backend!Q151+Backend!$T$15,IF(Backend!P152&lt;=Backend!$X$16,Backend!Q151+Backend!$Z$16))))))</f>
        <v>0</v>
      </c>
      <c r="R152" s="24" t="str">
        <f>IF(1&lt;=ConceptDemo!$K$41,IF(P152=$W$12,ConceptDemo!$K$39,""),"")</f>
        <v/>
      </c>
      <c r="S152" s="24" t="str">
        <f>IF(2&lt;=ConceptDemo!$K$41,IF(P152=$W$13,ConceptDemo!$K$39,""),"")</f>
        <v/>
      </c>
      <c r="T152" s="24" t="str">
        <f>IF(3&lt;=ConceptDemo!$K$41,IF(P152=$W$14,ConceptDemo!$K$39,""),"")</f>
        <v/>
      </c>
      <c r="U152" s="24" t="str">
        <f>IF(4&lt;=ConceptDemo!$K$41,IF(P152=$W$15,ConceptDemo!$K$39,""),"")</f>
        <v/>
      </c>
      <c r="W152" s="23">
        <f>IF($P152&lt;ConceptDemo!$C$17+$E$24-10,$G$27,0)</f>
        <v>0</v>
      </c>
      <c r="X152" s="23">
        <f>IF($P152&lt;ConceptDemo!$C$17+$E$24-10,$H$27,0)</f>
        <v>0</v>
      </c>
      <c r="Y152" s="13">
        <f t="shared" si="11"/>
        <v>0</v>
      </c>
      <c r="Z152" s="13">
        <f t="shared" si="12"/>
        <v>0</v>
      </c>
      <c r="AA152" s="13">
        <f t="shared" si="13"/>
        <v>0</v>
      </c>
      <c r="AB152" s="13">
        <f t="shared" si="14"/>
        <v>0</v>
      </c>
      <c r="AC152" s="23">
        <f t="shared" si="15"/>
        <v>0</v>
      </c>
      <c r="AD152" s="23">
        <f>IF(P152&lt;=ConceptDemo!$C$19,AD151+SUM(W152:AB152)-(Q152-Q151)-AC152,0)</f>
        <v>0</v>
      </c>
      <c r="AE152" s="23">
        <f>IF(ConceptDemo!$C$7=Backend!$A$2,AD152,IF(AE151&lt;&gt;AD151,IF(P152&lt;=ConceptDemo!$C$19,AE151+SUM(W152:AB152)-(Q152-Q151)-AC152,0),IF(P152=ConceptDemo!$C$40,ConceptDemo!$C$39,AD152)))</f>
        <v>0</v>
      </c>
      <c r="AF152" s="23">
        <f t="shared" si="17"/>
        <v>0</v>
      </c>
      <c r="AG152" s="23">
        <f t="shared" si="18"/>
        <v>0</v>
      </c>
      <c r="AH152" s="23">
        <f t="shared" si="16"/>
        <v>0</v>
      </c>
    </row>
    <row r="153" spans="16:34" x14ac:dyDescent="0.25">
      <c r="P153" s="16" t="str">
        <f>IFERROR(IF(P152+1=ConceptDemo!$C$19+10,"",Backend!P152+1),"")</f>
        <v/>
      </c>
      <c r="Q153" s="13">
        <f>IF(OR(P153&lt;ConceptDemo!$C$17,Backend!P153&gt;ConceptDemo!$C$19),0,IF(Backend!P153&lt;=Backend!$R$12,Backend!Q152+Backend!$T$12,IF(Backend!P153&lt;=Backend!$R$13,Backend!Q152+Backend!$T$13,IF(Backend!P153&lt;=Backend!$R$14,Backend!Q152+Backend!$T$14,IF(Backend!P153&lt;=Backend!$R$15,Backend!Q152+Backend!$T$15,IF(Backend!P153&lt;=Backend!$X$16,Backend!Q152+Backend!$Z$16))))))</f>
        <v>0</v>
      </c>
      <c r="R153" s="24" t="str">
        <f>IF(1&lt;=ConceptDemo!$K$41,IF(P153=$W$12,ConceptDemo!$K$39,""),"")</f>
        <v/>
      </c>
      <c r="S153" s="24" t="str">
        <f>IF(2&lt;=ConceptDemo!$K$41,IF(P153=$W$13,ConceptDemo!$K$39,""),"")</f>
        <v/>
      </c>
      <c r="T153" s="24" t="str">
        <f>IF(3&lt;=ConceptDemo!$K$41,IF(P153=$W$14,ConceptDemo!$K$39,""),"")</f>
        <v/>
      </c>
      <c r="U153" s="24" t="str">
        <f>IF(4&lt;=ConceptDemo!$K$41,IF(P153=$W$15,ConceptDemo!$K$39,""),"")</f>
        <v/>
      </c>
      <c r="W153" s="23">
        <f>IF($P153&lt;ConceptDemo!$C$17+$E$24-10,$G$27,0)</f>
        <v>0</v>
      </c>
      <c r="X153" s="23">
        <f>IF($P153&lt;ConceptDemo!$C$17+$E$24-10,$H$27,0)</f>
        <v>0</v>
      </c>
      <c r="Y153" s="13">
        <f t="shared" si="11"/>
        <v>0</v>
      </c>
      <c r="Z153" s="13">
        <f t="shared" si="12"/>
        <v>0</v>
      </c>
      <c r="AA153" s="13">
        <f t="shared" si="13"/>
        <v>0</v>
      </c>
      <c r="AB153" s="13">
        <f t="shared" si="14"/>
        <v>0</v>
      </c>
      <c r="AC153" s="23">
        <f t="shared" si="15"/>
        <v>0</v>
      </c>
      <c r="AD153" s="23">
        <f>IF(P153&lt;=ConceptDemo!$C$19,AD152+SUM(W153:AB153)-(Q153-Q152)-AC153,0)</f>
        <v>0</v>
      </c>
      <c r="AE153" s="23">
        <f>IF(ConceptDemo!$C$7=Backend!$A$2,AD153,IF(AE152&lt;&gt;AD152,IF(P153&lt;=ConceptDemo!$C$19,AE152+SUM(W153:AB153)-(Q153-Q152)-AC153,0),IF(P153=ConceptDemo!$C$40,ConceptDemo!$C$39,AD153)))</f>
        <v>0</v>
      </c>
      <c r="AF153" s="23">
        <f t="shared" si="17"/>
        <v>0</v>
      </c>
      <c r="AG153" s="23">
        <f t="shared" si="18"/>
        <v>0</v>
      </c>
      <c r="AH153" s="23">
        <f t="shared" si="16"/>
        <v>0</v>
      </c>
    </row>
    <row r="154" spans="16:34" x14ac:dyDescent="0.25">
      <c r="P154" s="16" t="str">
        <f>IFERROR(IF(P153+1=ConceptDemo!$C$19+10,"",Backend!P153+1),"")</f>
        <v/>
      </c>
      <c r="Q154" s="13">
        <f>IF(OR(P154&lt;ConceptDemo!$C$17,Backend!P154&gt;ConceptDemo!$C$19),0,IF(Backend!P154&lt;=Backend!$R$12,Backend!Q153+Backend!$T$12,IF(Backend!P154&lt;=Backend!$R$13,Backend!Q153+Backend!$T$13,IF(Backend!P154&lt;=Backend!$R$14,Backend!Q153+Backend!$T$14,IF(Backend!P154&lt;=Backend!$R$15,Backend!Q153+Backend!$T$15,IF(Backend!P154&lt;=Backend!$X$16,Backend!Q153+Backend!$Z$16))))))</f>
        <v>0</v>
      </c>
      <c r="R154" s="24" t="str">
        <f>IF(1&lt;=ConceptDemo!$K$41,IF(P154=$W$12,ConceptDemo!$K$39,""),"")</f>
        <v/>
      </c>
      <c r="S154" s="24" t="str">
        <f>IF(2&lt;=ConceptDemo!$K$41,IF(P154=$W$13,ConceptDemo!$K$39,""),"")</f>
        <v/>
      </c>
      <c r="T154" s="24" t="str">
        <f>IF(3&lt;=ConceptDemo!$K$41,IF(P154=$W$14,ConceptDemo!$K$39,""),"")</f>
        <v/>
      </c>
      <c r="U154" s="24" t="str">
        <f>IF(4&lt;=ConceptDemo!$K$41,IF(P154=$W$15,ConceptDemo!$K$39,""),"")</f>
        <v/>
      </c>
      <c r="W154" s="23">
        <f>IF($P154&lt;ConceptDemo!$C$17+$E$24-10,$G$27,0)</f>
        <v>0</v>
      </c>
      <c r="X154" s="23">
        <f>IF($P154&lt;ConceptDemo!$C$17+$E$24-10,$H$27,0)</f>
        <v>0</v>
      </c>
      <c r="Y154" s="13">
        <f t="shared" si="11"/>
        <v>0</v>
      </c>
      <c r="Z154" s="13">
        <f t="shared" si="12"/>
        <v>0</v>
      </c>
      <c r="AA154" s="13">
        <f t="shared" si="13"/>
        <v>0</v>
      </c>
      <c r="AB154" s="13">
        <f t="shared" si="14"/>
        <v>0</v>
      </c>
      <c r="AC154" s="23">
        <f t="shared" si="15"/>
        <v>0</v>
      </c>
      <c r="AD154" s="23">
        <f>IF(P154&lt;=ConceptDemo!$C$19,AD153+SUM(W154:AB154)-(Q154-Q153)-AC154,0)</f>
        <v>0</v>
      </c>
      <c r="AE154" s="23">
        <f>IF(ConceptDemo!$C$7=Backend!$A$2,AD154,IF(AE153&lt;&gt;AD153,IF(P154&lt;=ConceptDemo!$C$19,AE153+SUM(W154:AB154)-(Q154-Q153)-AC154,0),IF(P154=ConceptDemo!$C$40,ConceptDemo!$C$39,AD154)))</f>
        <v>0</v>
      </c>
      <c r="AF154" s="23">
        <f t="shared" si="17"/>
        <v>0</v>
      </c>
      <c r="AG154" s="23">
        <f t="shared" si="18"/>
        <v>0</v>
      </c>
      <c r="AH154" s="23">
        <f t="shared" si="16"/>
        <v>0</v>
      </c>
    </row>
    <row r="155" spans="16:34" x14ac:dyDescent="0.25">
      <c r="P155" s="16" t="str">
        <f>IFERROR(IF(P154+1=ConceptDemo!$C$19+10,"",Backend!P154+1),"")</f>
        <v/>
      </c>
      <c r="Q155" s="13">
        <f>IF(OR(P155&lt;ConceptDemo!$C$17,Backend!P155&gt;ConceptDemo!$C$19),0,IF(Backend!P155&lt;=Backend!$R$12,Backend!Q154+Backend!$T$12,IF(Backend!P155&lt;=Backend!$R$13,Backend!Q154+Backend!$T$13,IF(Backend!P155&lt;=Backend!$R$14,Backend!Q154+Backend!$T$14,IF(Backend!P155&lt;=Backend!$R$15,Backend!Q154+Backend!$T$15,IF(Backend!P155&lt;=Backend!$X$16,Backend!Q154+Backend!$Z$16))))))</f>
        <v>0</v>
      </c>
      <c r="R155" s="24" t="str">
        <f>IF(1&lt;=ConceptDemo!$K$41,IF(P155=$W$12,ConceptDemo!$K$39,""),"")</f>
        <v/>
      </c>
      <c r="S155" s="24" t="str">
        <f>IF(2&lt;=ConceptDemo!$K$41,IF(P155=$W$13,ConceptDemo!$K$39,""),"")</f>
        <v/>
      </c>
      <c r="T155" s="24" t="str">
        <f>IF(3&lt;=ConceptDemo!$K$41,IF(P155=$W$14,ConceptDemo!$K$39,""),"")</f>
        <v/>
      </c>
      <c r="U155" s="24" t="str">
        <f>IF(4&lt;=ConceptDemo!$K$41,IF(P155=$W$15,ConceptDemo!$K$39,""),"")</f>
        <v/>
      </c>
      <c r="W155" s="23">
        <f>IF($P155&lt;ConceptDemo!$C$17+$E$24-10,$G$27,0)</f>
        <v>0</v>
      </c>
      <c r="X155" s="23">
        <f>IF($P155&lt;ConceptDemo!$C$17+$E$24-10,$H$27,0)</f>
        <v>0</v>
      </c>
      <c r="Y155" s="13">
        <f t="shared" ref="Y155:Y218" si="19">IFERROR(IF(AND($P155&gt;=$W$12,$P155&lt;$W$12+$I$25),$I$27,0),0)</f>
        <v>0</v>
      </c>
      <c r="Z155" s="13">
        <f t="shared" ref="Z155:Z218" si="20">IFERROR(IF(AND($P155&gt;=$W$13,$P155&lt;$W$13+$I$25),$I$27,0),0)</f>
        <v>0</v>
      </c>
      <c r="AA155" s="13">
        <f t="shared" ref="AA155:AA218" si="21">IFERROR(IF(AND($P155&gt;=$W$14,$P155&lt;$W$14+$I$25),$I$27,0),0)</f>
        <v>0</v>
      </c>
      <c r="AB155" s="13">
        <f t="shared" ref="AB155:AB218" si="22">IFERROR(IF(AND($P155&gt;=$W$15,$P155&lt;$W$15+$I$25),$I$27,0),0)</f>
        <v>0</v>
      </c>
      <c r="AC155" s="23">
        <f t="shared" ref="AC155:AC218" si="23">IF(Q155&gt;0,$J$27,0)</f>
        <v>0</v>
      </c>
      <c r="AD155" s="23">
        <f>IF(P155&lt;=ConceptDemo!$C$19,AD154+SUM(W155:AB155)-(Q155-Q154)-AC155,0)</f>
        <v>0</v>
      </c>
      <c r="AE155" s="23">
        <f>IF(ConceptDemo!$C$7=Backend!$A$2,AD155,IF(AE154&lt;&gt;AD154,IF(P155&lt;=ConceptDemo!$C$19,AE154+SUM(W155:AB155)-(Q155-Q154)-AC155,0),IF(P155=ConceptDemo!$C$40,ConceptDemo!$C$39,AD155)))</f>
        <v>0</v>
      </c>
      <c r="AF155" s="23">
        <f t="shared" si="17"/>
        <v>0</v>
      </c>
      <c r="AG155" s="23">
        <f t="shared" si="18"/>
        <v>0</v>
      </c>
      <c r="AH155" s="23">
        <f t="shared" ref="AH155:AH218" si="24">AG155-AF155</f>
        <v>0</v>
      </c>
    </row>
    <row r="156" spans="16:34" x14ac:dyDescent="0.25">
      <c r="P156" s="16" t="str">
        <f>IFERROR(IF(P155+1=ConceptDemo!$C$19+10,"",Backend!P155+1),"")</f>
        <v/>
      </c>
      <c r="Q156" s="13">
        <f>IF(OR(P156&lt;ConceptDemo!$C$17,Backend!P156&gt;ConceptDemo!$C$19),0,IF(Backend!P156&lt;=Backend!$R$12,Backend!Q155+Backend!$T$12,IF(Backend!P156&lt;=Backend!$R$13,Backend!Q155+Backend!$T$13,IF(Backend!P156&lt;=Backend!$R$14,Backend!Q155+Backend!$T$14,IF(Backend!P156&lt;=Backend!$R$15,Backend!Q155+Backend!$T$15,IF(Backend!P156&lt;=Backend!$X$16,Backend!Q155+Backend!$Z$16))))))</f>
        <v>0</v>
      </c>
      <c r="R156" s="24" t="str">
        <f>IF(1&lt;=ConceptDemo!$K$41,IF(P156=$W$12,ConceptDemo!$K$39,""),"")</f>
        <v/>
      </c>
      <c r="S156" s="24" t="str">
        <f>IF(2&lt;=ConceptDemo!$K$41,IF(P156=$W$13,ConceptDemo!$K$39,""),"")</f>
        <v/>
      </c>
      <c r="T156" s="24" t="str">
        <f>IF(3&lt;=ConceptDemo!$K$41,IF(P156=$W$14,ConceptDemo!$K$39,""),"")</f>
        <v/>
      </c>
      <c r="U156" s="24" t="str">
        <f>IF(4&lt;=ConceptDemo!$K$41,IF(P156=$W$15,ConceptDemo!$K$39,""),"")</f>
        <v/>
      </c>
      <c r="W156" s="23">
        <f>IF($P156&lt;ConceptDemo!$C$17+$E$24-10,$G$27,0)</f>
        <v>0</v>
      </c>
      <c r="X156" s="23">
        <f>IF($P156&lt;ConceptDemo!$C$17+$E$24-10,$H$27,0)</f>
        <v>0</v>
      </c>
      <c r="Y156" s="13">
        <f t="shared" si="19"/>
        <v>0</v>
      </c>
      <c r="Z156" s="13">
        <f t="shared" si="20"/>
        <v>0</v>
      </c>
      <c r="AA156" s="13">
        <f t="shared" si="21"/>
        <v>0</v>
      </c>
      <c r="AB156" s="13">
        <f t="shared" si="22"/>
        <v>0</v>
      </c>
      <c r="AC156" s="23">
        <f t="shared" si="23"/>
        <v>0</v>
      </c>
      <c r="AD156" s="23">
        <f>IF(P156&lt;=ConceptDemo!$C$19,AD155+SUM(W156:AB156)-(Q156-Q155)-AC156,0)</f>
        <v>0</v>
      </c>
      <c r="AE156" s="23">
        <f>IF(ConceptDemo!$C$7=Backend!$A$2,AD156,IF(AE155&lt;&gt;AD155,IF(P156&lt;=ConceptDemo!$C$19,AE155+SUM(W156:AB156)-(Q156-Q155)-AC156,0),IF(P156=ConceptDemo!$C$40,ConceptDemo!$C$39,AD156)))</f>
        <v>0</v>
      </c>
      <c r="AF156" s="23">
        <f t="shared" ref="AF156:AF219" si="25">IF(AE156=0,0,IF(AE156-(AE156*($AF$22+0.1%))&gt;=AE156-(AE156*$AG$22),AE156-(AE156*$AG$22),AE156-(AE156*($AF$22+0.1%))))</f>
        <v>0</v>
      </c>
      <c r="AG156" s="23">
        <f t="shared" ref="AG156:AG219" si="26">IF(AE156=0,0,IF(AE156+(AE156*($AF$22+0.1%))&gt;=AE156+(AE156*$AG$22),AE156+(AE156*$AG$22),AE156+(AE156*($AF$22+0.1%))))</f>
        <v>0</v>
      </c>
      <c r="AH156" s="23">
        <f t="shared" si="24"/>
        <v>0</v>
      </c>
    </row>
    <row r="157" spans="16:34" x14ac:dyDescent="0.25">
      <c r="P157" s="16" t="str">
        <f>IFERROR(IF(P156+1=ConceptDemo!$C$19+10,"",Backend!P156+1),"")</f>
        <v/>
      </c>
      <c r="Q157" s="13">
        <f>IF(OR(P157&lt;ConceptDemo!$C$17,Backend!P157&gt;ConceptDemo!$C$19),0,IF(Backend!P157&lt;=Backend!$R$12,Backend!Q156+Backend!$T$12,IF(Backend!P157&lt;=Backend!$R$13,Backend!Q156+Backend!$T$13,IF(Backend!P157&lt;=Backend!$R$14,Backend!Q156+Backend!$T$14,IF(Backend!P157&lt;=Backend!$R$15,Backend!Q156+Backend!$T$15,IF(Backend!P157&lt;=Backend!$X$16,Backend!Q156+Backend!$Z$16))))))</f>
        <v>0</v>
      </c>
      <c r="R157" s="24" t="str">
        <f>IF(1&lt;=ConceptDemo!$K$41,IF(P157=$W$12,ConceptDemo!$K$39,""),"")</f>
        <v/>
      </c>
      <c r="S157" s="24" t="str">
        <f>IF(2&lt;=ConceptDemo!$K$41,IF(P157=$W$13,ConceptDemo!$K$39,""),"")</f>
        <v/>
      </c>
      <c r="T157" s="24" t="str">
        <f>IF(3&lt;=ConceptDemo!$K$41,IF(P157=$W$14,ConceptDemo!$K$39,""),"")</f>
        <v/>
      </c>
      <c r="U157" s="24" t="str">
        <f>IF(4&lt;=ConceptDemo!$K$41,IF(P157=$W$15,ConceptDemo!$K$39,""),"")</f>
        <v/>
      </c>
      <c r="W157" s="23">
        <f>IF($P157&lt;ConceptDemo!$C$17+$E$24-10,$G$27,0)</f>
        <v>0</v>
      </c>
      <c r="X157" s="23">
        <f>IF($P157&lt;ConceptDemo!$C$17+$E$24-10,$H$27,0)</f>
        <v>0</v>
      </c>
      <c r="Y157" s="13">
        <f t="shared" si="19"/>
        <v>0</v>
      </c>
      <c r="Z157" s="13">
        <f t="shared" si="20"/>
        <v>0</v>
      </c>
      <c r="AA157" s="13">
        <f t="shared" si="21"/>
        <v>0</v>
      </c>
      <c r="AB157" s="13">
        <f t="shared" si="22"/>
        <v>0</v>
      </c>
      <c r="AC157" s="23">
        <f t="shared" si="23"/>
        <v>0</v>
      </c>
      <c r="AD157" s="23">
        <f>IF(P157&lt;=ConceptDemo!$C$19,AD156+SUM(W157:AB157)-(Q157-Q156)-AC157,0)</f>
        <v>0</v>
      </c>
      <c r="AE157" s="23">
        <f>IF(ConceptDemo!$C$7=Backend!$A$2,AD157,IF(AE156&lt;&gt;AD156,IF(P157&lt;=ConceptDemo!$C$19,AE156+SUM(W157:AB157)-(Q157-Q156)-AC157,0),IF(P157=ConceptDemo!$C$40,ConceptDemo!$C$39,AD157)))</f>
        <v>0</v>
      </c>
      <c r="AF157" s="23">
        <f t="shared" si="25"/>
        <v>0</v>
      </c>
      <c r="AG157" s="23">
        <f t="shared" si="26"/>
        <v>0</v>
      </c>
      <c r="AH157" s="23">
        <f t="shared" si="24"/>
        <v>0</v>
      </c>
    </row>
    <row r="158" spans="16:34" x14ac:dyDescent="0.25">
      <c r="P158" s="16" t="str">
        <f>IFERROR(IF(P157+1=ConceptDemo!$C$19+10,"",Backend!P157+1),"")</f>
        <v/>
      </c>
      <c r="Q158" s="13">
        <f>IF(OR(P158&lt;ConceptDemo!$C$17,Backend!P158&gt;ConceptDemo!$C$19),0,IF(Backend!P158&lt;=Backend!$R$12,Backend!Q157+Backend!$T$12,IF(Backend!P158&lt;=Backend!$R$13,Backend!Q157+Backend!$T$13,IF(Backend!P158&lt;=Backend!$R$14,Backend!Q157+Backend!$T$14,IF(Backend!P158&lt;=Backend!$R$15,Backend!Q157+Backend!$T$15,IF(Backend!P158&lt;=Backend!$X$16,Backend!Q157+Backend!$Z$16))))))</f>
        <v>0</v>
      </c>
      <c r="R158" s="24" t="str">
        <f>IF(1&lt;=ConceptDemo!$K$41,IF(P158=$W$12,ConceptDemo!$K$39,""),"")</f>
        <v/>
      </c>
      <c r="S158" s="24" t="str">
        <f>IF(2&lt;=ConceptDemo!$K$41,IF(P158=$W$13,ConceptDemo!$K$39,""),"")</f>
        <v/>
      </c>
      <c r="T158" s="24" t="str">
        <f>IF(3&lt;=ConceptDemo!$K$41,IF(P158=$W$14,ConceptDemo!$K$39,""),"")</f>
        <v/>
      </c>
      <c r="U158" s="24" t="str">
        <f>IF(4&lt;=ConceptDemo!$K$41,IF(P158=$W$15,ConceptDemo!$K$39,""),"")</f>
        <v/>
      </c>
      <c r="W158" s="23">
        <f>IF($P158&lt;ConceptDemo!$C$17+$E$24-10,$G$27,0)</f>
        <v>0</v>
      </c>
      <c r="X158" s="23">
        <f>IF($P158&lt;ConceptDemo!$C$17+$E$24-10,$H$27,0)</f>
        <v>0</v>
      </c>
      <c r="Y158" s="13">
        <f t="shared" si="19"/>
        <v>0</v>
      </c>
      <c r="Z158" s="13">
        <f t="shared" si="20"/>
        <v>0</v>
      </c>
      <c r="AA158" s="13">
        <f t="shared" si="21"/>
        <v>0</v>
      </c>
      <c r="AB158" s="13">
        <f t="shared" si="22"/>
        <v>0</v>
      </c>
      <c r="AC158" s="23">
        <f t="shared" si="23"/>
        <v>0</v>
      </c>
      <c r="AD158" s="23">
        <f>IF(P158&lt;=ConceptDemo!$C$19,AD157+SUM(W158:AB158)-(Q158-Q157)-AC158,0)</f>
        <v>0</v>
      </c>
      <c r="AE158" s="23">
        <f>IF(ConceptDemo!$C$7=Backend!$A$2,AD158,IF(AE157&lt;&gt;AD157,IF(P158&lt;=ConceptDemo!$C$19,AE157+SUM(W158:AB158)-(Q158-Q157)-AC158,0),IF(P158=ConceptDemo!$C$40,ConceptDemo!$C$39,AD158)))</f>
        <v>0</v>
      </c>
      <c r="AF158" s="23">
        <f t="shared" si="25"/>
        <v>0</v>
      </c>
      <c r="AG158" s="23">
        <f t="shared" si="26"/>
        <v>0</v>
      </c>
      <c r="AH158" s="23">
        <f t="shared" si="24"/>
        <v>0</v>
      </c>
    </row>
    <row r="159" spans="16:34" x14ac:dyDescent="0.25">
      <c r="P159" s="16" t="str">
        <f>IFERROR(IF(P158+1=ConceptDemo!$C$19+10,"",Backend!P158+1),"")</f>
        <v/>
      </c>
      <c r="Q159" s="13">
        <f>IF(OR(P159&lt;ConceptDemo!$C$17,Backend!P159&gt;ConceptDemo!$C$19),0,IF(Backend!P159&lt;=Backend!$R$12,Backend!Q158+Backend!$T$12,IF(Backend!P159&lt;=Backend!$R$13,Backend!Q158+Backend!$T$13,IF(Backend!P159&lt;=Backend!$R$14,Backend!Q158+Backend!$T$14,IF(Backend!P159&lt;=Backend!$R$15,Backend!Q158+Backend!$T$15,IF(Backend!P159&lt;=Backend!$X$16,Backend!Q158+Backend!$Z$16))))))</f>
        <v>0</v>
      </c>
      <c r="R159" s="24" t="str">
        <f>IF(1&lt;=ConceptDemo!$K$41,IF(P159=$W$12,ConceptDemo!$K$39,""),"")</f>
        <v/>
      </c>
      <c r="S159" s="24" t="str">
        <f>IF(2&lt;=ConceptDemo!$K$41,IF(P159=$W$13,ConceptDemo!$K$39,""),"")</f>
        <v/>
      </c>
      <c r="T159" s="24" t="str">
        <f>IF(3&lt;=ConceptDemo!$K$41,IF(P159=$W$14,ConceptDemo!$K$39,""),"")</f>
        <v/>
      </c>
      <c r="U159" s="24" t="str">
        <f>IF(4&lt;=ConceptDemo!$K$41,IF(P159=$W$15,ConceptDemo!$K$39,""),"")</f>
        <v/>
      </c>
      <c r="W159" s="23">
        <f>IF($P159&lt;ConceptDemo!$C$17+$E$24-10,$G$27,0)</f>
        <v>0</v>
      </c>
      <c r="X159" s="23">
        <f>IF($P159&lt;ConceptDemo!$C$17+$E$24-10,$H$27,0)</f>
        <v>0</v>
      </c>
      <c r="Y159" s="13">
        <f t="shared" si="19"/>
        <v>0</v>
      </c>
      <c r="Z159" s="13">
        <f t="shared" si="20"/>
        <v>0</v>
      </c>
      <c r="AA159" s="13">
        <f t="shared" si="21"/>
        <v>0</v>
      </c>
      <c r="AB159" s="13">
        <f t="shared" si="22"/>
        <v>0</v>
      </c>
      <c r="AC159" s="23">
        <f t="shared" si="23"/>
        <v>0</v>
      </c>
      <c r="AD159" s="23">
        <f>IF(P159&lt;=ConceptDemo!$C$19,AD158+SUM(W159:AB159)-(Q159-Q158)-AC159,0)</f>
        <v>0</v>
      </c>
      <c r="AE159" s="23">
        <f>IF(ConceptDemo!$C$7=Backend!$A$2,AD159,IF(AE158&lt;&gt;AD158,IF(P159&lt;=ConceptDemo!$C$19,AE158+SUM(W159:AB159)-(Q159-Q158)-AC159,0),IF(P159=ConceptDemo!$C$40,ConceptDemo!$C$39,AD159)))</f>
        <v>0</v>
      </c>
      <c r="AF159" s="23">
        <f t="shared" si="25"/>
        <v>0</v>
      </c>
      <c r="AG159" s="23">
        <f t="shared" si="26"/>
        <v>0</v>
      </c>
      <c r="AH159" s="23">
        <f t="shared" si="24"/>
        <v>0</v>
      </c>
    </row>
    <row r="160" spans="16:34" x14ac:dyDescent="0.25">
      <c r="P160" s="16" t="str">
        <f>IFERROR(IF(P159+1=ConceptDemo!$C$19+10,"",Backend!P159+1),"")</f>
        <v/>
      </c>
      <c r="Q160" s="13">
        <f>IF(OR(P160&lt;ConceptDemo!$C$17,Backend!P160&gt;ConceptDemo!$C$19),0,IF(Backend!P160&lt;=Backend!$R$12,Backend!Q159+Backend!$T$12,IF(Backend!P160&lt;=Backend!$R$13,Backend!Q159+Backend!$T$13,IF(Backend!P160&lt;=Backend!$R$14,Backend!Q159+Backend!$T$14,IF(Backend!P160&lt;=Backend!$R$15,Backend!Q159+Backend!$T$15,IF(Backend!P160&lt;=Backend!$X$16,Backend!Q159+Backend!$Z$16))))))</f>
        <v>0</v>
      </c>
      <c r="R160" s="24" t="str">
        <f>IF(1&lt;=ConceptDemo!$K$41,IF(P160=$W$12,ConceptDemo!$K$39,""),"")</f>
        <v/>
      </c>
      <c r="S160" s="24" t="str">
        <f>IF(2&lt;=ConceptDemo!$K$41,IF(P160=$W$13,ConceptDemo!$K$39,""),"")</f>
        <v/>
      </c>
      <c r="T160" s="24" t="str">
        <f>IF(3&lt;=ConceptDemo!$K$41,IF(P160=$W$14,ConceptDemo!$K$39,""),"")</f>
        <v/>
      </c>
      <c r="U160" s="24" t="str">
        <f>IF(4&lt;=ConceptDemo!$K$41,IF(P160=$W$15,ConceptDemo!$K$39,""),"")</f>
        <v/>
      </c>
      <c r="W160" s="23">
        <f>IF($P160&lt;ConceptDemo!$C$17+$E$24-10,$G$27,0)</f>
        <v>0</v>
      </c>
      <c r="X160" s="23">
        <f>IF($P160&lt;ConceptDemo!$C$17+$E$24-10,$H$27,0)</f>
        <v>0</v>
      </c>
      <c r="Y160" s="13">
        <f t="shared" si="19"/>
        <v>0</v>
      </c>
      <c r="Z160" s="13">
        <f t="shared" si="20"/>
        <v>0</v>
      </c>
      <c r="AA160" s="13">
        <f t="shared" si="21"/>
        <v>0</v>
      </c>
      <c r="AB160" s="13">
        <f t="shared" si="22"/>
        <v>0</v>
      </c>
      <c r="AC160" s="23">
        <f t="shared" si="23"/>
        <v>0</v>
      </c>
      <c r="AD160" s="23">
        <f>IF(P160&lt;=ConceptDemo!$C$19,AD159+SUM(W160:AB160)-(Q160-Q159)-AC160,0)</f>
        <v>0</v>
      </c>
      <c r="AE160" s="23">
        <f>IF(ConceptDemo!$C$7=Backend!$A$2,AD160,IF(AE159&lt;&gt;AD159,IF(P160&lt;=ConceptDemo!$C$19,AE159+SUM(W160:AB160)-(Q160-Q159)-AC160,0),IF(P160=ConceptDemo!$C$40,ConceptDemo!$C$39,AD160)))</f>
        <v>0</v>
      </c>
      <c r="AF160" s="23">
        <f t="shared" si="25"/>
        <v>0</v>
      </c>
      <c r="AG160" s="23">
        <f t="shared" si="26"/>
        <v>0</v>
      </c>
      <c r="AH160" s="23">
        <f t="shared" si="24"/>
        <v>0</v>
      </c>
    </row>
    <row r="161" spans="16:34" x14ac:dyDescent="0.25">
      <c r="P161" s="16" t="str">
        <f>IFERROR(IF(P160+1=ConceptDemo!$C$19+10,"",Backend!P160+1),"")</f>
        <v/>
      </c>
      <c r="Q161" s="13">
        <f>IF(OR(P161&lt;ConceptDemo!$C$17,Backend!P161&gt;ConceptDemo!$C$19),0,IF(Backend!P161&lt;=Backend!$R$12,Backend!Q160+Backend!$T$12,IF(Backend!P161&lt;=Backend!$R$13,Backend!Q160+Backend!$T$13,IF(Backend!P161&lt;=Backend!$R$14,Backend!Q160+Backend!$T$14,IF(Backend!P161&lt;=Backend!$R$15,Backend!Q160+Backend!$T$15,IF(Backend!P161&lt;=Backend!$X$16,Backend!Q160+Backend!$Z$16))))))</f>
        <v>0</v>
      </c>
      <c r="R161" s="24" t="str">
        <f>IF(1&lt;=ConceptDemo!$K$41,IF(P161=$W$12,ConceptDemo!$K$39,""),"")</f>
        <v/>
      </c>
      <c r="S161" s="24" t="str">
        <f>IF(2&lt;=ConceptDemo!$K$41,IF(P161=$W$13,ConceptDemo!$K$39,""),"")</f>
        <v/>
      </c>
      <c r="T161" s="24" t="str">
        <f>IF(3&lt;=ConceptDemo!$K$41,IF(P161=$W$14,ConceptDemo!$K$39,""),"")</f>
        <v/>
      </c>
      <c r="U161" s="24" t="str">
        <f>IF(4&lt;=ConceptDemo!$K$41,IF(P161=$W$15,ConceptDemo!$K$39,""),"")</f>
        <v/>
      </c>
      <c r="W161" s="23">
        <f>IF($P161&lt;ConceptDemo!$C$17+$E$24-10,$G$27,0)</f>
        <v>0</v>
      </c>
      <c r="X161" s="23">
        <f>IF($P161&lt;ConceptDemo!$C$17+$E$24-10,$H$27,0)</f>
        <v>0</v>
      </c>
      <c r="Y161" s="13">
        <f t="shared" si="19"/>
        <v>0</v>
      </c>
      <c r="Z161" s="13">
        <f t="shared" si="20"/>
        <v>0</v>
      </c>
      <c r="AA161" s="13">
        <f t="shared" si="21"/>
        <v>0</v>
      </c>
      <c r="AB161" s="13">
        <f t="shared" si="22"/>
        <v>0</v>
      </c>
      <c r="AC161" s="23">
        <f t="shared" si="23"/>
        <v>0</v>
      </c>
      <c r="AD161" s="23">
        <f>IF(P161&lt;=ConceptDemo!$C$19,AD160+SUM(W161:AB161)-(Q161-Q160)-AC161,0)</f>
        <v>0</v>
      </c>
      <c r="AE161" s="23">
        <f>IF(ConceptDemo!$C$7=Backend!$A$2,AD161,IF(AE160&lt;&gt;AD160,IF(P161&lt;=ConceptDemo!$C$19,AE160+SUM(W161:AB161)-(Q161-Q160)-AC161,0),IF(P161=ConceptDemo!$C$40,ConceptDemo!$C$39,AD161)))</f>
        <v>0</v>
      </c>
      <c r="AF161" s="23">
        <f t="shared" si="25"/>
        <v>0</v>
      </c>
      <c r="AG161" s="23">
        <f t="shared" si="26"/>
        <v>0</v>
      </c>
      <c r="AH161" s="23">
        <f t="shared" si="24"/>
        <v>0</v>
      </c>
    </row>
    <row r="162" spans="16:34" x14ac:dyDescent="0.25">
      <c r="P162" s="16" t="str">
        <f>IFERROR(IF(P161+1=ConceptDemo!$C$19+10,"",Backend!P161+1),"")</f>
        <v/>
      </c>
      <c r="Q162" s="13">
        <f>IF(OR(P162&lt;ConceptDemo!$C$17,Backend!P162&gt;ConceptDemo!$C$19),0,IF(Backend!P162&lt;=Backend!$R$12,Backend!Q161+Backend!$T$12,IF(Backend!P162&lt;=Backend!$R$13,Backend!Q161+Backend!$T$13,IF(Backend!P162&lt;=Backend!$R$14,Backend!Q161+Backend!$T$14,IF(Backend!P162&lt;=Backend!$R$15,Backend!Q161+Backend!$T$15,IF(Backend!P162&lt;=Backend!$X$16,Backend!Q161+Backend!$Z$16))))))</f>
        <v>0</v>
      </c>
      <c r="R162" s="24" t="str">
        <f>IF(1&lt;=ConceptDemo!$K$41,IF(P162=$W$12,ConceptDemo!$K$39,""),"")</f>
        <v/>
      </c>
      <c r="S162" s="24" t="str">
        <f>IF(2&lt;=ConceptDemo!$K$41,IF(P162=$W$13,ConceptDemo!$K$39,""),"")</f>
        <v/>
      </c>
      <c r="T162" s="24" t="str">
        <f>IF(3&lt;=ConceptDemo!$K$41,IF(P162=$W$14,ConceptDemo!$K$39,""),"")</f>
        <v/>
      </c>
      <c r="U162" s="24" t="str">
        <f>IF(4&lt;=ConceptDemo!$K$41,IF(P162=$W$15,ConceptDemo!$K$39,""),"")</f>
        <v/>
      </c>
      <c r="W162" s="23">
        <f>IF($P162&lt;ConceptDemo!$C$17+$E$24-10,$G$27,0)</f>
        <v>0</v>
      </c>
      <c r="X162" s="23">
        <f>IF($P162&lt;ConceptDemo!$C$17+$E$24-10,$H$27,0)</f>
        <v>0</v>
      </c>
      <c r="Y162" s="13">
        <f t="shared" si="19"/>
        <v>0</v>
      </c>
      <c r="Z162" s="13">
        <f t="shared" si="20"/>
        <v>0</v>
      </c>
      <c r="AA162" s="13">
        <f t="shared" si="21"/>
        <v>0</v>
      </c>
      <c r="AB162" s="13">
        <f t="shared" si="22"/>
        <v>0</v>
      </c>
      <c r="AC162" s="23">
        <f t="shared" si="23"/>
        <v>0</v>
      </c>
      <c r="AD162" s="23">
        <f>IF(P162&lt;=ConceptDemo!$C$19,AD161+SUM(W162:AB162)-(Q162-Q161)-AC162,0)</f>
        <v>0</v>
      </c>
      <c r="AE162" s="23">
        <f>IF(ConceptDemo!$C$7=Backend!$A$2,AD162,IF(AE161&lt;&gt;AD161,IF(P162&lt;=ConceptDemo!$C$19,AE161+SUM(W162:AB162)-(Q162-Q161)-AC162,0),IF(P162=ConceptDemo!$C$40,ConceptDemo!$C$39,AD162)))</f>
        <v>0</v>
      </c>
      <c r="AF162" s="23">
        <f t="shared" si="25"/>
        <v>0</v>
      </c>
      <c r="AG162" s="23">
        <f t="shared" si="26"/>
        <v>0</v>
      </c>
      <c r="AH162" s="23">
        <f t="shared" si="24"/>
        <v>0</v>
      </c>
    </row>
    <row r="163" spans="16:34" x14ac:dyDescent="0.25">
      <c r="P163" s="16" t="str">
        <f>IFERROR(IF(P162+1=ConceptDemo!$C$19+10,"",Backend!P162+1),"")</f>
        <v/>
      </c>
      <c r="Q163" s="13">
        <f>IF(OR(P163&lt;ConceptDemo!$C$17,Backend!P163&gt;ConceptDemo!$C$19),0,IF(Backend!P163&lt;=Backend!$R$12,Backend!Q162+Backend!$T$12,IF(Backend!P163&lt;=Backend!$R$13,Backend!Q162+Backend!$T$13,IF(Backend!P163&lt;=Backend!$R$14,Backend!Q162+Backend!$T$14,IF(Backend!P163&lt;=Backend!$R$15,Backend!Q162+Backend!$T$15,IF(Backend!P163&lt;=Backend!$X$16,Backend!Q162+Backend!$Z$16))))))</f>
        <v>0</v>
      </c>
      <c r="R163" s="24" t="str">
        <f>IF(1&lt;=ConceptDemo!$K$41,IF(P163=$W$12,ConceptDemo!$K$39,""),"")</f>
        <v/>
      </c>
      <c r="S163" s="24" t="str">
        <f>IF(2&lt;=ConceptDemo!$K$41,IF(P163=$W$13,ConceptDemo!$K$39,""),"")</f>
        <v/>
      </c>
      <c r="T163" s="24" t="str">
        <f>IF(3&lt;=ConceptDemo!$K$41,IF(P163=$W$14,ConceptDemo!$K$39,""),"")</f>
        <v/>
      </c>
      <c r="U163" s="24" t="str">
        <f>IF(4&lt;=ConceptDemo!$K$41,IF(P163=$W$15,ConceptDemo!$K$39,""),"")</f>
        <v/>
      </c>
      <c r="W163" s="23">
        <f>IF($P163&lt;ConceptDemo!$C$17+$E$24-10,$G$27,0)</f>
        <v>0</v>
      </c>
      <c r="X163" s="23">
        <f>IF($P163&lt;ConceptDemo!$C$17+$E$24-10,$H$27,0)</f>
        <v>0</v>
      </c>
      <c r="Y163" s="13">
        <f t="shared" si="19"/>
        <v>0</v>
      </c>
      <c r="Z163" s="13">
        <f t="shared" si="20"/>
        <v>0</v>
      </c>
      <c r="AA163" s="13">
        <f t="shared" si="21"/>
        <v>0</v>
      </c>
      <c r="AB163" s="13">
        <f t="shared" si="22"/>
        <v>0</v>
      </c>
      <c r="AC163" s="23">
        <f t="shared" si="23"/>
        <v>0</v>
      </c>
      <c r="AD163" s="23">
        <f>IF(P163&lt;=ConceptDemo!$C$19,AD162+SUM(W163:AB163)-(Q163-Q162)-AC163,0)</f>
        <v>0</v>
      </c>
      <c r="AE163" s="23">
        <f>IF(ConceptDemo!$C$7=Backend!$A$2,AD163,IF(AE162&lt;&gt;AD162,IF(P163&lt;=ConceptDemo!$C$19,AE162+SUM(W163:AB163)-(Q163-Q162)-AC163,0),IF(P163=ConceptDemo!$C$40,ConceptDemo!$C$39,AD163)))</f>
        <v>0</v>
      </c>
      <c r="AF163" s="23">
        <f t="shared" si="25"/>
        <v>0</v>
      </c>
      <c r="AG163" s="23">
        <f t="shared" si="26"/>
        <v>0</v>
      </c>
      <c r="AH163" s="23">
        <f t="shared" si="24"/>
        <v>0</v>
      </c>
    </row>
    <row r="164" spans="16:34" x14ac:dyDescent="0.25">
      <c r="P164" s="16" t="str">
        <f>IFERROR(IF(P163+1=ConceptDemo!$C$19+10,"",Backend!P163+1),"")</f>
        <v/>
      </c>
      <c r="Q164" s="13">
        <f>IF(OR(P164&lt;ConceptDemo!$C$17,Backend!P164&gt;ConceptDemo!$C$19),0,IF(Backend!P164&lt;=Backend!$R$12,Backend!Q163+Backend!$T$12,IF(Backend!P164&lt;=Backend!$R$13,Backend!Q163+Backend!$T$13,IF(Backend!P164&lt;=Backend!$R$14,Backend!Q163+Backend!$T$14,IF(Backend!P164&lt;=Backend!$R$15,Backend!Q163+Backend!$T$15,IF(Backend!P164&lt;=Backend!$X$16,Backend!Q163+Backend!$Z$16))))))</f>
        <v>0</v>
      </c>
      <c r="R164" s="24" t="str">
        <f>IF(1&lt;=ConceptDemo!$K$41,IF(P164=$W$12,ConceptDemo!$K$39,""),"")</f>
        <v/>
      </c>
      <c r="S164" s="24" t="str">
        <f>IF(2&lt;=ConceptDemo!$K$41,IF(P164=$W$13,ConceptDemo!$K$39,""),"")</f>
        <v/>
      </c>
      <c r="T164" s="24" t="str">
        <f>IF(3&lt;=ConceptDemo!$K$41,IF(P164=$W$14,ConceptDemo!$K$39,""),"")</f>
        <v/>
      </c>
      <c r="U164" s="24" t="str">
        <f>IF(4&lt;=ConceptDemo!$K$41,IF(P164=$W$15,ConceptDemo!$K$39,""),"")</f>
        <v/>
      </c>
      <c r="W164" s="23">
        <f>IF($P164&lt;ConceptDemo!$C$17+$E$24-10,$G$27,0)</f>
        <v>0</v>
      </c>
      <c r="X164" s="23">
        <f>IF($P164&lt;ConceptDemo!$C$17+$E$24-10,$H$27,0)</f>
        <v>0</v>
      </c>
      <c r="Y164" s="13">
        <f t="shared" si="19"/>
        <v>0</v>
      </c>
      <c r="Z164" s="13">
        <f t="shared" si="20"/>
        <v>0</v>
      </c>
      <c r="AA164" s="13">
        <f t="shared" si="21"/>
        <v>0</v>
      </c>
      <c r="AB164" s="13">
        <f t="shared" si="22"/>
        <v>0</v>
      </c>
      <c r="AC164" s="23">
        <f t="shared" si="23"/>
        <v>0</v>
      </c>
      <c r="AD164" s="23">
        <f>IF(P164&lt;=ConceptDemo!$C$19,AD163+SUM(W164:AB164)-(Q164-Q163)-AC164,0)</f>
        <v>0</v>
      </c>
      <c r="AE164" s="23">
        <f>IF(ConceptDemo!$C$7=Backend!$A$2,AD164,IF(AE163&lt;&gt;AD163,IF(P164&lt;=ConceptDemo!$C$19,AE163+SUM(W164:AB164)-(Q164-Q163)-AC164,0),IF(P164=ConceptDemo!$C$40,ConceptDemo!$C$39,AD164)))</f>
        <v>0</v>
      </c>
      <c r="AF164" s="23">
        <f t="shared" si="25"/>
        <v>0</v>
      </c>
      <c r="AG164" s="23">
        <f t="shared" si="26"/>
        <v>0</v>
      </c>
      <c r="AH164" s="23">
        <f t="shared" si="24"/>
        <v>0</v>
      </c>
    </row>
    <row r="165" spans="16:34" x14ac:dyDescent="0.25">
      <c r="P165" s="16" t="str">
        <f>IFERROR(IF(P164+1=ConceptDemo!$C$19+10,"",Backend!P164+1),"")</f>
        <v/>
      </c>
      <c r="Q165" s="13">
        <f>IF(OR(P165&lt;ConceptDemo!$C$17,Backend!P165&gt;ConceptDemo!$C$19),0,IF(Backend!P165&lt;=Backend!$R$12,Backend!Q164+Backend!$T$12,IF(Backend!P165&lt;=Backend!$R$13,Backend!Q164+Backend!$T$13,IF(Backend!P165&lt;=Backend!$R$14,Backend!Q164+Backend!$T$14,IF(Backend!P165&lt;=Backend!$R$15,Backend!Q164+Backend!$T$15,IF(Backend!P165&lt;=Backend!$X$16,Backend!Q164+Backend!$Z$16))))))</f>
        <v>0</v>
      </c>
      <c r="R165" s="24" t="str">
        <f>IF(1&lt;=ConceptDemo!$K$41,IF(P165=$W$12,ConceptDemo!$K$39,""),"")</f>
        <v/>
      </c>
      <c r="S165" s="24" t="str">
        <f>IF(2&lt;=ConceptDemo!$K$41,IF(P165=$W$13,ConceptDemo!$K$39,""),"")</f>
        <v/>
      </c>
      <c r="T165" s="24" t="str">
        <f>IF(3&lt;=ConceptDemo!$K$41,IF(P165=$W$14,ConceptDemo!$K$39,""),"")</f>
        <v/>
      </c>
      <c r="U165" s="24" t="str">
        <f>IF(4&lt;=ConceptDemo!$K$41,IF(P165=$W$15,ConceptDemo!$K$39,""),"")</f>
        <v/>
      </c>
      <c r="W165" s="23">
        <f>IF($P165&lt;ConceptDemo!$C$17+$E$24-10,$G$27,0)</f>
        <v>0</v>
      </c>
      <c r="X165" s="23">
        <f>IF($P165&lt;ConceptDemo!$C$17+$E$24-10,$H$27,0)</f>
        <v>0</v>
      </c>
      <c r="Y165" s="13">
        <f t="shared" si="19"/>
        <v>0</v>
      </c>
      <c r="Z165" s="13">
        <f t="shared" si="20"/>
        <v>0</v>
      </c>
      <c r="AA165" s="13">
        <f t="shared" si="21"/>
        <v>0</v>
      </c>
      <c r="AB165" s="13">
        <f t="shared" si="22"/>
        <v>0</v>
      </c>
      <c r="AC165" s="23">
        <f t="shared" si="23"/>
        <v>0</v>
      </c>
      <c r="AD165" s="23">
        <f>IF(P165&lt;=ConceptDemo!$C$19,AD164+SUM(W165:AB165)-(Q165-Q164)-AC165,0)</f>
        <v>0</v>
      </c>
      <c r="AE165" s="23">
        <f>IF(ConceptDemo!$C$7=Backend!$A$2,AD165,IF(AE164&lt;&gt;AD164,IF(P165&lt;=ConceptDemo!$C$19,AE164+SUM(W165:AB165)-(Q165-Q164)-AC165,0),IF(P165=ConceptDemo!$C$40,ConceptDemo!$C$39,AD165)))</f>
        <v>0</v>
      </c>
      <c r="AF165" s="23">
        <f t="shared" si="25"/>
        <v>0</v>
      </c>
      <c r="AG165" s="23">
        <f t="shared" si="26"/>
        <v>0</v>
      </c>
      <c r="AH165" s="23">
        <f t="shared" si="24"/>
        <v>0</v>
      </c>
    </row>
    <row r="166" spans="16:34" x14ac:dyDescent="0.25">
      <c r="P166" s="16" t="str">
        <f>IFERROR(IF(P165+1=ConceptDemo!$C$19+10,"",Backend!P165+1),"")</f>
        <v/>
      </c>
      <c r="Q166" s="13">
        <f>IF(OR(P166&lt;ConceptDemo!$C$17,Backend!P166&gt;ConceptDemo!$C$19),0,IF(Backend!P166&lt;=Backend!$R$12,Backend!Q165+Backend!$T$12,IF(Backend!P166&lt;=Backend!$R$13,Backend!Q165+Backend!$T$13,IF(Backend!P166&lt;=Backend!$R$14,Backend!Q165+Backend!$T$14,IF(Backend!P166&lt;=Backend!$R$15,Backend!Q165+Backend!$T$15,IF(Backend!P166&lt;=Backend!$X$16,Backend!Q165+Backend!$Z$16))))))</f>
        <v>0</v>
      </c>
      <c r="R166" s="24" t="str">
        <f>IF(1&lt;=ConceptDemo!$K$41,IF(P166=$W$12,ConceptDemo!$K$39,""),"")</f>
        <v/>
      </c>
      <c r="S166" s="24" t="str">
        <f>IF(2&lt;=ConceptDemo!$K$41,IF(P166=$W$13,ConceptDemo!$K$39,""),"")</f>
        <v/>
      </c>
      <c r="T166" s="24" t="str">
        <f>IF(3&lt;=ConceptDemo!$K$41,IF(P166=$W$14,ConceptDemo!$K$39,""),"")</f>
        <v/>
      </c>
      <c r="U166" s="24" t="str">
        <f>IF(4&lt;=ConceptDemo!$K$41,IF(P166=$W$15,ConceptDemo!$K$39,""),"")</f>
        <v/>
      </c>
      <c r="W166" s="23">
        <f>IF($P166&lt;ConceptDemo!$C$17+$E$24-10,$G$27,0)</f>
        <v>0</v>
      </c>
      <c r="X166" s="23">
        <f>IF($P166&lt;ConceptDemo!$C$17+$E$24-10,$H$27,0)</f>
        <v>0</v>
      </c>
      <c r="Y166" s="13">
        <f t="shared" si="19"/>
        <v>0</v>
      </c>
      <c r="Z166" s="13">
        <f t="shared" si="20"/>
        <v>0</v>
      </c>
      <c r="AA166" s="13">
        <f t="shared" si="21"/>
        <v>0</v>
      </c>
      <c r="AB166" s="13">
        <f t="shared" si="22"/>
        <v>0</v>
      </c>
      <c r="AC166" s="23">
        <f t="shared" si="23"/>
        <v>0</v>
      </c>
      <c r="AD166" s="23">
        <f>IF(P166&lt;=ConceptDemo!$C$19,AD165+SUM(W166:AB166)-(Q166-Q165)-AC166,0)</f>
        <v>0</v>
      </c>
      <c r="AE166" s="23">
        <f>IF(ConceptDemo!$C$7=Backend!$A$2,AD166,IF(AE165&lt;&gt;AD165,IF(P166&lt;=ConceptDemo!$C$19,AE165+SUM(W166:AB166)-(Q166-Q165)-AC166,0),IF(P166=ConceptDemo!$C$40,ConceptDemo!$C$39,AD166)))</f>
        <v>0</v>
      </c>
      <c r="AF166" s="23">
        <f t="shared" si="25"/>
        <v>0</v>
      </c>
      <c r="AG166" s="23">
        <f t="shared" si="26"/>
        <v>0</v>
      </c>
      <c r="AH166" s="23">
        <f t="shared" si="24"/>
        <v>0</v>
      </c>
    </row>
    <row r="167" spans="16:34" x14ac:dyDescent="0.25">
      <c r="P167" s="16" t="str">
        <f>IFERROR(IF(P166+1=ConceptDemo!$C$19+10,"",Backend!P166+1),"")</f>
        <v/>
      </c>
      <c r="Q167" s="13">
        <f>IF(OR(P167&lt;ConceptDemo!$C$17,Backend!P167&gt;ConceptDemo!$C$19),0,IF(Backend!P167&lt;=Backend!$R$12,Backend!Q166+Backend!$T$12,IF(Backend!P167&lt;=Backend!$R$13,Backend!Q166+Backend!$T$13,IF(Backend!P167&lt;=Backend!$R$14,Backend!Q166+Backend!$T$14,IF(Backend!P167&lt;=Backend!$R$15,Backend!Q166+Backend!$T$15,IF(Backend!P167&lt;=Backend!$X$16,Backend!Q166+Backend!$Z$16))))))</f>
        <v>0</v>
      </c>
      <c r="R167" s="24" t="str">
        <f>IF(1&lt;=ConceptDemo!$K$41,IF(P167=$W$12,ConceptDemo!$K$39,""),"")</f>
        <v/>
      </c>
      <c r="S167" s="24" t="str">
        <f>IF(2&lt;=ConceptDemo!$K$41,IF(P167=$W$13,ConceptDemo!$K$39,""),"")</f>
        <v/>
      </c>
      <c r="T167" s="24" t="str">
        <f>IF(3&lt;=ConceptDemo!$K$41,IF(P167=$W$14,ConceptDemo!$K$39,""),"")</f>
        <v/>
      </c>
      <c r="U167" s="24" t="str">
        <f>IF(4&lt;=ConceptDemo!$K$41,IF(P167=$W$15,ConceptDemo!$K$39,""),"")</f>
        <v/>
      </c>
      <c r="W167" s="23">
        <f>IF($P167&lt;ConceptDemo!$C$17+$E$24-10,$G$27,0)</f>
        <v>0</v>
      </c>
      <c r="X167" s="23">
        <f>IF($P167&lt;ConceptDemo!$C$17+$E$24-10,$H$27,0)</f>
        <v>0</v>
      </c>
      <c r="Y167" s="13">
        <f t="shared" si="19"/>
        <v>0</v>
      </c>
      <c r="Z167" s="13">
        <f t="shared" si="20"/>
        <v>0</v>
      </c>
      <c r="AA167" s="13">
        <f t="shared" si="21"/>
        <v>0</v>
      </c>
      <c r="AB167" s="13">
        <f t="shared" si="22"/>
        <v>0</v>
      </c>
      <c r="AC167" s="23">
        <f t="shared" si="23"/>
        <v>0</v>
      </c>
      <c r="AD167" s="23">
        <f>IF(P167&lt;=ConceptDemo!$C$19,AD166+SUM(W167:AB167)-(Q167-Q166)-AC167,0)</f>
        <v>0</v>
      </c>
      <c r="AE167" s="23">
        <f>IF(ConceptDemo!$C$7=Backend!$A$2,AD167,IF(AE166&lt;&gt;AD166,IF(P167&lt;=ConceptDemo!$C$19,AE166+SUM(W167:AB167)-(Q167-Q166)-AC167,0),IF(P167=ConceptDemo!$C$40,ConceptDemo!$C$39,AD167)))</f>
        <v>0</v>
      </c>
      <c r="AF167" s="23">
        <f t="shared" si="25"/>
        <v>0</v>
      </c>
      <c r="AG167" s="23">
        <f t="shared" si="26"/>
        <v>0</v>
      </c>
      <c r="AH167" s="23">
        <f t="shared" si="24"/>
        <v>0</v>
      </c>
    </row>
    <row r="168" spans="16:34" x14ac:dyDescent="0.25">
      <c r="P168" s="16" t="str">
        <f>IFERROR(IF(P167+1=ConceptDemo!$C$19+10,"",Backend!P167+1),"")</f>
        <v/>
      </c>
      <c r="Q168" s="13">
        <f>IF(OR(P168&lt;ConceptDemo!$C$17,Backend!P168&gt;ConceptDemo!$C$19),0,IF(Backend!P168&lt;=Backend!$R$12,Backend!Q167+Backend!$T$12,IF(Backend!P168&lt;=Backend!$R$13,Backend!Q167+Backend!$T$13,IF(Backend!P168&lt;=Backend!$R$14,Backend!Q167+Backend!$T$14,IF(Backend!P168&lt;=Backend!$R$15,Backend!Q167+Backend!$T$15,IF(Backend!P168&lt;=Backend!$X$16,Backend!Q167+Backend!$Z$16))))))</f>
        <v>0</v>
      </c>
      <c r="R168" s="24" t="str">
        <f>IF(1&lt;=ConceptDemo!$K$41,IF(P168=$W$12,ConceptDemo!$K$39,""),"")</f>
        <v/>
      </c>
      <c r="S168" s="24" t="str">
        <f>IF(2&lt;=ConceptDemo!$K$41,IF(P168=$W$13,ConceptDemo!$K$39,""),"")</f>
        <v/>
      </c>
      <c r="T168" s="24" t="str">
        <f>IF(3&lt;=ConceptDemo!$K$41,IF(P168=$W$14,ConceptDemo!$K$39,""),"")</f>
        <v/>
      </c>
      <c r="U168" s="24" t="str">
        <f>IF(4&lt;=ConceptDemo!$K$41,IF(P168=$W$15,ConceptDemo!$K$39,""),"")</f>
        <v/>
      </c>
      <c r="W168" s="23">
        <f>IF($P168&lt;ConceptDemo!$C$17+$E$24-10,$G$27,0)</f>
        <v>0</v>
      </c>
      <c r="X168" s="23">
        <f>IF($P168&lt;ConceptDemo!$C$17+$E$24-10,$H$27,0)</f>
        <v>0</v>
      </c>
      <c r="Y168" s="13">
        <f t="shared" si="19"/>
        <v>0</v>
      </c>
      <c r="Z168" s="13">
        <f t="shared" si="20"/>
        <v>0</v>
      </c>
      <c r="AA168" s="13">
        <f t="shared" si="21"/>
        <v>0</v>
      </c>
      <c r="AB168" s="13">
        <f t="shared" si="22"/>
        <v>0</v>
      </c>
      <c r="AC168" s="23">
        <f t="shared" si="23"/>
        <v>0</v>
      </c>
      <c r="AD168" s="23">
        <f>IF(P168&lt;=ConceptDemo!$C$19,AD167+SUM(W168:AB168)-(Q168-Q167)-AC168,0)</f>
        <v>0</v>
      </c>
      <c r="AE168" s="23">
        <f>IF(ConceptDemo!$C$7=Backend!$A$2,AD168,IF(AE167&lt;&gt;AD167,IF(P168&lt;=ConceptDemo!$C$19,AE167+SUM(W168:AB168)-(Q168-Q167)-AC168,0),IF(P168=ConceptDemo!$C$40,ConceptDemo!$C$39,AD168)))</f>
        <v>0</v>
      </c>
      <c r="AF168" s="23">
        <f t="shared" si="25"/>
        <v>0</v>
      </c>
      <c r="AG168" s="23">
        <f t="shared" si="26"/>
        <v>0</v>
      </c>
      <c r="AH168" s="23">
        <f t="shared" si="24"/>
        <v>0</v>
      </c>
    </row>
    <row r="169" spans="16:34" x14ac:dyDescent="0.25">
      <c r="P169" s="16" t="str">
        <f>IFERROR(IF(P168+1=ConceptDemo!$C$19+10,"",Backend!P168+1),"")</f>
        <v/>
      </c>
      <c r="Q169" s="13">
        <f>IF(OR(P169&lt;ConceptDemo!$C$17,Backend!P169&gt;ConceptDemo!$C$19),0,IF(Backend!P169&lt;=Backend!$R$12,Backend!Q168+Backend!$T$12,IF(Backend!P169&lt;=Backend!$R$13,Backend!Q168+Backend!$T$13,IF(Backend!P169&lt;=Backend!$R$14,Backend!Q168+Backend!$T$14,IF(Backend!P169&lt;=Backend!$R$15,Backend!Q168+Backend!$T$15,IF(Backend!P169&lt;=Backend!$X$16,Backend!Q168+Backend!$Z$16))))))</f>
        <v>0</v>
      </c>
      <c r="R169" s="24" t="str">
        <f>IF(1&lt;=ConceptDemo!$K$41,IF(P169=$W$12,ConceptDemo!$K$39,""),"")</f>
        <v/>
      </c>
      <c r="S169" s="24" t="str">
        <f>IF(2&lt;=ConceptDemo!$K$41,IF(P169=$W$13,ConceptDemo!$K$39,""),"")</f>
        <v/>
      </c>
      <c r="T169" s="24" t="str">
        <f>IF(3&lt;=ConceptDemo!$K$41,IF(P169=$W$14,ConceptDemo!$K$39,""),"")</f>
        <v/>
      </c>
      <c r="U169" s="24" t="str">
        <f>IF(4&lt;=ConceptDemo!$K$41,IF(P169=$W$15,ConceptDemo!$K$39,""),"")</f>
        <v/>
      </c>
      <c r="W169" s="23">
        <f>IF($P169&lt;ConceptDemo!$C$17+$E$24-10,$G$27,0)</f>
        <v>0</v>
      </c>
      <c r="X169" s="23">
        <f>IF($P169&lt;ConceptDemo!$C$17+$E$24-10,$H$27,0)</f>
        <v>0</v>
      </c>
      <c r="Y169" s="13">
        <f t="shared" si="19"/>
        <v>0</v>
      </c>
      <c r="Z169" s="13">
        <f t="shared" si="20"/>
        <v>0</v>
      </c>
      <c r="AA169" s="13">
        <f t="shared" si="21"/>
        <v>0</v>
      </c>
      <c r="AB169" s="13">
        <f t="shared" si="22"/>
        <v>0</v>
      </c>
      <c r="AC169" s="23">
        <f t="shared" si="23"/>
        <v>0</v>
      </c>
      <c r="AD169" s="23">
        <f>IF(P169&lt;=ConceptDemo!$C$19,AD168+SUM(W169:AB169)-(Q169-Q168)-AC169,0)</f>
        <v>0</v>
      </c>
      <c r="AE169" s="23">
        <f>IF(ConceptDemo!$C$7=Backend!$A$2,AD169,IF(AE168&lt;&gt;AD168,IF(P169&lt;=ConceptDemo!$C$19,AE168+SUM(W169:AB169)-(Q169-Q168)-AC169,0),IF(P169=ConceptDemo!$C$40,ConceptDemo!$C$39,AD169)))</f>
        <v>0</v>
      </c>
      <c r="AF169" s="23">
        <f t="shared" si="25"/>
        <v>0</v>
      </c>
      <c r="AG169" s="23">
        <f t="shared" si="26"/>
        <v>0</v>
      </c>
      <c r="AH169" s="23">
        <f t="shared" si="24"/>
        <v>0</v>
      </c>
    </row>
    <row r="170" spans="16:34" x14ac:dyDescent="0.25">
      <c r="P170" s="16" t="str">
        <f>IFERROR(IF(P169+1=ConceptDemo!$C$19+10,"",Backend!P169+1),"")</f>
        <v/>
      </c>
      <c r="Q170" s="13">
        <f>IF(OR(P170&lt;ConceptDemo!$C$17,Backend!P170&gt;ConceptDemo!$C$19),0,IF(Backend!P170&lt;=Backend!$R$12,Backend!Q169+Backend!$T$12,IF(Backend!P170&lt;=Backend!$R$13,Backend!Q169+Backend!$T$13,IF(Backend!P170&lt;=Backend!$R$14,Backend!Q169+Backend!$T$14,IF(Backend!P170&lt;=Backend!$R$15,Backend!Q169+Backend!$T$15,IF(Backend!P170&lt;=Backend!$X$16,Backend!Q169+Backend!$Z$16))))))</f>
        <v>0</v>
      </c>
      <c r="R170" s="24" t="str">
        <f>IF(1&lt;=ConceptDemo!$K$41,IF(P170=$W$12,ConceptDemo!$K$39,""),"")</f>
        <v/>
      </c>
      <c r="S170" s="24" t="str">
        <f>IF(2&lt;=ConceptDemo!$K$41,IF(P170=$W$13,ConceptDemo!$K$39,""),"")</f>
        <v/>
      </c>
      <c r="T170" s="24" t="str">
        <f>IF(3&lt;=ConceptDemo!$K$41,IF(P170=$W$14,ConceptDemo!$K$39,""),"")</f>
        <v/>
      </c>
      <c r="U170" s="24" t="str">
        <f>IF(4&lt;=ConceptDemo!$K$41,IF(P170=$W$15,ConceptDemo!$K$39,""),"")</f>
        <v/>
      </c>
      <c r="W170" s="23">
        <f>IF($P170&lt;ConceptDemo!$C$17+$E$24-10,$G$27,0)</f>
        <v>0</v>
      </c>
      <c r="X170" s="23">
        <f>IF($P170&lt;ConceptDemo!$C$17+$E$24-10,$H$27,0)</f>
        <v>0</v>
      </c>
      <c r="Y170" s="13">
        <f t="shared" si="19"/>
        <v>0</v>
      </c>
      <c r="Z170" s="13">
        <f t="shared" si="20"/>
        <v>0</v>
      </c>
      <c r="AA170" s="13">
        <f t="shared" si="21"/>
        <v>0</v>
      </c>
      <c r="AB170" s="13">
        <f t="shared" si="22"/>
        <v>0</v>
      </c>
      <c r="AC170" s="23">
        <f t="shared" si="23"/>
        <v>0</v>
      </c>
      <c r="AD170" s="23">
        <f>IF(P170&lt;=ConceptDemo!$C$19,AD169+SUM(W170:AB170)-(Q170-Q169)-AC170,0)</f>
        <v>0</v>
      </c>
      <c r="AE170" s="23">
        <f>IF(ConceptDemo!$C$7=Backend!$A$2,AD170,IF(AE169&lt;&gt;AD169,IF(P170&lt;=ConceptDemo!$C$19,AE169+SUM(W170:AB170)-(Q170-Q169)-AC170,0),IF(P170=ConceptDemo!$C$40,ConceptDemo!$C$39,AD170)))</f>
        <v>0</v>
      </c>
      <c r="AF170" s="23">
        <f t="shared" si="25"/>
        <v>0</v>
      </c>
      <c r="AG170" s="23">
        <f t="shared" si="26"/>
        <v>0</v>
      </c>
      <c r="AH170" s="23">
        <f t="shared" si="24"/>
        <v>0</v>
      </c>
    </row>
    <row r="171" spans="16:34" x14ac:dyDescent="0.25">
      <c r="P171" s="16" t="str">
        <f>IFERROR(IF(P170+1=ConceptDemo!$C$19+10,"",Backend!P170+1),"")</f>
        <v/>
      </c>
      <c r="Q171" s="13">
        <f>IF(OR(P171&lt;ConceptDemo!$C$17,Backend!P171&gt;ConceptDemo!$C$19),0,IF(Backend!P171&lt;=Backend!$R$12,Backend!Q170+Backend!$T$12,IF(Backend!P171&lt;=Backend!$R$13,Backend!Q170+Backend!$T$13,IF(Backend!P171&lt;=Backend!$R$14,Backend!Q170+Backend!$T$14,IF(Backend!P171&lt;=Backend!$R$15,Backend!Q170+Backend!$T$15,IF(Backend!P171&lt;=Backend!$X$16,Backend!Q170+Backend!$Z$16))))))</f>
        <v>0</v>
      </c>
      <c r="R171" s="24" t="str">
        <f>IF(1&lt;=ConceptDemo!$K$41,IF(P171=$W$12,ConceptDemo!$K$39,""),"")</f>
        <v/>
      </c>
      <c r="S171" s="24" t="str">
        <f>IF(2&lt;=ConceptDemo!$K$41,IF(P171=$W$13,ConceptDemo!$K$39,""),"")</f>
        <v/>
      </c>
      <c r="T171" s="24" t="str">
        <f>IF(3&lt;=ConceptDemo!$K$41,IF(P171=$W$14,ConceptDemo!$K$39,""),"")</f>
        <v/>
      </c>
      <c r="U171" s="24" t="str">
        <f>IF(4&lt;=ConceptDemo!$K$41,IF(P171=$W$15,ConceptDemo!$K$39,""),"")</f>
        <v/>
      </c>
      <c r="W171" s="23">
        <f>IF($P171&lt;ConceptDemo!$C$17+$E$24-10,$G$27,0)</f>
        <v>0</v>
      </c>
      <c r="X171" s="23">
        <f>IF($P171&lt;ConceptDemo!$C$17+$E$24-10,$H$27,0)</f>
        <v>0</v>
      </c>
      <c r="Y171" s="13">
        <f t="shared" si="19"/>
        <v>0</v>
      </c>
      <c r="Z171" s="13">
        <f t="shared" si="20"/>
        <v>0</v>
      </c>
      <c r="AA171" s="13">
        <f t="shared" si="21"/>
        <v>0</v>
      </c>
      <c r="AB171" s="13">
        <f t="shared" si="22"/>
        <v>0</v>
      </c>
      <c r="AC171" s="23">
        <f t="shared" si="23"/>
        <v>0</v>
      </c>
      <c r="AD171" s="23">
        <f>IF(P171&lt;=ConceptDemo!$C$19,AD170+SUM(W171:AB171)-(Q171-Q170)-AC171,0)</f>
        <v>0</v>
      </c>
      <c r="AE171" s="23">
        <f>IF(ConceptDemo!$C$7=Backend!$A$2,AD171,IF(AE170&lt;&gt;AD170,IF(P171&lt;=ConceptDemo!$C$19,AE170+SUM(W171:AB171)-(Q171-Q170)-AC171,0),IF(P171=ConceptDemo!$C$40,ConceptDemo!$C$39,AD171)))</f>
        <v>0</v>
      </c>
      <c r="AF171" s="23">
        <f t="shared" si="25"/>
        <v>0</v>
      </c>
      <c r="AG171" s="23">
        <f t="shared" si="26"/>
        <v>0</v>
      </c>
      <c r="AH171" s="23">
        <f t="shared" si="24"/>
        <v>0</v>
      </c>
    </row>
    <row r="172" spans="16:34" x14ac:dyDescent="0.25">
      <c r="P172" s="16" t="str">
        <f>IFERROR(IF(P171+1=ConceptDemo!$C$19+10,"",Backend!P171+1),"")</f>
        <v/>
      </c>
      <c r="Q172" s="13">
        <f>IF(OR(P172&lt;ConceptDemo!$C$17,Backend!P172&gt;ConceptDemo!$C$19),0,IF(Backend!P172&lt;=Backend!$R$12,Backend!Q171+Backend!$T$12,IF(Backend!P172&lt;=Backend!$R$13,Backend!Q171+Backend!$T$13,IF(Backend!P172&lt;=Backend!$R$14,Backend!Q171+Backend!$T$14,IF(Backend!P172&lt;=Backend!$R$15,Backend!Q171+Backend!$T$15,IF(Backend!P172&lt;=Backend!$X$16,Backend!Q171+Backend!$Z$16))))))</f>
        <v>0</v>
      </c>
      <c r="R172" s="24" t="str">
        <f>IF(1&lt;=ConceptDemo!$K$41,IF(P172=$W$12,ConceptDemo!$K$39,""),"")</f>
        <v/>
      </c>
      <c r="S172" s="24" t="str">
        <f>IF(2&lt;=ConceptDemo!$K$41,IF(P172=$W$13,ConceptDemo!$K$39,""),"")</f>
        <v/>
      </c>
      <c r="T172" s="24" t="str">
        <f>IF(3&lt;=ConceptDemo!$K$41,IF(P172=$W$14,ConceptDemo!$K$39,""),"")</f>
        <v/>
      </c>
      <c r="U172" s="24" t="str">
        <f>IF(4&lt;=ConceptDemo!$K$41,IF(P172=$W$15,ConceptDemo!$K$39,""),"")</f>
        <v/>
      </c>
      <c r="W172" s="23">
        <f>IF($P172&lt;ConceptDemo!$C$17+$E$24-10,$G$27,0)</f>
        <v>0</v>
      </c>
      <c r="X172" s="23">
        <f>IF($P172&lt;ConceptDemo!$C$17+$E$24-10,$H$27,0)</f>
        <v>0</v>
      </c>
      <c r="Y172" s="13">
        <f t="shared" si="19"/>
        <v>0</v>
      </c>
      <c r="Z172" s="13">
        <f t="shared" si="20"/>
        <v>0</v>
      </c>
      <c r="AA172" s="13">
        <f t="shared" si="21"/>
        <v>0</v>
      </c>
      <c r="AB172" s="13">
        <f t="shared" si="22"/>
        <v>0</v>
      </c>
      <c r="AC172" s="23">
        <f t="shared" si="23"/>
        <v>0</v>
      </c>
      <c r="AD172" s="23">
        <f>IF(P172&lt;=ConceptDemo!$C$19,AD171+SUM(W172:AB172)-(Q172-Q171)-AC172,0)</f>
        <v>0</v>
      </c>
      <c r="AE172" s="23">
        <f>IF(ConceptDemo!$C$7=Backend!$A$2,AD172,IF(AE171&lt;&gt;AD171,IF(P172&lt;=ConceptDemo!$C$19,AE171+SUM(W172:AB172)-(Q172-Q171)-AC172,0),IF(P172=ConceptDemo!$C$40,ConceptDemo!$C$39,AD172)))</f>
        <v>0</v>
      </c>
      <c r="AF172" s="23">
        <f t="shared" si="25"/>
        <v>0</v>
      </c>
      <c r="AG172" s="23">
        <f t="shared" si="26"/>
        <v>0</v>
      </c>
      <c r="AH172" s="23">
        <f t="shared" si="24"/>
        <v>0</v>
      </c>
    </row>
    <row r="173" spans="16:34" x14ac:dyDescent="0.25">
      <c r="P173" s="16" t="str">
        <f>IFERROR(IF(P172+1=ConceptDemo!$C$19+10,"",Backend!P172+1),"")</f>
        <v/>
      </c>
      <c r="Q173" s="13">
        <f>IF(OR(P173&lt;ConceptDemo!$C$17,Backend!P173&gt;ConceptDemo!$C$19),0,IF(Backend!P173&lt;=Backend!$R$12,Backend!Q172+Backend!$T$12,IF(Backend!P173&lt;=Backend!$R$13,Backend!Q172+Backend!$T$13,IF(Backend!P173&lt;=Backend!$R$14,Backend!Q172+Backend!$T$14,IF(Backend!P173&lt;=Backend!$R$15,Backend!Q172+Backend!$T$15,IF(Backend!P173&lt;=Backend!$X$16,Backend!Q172+Backend!$Z$16))))))</f>
        <v>0</v>
      </c>
      <c r="R173" s="24" t="str">
        <f>IF(1&lt;=ConceptDemo!$K$41,IF(P173=$W$12,ConceptDemo!$K$39,""),"")</f>
        <v/>
      </c>
      <c r="S173" s="24" t="str">
        <f>IF(2&lt;=ConceptDemo!$K$41,IF(P173=$W$13,ConceptDemo!$K$39,""),"")</f>
        <v/>
      </c>
      <c r="T173" s="24" t="str">
        <f>IF(3&lt;=ConceptDemo!$K$41,IF(P173=$W$14,ConceptDemo!$K$39,""),"")</f>
        <v/>
      </c>
      <c r="U173" s="24" t="str">
        <f>IF(4&lt;=ConceptDemo!$K$41,IF(P173=$W$15,ConceptDemo!$K$39,""),"")</f>
        <v/>
      </c>
      <c r="W173" s="23">
        <f>IF($P173&lt;ConceptDemo!$C$17+$E$24-10,$G$27,0)</f>
        <v>0</v>
      </c>
      <c r="X173" s="23">
        <f>IF($P173&lt;ConceptDemo!$C$17+$E$24-10,$H$27,0)</f>
        <v>0</v>
      </c>
      <c r="Y173" s="13">
        <f t="shared" si="19"/>
        <v>0</v>
      </c>
      <c r="Z173" s="13">
        <f t="shared" si="20"/>
        <v>0</v>
      </c>
      <c r="AA173" s="13">
        <f t="shared" si="21"/>
        <v>0</v>
      </c>
      <c r="AB173" s="13">
        <f t="shared" si="22"/>
        <v>0</v>
      </c>
      <c r="AC173" s="23">
        <f t="shared" si="23"/>
        <v>0</v>
      </c>
      <c r="AD173" s="23">
        <f>IF(P173&lt;=ConceptDemo!$C$19,AD172+SUM(W173:AB173)-(Q173-Q172)-AC173,0)</f>
        <v>0</v>
      </c>
      <c r="AE173" s="23">
        <f>IF(ConceptDemo!$C$7=Backend!$A$2,AD173,IF(AE172&lt;&gt;AD172,IF(P173&lt;=ConceptDemo!$C$19,AE172+SUM(W173:AB173)-(Q173-Q172)-AC173,0),IF(P173=ConceptDemo!$C$40,ConceptDemo!$C$39,AD173)))</f>
        <v>0</v>
      </c>
      <c r="AF173" s="23">
        <f t="shared" si="25"/>
        <v>0</v>
      </c>
      <c r="AG173" s="23">
        <f t="shared" si="26"/>
        <v>0</v>
      </c>
      <c r="AH173" s="23">
        <f t="shared" si="24"/>
        <v>0</v>
      </c>
    </row>
    <row r="174" spans="16:34" x14ac:dyDescent="0.25">
      <c r="P174" s="16" t="str">
        <f>IFERROR(IF(P173+1=ConceptDemo!$C$19+10,"",Backend!P173+1),"")</f>
        <v/>
      </c>
      <c r="Q174" s="13">
        <f>IF(OR(P174&lt;ConceptDemo!$C$17,Backend!P174&gt;ConceptDemo!$C$19),0,IF(Backend!P174&lt;=Backend!$R$12,Backend!Q173+Backend!$T$12,IF(Backend!P174&lt;=Backend!$R$13,Backend!Q173+Backend!$T$13,IF(Backend!P174&lt;=Backend!$R$14,Backend!Q173+Backend!$T$14,IF(Backend!P174&lt;=Backend!$R$15,Backend!Q173+Backend!$T$15,IF(Backend!P174&lt;=Backend!$X$16,Backend!Q173+Backend!$Z$16))))))</f>
        <v>0</v>
      </c>
      <c r="R174" s="24" t="str">
        <f>IF(1&lt;=ConceptDemo!$K$41,IF(P174=$W$12,ConceptDemo!$K$39,""),"")</f>
        <v/>
      </c>
      <c r="S174" s="24" t="str">
        <f>IF(2&lt;=ConceptDemo!$K$41,IF(P174=$W$13,ConceptDemo!$K$39,""),"")</f>
        <v/>
      </c>
      <c r="T174" s="24" t="str">
        <f>IF(3&lt;=ConceptDemo!$K$41,IF(P174=$W$14,ConceptDemo!$K$39,""),"")</f>
        <v/>
      </c>
      <c r="U174" s="24" t="str">
        <f>IF(4&lt;=ConceptDemo!$K$41,IF(P174=$W$15,ConceptDemo!$K$39,""),"")</f>
        <v/>
      </c>
      <c r="W174" s="23">
        <f>IF($P174&lt;ConceptDemo!$C$17+$E$24-10,$G$27,0)</f>
        <v>0</v>
      </c>
      <c r="X174" s="23">
        <f>IF($P174&lt;ConceptDemo!$C$17+$E$24-10,$H$27,0)</f>
        <v>0</v>
      </c>
      <c r="Y174" s="13">
        <f t="shared" si="19"/>
        <v>0</v>
      </c>
      <c r="Z174" s="13">
        <f t="shared" si="20"/>
        <v>0</v>
      </c>
      <c r="AA174" s="13">
        <f t="shared" si="21"/>
        <v>0</v>
      </c>
      <c r="AB174" s="13">
        <f t="shared" si="22"/>
        <v>0</v>
      </c>
      <c r="AC174" s="23">
        <f t="shared" si="23"/>
        <v>0</v>
      </c>
      <c r="AD174" s="23">
        <f>IF(P174&lt;=ConceptDemo!$C$19,AD173+SUM(W174:AB174)-(Q174-Q173)-AC174,0)</f>
        <v>0</v>
      </c>
      <c r="AE174" s="23">
        <f>IF(ConceptDemo!$C$7=Backend!$A$2,AD174,IF(AE173&lt;&gt;AD173,IF(P174&lt;=ConceptDemo!$C$19,AE173+SUM(W174:AB174)-(Q174-Q173)-AC174,0),IF(P174=ConceptDemo!$C$40,ConceptDemo!$C$39,AD174)))</f>
        <v>0</v>
      </c>
      <c r="AF174" s="23">
        <f t="shared" si="25"/>
        <v>0</v>
      </c>
      <c r="AG174" s="23">
        <f t="shared" si="26"/>
        <v>0</v>
      </c>
      <c r="AH174" s="23">
        <f t="shared" si="24"/>
        <v>0</v>
      </c>
    </row>
    <row r="175" spans="16:34" x14ac:dyDescent="0.25">
      <c r="P175" s="16" t="str">
        <f>IFERROR(IF(P174+1=ConceptDemo!$C$19+10,"",Backend!P174+1),"")</f>
        <v/>
      </c>
      <c r="Q175" s="13">
        <f>IF(OR(P175&lt;ConceptDemo!$C$17,Backend!P175&gt;ConceptDemo!$C$19),0,IF(Backend!P175&lt;=Backend!$R$12,Backend!Q174+Backend!$T$12,IF(Backend!P175&lt;=Backend!$R$13,Backend!Q174+Backend!$T$13,IF(Backend!P175&lt;=Backend!$R$14,Backend!Q174+Backend!$T$14,IF(Backend!P175&lt;=Backend!$R$15,Backend!Q174+Backend!$T$15,IF(Backend!P175&lt;=Backend!$X$16,Backend!Q174+Backend!$Z$16))))))</f>
        <v>0</v>
      </c>
      <c r="R175" s="24" t="str">
        <f>IF(1&lt;=ConceptDemo!$K$41,IF(P175=$W$12,ConceptDemo!$K$39,""),"")</f>
        <v/>
      </c>
      <c r="S175" s="24" t="str">
        <f>IF(2&lt;=ConceptDemo!$K$41,IF(P175=$W$13,ConceptDemo!$K$39,""),"")</f>
        <v/>
      </c>
      <c r="T175" s="24" t="str">
        <f>IF(3&lt;=ConceptDemo!$K$41,IF(P175=$W$14,ConceptDemo!$K$39,""),"")</f>
        <v/>
      </c>
      <c r="U175" s="24" t="str">
        <f>IF(4&lt;=ConceptDemo!$K$41,IF(P175=$W$15,ConceptDemo!$K$39,""),"")</f>
        <v/>
      </c>
      <c r="W175" s="23">
        <f>IF($P175&lt;ConceptDemo!$C$17+$E$24-10,$G$27,0)</f>
        <v>0</v>
      </c>
      <c r="X175" s="23">
        <f>IF($P175&lt;ConceptDemo!$C$17+$E$24-10,$H$27,0)</f>
        <v>0</v>
      </c>
      <c r="Y175" s="13">
        <f t="shared" si="19"/>
        <v>0</v>
      </c>
      <c r="Z175" s="13">
        <f t="shared" si="20"/>
        <v>0</v>
      </c>
      <c r="AA175" s="13">
        <f t="shared" si="21"/>
        <v>0</v>
      </c>
      <c r="AB175" s="13">
        <f t="shared" si="22"/>
        <v>0</v>
      </c>
      <c r="AC175" s="23">
        <f t="shared" si="23"/>
        <v>0</v>
      </c>
      <c r="AD175" s="23">
        <f>IF(P175&lt;=ConceptDemo!$C$19,AD174+SUM(W175:AB175)-(Q175-Q174)-AC175,0)</f>
        <v>0</v>
      </c>
      <c r="AE175" s="23">
        <f>IF(ConceptDemo!$C$7=Backend!$A$2,AD175,IF(AE174&lt;&gt;AD174,IF(P175&lt;=ConceptDemo!$C$19,AE174+SUM(W175:AB175)-(Q175-Q174)-AC175,0),IF(P175=ConceptDemo!$C$40,ConceptDemo!$C$39,AD175)))</f>
        <v>0</v>
      </c>
      <c r="AF175" s="23">
        <f t="shared" si="25"/>
        <v>0</v>
      </c>
      <c r="AG175" s="23">
        <f t="shared" si="26"/>
        <v>0</v>
      </c>
      <c r="AH175" s="23">
        <f t="shared" si="24"/>
        <v>0</v>
      </c>
    </row>
    <row r="176" spans="16:34" x14ac:dyDescent="0.25">
      <c r="P176" s="16" t="str">
        <f>IFERROR(IF(P175+1=ConceptDemo!$C$19+10,"",Backend!P175+1),"")</f>
        <v/>
      </c>
      <c r="Q176" s="13">
        <f>IF(OR(P176&lt;ConceptDemo!$C$17,Backend!P176&gt;ConceptDemo!$C$19),0,IF(Backend!P176&lt;=Backend!$R$12,Backend!Q175+Backend!$T$12,IF(Backend!P176&lt;=Backend!$R$13,Backend!Q175+Backend!$T$13,IF(Backend!P176&lt;=Backend!$R$14,Backend!Q175+Backend!$T$14,IF(Backend!P176&lt;=Backend!$R$15,Backend!Q175+Backend!$T$15,IF(Backend!P176&lt;=Backend!$X$16,Backend!Q175+Backend!$Z$16))))))</f>
        <v>0</v>
      </c>
      <c r="R176" s="24" t="str">
        <f>IF(1&lt;=ConceptDemo!$K$41,IF(P176=$W$12,ConceptDemo!$K$39,""),"")</f>
        <v/>
      </c>
      <c r="S176" s="24" t="str">
        <f>IF(2&lt;=ConceptDemo!$K$41,IF(P176=$W$13,ConceptDemo!$K$39,""),"")</f>
        <v/>
      </c>
      <c r="T176" s="24" t="str">
        <f>IF(3&lt;=ConceptDemo!$K$41,IF(P176=$W$14,ConceptDemo!$K$39,""),"")</f>
        <v/>
      </c>
      <c r="U176" s="24" t="str">
        <f>IF(4&lt;=ConceptDemo!$K$41,IF(P176=$W$15,ConceptDemo!$K$39,""),"")</f>
        <v/>
      </c>
      <c r="W176" s="23">
        <f>IF($P176&lt;ConceptDemo!$C$17+$E$24-10,$G$27,0)</f>
        <v>0</v>
      </c>
      <c r="X176" s="23">
        <f>IF($P176&lt;ConceptDemo!$C$17+$E$24-10,$H$27,0)</f>
        <v>0</v>
      </c>
      <c r="Y176" s="13">
        <f t="shared" si="19"/>
        <v>0</v>
      </c>
      <c r="Z176" s="13">
        <f t="shared" si="20"/>
        <v>0</v>
      </c>
      <c r="AA176" s="13">
        <f t="shared" si="21"/>
        <v>0</v>
      </c>
      <c r="AB176" s="13">
        <f t="shared" si="22"/>
        <v>0</v>
      </c>
      <c r="AC176" s="23">
        <f t="shared" si="23"/>
        <v>0</v>
      </c>
      <c r="AD176" s="23">
        <f>IF(P176&lt;=ConceptDemo!$C$19,AD175+SUM(W176:AB176)-(Q176-Q175)-AC176,0)</f>
        <v>0</v>
      </c>
      <c r="AE176" s="23">
        <f>IF(ConceptDemo!$C$7=Backend!$A$2,AD176,IF(AE175&lt;&gt;AD175,IF(P176&lt;=ConceptDemo!$C$19,AE175+SUM(W176:AB176)-(Q176-Q175)-AC176,0),IF(P176=ConceptDemo!$C$40,ConceptDemo!$C$39,AD176)))</f>
        <v>0</v>
      </c>
      <c r="AF176" s="23">
        <f t="shared" si="25"/>
        <v>0</v>
      </c>
      <c r="AG176" s="23">
        <f t="shared" si="26"/>
        <v>0</v>
      </c>
      <c r="AH176" s="23">
        <f t="shared" si="24"/>
        <v>0</v>
      </c>
    </row>
    <row r="177" spans="16:34" x14ac:dyDescent="0.25">
      <c r="P177" s="16" t="str">
        <f>IFERROR(IF(P176+1=ConceptDemo!$C$19+10,"",Backend!P176+1),"")</f>
        <v/>
      </c>
      <c r="Q177" s="13">
        <f>IF(OR(P177&lt;ConceptDemo!$C$17,Backend!P177&gt;ConceptDemo!$C$19),0,IF(Backend!P177&lt;=Backend!$R$12,Backend!Q176+Backend!$T$12,IF(Backend!P177&lt;=Backend!$R$13,Backend!Q176+Backend!$T$13,IF(Backend!P177&lt;=Backend!$R$14,Backend!Q176+Backend!$T$14,IF(Backend!P177&lt;=Backend!$R$15,Backend!Q176+Backend!$T$15,IF(Backend!P177&lt;=Backend!$X$16,Backend!Q176+Backend!$Z$16))))))</f>
        <v>0</v>
      </c>
      <c r="R177" s="24" t="str">
        <f>IF(1&lt;=ConceptDemo!$K$41,IF(P177=$W$12,ConceptDemo!$K$39,""),"")</f>
        <v/>
      </c>
      <c r="S177" s="24" t="str">
        <f>IF(2&lt;=ConceptDemo!$K$41,IF(P177=$W$13,ConceptDemo!$K$39,""),"")</f>
        <v/>
      </c>
      <c r="T177" s="24" t="str">
        <f>IF(3&lt;=ConceptDemo!$K$41,IF(P177=$W$14,ConceptDemo!$K$39,""),"")</f>
        <v/>
      </c>
      <c r="U177" s="24" t="str">
        <f>IF(4&lt;=ConceptDemo!$K$41,IF(P177=$W$15,ConceptDemo!$K$39,""),"")</f>
        <v/>
      </c>
      <c r="W177" s="23">
        <f>IF($P177&lt;ConceptDemo!$C$17+$E$24-10,$G$27,0)</f>
        <v>0</v>
      </c>
      <c r="X177" s="23">
        <f>IF($P177&lt;ConceptDemo!$C$17+$E$24-10,$H$27,0)</f>
        <v>0</v>
      </c>
      <c r="Y177" s="13">
        <f t="shared" si="19"/>
        <v>0</v>
      </c>
      <c r="Z177" s="13">
        <f t="shared" si="20"/>
        <v>0</v>
      </c>
      <c r="AA177" s="13">
        <f t="shared" si="21"/>
        <v>0</v>
      </c>
      <c r="AB177" s="13">
        <f t="shared" si="22"/>
        <v>0</v>
      </c>
      <c r="AC177" s="23">
        <f t="shared" si="23"/>
        <v>0</v>
      </c>
      <c r="AD177" s="23">
        <f>IF(P177&lt;=ConceptDemo!$C$19,AD176+SUM(W177:AB177)-(Q177-Q176)-AC177,0)</f>
        <v>0</v>
      </c>
      <c r="AE177" s="23">
        <f>IF(ConceptDemo!$C$7=Backend!$A$2,AD177,IF(AE176&lt;&gt;AD176,IF(P177&lt;=ConceptDemo!$C$19,AE176+SUM(W177:AB177)-(Q177-Q176)-AC177,0),IF(P177=ConceptDemo!$C$40,ConceptDemo!$C$39,AD177)))</f>
        <v>0</v>
      </c>
      <c r="AF177" s="23">
        <f t="shared" si="25"/>
        <v>0</v>
      </c>
      <c r="AG177" s="23">
        <f t="shared" si="26"/>
        <v>0</v>
      </c>
      <c r="AH177" s="23">
        <f t="shared" si="24"/>
        <v>0</v>
      </c>
    </row>
    <row r="178" spans="16:34" x14ac:dyDescent="0.25">
      <c r="P178" s="16" t="str">
        <f>IFERROR(IF(P177+1=ConceptDemo!$C$19+10,"",Backend!P177+1),"")</f>
        <v/>
      </c>
      <c r="Q178" s="13">
        <f>IF(OR(P178&lt;ConceptDemo!$C$17,Backend!P178&gt;ConceptDemo!$C$19),0,IF(Backend!P178&lt;=Backend!$R$12,Backend!Q177+Backend!$T$12,IF(Backend!P178&lt;=Backend!$R$13,Backend!Q177+Backend!$T$13,IF(Backend!P178&lt;=Backend!$R$14,Backend!Q177+Backend!$T$14,IF(Backend!P178&lt;=Backend!$R$15,Backend!Q177+Backend!$T$15,IF(Backend!P178&lt;=Backend!$X$16,Backend!Q177+Backend!$Z$16))))))</f>
        <v>0</v>
      </c>
      <c r="R178" s="24" t="str">
        <f>IF(1&lt;=ConceptDemo!$K$41,IF(P178=$W$12,ConceptDemo!$K$39,""),"")</f>
        <v/>
      </c>
      <c r="S178" s="24" t="str">
        <f>IF(2&lt;=ConceptDemo!$K$41,IF(P178=$W$13,ConceptDemo!$K$39,""),"")</f>
        <v/>
      </c>
      <c r="T178" s="24" t="str">
        <f>IF(3&lt;=ConceptDemo!$K$41,IF(P178=$W$14,ConceptDemo!$K$39,""),"")</f>
        <v/>
      </c>
      <c r="U178" s="24" t="str">
        <f>IF(4&lt;=ConceptDemo!$K$41,IF(P178=$W$15,ConceptDemo!$K$39,""),"")</f>
        <v/>
      </c>
      <c r="W178" s="23">
        <f>IF($P178&lt;ConceptDemo!$C$17+$E$24-10,$G$27,0)</f>
        <v>0</v>
      </c>
      <c r="X178" s="23">
        <f>IF($P178&lt;ConceptDemo!$C$17+$E$24-10,$H$27,0)</f>
        <v>0</v>
      </c>
      <c r="Y178" s="13">
        <f t="shared" si="19"/>
        <v>0</v>
      </c>
      <c r="Z178" s="13">
        <f t="shared" si="20"/>
        <v>0</v>
      </c>
      <c r="AA178" s="13">
        <f t="shared" si="21"/>
        <v>0</v>
      </c>
      <c r="AB178" s="13">
        <f t="shared" si="22"/>
        <v>0</v>
      </c>
      <c r="AC178" s="23">
        <f t="shared" si="23"/>
        <v>0</v>
      </c>
      <c r="AD178" s="23">
        <f>IF(P178&lt;=ConceptDemo!$C$19,AD177+SUM(W178:AB178)-(Q178-Q177)-AC178,0)</f>
        <v>0</v>
      </c>
      <c r="AE178" s="23">
        <f>IF(ConceptDemo!$C$7=Backend!$A$2,AD178,IF(AE177&lt;&gt;AD177,IF(P178&lt;=ConceptDemo!$C$19,AE177+SUM(W178:AB178)-(Q178-Q177)-AC178,0),IF(P178=ConceptDemo!$C$40,ConceptDemo!$C$39,AD178)))</f>
        <v>0</v>
      </c>
      <c r="AF178" s="23">
        <f t="shared" si="25"/>
        <v>0</v>
      </c>
      <c r="AG178" s="23">
        <f t="shared" si="26"/>
        <v>0</v>
      </c>
      <c r="AH178" s="23">
        <f t="shared" si="24"/>
        <v>0</v>
      </c>
    </row>
    <row r="179" spans="16:34" x14ac:dyDescent="0.25">
      <c r="P179" s="16" t="str">
        <f>IFERROR(IF(P178+1=ConceptDemo!$C$19+10,"",Backend!P178+1),"")</f>
        <v/>
      </c>
      <c r="Q179" s="13">
        <f>IF(OR(P179&lt;ConceptDemo!$C$17,Backend!P179&gt;ConceptDemo!$C$19),0,IF(Backend!P179&lt;=Backend!$R$12,Backend!Q178+Backend!$T$12,IF(Backend!P179&lt;=Backend!$R$13,Backend!Q178+Backend!$T$13,IF(Backend!P179&lt;=Backend!$R$14,Backend!Q178+Backend!$T$14,IF(Backend!P179&lt;=Backend!$R$15,Backend!Q178+Backend!$T$15,IF(Backend!P179&lt;=Backend!$X$16,Backend!Q178+Backend!$Z$16))))))</f>
        <v>0</v>
      </c>
      <c r="R179" s="24" t="str">
        <f>IF(1&lt;=ConceptDemo!$K$41,IF(P179=$W$12,ConceptDemo!$K$39,""),"")</f>
        <v/>
      </c>
      <c r="S179" s="24" t="str">
        <f>IF(2&lt;=ConceptDemo!$K$41,IF(P179=$W$13,ConceptDemo!$K$39,""),"")</f>
        <v/>
      </c>
      <c r="T179" s="24" t="str">
        <f>IF(3&lt;=ConceptDemo!$K$41,IF(P179=$W$14,ConceptDemo!$K$39,""),"")</f>
        <v/>
      </c>
      <c r="U179" s="24" t="str">
        <f>IF(4&lt;=ConceptDemo!$K$41,IF(P179=$W$15,ConceptDemo!$K$39,""),"")</f>
        <v/>
      </c>
      <c r="W179" s="23">
        <f>IF($P179&lt;ConceptDemo!$C$17+$E$24-10,$G$27,0)</f>
        <v>0</v>
      </c>
      <c r="X179" s="23">
        <f>IF($P179&lt;ConceptDemo!$C$17+$E$24-10,$H$27,0)</f>
        <v>0</v>
      </c>
      <c r="Y179" s="13">
        <f t="shared" si="19"/>
        <v>0</v>
      </c>
      <c r="Z179" s="13">
        <f t="shared" si="20"/>
        <v>0</v>
      </c>
      <c r="AA179" s="13">
        <f t="shared" si="21"/>
        <v>0</v>
      </c>
      <c r="AB179" s="13">
        <f t="shared" si="22"/>
        <v>0</v>
      </c>
      <c r="AC179" s="23">
        <f t="shared" si="23"/>
        <v>0</v>
      </c>
      <c r="AD179" s="23">
        <f>IF(P179&lt;=ConceptDemo!$C$19,AD178+SUM(W179:AB179)-(Q179-Q178)-AC179,0)</f>
        <v>0</v>
      </c>
      <c r="AE179" s="23">
        <f>IF(ConceptDemo!$C$7=Backend!$A$2,AD179,IF(AE178&lt;&gt;AD178,IF(P179&lt;=ConceptDemo!$C$19,AE178+SUM(W179:AB179)-(Q179-Q178)-AC179,0),IF(P179=ConceptDemo!$C$40,ConceptDemo!$C$39,AD179)))</f>
        <v>0</v>
      </c>
      <c r="AF179" s="23">
        <f t="shared" si="25"/>
        <v>0</v>
      </c>
      <c r="AG179" s="23">
        <f t="shared" si="26"/>
        <v>0</v>
      </c>
      <c r="AH179" s="23">
        <f t="shared" si="24"/>
        <v>0</v>
      </c>
    </row>
    <row r="180" spans="16:34" x14ac:dyDescent="0.25">
      <c r="P180" s="16" t="str">
        <f>IFERROR(IF(P179+1=ConceptDemo!$C$19+10,"",Backend!P179+1),"")</f>
        <v/>
      </c>
      <c r="Q180" s="13">
        <f>IF(OR(P180&lt;ConceptDemo!$C$17,Backend!P180&gt;ConceptDemo!$C$19),0,IF(Backend!P180&lt;=Backend!$R$12,Backend!Q179+Backend!$T$12,IF(Backend!P180&lt;=Backend!$R$13,Backend!Q179+Backend!$T$13,IF(Backend!P180&lt;=Backend!$R$14,Backend!Q179+Backend!$T$14,IF(Backend!P180&lt;=Backend!$R$15,Backend!Q179+Backend!$T$15,IF(Backend!P180&lt;=Backend!$X$16,Backend!Q179+Backend!$Z$16))))))</f>
        <v>0</v>
      </c>
      <c r="R180" s="24" t="str">
        <f>IF(1&lt;=ConceptDemo!$K$41,IF(P180=$W$12,ConceptDemo!$K$39,""),"")</f>
        <v/>
      </c>
      <c r="S180" s="24" t="str">
        <f>IF(2&lt;=ConceptDemo!$K$41,IF(P180=$W$13,ConceptDemo!$K$39,""),"")</f>
        <v/>
      </c>
      <c r="T180" s="24" t="str">
        <f>IF(3&lt;=ConceptDemo!$K$41,IF(P180=$W$14,ConceptDemo!$K$39,""),"")</f>
        <v/>
      </c>
      <c r="U180" s="24" t="str">
        <f>IF(4&lt;=ConceptDemo!$K$41,IF(P180=$W$15,ConceptDemo!$K$39,""),"")</f>
        <v/>
      </c>
      <c r="W180" s="23">
        <f>IF($P180&lt;ConceptDemo!$C$17+$E$24-10,$G$27,0)</f>
        <v>0</v>
      </c>
      <c r="X180" s="23">
        <f>IF($P180&lt;ConceptDemo!$C$17+$E$24-10,$H$27,0)</f>
        <v>0</v>
      </c>
      <c r="Y180" s="13">
        <f t="shared" si="19"/>
        <v>0</v>
      </c>
      <c r="Z180" s="13">
        <f t="shared" si="20"/>
        <v>0</v>
      </c>
      <c r="AA180" s="13">
        <f t="shared" si="21"/>
        <v>0</v>
      </c>
      <c r="AB180" s="13">
        <f t="shared" si="22"/>
        <v>0</v>
      </c>
      <c r="AC180" s="23">
        <f t="shared" si="23"/>
        <v>0</v>
      </c>
      <c r="AD180" s="23">
        <f>IF(P180&lt;=ConceptDemo!$C$19,AD179+SUM(W180:AB180)-(Q180-Q179)-AC180,0)</f>
        <v>0</v>
      </c>
      <c r="AE180" s="23">
        <f>IF(ConceptDemo!$C$7=Backend!$A$2,AD180,IF(AE179&lt;&gt;AD179,IF(P180&lt;=ConceptDemo!$C$19,AE179+SUM(W180:AB180)-(Q180-Q179)-AC180,0),IF(P180=ConceptDemo!$C$40,ConceptDemo!$C$39,AD180)))</f>
        <v>0</v>
      </c>
      <c r="AF180" s="23">
        <f t="shared" si="25"/>
        <v>0</v>
      </c>
      <c r="AG180" s="23">
        <f t="shared" si="26"/>
        <v>0</v>
      </c>
      <c r="AH180" s="23">
        <f t="shared" si="24"/>
        <v>0</v>
      </c>
    </row>
    <row r="181" spans="16:34" x14ac:dyDescent="0.25">
      <c r="P181" s="16" t="str">
        <f>IFERROR(IF(P180+1=ConceptDemo!$C$19+10,"",Backend!P180+1),"")</f>
        <v/>
      </c>
      <c r="Q181" s="13">
        <f>IF(OR(P181&lt;ConceptDemo!$C$17,Backend!P181&gt;ConceptDemo!$C$19),0,IF(Backend!P181&lt;=Backend!$R$12,Backend!Q180+Backend!$T$12,IF(Backend!P181&lt;=Backend!$R$13,Backend!Q180+Backend!$T$13,IF(Backend!P181&lt;=Backend!$R$14,Backend!Q180+Backend!$T$14,IF(Backend!P181&lt;=Backend!$R$15,Backend!Q180+Backend!$T$15,IF(Backend!P181&lt;=Backend!$X$16,Backend!Q180+Backend!$Z$16))))))</f>
        <v>0</v>
      </c>
      <c r="R181" s="24" t="str">
        <f>IF(1&lt;=ConceptDemo!$K$41,IF(P181=$W$12,ConceptDemo!$K$39,""),"")</f>
        <v/>
      </c>
      <c r="S181" s="24" t="str">
        <f>IF(2&lt;=ConceptDemo!$K$41,IF(P181=$W$13,ConceptDemo!$K$39,""),"")</f>
        <v/>
      </c>
      <c r="T181" s="24" t="str">
        <f>IF(3&lt;=ConceptDemo!$K$41,IF(P181=$W$14,ConceptDemo!$K$39,""),"")</f>
        <v/>
      </c>
      <c r="U181" s="24" t="str">
        <f>IF(4&lt;=ConceptDemo!$K$41,IF(P181=$W$15,ConceptDemo!$K$39,""),"")</f>
        <v/>
      </c>
      <c r="W181" s="23">
        <f>IF($P181&lt;ConceptDemo!$C$17+$E$24-10,$G$27,0)</f>
        <v>0</v>
      </c>
      <c r="X181" s="23">
        <f>IF($P181&lt;ConceptDemo!$C$17+$E$24-10,$H$27,0)</f>
        <v>0</v>
      </c>
      <c r="Y181" s="13">
        <f t="shared" si="19"/>
        <v>0</v>
      </c>
      <c r="Z181" s="13">
        <f t="shared" si="20"/>
        <v>0</v>
      </c>
      <c r="AA181" s="13">
        <f t="shared" si="21"/>
        <v>0</v>
      </c>
      <c r="AB181" s="13">
        <f t="shared" si="22"/>
        <v>0</v>
      </c>
      <c r="AC181" s="23">
        <f t="shared" si="23"/>
        <v>0</v>
      </c>
      <c r="AD181" s="23">
        <f>IF(P181&lt;=ConceptDemo!$C$19,AD180+SUM(W181:AB181)-(Q181-Q180)-AC181,0)</f>
        <v>0</v>
      </c>
      <c r="AE181" s="23">
        <f>IF(ConceptDemo!$C$7=Backend!$A$2,AD181,IF(AE180&lt;&gt;AD180,IF(P181&lt;=ConceptDemo!$C$19,AE180+SUM(W181:AB181)-(Q181-Q180)-AC181,0),IF(P181=ConceptDemo!$C$40,ConceptDemo!$C$39,AD181)))</f>
        <v>0</v>
      </c>
      <c r="AF181" s="23">
        <f t="shared" si="25"/>
        <v>0</v>
      </c>
      <c r="AG181" s="23">
        <f t="shared" si="26"/>
        <v>0</v>
      </c>
      <c r="AH181" s="23">
        <f t="shared" si="24"/>
        <v>0</v>
      </c>
    </row>
    <row r="182" spans="16:34" x14ac:dyDescent="0.25">
      <c r="P182" s="16" t="str">
        <f>IFERROR(IF(P181+1=ConceptDemo!$C$19+10,"",Backend!P181+1),"")</f>
        <v/>
      </c>
      <c r="Q182" s="13">
        <f>IF(OR(P182&lt;ConceptDemo!$C$17,Backend!P182&gt;ConceptDemo!$C$19),0,IF(Backend!P182&lt;=Backend!$R$12,Backend!Q181+Backend!$T$12,IF(Backend!P182&lt;=Backend!$R$13,Backend!Q181+Backend!$T$13,IF(Backend!P182&lt;=Backend!$R$14,Backend!Q181+Backend!$T$14,IF(Backend!P182&lt;=Backend!$R$15,Backend!Q181+Backend!$T$15,IF(Backend!P182&lt;=Backend!$X$16,Backend!Q181+Backend!$Z$16))))))</f>
        <v>0</v>
      </c>
      <c r="R182" s="24" t="str">
        <f>IF(1&lt;=ConceptDemo!$K$41,IF(P182=$W$12,ConceptDemo!$K$39,""),"")</f>
        <v/>
      </c>
      <c r="S182" s="24" t="str">
        <f>IF(2&lt;=ConceptDemo!$K$41,IF(P182=$W$13,ConceptDemo!$K$39,""),"")</f>
        <v/>
      </c>
      <c r="T182" s="24" t="str">
        <f>IF(3&lt;=ConceptDemo!$K$41,IF(P182=$W$14,ConceptDemo!$K$39,""),"")</f>
        <v/>
      </c>
      <c r="U182" s="24" t="str">
        <f>IF(4&lt;=ConceptDemo!$K$41,IF(P182=$W$15,ConceptDemo!$K$39,""),"")</f>
        <v/>
      </c>
      <c r="W182" s="23">
        <f>IF($P182&lt;ConceptDemo!$C$17+$E$24-10,$G$27,0)</f>
        <v>0</v>
      </c>
      <c r="X182" s="23">
        <f>IF($P182&lt;ConceptDemo!$C$17+$E$24-10,$H$27,0)</f>
        <v>0</v>
      </c>
      <c r="Y182" s="13">
        <f t="shared" si="19"/>
        <v>0</v>
      </c>
      <c r="Z182" s="13">
        <f t="shared" si="20"/>
        <v>0</v>
      </c>
      <c r="AA182" s="13">
        <f t="shared" si="21"/>
        <v>0</v>
      </c>
      <c r="AB182" s="13">
        <f t="shared" si="22"/>
        <v>0</v>
      </c>
      <c r="AC182" s="23">
        <f t="shared" si="23"/>
        <v>0</v>
      </c>
      <c r="AD182" s="23">
        <f>IF(P182&lt;=ConceptDemo!$C$19,AD181+SUM(W182:AB182)-(Q182-Q181)-AC182,0)</f>
        <v>0</v>
      </c>
      <c r="AE182" s="23">
        <f>IF(ConceptDemo!$C$7=Backend!$A$2,AD182,IF(AE181&lt;&gt;AD181,IF(P182&lt;=ConceptDemo!$C$19,AE181+SUM(W182:AB182)-(Q182-Q181)-AC182,0),IF(P182=ConceptDemo!$C$40,ConceptDemo!$C$39,AD182)))</f>
        <v>0</v>
      </c>
      <c r="AF182" s="23">
        <f t="shared" si="25"/>
        <v>0</v>
      </c>
      <c r="AG182" s="23">
        <f t="shared" si="26"/>
        <v>0</v>
      </c>
      <c r="AH182" s="23">
        <f t="shared" si="24"/>
        <v>0</v>
      </c>
    </row>
    <row r="183" spans="16:34" x14ac:dyDescent="0.25">
      <c r="P183" s="16" t="str">
        <f>IFERROR(IF(P182+1=ConceptDemo!$C$19+10,"",Backend!P182+1),"")</f>
        <v/>
      </c>
      <c r="Q183" s="13">
        <f>IF(OR(P183&lt;ConceptDemo!$C$17,Backend!P183&gt;ConceptDemo!$C$19),0,IF(Backend!P183&lt;=Backend!$R$12,Backend!Q182+Backend!$T$12,IF(Backend!P183&lt;=Backend!$R$13,Backend!Q182+Backend!$T$13,IF(Backend!P183&lt;=Backend!$R$14,Backend!Q182+Backend!$T$14,IF(Backend!P183&lt;=Backend!$R$15,Backend!Q182+Backend!$T$15,IF(Backend!P183&lt;=Backend!$X$16,Backend!Q182+Backend!$Z$16))))))</f>
        <v>0</v>
      </c>
      <c r="R183" s="24" t="str">
        <f>IF(1&lt;=ConceptDemo!$K$41,IF(P183=$W$12,ConceptDemo!$K$39,""),"")</f>
        <v/>
      </c>
      <c r="S183" s="24" t="str">
        <f>IF(2&lt;=ConceptDemo!$K$41,IF(P183=$W$13,ConceptDemo!$K$39,""),"")</f>
        <v/>
      </c>
      <c r="T183" s="24" t="str">
        <f>IF(3&lt;=ConceptDemo!$K$41,IF(P183=$W$14,ConceptDemo!$K$39,""),"")</f>
        <v/>
      </c>
      <c r="U183" s="24" t="str">
        <f>IF(4&lt;=ConceptDemo!$K$41,IF(P183=$W$15,ConceptDemo!$K$39,""),"")</f>
        <v/>
      </c>
      <c r="W183" s="23">
        <f>IF($P183&lt;ConceptDemo!$C$17+$E$24-10,$G$27,0)</f>
        <v>0</v>
      </c>
      <c r="X183" s="23">
        <f>IF($P183&lt;ConceptDemo!$C$17+$E$24-10,$H$27,0)</f>
        <v>0</v>
      </c>
      <c r="Y183" s="13">
        <f t="shared" si="19"/>
        <v>0</v>
      </c>
      <c r="Z183" s="13">
        <f t="shared" si="20"/>
        <v>0</v>
      </c>
      <c r="AA183" s="13">
        <f t="shared" si="21"/>
        <v>0</v>
      </c>
      <c r="AB183" s="13">
        <f t="shared" si="22"/>
        <v>0</v>
      </c>
      <c r="AC183" s="23">
        <f t="shared" si="23"/>
        <v>0</v>
      </c>
      <c r="AD183" s="23">
        <f>IF(P183&lt;=ConceptDemo!$C$19,AD182+SUM(W183:AB183)-(Q183-Q182)-AC183,0)</f>
        <v>0</v>
      </c>
      <c r="AE183" s="23">
        <f>IF(ConceptDemo!$C$7=Backend!$A$2,AD183,IF(AE182&lt;&gt;AD182,IF(P183&lt;=ConceptDemo!$C$19,AE182+SUM(W183:AB183)-(Q183-Q182)-AC183,0),IF(P183=ConceptDemo!$C$40,ConceptDemo!$C$39,AD183)))</f>
        <v>0</v>
      </c>
      <c r="AF183" s="23">
        <f t="shared" si="25"/>
        <v>0</v>
      </c>
      <c r="AG183" s="23">
        <f t="shared" si="26"/>
        <v>0</v>
      </c>
      <c r="AH183" s="23">
        <f t="shared" si="24"/>
        <v>0</v>
      </c>
    </row>
    <row r="184" spans="16:34" x14ac:dyDescent="0.25">
      <c r="P184" s="16" t="str">
        <f>IFERROR(IF(P183+1=ConceptDemo!$C$19+10,"",Backend!P183+1),"")</f>
        <v/>
      </c>
      <c r="Q184" s="13">
        <f>IF(OR(P184&lt;ConceptDemo!$C$17,Backend!P184&gt;ConceptDemo!$C$19),0,IF(Backend!P184&lt;=Backend!$R$12,Backend!Q183+Backend!$T$12,IF(Backend!P184&lt;=Backend!$R$13,Backend!Q183+Backend!$T$13,IF(Backend!P184&lt;=Backend!$R$14,Backend!Q183+Backend!$T$14,IF(Backend!P184&lt;=Backend!$R$15,Backend!Q183+Backend!$T$15,IF(Backend!P184&lt;=Backend!$X$16,Backend!Q183+Backend!$Z$16))))))</f>
        <v>0</v>
      </c>
      <c r="R184" s="24" t="str">
        <f>IF(1&lt;=ConceptDemo!$K$41,IF(P184=$W$12,ConceptDemo!$K$39,""),"")</f>
        <v/>
      </c>
      <c r="S184" s="24" t="str">
        <f>IF(2&lt;=ConceptDemo!$K$41,IF(P184=$W$13,ConceptDemo!$K$39,""),"")</f>
        <v/>
      </c>
      <c r="T184" s="24" t="str">
        <f>IF(3&lt;=ConceptDemo!$K$41,IF(P184=$W$14,ConceptDemo!$K$39,""),"")</f>
        <v/>
      </c>
      <c r="U184" s="24" t="str">
        <f>IF(4&lt;=ConceptDemo!$K$41,IF(P184=$W$15,ConceptDemo!$K$39,""),"")</f>
        <v/>
      </c>
      <c r="W184" s="23">
        <f>IF($P184&lt;ConceptDemo!$C$17+$E$24-10,$G$27,0)</f>
        <v>0</v>
      </c>
      <c r="X184" s="23">
        <f>IF($P184&lt;ConceptDemo!$C$17+$E$24-10,$H$27,0)</f>
        <v>0</v>
      </c>
      <c r="Y184" s="13">
        <f t="shared" si="19"/>
        <v>0</v>
      </c>
      <c r="Z184" s="13">
        <f t="shared" si="20"/>
        <v>0</v>
      </c>
      <c r="AA184" s="13">
        <f t="shared" si="21"/>
        <v>0</v>
      </c>
      <c r="AB184" s="13">
        <f t="shared" si="22"/>
        <v>0</v>
      </c>
      <c r="AC184" s="23">
        <f t="shared" si="23"/>
        <v>0</v>
      </c>
      <c r="AD184" s="23">
        <f>IF(P184&lt;=ConceptDemo!$C$19,AD183+SUM(W184:AB184)-(Q184-Q183)-AC184,0)</f>
        <v>0</v>
      </c>
      <c r="AE184" s="23">
        <f>IF(ConceptDemo!$C$7=Backend!$A$2,AD184,IF(AE183&lt;&gt;AD183,IF(P184&lt;=ConceptDemo!$C$19,AE183+SUM(W184:AB184)-(Q184-Q183)-AC184,0),IF(P184=ConceptDemo!$C$40,ConceptDemo!$C$39,AD184)))</f>
        <v>0</v>
      </c>
      <c r="AF184" s="23">
        <f t="shared" si="25"/>
        <v>0</v>
      </c>
      <c r="AG184" s="23">
        <f t="shared" si="26"/>
        <v>0</v>
      </c>
      <c r="AH184" s="23">
        <f t="shared" si="24"/>
        <v>0</v>
      </c>
    </row>
    <row r="185" spans="16:34" x14ac:dyDescent="0.25">
      <c r="P185" s="16" t="str">
        <f>IFERROR(IF(P184+1=ConceptDemo!$C$19+10,"",Backend!P184+1),"")</f>
        <v/>
      </c>
      <c r="Q185" s="13">
        <f>IF(OR(P185&lt;ConceptDemo!$C$17,Backend!P185&gt;ConceptDemo!$C$19),0,IF(Backend!P185&lt;=Backend!$R$12,Backend!Q184+Backend!$T$12,IF(Backend!P185&lt;=Backend!$R$13,Backend!Q184+Backend!$T$13,IF(Backend!P185&lt;=Backend!$R$14,Backend!Q184+Backend!$T$14,IF(Backend!P185&lt;=Backend!$R$15,Backend!Q184+Backend!$T$15,IF(Backend!P185&lt;=Backend!$X$16,Backend!Q184+Backend!$Z$16))))))</f>
        <v>0</v>
      </c>
      <c r="R185" s="24" t="str">
        <f>IF(1&lt;=ConceptDemo!$K$41,IF(P185=$W$12,ConceptDemo!$K$39,""),"")</f>
        <v/>
      </c>
      <c r="S185" s="24" t="str">
        <f>IF(2&lt;=ConceptDemo!$K$41,IF(P185=$W$13,ConceptDemo!$K$39,""),"")</f>
        <v/>
      </c>
      <c r="T185" s="24" t="str">
        <f>IF(3&lt;=ConceptDemo!$K$41,IF(P185=$W$14,ConceptDemo!$K$39,""),"")</f>
        <v/>
      </c>
      <c r="U185" s="24" t="str">
        <f>IF(4&lt;=ConceptDemo!$K$41,IF(P185=$W$15,ConceptDemo!$K$39,""),"")</f>
        <v/>
      </c>
      <c r="W185" s="23">
        <f>IF($P185&lt;ConceptDemo!$C$17+$E$24-10,$G$27,0)</f>
        <v>0</v>
      </c>
      <c r="X185" s="23">
        <f>IF($P185&lt;ConceptDemo!$C$17+$E$24-10,$H$27,0)</f>
        <v>0</v>
      </c>
      <c r="Y185" s="13">
        <f t="shared" si="19"/>
        <v>0</v>
      </c>
      <c r="Z185" s="13">
        <f t="shared" si="20"/>
        <v>0</v>
      </c>
      <c r="AA185" s="13">
        <f t="shared" si="21"/>
        <v>0</v>
      </c>
      <c r="AB185" s="13">
        <f t="shared" si="22"/>
        <v>0</v>
      </c>
      <c r="AC185" s="23">
        <f t="shared" si="23"/>
        <v>0</v>
      </c>
      <c r="AD185" s="23">
        <f>IF(P185&lt;=ConceptDemo!$C$19,AD184+SUM(W185:AB185)-(Q185-Q184)-AC185,0)</f>
        <v>0</v>
      </c>
      <c r="AE185" s="23">
        <f>IF(ConceptDemo!$C$7=Backend!$A$2,AD185,IF(AE184&lt;&gt;AD184,IF(P185&lt;=ConceptDemo!$C$19,AE184+SUM(W185:AB185)-(Q185-Q184)-AC185,0),IF(P185=ConceptDemo!$C$40,ConceptDemo!$C$39,AD185)))</f>
        <v>0</v>
      </c>
      <c r="AF185" s="23">
        <f t="shared" si="25"/>
        <v>0</v>
      </c>
      <c r="AG185" s="23">
        <f t="shared" si="26"/>
        <v>0</v>
      </c>
      <c r="AH185" s="23">
        <f t="shared" si="24"/>
        <v>0</v>
      </c>
    </row>
    <row r="186" spans="16:34" x14ac:dyDescent="0.25">
      <c r="P186" s="16" t="str">
        <f>IFERROR(IF(P185+1=ConceptDemo!$C$19+10,"",Backend!P185+1),"")</f>
        <v/>
      </c>
      <c r="Q186" s="13">
        <f>IF(OR(P186&lt;ConceptDemo!$C$17,Backend!P186&gt;ConceptDemo!$C$19),0,IF(Backend!P186&lt;=Backend!$R$12,Backend!Q185+Backend!$T$12,IF(Backend!P186&lt;=Backend!$R$13,Backend!Q185+Backend!$T$13,IF(Backend!P186&lt;=Backend!$R$14,Backend!Q185+Backend!$T$14,IF(Backend!P186&lt;=Backend!$R$15,Backend!Q185+Backend!$T$15,IF(Backend!P186&lt;=Backend!$X$16,Backend!Q185+Backend!$Z$16))))))</f>
        <v>0</v>
      </c>
      <c r="R186" s="24" t="str">
        <f>IF(1&lt;=ConceptDemo!$K$41,IF(P186=$W$12,ConceptDemo!$K$39,""),"")</f>
        <v/>
      </c>
      <c r="S186" s="24" t="str">
        <f>IF(2&lt;=ConceptDemo!$K$41,IF(P186=$W$13,ConceptDemo!$K$39,""),"")</f>
        <v/>
      </c>
      <c r="T186" s="24" t="str">
        <f>IF(3&lt;=ConceptDemo!$K$41,IF(P186=$W$14,ConceptDemo!$K$39,""),"")</f>
        <v/>
      </c>
      <c r="U186" s="24" t="str">
        <f>IF(4&lt;=ConceptDemo!$K$41,IF(P186=$W$15,ConceptDemo!$K$39,""),"")</f>
        <v/>
      </c>
      <c r="W186" s="23">
        <f>IF($P186&lt;ConceptDemo!$C$17+$E$24-10,$G$27,0)</f>
        <v>0</v>
      </c>
      <c r="X186" s="23">
        <f>IF($P186&lt;ConceptDemo!$C$17+$E$24-10,$H$27,0)</f>
        <v>0</v>
      </c>
      <c r="Y186" s="13">
        <f t="shared" si="19"/>
        <v>0</v>
      </c>
      <c r="Z186" s="13">
        <f t="shared" si="20"/>
        <v>0</v>
      </c>
      <c r="AA186" s="13">
        <f t="shared" si="21"/>
        <v>0</v>
      </c>
      <c r="AB186" s="13">
        <f t="shared" si="22"/>
        <v>0</v>
      </c>
      <c r="AC186" s="23">
        <f t="shared" si="23"/>
        <v>0</v>
      </c>
      <c r="AD186" s="23">
        <f>IF(P186&lt;=ConceptDemo!$C$19,AD185+SUM(W186:AB186)-(Q186-Q185)-AC186,0)</f>
        <v>0</v>
      </c>
      <c r="AE186" s="23">
        <f>IF(ConceptDemo!$C$7=Backend!$A$2,AD186,IF(AE185&lt;&gt;AD185,IF(P186&lt;=ConceptDemo!$C$19,AE185+SUM(W186:AB186)-(Q186-Q185)-AC186,0),IF(P186=ConceptDemo!$C$40,ConceptDemo!$C$39,AD186)))</f>
        <v>0</v>
      </c>
      <c r="AF186" s="23">
        <f t="shared" si="25"/>
        <v>0</v>
      </c>
      <c r="AG186" s="23">
        <f t="shared" si="26"/>
        <v>0</v>
      </c>
      <c r="AH186" s="23">
        <f t="shared" si="24"/>
        <v>0</v>
      </c>
    </row>
    <row r="187" spans="16:34" x14ac:dyDescent="0.25">
      <c r="P187" s="16" t="str">
        <f>IFERROR(IF(P186+1=ConceptDemo!$C$19+10,"",Backend!P186+1),"")</f>
        <v/>
      </c>
      <c r="Q187" s="13">
        <f>IF(OR(P187&lt;ConceptDemo!$C$17,Backend!P187&gt;ConceptDemo!$C$19),0,IF(Backend!P187&lt;=Backend!$R$12,Backend!Q186+Backend!$T$12,IF(Backend!P187&lt;=Backend!$R$13,Backend!Q186+Backend!$T$13,IF(Backend!P187&lt;=Backend!$R$14,Backend!Q186+Backend!$T$14,IF(Backend!P187&lt;=Backend!$R$15,Backend!Q186+Backend!$T$15,IF(Backend!P187&lt;=Backend!$X$16,Backend!Q186+Backend!$Z$16))))))</f>
        <v>0</v>
      </c>
      <c r="R187" s="24" t="str">
        <f>IF(1&lt;=ConceptDemo!$K$41,IF(P187=$W$12,ConceptDemo!$K$39,""),"")</f>
        <v/>
      </c>
      <c r="S187" s="24" t="str">
        <f>IF(2&lt;=ConceptDemo!$K$41,IF(P187=$W$13,ConceptDemo!$K$39,""),"")</f>
        <v/>
      </c>
      <c r="T187" s="24" t="str">
        <f>IF(3&lt;=ConceptDemo!$K$41,IF(P187=$W$14,ConceptDemo!$K$39,""),"")</f>
        <v/>
      </c>
      <c r="U187" s="24" t="str">
        <f>IF(4&lt;=ConceptDemo!$K$41,IF(P187=$W$15,ConceptDemo!$K$39,""),"")</f>
        <v/>
      </c>
      <c r="W187" s="23">
        <f>IF($P187&lt;ConceptDemo!$C$17+$E$24-10,$G$27,0)</f>
        <v>0</v>
      </c>
      <c r="X187" s="23">
        <f>IF($P187&lt;ConceptDemo!$C$17+$E$24-10,$H$27,0)</f>
        <v>0</v>
      </c>
      <c r="Y187" s="13">
        <f t="shared" si="19"/>
        <v>0</v>
      </c>
      <c r="Z187" s="13">
        <f t="shared" si="20"/>
        <v>0</v>
      </c>
      <c r="AA187" s="13">
        <f t="shared" si="21"/>
        <v>0</v>
      </c>
      <c r="AB187" s="13">
        <f t="shared" si="22"/>
        <v>0</v>
      </c>
      <c r="AC187" s="23">
        <f t="shared" si="23"/>
        <v>0</v>
      </c>
      <c r="AD187" s="23">
        <f>IF(P187&lt;=ConceptDemo!$C$19,AD186+SUM(W187:AB187)-(Q187-Q186)-AC187,0)</f>
        <v>0</v>
      </c>
      <c r="AE187" s="23">
        <f>IF(ConceptDemo!$C$7=Backend!$A$2,AD187,IF(AE186&lt;&gt;AD186,IF(P187&lt;=ConceptDemo!$C$19,AE186+SUM(W187:AB187)-(Q187-Q186)-AC187,0),IF(P187=ConceptDemo!$C$40,ConceptDemo!$C$39,AD187)))</f>
        <v>0</v>
      </c>
      <c r="AF187" s="23">
        <f t="shared" si="25"/>
        <v>0</v>
      </c>
      <c r="AG187" s="23">
        <f t="shared" si="26"/>
        <v>0</v>
      </c>
      <c r="AH187" s="23">
        <f t="shared" si="24"/>
        <v>0</v>
      </c>
    </row>
    <row r="188" spans="16:34" x14ac:dyDescent="0.25">
      <c r="P188" s="16" t="str">
        <f>IFERROR(IF(P187+1=ConceptDemo!$C$19+10,"",Backend!P187+1),"")</f>
        <v/>
      </c>
      <c r="Q188" s="13">
        <f>IF(OR(P188&lt;ConceptDemo!$C$17,Backend!P188&gt;ConceptDemo!$C$19),0,IF(Backend!P188&lt;=Backend!$R$12,Backend!Q187+Backend!$T$12,IF(Backend!P188&lt;=Backend!$R$13,Backend!Q187+Backend!$T$13,IF(Backend!P188&lt;=Backend!$R$14,Backend!Q187+Backend!$T$14,IF(Backend!P188&lt;=Backend!$R$15,Backend!Q187+Backend!$T$15,IF(Backend!P188&lt;=Backend!$X$16,Backend!Q187+Backend!$Z$16))))))</f>
        <v>0</v>
      </c>
      <c r="R188" s="24" t="str">
        <f>IF(1&lt;=ConceptDemo!$K$41,IF(P188=$W$12,ConceptDemo!$K$39,""),"")</f>
        <v/>
      </c>
      <c r="S188" s="24" t="str">
        <f>IF(2&lt;=ConceptDemo!$K$41,IF(P188=$W$13,ConceptDemo!$K$39,""),"")</f>
        <v/>
      </c>
      <c r="T188" s="24" t="str">
        <f>IF(3&lt;=ConceptDemo!$K$41,IF(P188=$W$14,ConceptDemo!$K$39,""),"")</f>
        <v/>
      </c>
      <c r="U188" s="24" t="str">
        <f>IF(4&lt;=ConceptDemo!$K$41,IF(P188=$W$15,ConceptDemo!$K$39,""),"")</f>
        <v/>
      </c>
      <c r="W188" s="23">
        <f>IF($P188&lt;ConceptDemo!$C$17+$E$24-10,$G$27,0)</f>
        <v>0</v>
      </c>
      <c r="X188" s="23">
        <f>IF($P188&lt;ConceptDemo!$C$17+$E$24-10,$H$27,0)</f>
        <v>0</v>
      </c>
      <c r="Y188" s="13">
        <f t="shared" si="19"/>
        <v>0</v>
      </c>
      <c r="Z188" s="13">
        <f t="shared" si="20"/>
        <v>0</v>
      </c>
      <c r="AA188" s="13">
        <f t="shared" si="21"/>
        <v>0</v>
      </c>
      <c r="AB188" s="13">
        <f t="shared" si="22"/>
        <v>0</v>
      </c>
      <c r="AC188" s="23">
        <f t="shared" si="23"/>
        <v>0</v>
      </c>
      <c r="AD188" s="23">
        <f>IF(P188&lt;=ConceptDemo!$C$19,AD187+SUM(W188:AB188)-(Q188-Q187)-AC188,0)</f>
        <v>0</v>
      </c>
      <c r="AE188" s="23">
        <f>IF(ConceptDemo!$C$7=Backend!$A$2,AD188,IF(AE187&lt;&gt;AD187,IF(P188&lt;=ConceptDemo!$C$19,AE187+SUM(W188:AB188)-(Q188-Q187)-AC188,0),IF(P188=ConceptDemo!$C$40,ConceptDemo!$C$39,AD188)))</f>
        <v>0</v>
      </c>
      <c r="AF188" s="23">
        <f t="shared" si="25"/>
        <v>0</v>
      </c>
      <c r="AG188" s="23">
        <f t="shared" si="26"/>
        <v>0</v>
      </c>
      <c r="AH188" s="23">
        <f t="shared" si="24"/>
        <v>0</v>
      </c>
    </row>
    <row r="189" spans="16:34" x14ac:dyDescent="0.25">
      <c r="P189" s="16" t="str">
        <f>IFERROR(IF(P188+1=ConceptDemo!$C$19+10,"",Backend!P188+1),"")</f>
        <v/>
      </c>
      <c r="Q189" s="13">
        <f>IF(OR(P189&lt;ConceptDemo!$C$17,Backend!P189&gt;ConceptDemo!$C$19),0,IF(Backend!P189&lt;=Backend!$R$12,Backend!Q188+Backend!$T$12,IF(Backend!P189&lt;=Backend!$R$13,Backend!Q188+Backend!$T$13,IF(Backend!P189&lt;=Backend!$R$14,Backend!Q188+Backend!$T$14,IF(Backend!P189&lt;=Backend!$R$15,Backend!Q188+Backend!$T$15,IF(Backend!P189&lt;=Backend!$X$16,Backend!Q188+Backend!$Z$16))))))</f>
        <v>0</v>
      </c>
      <c r="R189" s="24" t="str">
        <f>IF(1&lt;=ConceptDemo!$K$41,IF(P189=$W$12,ConceptDemo!$K$39,""),"")</f>
        <v/>
      </c>
      <c r="S189" s="24" t="str">
        <f>IF(2&lt;=ConceptDemo!$K$41,IF(P189=$W$13,ConceptDemo!$K$39,""),"")</f>
        <v/>
      </c>
      <c r="T189" s="24" t="str">
        <f>IF(3&lt;=ConceptDemo!$K$41,IF(P189=$W$14,ConceptDemo!$K$39,""),"")</f>
        <v/>
      </c>
      <c r="U189" s="24" t="str">
        <f>IF(4&lt;=ConceptDemo!$K$41,IF(P189=$W$15,ConceptDemo!$K$39,""),"")</f>
        <v/>
      </c>
      <c r="W189" s="23">
        <f>IF($P189&lt;ConceptDemo!$C$17+$E$24-10,$G$27,0)</f>
        <v>0</v>
      </c>
      <c r="X189" s="23">
        <f>IF($P189&lt;ConceptDemo!$C$17+$E$24-10,$H$27,0)</f>
        <v>0</v>
      </c>
      <c r="Y189" s="13">
        <f t="shared" si="19"/>
        <v>0</v>
      </c>
      <c r="Z189" s="13">
        <f t="shared" si="20"/>
        <v>0</v>
      </c>
      <c r="AA189" s="13">
        <f t="shared" si="21"/>
        <v>0</v>
      </c>
      <c r="AB189" s="13">
        <f t="shared" si="22"/>
        <v>0</v>
      </c>
      <c r="AC189" s="23">
        <f t="shared" si="23"/>
        <v>0</v>
      </c>
      <c r="AD189" s="23">
        <f>IF(P189&lt;=ConceptDemo!$C$19,AD188+SUM(W189:AB189)-(Q189-Q188)-AC189,0)</f>
        <v>0</v>
      </c>
      <c r="AE189" s="23">
        <f>IF(ConceptDemo!$C$7=Backend!$A$2,AD189,IF(AE188&lt;&gt;AD188,IF(P189&lt;=ConceptDemo!$C$19,AE188+SUM(W189:AB189)-(Q189-Q188)-AC189,0),IF(P189=ConceptDemo!$C$40,ConceptDemo!$C$39,AD189)))</f>
        <v>0</v>
      </c>
      <c r="AF189" s="23">
        <f t="shared" si="25"/>
        <v>0</v>
      </c>
      <c r="AG189" s="23">
        <f t="shared" si="26"/>
        <v>0</v>
      </c>
      <c r="AH189" s="23">
        <f t="shared" si="24"/>
        <v>0</v>
      </c>
    </row>
    <row r="190" spans="16:34" x14ac:dyDescent="0.25">
      <c r="P190" s="16" t="str">
        <f>IFERROR(IF(P189+1=ConceptDemo!$C$19+10,"",Backend!P189+1),"")</f>
        <v/>
      </c>
      <c r="Q190" s="13">
        <f>IF(OR(P190&lt;ConceptDemo!$C$17,Backend!P190&gt;ConceptDemo!$C$19),0,IF(Backend!P190&lt;=Backend!$R$12,Backend!Q189+Backend!$T$12,IF(Backend!P190&lt;=Backend!$R$13,Backend!Q189+Backend!$T$13,IF(Backend!P190&lt;=Backend!$R$14,Backend!Q189+Backend!$T$14,IF(Backend!P190&lt;=Backend!$R$15,Backend!Q189+Backend!$T$15,IF(Backend!P190&lt;=Backend!$X$16,Backend!Q189+Backend!$Z$16))))))</f>
        <v>0</v>
      </c>
      <c r="R190" s="24" t="str">
        <f>IF(1&lt;=ConceptDemo!$K$41,IF(P190=$W$12,ConceptDemo!$K$39,""),"")</f>
        <v/>
      </c>
      <c r="S190" s="24" t="str">
        <f>IF(2&lt;=ConceptDemo!$K$41,IF(P190=$W$13,ConceptDemo!$K$39,""),"")</f>
        <v/>
      </c>
      <c r="T190" s="24" t="str">
        <f>IF(3&lt;=ConceptDemo!$K$41,IF(P190=$W$14,ConceptDemo!$K$39,""),"")</f>
        <v/>
      </c>
      <c r="U190" s="24" t="str">
        <f>IF(4&lt;=ConceptDemo!$K$41,IF(P190=$W$15,ConceptDemo!$K$39,""),"")</f>
        <v/>
      </c>
      <c r="W190" s="23">
        <f>IF($P190&lt;ConceptDemo!$C$17+$E$24-10,$G$27,0)</f>
        <v>0</v>
      </c>
      <c r="X190" s="23">
        <f>IF($P190&lt;ConceptDemo!$C$17+$E$24-10,$H$27,0)</f>
        <v>0</v>
      </c>
      <c r="Y190" s="13">
        <f t="shared" si="19"/>
        <v>0</v>
      </c>
      <c r="Z190" s="13">
        <f t="shared" si="20"/>
        <v>0</v>
      </c>
      <c r="AA190" s="13">
        <f t="shared" si="21"/>
        <v>0</v>
      </c>
      <c r="AB190" s="13">
        <f t="shared" si="22"/>
        <v>0</v>
      </c>
      <c r="AC190" s="23">
        <f t="shared" si="23"/>
        <v>0</v>
      </c>
      <c r="AD190" s="23">
        <f>IF(P190&lt;=ConceptDemo!$C$19,AD189+SUM(W190:AB190)-(Q190-Q189)-AC190,0)</f>
        <v>0</v>
      </c>
      <c r="AE190" s="23">
        <f>IF(ConceptDemo!$C$7=Backend!$A$2,AD190,IF(AE189&lt;&gt;AD189,IF(P190&lt;=ConceptDemo!$C$19,AE189+SUM(W190:AB190)-(Q190-Q189)-AC190,0),IF(P190=ConceptDemo!$C$40,ConceptDemo!$C$39,AD190)))</f>
        <v>0</v>
      </c>
      <c r="AF190" s="23">
        <f t="shared" si="25"/>
        <v>0</v>
      </c>
      <c r="AG190" s="23">
        <f t="shared" si="26"/>
        <v>0</v>
      </c>
      <c r="AH190" s="23">
        <f t="shared" si="24"/>
        <v>0</v>
      </c>
    </row>
    <row r="191" spans="16:34" x14ac:dyDescent="0.25">
      <c r="P191" s="16" t="str">
        <f>IFERROR(IF(P190+1=ConceptDemo!$C$19+10,"",Backend!P190+1),"")</f>
        <v/>
      </c>
      <c r="Q191" s="13">
        <f>IF(OR(P191&lt;ConceptDemo!$C$17,Backend!P191&gt;ConceptDemo!$C$19),0,IF(Backend!P191&lt;=Backend!$R$12,Backend!Q190+Backend!$T$12,IF(Backend!P191&lt;=Backend!$R$13,Backend!Q190+Backend!$T$13,IF(Backend!P191&lt;=Backend!$R$14,Backend!Q190+Backend!$T$14,IF(Backend!P191&lt;=Backend!$R$15,Backend!Q190+Backend!$T$15,IF(Backend!P191&lt;=Backend!$X$16,Backend!Q190+Backend!$Z$16))))))</f>
        <v>0</v>
      </c>
      <c r="R191" s="24" t="str">
        <f>IF(1&lt;=ConceptDemo!$K$41,IF(P191=$W$12,ConceptDemo!$K$39,""),"")</f>
        <v/>
      </c>
      <c r="S191" s="24" t="str">
        <f>IF(2&lt;=ConceptDemo!$K$41,IF(P191=$W$13,ConceptDemo!$K$39,""),"")</f>
        <v/>
      </c>
      <c r="T191" s="24" t="str">
        <f>IF(3&lt;=ConceptDemo!$K$41,IF(P191=$W$14,ConceptDemo!$K$39,""),"")</f>
        <v/>
      </c>
      <c r="U191" s="24" t="str">
        <f>IF(4&lt;=ConceptDemo!$K$41,IF(P191=$W$15,ConceptDemo!$K$39,""),"")</f>
        <v/>
      </c>
      <c r="W191" s="23">
        <f>IF($P191&lt;ConceptDemo!$C$17+$E$24-10,$G$27,0)</f>
        <v>0</v>
      </c>
      <c r="X191" s="23">
        <f>IF($P191&lt;ConceptDemo!$C$17+$E$24-10,$H$27,0)</f>
        <v>0</v>
      </c>
      <c r="Y191" s="13">
        <f t="shared" si="19"/>
        <v>0</v>
      </c>
      <c r="Z191" s="13">
        <f t="shared" si="20"/>
        <v>0</v>
      </c>
      <c r="AA191" s="13">
        <f t="shared" si="21"/>
        <v>0</v>
      </c>
      <c r="AB191" s="13">
        <f t="shared" si="22"/>
        <v>0</v>
      </c>
      <c r="AC191" s="23">
        <f t="shared" si="23"/>
        <v>0</v>
      </c>
      <c r="AD191" s="23">
        <f>IF(P191&lt;=ConceptDemo!$C$19,AD190+SUM(W191:AB191)-(Q191-Q190)-AC191,0)</f>
        <v>0</v>
      </c>
      <c r="AE191" s="23">
        <f>IF(ConceptDemo!$C$7=Backend!$A$2,AD191,IF(AE190&lt;&gt;AD190,IF(P191&lt;=ConceptDemo!$C$19,AE190+SUM(W191:AB191)-(Q191-Q190)-AC191,0),IF(P191=ConceptDemo!$C$40,ConceptDemo!$C$39,AD191)))</f>
        <v>0</v>
      </c>
      <c r="AF191" s="23">
        <f t="shared" si="25"/>
        <v>0</v>
      </c>
      <c r="AG191" s="23">
        <f t="shared" si="26"/>
        <v>0</v>
      </c>
      <c r="AH191" s="23">
        <f t="shared" si="24"/>
        <v>0</v>
      </c>
    </row>
    <row r="192" spans="16:34" x14ac:dyDescent="0.25">
      <c r="P192" s="16" t="str">
        <f>IFERROR(IF(P191+1=ConceptDemo!$C$19+10,"",Backend!P191+1),"")</f>
        <v/>
      </c>
      <c r="Q192" s="13">
        <f>IF(OR(P192&lt;ConceptDemo!$C$17,Backend!P192&gt;ConceptDemo!$C$19),0,IF(Backend!P192&lt;=Backend!$R$12,Backend!Q191+Backend!$T$12,IF(Backend!P192&lt;=Backend!$R$13,Backend!Q191+Backend!$T$13,IF(Backend!P192&lt;=Backend!$R$14,Backend!Q191+Backend!$T$14,IF(Backend!P192&lt;=Backend!$R$15,Backend!Q191+Backend!$T$15,IF(Backend!P192&lt;=Backend!$X$16,Backend!Q191+Backend!$Z$16))))))</f>
        <v>0</v>
      </c>
      <c r="R192" s="24" t="str">
        <f>IF(1&lt;=ConceptDemo!$K$41,IF(P192=$W$12,ConceptDemo!$K$39,""),"")</f>
        <v/>
      </c>
      <c r="S192" s="24" t="str">
        <f>IF(2&lt;=ConceptDemo!$K$41,IF(P192=$W$13,ConceptDemo!$K$39,""),"")</f>
        <v/>
      </c>
      <c r="T192" s="24" t="str">
        <f>IF(3&lt;=ConceptDemo!$K$41,IF(P192=$W$14,ConceptDemo!$K$39,""),"")</f>
        <v/>
      </c>
      <c r="U192" s="24" t="str">
        <f>IF(4&lt;=ConceptDemo!$K$41,IF(P192=$W$15,ConceptDemo!$K$39,""),"")</f>
        <v/>
      </c>
      <c r="W192" s="23">
        <f>IF($P192&lt;ConceptDemo!$C$17+$E$24-10,$G$27,0)</f>
        <v>0</v>
      </c>
      <c r="X192" s="23">
        <f>IF($P192&lt;ConceptDemo!$C$17+$E$24-10,$H$27,0)</f>
        <v>0</v>
      </c>
      <c r="Y192" s="13">
        <f t="shared" si="19"/>
        <v>0</v>
      </c>
      <c r="Z192" s="13">
        <f t="shared" si="20"/>
        <v>0</v>
      </c>
      <c r="AA192" s="13">
        <f t="shared" si="21"/>
        <v>0</v>
      </c>
      <c r="AB192" s="13">
        <f t="shared" si="22"/>
        <v>0</v>
      </c>
      <c r="AC192" s="23">
        <f t="shared" si="23"/>
        <v>0</v>
      </c>
      <c r="AD192" s="23">
        <f>IF(P192&lt;=ConceptDemo!$C$19,AD191+SUM(W192:AB192)-(Q192-Q191)-AC192,0)</f>
        <v>0</v>
      </c>
      <c r="AE192" s="23">
        <f>IF(ConceptDemo!$C$7=Backend!$A$2,AD192,IF(AE191&lt;&gt;AD191,IF(P192&lt;=ConceptDemo!$C$19,AE191+SUM(W192:AB192)-(Q192-Q191)-AC192,0),IF(P192=ConceptDemo!$C$40,ConceptDemo!$C$39,AD192)))</f>
        <v>0</v>
      </c>
      <c r="AF192" s="23">
        <f t="shared" si="25"/>
        <v>0</v>
      </c>
      <c r="AG192" s="23">
        <f t="shared" si="26"/>
        <v>0</v>
      </c>
      <c r="AH192" s="23">
        <f t="shared" si="24"/>
        <v>0</v>
      </c>
    </row>
    <row r="193" spans="16:34" x14ac:dyDescent="0.25">
      <c r="P193" s="16" t="str">
        <f>IFERROR(IF(P192+1=ConceptDemo!$C$19+10,"",Backend!P192+1),"")</f>
        <v/>
      </c>
      <c r="Q193" s="13">
        <f>IF(OR(P193&lt;ConceptDemo!$C$17,Backend!P193&gt;ConceptDemo!$C$19),0,IF(Backend!P193&lt;=Backend!$R$12,Backend!Q192+Backend!$T$12,IF(Backend!P193&lt;=Backend!$R$13,Backend!Q192+Backend!$T$13,IF(Backend!P193&lt;=Backend!$R$14,Backend!Q192+Backend!$T$14,IF(Backend!P193&lt;=Backend!$R$15,Backend!Q192+Backend!$T$15,IF(Backend!P193&lt;=Backend!$X$16,Backend!Q192+Backend!$Z$16))))))</f>
        <v>0</v>
      </c>
      <c r="R193" s="24" t="str">
        <f>IF(1&lt;=ConceptDemo!$K$41,IF(P193=$W$12,ConceptDemo!$K$39,""),"")</f>
        <v/>
      </c>
      <c r="S193" s="24" t="str">
        <f>IF(2&lt;=ConceptDemo!$K$41,IF(P193=$W$13,ConceptDemo!$K$39,""),"")</f>
        <v/>
      </c>
      <c r="T193" s="24" t="str">
        <f>IF(3&lt;=ConceptDemo!$K$41,IF(P193=$W$14,ConceptDemo!$K$39,""),"")</f>
        <v/>
      </c>
      <c r="U193" s="24" t="str">
        <f>IF(4&lt;=ConceptDemo!$K$41,IF(P193=$W$15,ConceptDemo!$K$39,""),"")</f>
        <v/>
      </c>
      <c r="W193" s="23">
        <f>IF($P193&lt;ConceptDemo!$C$17+$E$24-10,$G$27,0)</f>
        <v>0</v>
      </c>
      <c r="X193" s="23">
        <f>IF($P193&lt;ConceptDemo!$C$17+$E$24-10,$H$27,0)</f>
        <v>0</v>
      </c>
      <c r="Y193" s="13">
        <f t="shared" si="19"/>
        <v>0</v>
      </c>
      <c r="Z193" s="13">
        <f t="shared" si="20"/>
        <v>0</v>
      </c>
      <c r="AA193" s="13">
        <f t="shared" si="21"/>
        <v>0</v>
      </c>
      <c r="AB193" s="13">
        <f t="shared" si="22"/>
        <v>0</v>
      </c>
      <c r="AC193" s="23">
        <f t="shared" si="23"/>
        <v>0</v>
      </c>
      <c r="AD193" s="23">
        <f>IF(P193&lt;=ConceptDemo!$C$19,AD192+SUM(W193:AB193)-(Q193-Q192)-AC193,0)</f>
        <v>0</v>
      </c>
      <c r="AE193" s="23">
        <f>IF(ConceptDemo!$C$7=Backend!$A$2,AD193,IF(AE192&lt;&gt;AD192,IF(P193&lt;=ConceptDemo!$C$19,AE192+SUM(W193:AB193)-(Q193-Q192)-AC193,0),IF(P193=ConceptDemo!$C$40,ConceptDemo!$C$39,AD193)))</f>
        <v>0</v>
      </c>
      <c r="AF193" s="23">
        <f t="shared" si="25"/>
        <v>0</v>
      </c>
      <c r="AG193" s="23">
        <f t="shared" si="26"/>
        <v>0</v>
      </c>
      <c r="AH193" s="23">
        <f t="shared" si="24"/>
        <v>0</v>
      </c>
    </row>
    <row r="194" spans="16:34" x14ac:dyDescent="0.25">
      <c r="P194" s="16" t="str">
        <f>IFERROR(IF(P193+1=ConceptDemo!$C$19+10,"",Backend!P193+1),"")</f>
        <v/>
      </c>
      <c r="Q194" s="13">
        <f>IF(OR(P194&lt;ConceptDemo!$C$17,Backend!P194&gt;ConceptDemo!$C$19),0,IF(Backend!P194&lt;=Backend!$R$12,Backend!Q193+Backend!$T$12,IF(Backend!P194&lt;=Backend!$R$13,Backend!Q193+Backend!$T$13,IF(Backend!P194&lt;=Backend!$R$14,Backend!Q193+Backend!$T$14,IF(Backend!P194&lt;=Backend!$R$15,Backend!Q193+Backend!$T$15,IF(Backend!P194&lt;=Backend!$X$16,Backend!Q193+Backend!$Z$16))))))</f>
        <v>0</v>
      </c>
      <c r="R194" s="24" t="str">
        <f>IF(1&lt;=ConceptDemo!$K$41,IF(P194=$W$12,ConceptDemo!$K$39,""),"")</f>
        <v/>
      </c>
      <c r="S194" s="24" t="str">
        <f>IF(2&lt;=ConceptDemo!$K$41,IF(P194=$W$13,ConceptDemo!$K$39,""),"")</f>
        <v/>
      </c>
      <c r="T194" s="24" t="str">
        <f>IF(3&lt;=ConceptDemo!$K$41,IF(P194=$W$14,ConceptDemo!$K$39,""),"")</f>
        <v/>
      </c>
      <c r="U194" s="24" t="str">
        <f>IF(4&lt;=ConceptDemo!$K$41,IF(P194=$W$15,ConceptDemo!$K$39,""),"")</f>
        <v/>
      </c>
      <c r="W194" s="23">
        <f>IF($P194&lt;ConceptDemo!$C$17+$E$24-10,$G$27,0)</f>
        <v>0</v>
      </c>
      <c r="X194" s="23">
        <f>IF($P194&lt;ConceptDemo!$C$17+$E$24-10,$H$27,0)</f>
        <v>0</v>
      </c>
      <c r="Y194" s="13">
        <f t="shared" si="19"/>
        <v>0</v>
      </c>
      <c r="Z194" s="13">
        <f t="shared" si="20"/>
        <v>0</v>
      </c>
      <c r="AA194" s="13">
        <f t="shared" si="21"/>
        <v>0</v>
      </c>
      <c r="AB194" s="13">
        <f t="shared" si="22"/>
        <v>0</v>
      </c>
      <c r="AC194" s="23">
        <f t="shared" si="23"/>
        <v>0</v>
      </c>
      <c r="AD194" s="23">
        <f>IF(P194&lt;=ConceptDemo!$C$19,AD193+SUM(W194:AB194)-(Q194-Q193)-AC194,0)</f>
        <v>0</v>
      </c>
      <c r="AE194" s="23">
        <f>IF(ConceptDemo!$C$7=Backend!$A$2,AD194,IF(AE193&lt;&gt;AD193,IF(P194&lt;=ConceptDemo!$C$19,AE193+SUM(W194:AB194)-(Q194-Q193)-AC194,0),IF(P194=ConceptDemo!$C$40,ConceptDemo!$C$39,AD194)))</f>
        <v>0</v>
      </c>
      <c r="AF194" s="23">
        <f t="shared" si="25"/>
        <v>0</v>
      </c>
      <c r="AG194" s="23">
        <f t="shared" si="26"/>
        <v>0</v>
      </c>
      <c r="AH194" s="23">
        <f t="shared" si="24"/>
        <v>0</v>
      </c>
    </row>
    <row r="195" spans="16:34" x14ac:dyDescent="0.25">
      <c r="P195" s="16" t="str">
        <f>IFERROR(IF(P194+1=ConceptDemo!$C$19+10,"",Backend!P194+1),"")</f>
        <v/>
      </c>
      <c r="Q195" s="13">
        <f>IF(OR(P195&lt;ConceptDemo!$C$17,Backend!P195&gt;ConceptDemo!$C$19),0,IF(Backend!P195&lt;=Backend!$R$12,Backend!Q194+Backend!$T$12,IF(Backend!P195&lt;=Backend!$R$13,Backend!Q194+Backend!$T$13,IF(Backend!P195&lt;=Backend!$R$14,Backend!Q194+Backend!$T$14,IF(Backend!P195&lt;=Backend!$R$15,Backend!Q194+Backend!$T$15,IF(Backend!P195&lt;=Backend!$X$16,Backend!Q194+Backend!$Z$16))))))</f>
        <v>0</v>
      </c>
      <c r="R195" s="24" t="str">
        <f>IF(1&lt;=ConceptDemo!$K$41,IF(P195=$W$12,ConceptDemo!$K$39,""),"")</f>
        <v/>
      </c>
      <c r="S195" s="24" t="str">
        <f>IF(2&lt;=ConceptDemo!$K$41,IF(P195=$W$13,ConceptDemo!$K$39,""),"")</f>
        <v/>
      </c>
      <c r="T195" s="24" t="str">
        <f>IF(3&lt;=ConceptDemo!$K$41,IF(P195=$W$14,ConceptDemo!$K$39,""),"")</f>
        <v/>
      </c>
      <c r="U195" s="24" t="str">
        <f>IF(4&lt;=ConceptDemo!$K$41,IF(P195=$W$15,ConceptDemo!$K$39,""),"")</f>
        <v/>
      </c>
      <c r="W195" s="23">
        <f>IF($P195&lt;ConceptDemo!$C$17+$E$24-10,$G$27,0)</f>
        <v>0</v>
      </c>
      <c r="X195" s="23">
        <f>IF($P195&lt;ConceptDemo!$C$17+$E$24-10,$H$27,0)</f>
        <v>0</v>
      </c>
      <c r="Y195" s="13">
        <f t="shared" si="19"/>
        <v>0</v>
      </c>
      <c r="Z195" s="13">
        <f t="shared" si="20"/>
        <v>0</v>
      </c>
      <c r="AA195" s="13">
        <f t="shared" si="21"/>
        <v>0</v>
      </c>
      <c r="AB195" s="13">
        <f t="shared" si="22"/>
        <v>0</v>
      </c>
      <c r="AC195" s="23">
        <f t="shared" si="23"/>
        <v>0</v>
      </c>
      <c r="AD195" s="23">
        <f>IF(P195&lt;=ConceptDemo!$C$19,AD194+SUM(W195:AB195)-(Q195-Q194)-AC195,0)</f>
        <v>0</v>
      </c>
      <c r="AE195" s="23">
        <f>IF(ConceptDemo!$C$7=Backend!$A$2,AD195,IF(AE194&lt;&gt;AD194,IF(P195&lt;=ConceptDemo!$C$19,AE194+SUM(W195:AB195)-(Q195-Q194)-AC195,0),IF(P195=ConceptDemo!$C$40,ConceptDemo!$C$39,AD195)))</f>
        <v>0</v>
      </c>
      <c r="AF195" s="23">
        <f t="shared" si="25"/>
        <v>0</v>
      </c>
      <c r="AG195" s="23">
        <f t="shared" si="26"/>
        <v>0</v>
      </c>
      <c r="AH195" s="23">
        <f t="shared" si="24"/>
        <v>0</v>
      </c>
    </row>
    <row r="196" spans="16:34" x14ac:dyDescent="0.25">
      <c r="P196" s="16" t="str">
        <f>IFERROR(IF(P195+1=ConceptDemo!$C$19+10,"",Backend!P195+1),"")</f>
        <v/>
      </c>
      <c r="Q196" s="13">
        <f>IF(OR(P196&lt;ConceptDemo!$C$17,Backend!P196&gt;ConceptDemo!$C$19),0,IF(Backend!P196&lt;=Backend!$R$12,Backend!Q195+Backend!$T$12,IF(Backend!P196&lt;=Backend!$R$13,Backend!Q195+Backend!$T$13,IF(Backend!P196&lt;=Backend!$R$14,Backend!Q195+Backend!$T$14,IF(Backend!P196&lt;=Backend!$R$15,Backend!Q195+Backend!$T$15,IF(Backend!P196&lt;=Backend!$X$16,Backend!Q195+Backend!$Z$16))))))</f>
        <v>0</v>
      </c>
      <c r="R196" s="24" t="str">
        <f>IF(1&lt;=ConceptDemo!$K$41,IF(P196=$W$12,ConceptDemo!$K$39,""),"")</f>
        <v/>
      </c>
      <c r="S196" s="24" t="str">
        <f>IF(2&lt;=ConceptDemo!$K$41,IF(P196=$W$13,ConceptDemo!$K$39,""),"")</f>
        <v/>
      </c>
      <c r="T196" s="24" t="str">
        <f>IF(3&lt;=ConceptDemo!$K$41,IF(P196=$W$14,ConceptDemo!$K$39,""),"")</f>
        <v/>
      </c>
      <c r="U196" s="24" t="str">
        <f>IF(4&lt;=ConceptDemo!$K$41,IF(P196=$W$15,ConceptDemo!$K$39,""),"")</f>
        <v/>
      </c>
      <c r="W196" s="23">
        <f>IF($P196&lt;ConceptDemo!$C$17+$E$24-10,$G$27,0)</f>
        <v>0</v>
      </c>
      <c r="X196" s="23">
        <f>IF($P196&lt;ConceptDemo!$C$17+$E$24-10,$H$27,0)</f>
        <v>0</v>
      </c>
      <c r="Y196" s="13">
        <f t="shared" si="19"/>
        <v>0</v>
      </c>
      <c r="Z196" s="13">
        <f t="shared" si="20"/>
        <v>0</v>
      </c>
      <c r="AA196" s="13">
        <f t="shared" si="21"/>
        <v>0</v>
      </c>
      <c r="AB196" s="13">
        <f t="shared" si="22"/>
        <v>0</v>
      </c>
      <c r="AC196" s="23">
        <f t="shared" si="23"/>
        <v>0</v>
      </c>
      <c r="AD196" s="23">
        <f>IF(P196&lt;=ConceptDemo!$C$19,AD195+SUM(W196:AB196)-(Q196-Q195)-AC196,0)</f>
        <v>0</v>
      </c>
      <c r="AE196" s="23">
        <f>IF(ConceptDemo!$C$7=Backend!$A$2,AD196,IF(AE195&lt;&gt;AD195,IF(P196&lt;=ConceptDemo!$C$19,AE195+SUM(W196:AB196)-(Q196-Q195)-AC196,0),IF(P196=ConceptDemo!$C$40,ConceptDemo!$C$39,AD196)))</f>
        <v>0</v>
      </c>
      <c r="AF196" s="23">
        <f t="shared" si="25"/>
        <v>0</v>
      </c>
      <c r="AG196" s="23">
        <f t="shared" si="26"/>
        <v>0</v>
      </c>
      <c r="AH196" s="23">
        <f t="shared" si="24"/>
        <v>0</v>
      </c>
    </row>
    <row r="197" spans="16:34" x14ac:dyDescent="0.25">
      <c r="P197" s="16" t="str">
        <f>IFERROR(IF(P196+1=ConceptDemo!$C$19+10,"",Backend!P196+1),"")</f>
        <v/>
      </c>
      <c r="Q197" s="13">
        <f>IF(OR(P197&lt;ConceptDemo!$C$17,Backend!P197&gt;ConceptDemo!$C$19),0,IF(Backend!P197&lt;=Backend!$R$12,Backend!Q196+Backend!$T$12,IF(Backend!P197&lt;=Backend!$R$13,Backend!Q196+Backend!$T$13,IF(Backend!P197&lt;=Backend!$R$14,Backend!Q196+Backend!$T$14,IF(Backend!P197&lt;=Backend!$R$15,Backend!Q196+Backend!$T$15,IF(Backend!P197&lt;=Backend!$X$16,Backend!Q196+Backend!$Z$16))))))</f>
        <v>0</v>
      </c>
      <c r="R197" s="24" t="str">
        <f>IF(1&lt;=ConceptDemo!$K$41,IF(P197=$W$12,ConceptDemo!$K$39,""),"")</f>
        <v/>
      </c>
      <c r="S197" s="24" t="str">
        <f>IF(2&lt;=ConceptDemo!$K$41,IF(P197=$W$13,ConceptDemo!$K$39,""),"")</f>
        <v/>
      </c>
      <c r="T197" s="24" t="str">
        <f>IF(3&lt;=ConceptDemo!$K$41,IF(P197=$W$14,ConceptDemo!$K$39,""),"")</f>
        <v/>
      </c>
      <c r="U197" s="24" t="str">
        <f>IF(4&lt;=ConceptDemo!$K$41,IF(P197=$W$15,ConceptDemo!$K$39,""),"")</f>
        <v/>
      </c>
      <c r="W197" s="23">
        <f>IF($P197&lt;ConceptDemo!$C$17+$E$24-10,$G$27,0)</f>
        <v>0</v>
      </c>
      <c r="X197" s="23">
        <f>IF($P197&lt;ConceptDemo!$C$17+$E$24-10,$H$27,0)</f>
        <v>0</v>
      </c>
      <c r="Y197" s="13">
        <f t="shared" si="19"/>
        <v>0</v>
      </c>
      <c r="Z197" s="13">
        <f t="shared" si="20"/>
        <v>0</v>
      </c>
      <c r="AA197" s="13">
        <f t="shared" si="21"/>
        <v>0</v>
      </c>
      <c r="AB197" s="13">
        <f t="shared" si="22"/>
        <v>0</v>
      </c>
      <c r="AC197" s="23">
        <f t="shared" si="23"/>
        <v>0</v>
      </c>
      <c r="AD197" s="23">
        <f>IF(P197&lt;=ConceptDemo!$C$19,AD196+SUM(W197:AB197)-(Q197-Q196)-AC197,0)</f>
        <v>0</v>
      </c>
      <c r="AE197" s="23">
        <f>IF(ConceptDemo!$C$7=Backend!$A$2,AD197,IF(AE196&lt;&gt;AD196,IF(P197&lt;=ConceptDemo!$C$19,AE196+SUM(W197:AB197)-(Q197-Q196)-AC197,0),IF(P197=ConceptDemo!$C$40,ConceptDemo!$C$39,AD197)))</f>
        <v>0</v>
      </c>
      <c r="AF197" s="23">
        <f t="shared" si="25"/>
        <v>0</v>
      </c>
      <c r="AG197" s="23">
        <f t="shared" si="26"/>
        <v>0</v>
      </c>
      <c r="AH197" s="23">
        <f t="shared" si="24"/>
        <v>0</v>
      </c>
    </row>
    <row r="198" spans="16:34" x14ac:dyDescent="0.25">
      <c r="P198" s="16" t="str">
        <f>IFERROR(IF(P197+1=ConceptDemo!$C$19+10,"",Backend!P197+1),"")</f>
        <v/>
      </c>
      <c r="Q198" s="13">
        <f>IF(OR(P198&lt;ConceptDemo!$C$17,Backend!P198&gt;ConceptDemo!$C$19),0,IF(Backend!P198&lt;=Backend!$R$12,Backend!Q197+Backend!$T$12,IF(Backend!P198&lt;=Backend!$R$13,Backend!Q197+Backend!$T$13,IF(Backend!P198&lt;=Backend!$R$14,Backend!Q197+Backend!$T$14,IF(Backend!P198&lt;=Backend!$R$15,Backend!Q197+Backend!$T$15,IF(Backend!P198&lt;=Backend!$X$16,Backend!Q197+Backend!$Z$16))))))</f>
        <v>0</v>
      </c>
      <c r="R198" s="24" t="str">
        <f>IF(1&lt;=ConceptDemo!$K$41,IF(P198=$W$12,ConceptDemo!$K$39,""),"")</f>
        <v/>
      </c>
      <c r="S198" s="24" t="str">
        <f>IF(2&lt;=ConceptDemo!$K$41,IF(P198=$W$13,ConceptDemo!$K$39,""),"")</f>
        <v/>
      </c>
      <c r="T198" s="24" t="str">
        <f>IF(3&lt;=ConceptDemo!$K$41,IF(P198=$W$14,ConceptDemo!$K$39,""),"")</f>
        <v/>
      </c>
      <c r="U198" s="24" t="str">
        <f>IF(4&lt;=ConceptDemo!$K$41,IF(P198=$W$15,ConceptDemo!$K$39,""),"")</f>
        <v/>
      </c>
      <c r="W198" s="23">
        <f>IF($P198&lt;ConceptDemo!$C$17+$E$24-10,$G$27,0)</f>
        <v>0</v>
      </c>
      <c r="X198" s="23">
        <f>IF($P198&lt;ConceptDemo!$C$17+$E$24-10,$H$27,0)</f>
        <v>0</v>
      </c>
      <c r="Y198" s="13">
        <f t="shared" si="19"/>
        <v>0</v>
      </c>
      <c r="Z198" s="13">
        <f t="shared" si="20"/>
        <v>0</v>
      </c>
      <c r="AA198" s="13">
        <f t="shared" si="21"/>
        <v>0</v>
      </c>
      <c r="AB198" s="13">
        <f t="shared" si="22"/>
        <v>0</v>
      </c>
      <c r="AC198" s="23">
        <f t="shared" si="23"/>
        <v>0</v>
      </c>
      <c r="AD198" s="23">
        <f>IF(P198&lt;=ConceptDemo!$C$19,AD197+SUM(W198:AB198)-(Q198-Q197)-AC198,0)</f>
        <v>0</v>
      </c>
      <c r="AE198" s="23">
        <f>IF(ConceptDemo!$C$7=Backend!$A$2,AD198,IF(AE197&lt;&gt;AD197,IF(P198&lt;=ConceptDemo!$C$19,AE197+SUM(W198:AB198)-(Q198-Q197)-AC198,0),IF(P198=ConceptDemo!$C$40,ConceptDemo!$C$39,AD198)))</f>
        <v>0</v>
      </c>
      <c r="AF198" s="23">
        <f t="shared" si="25"/>
        <v>0</v>
      </c>
      <c r="AG198" s="23">
        <f t="shared" si="26"/>
        <v>0</v>
      </c>
      <c r="AH198" s="23">
        <f t="shared" si="24"/>
        <v>0</v>
      </c>
    </row>
    <row r="199" spans="16:34" x14ac:dyDescent="0.25">
      <c r="P199" s="16" t="str">
        <f>IFERROR(IF(P198+1=ConceptDemo!$C$19+10,"",Backend!P198+1),"")</f>
        <v/>
      </c>
      <c r="Q199" s="13">
        <f>IF(OR(P199&lt;ConceptDemo!$C$17,Backend!P199&gt;ConceptDemo!$C$19),0,IF(Backend!P199&lt;=Backend!$R$12,Backend!Q198+Backend!$T$12,IF(Backend!P199&lt;=Backend!$R$13,Backend!Q198+Backend!$T$13,IF(Backend!P199&lt;=Backend!$R$14,Backend!Q198+Backend!$T$14,IF(Backend!P199&lt;=Backend!$R$15,Backend!Q198+Backend!$T$15,IF(Backend!P199&lt;=Backend!$X$16,Backend!Q198+Backend!$Z$16))))))</f>
        <v>0</v>
      </c>
      <c r="R199" s="24" t="str">
        <f>IF(1&lt;=ConceptDemo!$K$41,IF(P199=$W$12,ConceptDemo!$K$39,""),"")</f>
        <v/>
      </c>
      <c r="S199" s="24" t="str">
        <f>IF(2&lt;=ConceptDemo!$K$41,IF(P199=$W$13,ConceptDemo!$K$39,""),"")</f>
        <v/>
      </c>
      <c r="T199" s="24" t="str">
        <f>IF(3&lt;=ConceptDemo!$K$41,IF(P199=$W$14,ConceptDemo!$K$39,""),"")</f>
        <v/>
      </c>
      <c r="U199" s="24" t="str">
        <f>IF(4&lt;=ConceptDemo!$K$41,IF(P199=$W$15,ConceptDemo!$K$39,""),"")</f>
        <v/>
      </c>
      <c r="W199" s="23">
        <f>IF($P199&lt;ConceptDemo!$C$17+$E$24-10,$G$27,0)</f>
        <v>0</v>
      </c>
      <c r="X199" s="23">
        <f>IF($P199&lt;ConceptDemo!$C$17+$E$24-10,$H$27,0)</f>
        <v>0</v>
      </c>
      <c r="Y199" s="13">
        <f t="shared" si="19"/>
        <v>0</v>
      </c>
      <c r="Z199" s="13">
        <f t="shared" si="20"/>
        <v>0</v>
      </c>
      <c r="AA199" s="13">
        <f t="shared" si="21"/>
        <v>0</v>
      </c>
      <c r="AB199" s="13">
        <f t="shared" si="22"/>
        <v>0</v>
      </c>
      <c r="AC199" s="23">
        <f t="shared" si="23"/>
        <v>0</v>
      </c>
      <c r="AD199" s="23">
        <f>IF(P199&lt;=ConceptDemo!$C$19,AD198+SUM(W199:AB199)-(Q199-Q198)-AC199,0)</f>
        <v>0</v>
      </c>
      <c r="AE199" s="23">
        <f>IF(ConceptDemo!$C$7=Backend!$A$2,AD199,IF(AE198&lt;&gt;AD198,IF(P199&lt;=ConceptDemo!$C$19,AE198+SUM(W199:AB199)-(Q199-Q198)-AC199,0),IF(P199=ConceptDemo!$C$40,ConceptDemo!$C$39,AD199)))</f>
        <v>0</v>
      </c>
      <c r="AF199" s="23">
        <f t="shared" si="25"/>
        <v>0</v>
      </c>
      <c r="AG199" s="23">
        <f t="shared" si="26"/>
        <v>0</v>
      </c>
      <c r="AH199" s="23">
        <f t="shared" si="24"/>
        <v>0</v>
      </c>
    </row>
    <row r="200" spans="16:34" x14ac:dyDescent="0.25">
      <c r="P200" s="16" t="str">
        <f>IFERROR(IF(P199+1=ConceptDemo!$C$19+10,"",Backend!P199+1),"")</f>
        <v/>
      </c>
      <c r="Q200" s="13">
        <f>IF(OR(P200&lt;ConceptDemo!$C$17,Backend!P200&gt;ConceptDemo!$C$19),0,IF(Backend!P200&lt;=Backend!$R$12,Backend!Q199+Backend!$T$12,IF(Backend!P200&lt;=Backend!$R$13,Backend!Q199+Backend!$T$13,IF(Backend!P200&lt;=Backend!$R$14,Backend!Q199+Backend!$T$14,IF(Backend!P200&lt;=Backend!$R$15,Backend!Q199+Backend!$T$15,IF(Backend!P200&lt;=Backend!$X$16,Backend!Q199+Backend!$Z$16))))))</f>
        <v>0</v>
      </c>
      <c r="R200" s="24" t="str">
        <f>IF(1&lt;=ConceptDemo!$K$41,IF(P200=$W$12,ConceptDemo!$K$39,""),"")</f>
        <v/>
      </c>
      <c r="S200" s="24" t="str">
        <f>IF(2&lt;=ConceptDemo!$K$41,IF(P200=$W$13,ConceptDemo!$K$39,""),"")</f>
        <v/>
      </c>
      <c r="T200" s="24" t="str">
        <f>IF(3&lt;=ConceptDemo!$K$41,IF(P200=$W$14,ConceptDemo!$K$39,""),"")</f>
        <v/>
      </c>
      <c r="U200" s="24" t="str">
        <f>IF(4&lt;=ConceptDemo!$K$41,IF(P200=$W$15,ConceptDemo!$K$39,""),"")</f>
        <v/>
      </c>
      <c r="W200" s="23">
        <f>IF($P200&lt;ConceptDemo!$C$17+$E$24-10,$G$27,0)</f>
        <v>0</v>
      </c>
      <c r="X200" s="23">
        <f>IF($P200&lt;ConceptDemo!$C$17+$E$24-10,$H$27,0)</f>
        <v>0</v>
      </c>
      <c r="Y200" s="13">
        <f t="shared" si="19"/>
        <v>0</v>
      </c>
      <c r="Z200" s="13">
        <f t="shared" si="20"/>
        <v>0</v>
      </c>
      <c r="AA200" s="13">
        <f t="shared" si="21"/>
        <v>0</v>
      </c>
      <c r="AB200" s="13">
        <f t="shared" si="22"/>
        <v>0</v>
      </c>
      <c r="AC200" s="23">
        <f t="shared" si="23"/>
        <v>0</v>
      </c>
      <c r="AD200" s="23">
        <f>IF(P200&lt;=ConceptDemo!$C$19,AD199+SUM(W200:AB200)-(Q200-Q199)-AC200,0)</f>
        <v>0</v>
      </c>
      <c r="AE200" s="23">
        <f>IF(ConceptDemo!$C$7=Backend!$A$2,AD200,IF(AE199&lt;&gt;AD199,IF(P200&lt;=ConceptDemo!$C$19,AE199+SUM(W200:AB200)-(Q200-Q199)-AC200,0),IF(P200=ConceptDemo!$C$40,ConceptDemo!$C$39,AD200)))</f>
        <v>0</v>
      </c>
      <c r="AF200" s="23">
        <f t="shared" si="25"/>
        <v>0</v>
      </c>
      <c r="AG200" s="23">
        <f t="shared" si="26"/>
        <v>0</v>
      </c>
      <c r="AH200" s="23">
        <f t="shared" si="24"/>
        <v>0</v>
      </c>
    </row>
    <row r="201" spans="16:34" x14ac:dyDescent="0.25">
      <c r="P201" s="16" t="str">
        <f>IFERROR(IF(P200+1=ConceptDemo!$C$19+10,"",Backend!P200+1),"")</f>
        <v/>
      </c>
      <c r="Q201" s="13">
        <f>IF(OR(P201&lt;ConceptDemo!$C$17,Backend!P201&gt;ConceptDemo!$C$19),0,IF(Backend!P201&lt;=Backend!$R$12,Backend!Q200+Backend!$T$12,IF(Backend!P201&lt;=Backend!$R$13,Backend!Q200+Backend!$T$13,IF(Backend!P201&lt;=Backend!$R$14,Backend!Q200+Backend!$T$14,IF(Backend!P201&lt;=Backend!$R$15,Backend!Q200+Backend!$T$15,IF(Backend!P201&lt;=Backend!$X$16,Backend!Q200+Backend!$Z$16))))))</f>
        <v>0</v>
      </c>
      <c r="R201" s="24" t="str">
        <f>IF(1&lt;=ConceptDemo!$K$41,IF(P201=$W$12,ConceptDemo!$K$39,""),"")</f>
        <v/>
      </c>
      <c r="S201" s="24" t="str">
        <f>IF(2&lt;=ConceptDemo!$K$41,IF(P201=$W$13,ConceptDemo!$K$39,""),"")</f>
        <v/>
      </c>
      <c r="T201" s="24" t="str">
        <f>IF(3&lt;=ConceptDemo!$K$41,IF(P201=$W$14,ConceptDemo!$K$39,""),"")</f>
        <v/>
      </c>
      <c r="U201" s="24" t="str">
        <f>IF(4&lt;=ConceptDemo!$K$41,IF(P201=$W$15,ConceptDemo!$K$39,""),"")</f>
        <v/>
      </c>
      <c r="W201" s="23">
        <f>IF($P201&lt;ConceptDemo!$C$17+$E$24-10,$G$27,0)</f>
        <v>0</v>
      </c>
      <c r="X201" s="23">
        <f>IF($P201&lt;ConceptDemo!$C$17+$E$24-10,$H$27,0)</f>
        <v>0</v>
      </c>
      <c r="Y201" s="13">
        <f t="shared" si="19"/>
        <v>0</v>
      </c>
      <c r="Z201" s="13">
        <f t="shared" si="20"/>
        <v>0</v>
      </c>
      <c r="AA201" s="13">
        <f t="shared" si="21"/>
        <v>0</v>
      </c>
      <c r="AB201" s="13">
        <f t="shared" si="22"/>
        <v>0</v>
      </c>
      <c r="AC201" s="23">
        <f t="shared" si="23"/>
        <v>0</v>
      </c>
      <c r="AD201" s="23">
        <f>IF(P201&lt;=ConceptDemo!$C$19,AD200+SUM(W201:AB201)-(Q201-Q200)-AC201,0)</f>
        <v>0</v>
      </c>
      <c r="AE201" s="23">
        <f>IF(ConceptDemo!$C$7=Backend!$A$2,AD201,IF(AE200&lt;&gt;AD200,IF(P201&lt;=ConceptDemo!$C$19,AE200+SUM(W201:AB201)-(Q201-Q200)-AC201,0),IF(P201=ConceptDemo!$C$40,ConceptDemo!$C$39,AD201)))</f>
        <v>0</v>
      </c>
      <c r="AF201" s="23">
        <f t="shared" si="25"/>
        <v>0</v>
      </c>
      <c r="AG201" s="23">
        <f t="shared" si="26"/>
        <v>0</v>
      </c>
      <c r="AH201" s="23">
        <f t="shared" si="24"/>
        <v>0</v>
      </c>
    </row>
    <row r="202" spans="16:34" x14ac:dyDescent="0.25">
      <c r="P202" s="16" t="str">
        <f>IFERROR(IF(P201+1=ConceptDemo!$C$19+10,"",Backend!P201+1),"")</f>
        <v/>
      </c>
      <c r="Q202" s="13">
        <f>IF(OR(P202&lt;ConceptDemo!$C$17,Backend!P202&gt;ConceptDemo!$C$19),0,IF(Backend!P202&lt;=Backend!$R$12,Backend!Q201+Backend!$T$12,IF(Backend!P202&lt;=Backend!$R$13,Backend!Q201+Backend!$T$13,IF(Backend!P202&lt;=Backend!$R$14,Backend!Q201+Backend!$T$14,IF(Backend!P202&lt;=Backend!$R$15,Backend!Q201+Backend!$T$15,IF(Backend!P202&lt;=Backend!$X$16,Backend!Q201+Backend!$Z$16))))))</f>
        <v>0</v>
      </c>
      <c r="R202" s="24" t="str">
        <f>IF(1&lt;=ConceptDemo!$K$41,IF(P202=$W$12,ConceptDemo!$K$39,""),"")</f>
        <v/>
      </c>
      <c r="S202" s="24" t="str">
        <f>IF(2&lt;=ConceptDemo!$K$41,IF(P202=$W$13,ConceptDemo!$K$39,""),"")</f>
        <v/>
      </c>
      <c r="T202" s="24" t="str">
        <f>IF(3&lt;=ConceptDemo!$K$41,IF(P202=$W$14,ConceptDemo!$K$39,""),"")</f>
        <v/>
      </c>
      <c r="U202" s="24" t="str">
        <f>IF(4&lt;=ConceptDemo!$K$41,IF(P202=$W$15,ConceptDemo!$K$39,""),"")</f>
        <v/>
      </c>
      <c r="W202" s="23">
        <f>IF($P202&lt;ConceptDemo!$C$17+$E$24-10,$G$27,0)</f>
        <v>0</v>
      </c>
      <c r="X202" s="23">
        <f>IF($P202&lt;ConceptDemo!$C$17+$E$24-10,$H$27,0)</f>
        <v>0</v>
      </c>
      <c r="Y202" s="13">
        <f t="shared" si="19"/>
        <v>0</v>
      </c>
      <c r="Z202" s="13">
        <f t="shared" si="20"/>
        <v>0</v>
      </c>
      <c r="AA202" s="13">
        <f t="shared" si="21"/>
        <v>0</v>
      </c>
      <c r="AB202" s="13">
        <f t="shared" si="22"/>
        <v>0</v>
      </c>
      <c r="AC202" s="23">
        <f t="shared" si="23"/>
        <v>0</v>
      </c>
      <c r="AD202" s="23">
        <f>IF(P202&lt;=ConceptDemo!$C$19,AD201+SUM(W202:AB202)-(Q202-Q201)-AC202,0)</f>
        <v>0</v>
      </c>
      <c r="AE202" s="23">
        <f>IF(ConceptDemo!$C$7=Backend!$A$2,AD202,IF(AE201&lt;&gt;AD201,IF(P202&lt;=ConceptDemo!$C$19,AE201+SUM(W202:AB202)-(Q202-Q201)-AC202,0),IF(P202=ConceptDemo!$C$40,ConceptDemo!$C$39,AD202)))</f>
        <v>0</v>
      </c>
      <c r="AF202" s="23">
        <f t="shared" si="25"/>
        <v>0</v>
      </c>
      <c r="AG202" s="23">
        <f t="shared" si="26"/>
        <v>0</v>
      </c>
      <c r="AH202" s="23">
        <f t="shared" si="24"/>
        <v>0</v>
      </c>
    </row>
    <row r="203" spans="16:34" x14ac:dyDescent="0.25">
      <c r="P203" s="16" t="str">
        <f>IFERROR(IF(P202+1=ConceptDemo!$C$19+10,"",Backend!P202+1),"")</f>
        <v/>
      </c>
      <c r="Q203" s="13">
        <f>IF(OR(P203&lt;ConceptDemo!$C$17,Backend!P203&gt;ConceptDemo!$C$19),0,IF(Backend!P203&lt;=Backend!$R$12,Backend!Q202+Backend!$T$12,IF(Backend!P203&lt;=Backend!$R$13,Backend!Q202+Backend!$T$13,IF(Backend!P203&lt;=Backend!$R$14,Backend!Q202+Backend!$T$14,IF(Backend!P203&lt;=Backend!$R$15,Backend!Q202+Backend!$T$15,IF(Backend!P203&lt;=Backend!$X$16,Backend!Q202+Backend!$Z$16))))))</f>
        <v>0</v>
      </c>
      <c r="R203" s="24" t="str">
        <f>IF(1&lt;=ConceptDemo!$K$41,IF(P203=$W$12,ConceptDemo!$K$39,""),"")</f>
        <v/>
      </c>
      <c r="S203" s="24" t="str">
        <f>IF(2&lt;=ConceptDemo!$K$41,IF(P203=$W$13,ConceptDemo!$K$39,""),"")</f>
        <v/>
      </c>
      <c r="T203" s="24" t="str">
        <f>IF(3&lt;=ConceptDemo!$K$41,IF(P203=$W$14,ConceptDemo!$K$39,""),"")</f>
        <v/>
      </c>
      <c r="U203" s="24" t="str">
        <f>IF(4&lt;=ConceptDemo!$K$41,IF(P203=$W$15,ConceptDemo!$K$39,""),"")</f>
        <v/>
      </c>
      <c r="W203" s="23">
        <f>IF($P203&lt;ConceptDemo!$C$17+$E$24-10,$G$27,0)</f>
        <v>0</v>
      </c>
      <c r="X203" s="23">
        <f>IF($P203&lt;ConceptDemo!$C$17+$E$24-10,$H$27,0)</f>
        <v>0</v>
      </c>
      <c r="Y203" s="13">
        <f t="shared" si="19"/>
        <v>0</v>
      </c>
      <c r="Z203" s="13">
        <f t="shared" si="20"/>
        <v>0</v>
      </c>
      <c r="AA203" s="13">
        <f t="shared" si="21"/>
        <v>0</v>
      </c>
      <c r="AB203" s="13">
        <f t="shared" si="22"/>
        <v>0</v>
      </c>
      <c r="AC203" s="23">
        <f t="shared" si="23"/>
        <v>0</v>
      </c>
      <c r="AD203" s="23">
        <f>IF(P203&lt;=ConceptDemo!$C$19,AD202+SUM(W203:AB203)-(Q203-Q202)-AC203,0)</f>
        <v>0</v>
      </c>
      <c r="AE203" s="23">
        <f>IF(ConceptDemo!$C$7=Backend!$A$2,AD203,IF(AE202&lt;&gt;AD202,IF(P203&lt;=ConceptDemo!$C$19,AE202+SUM(W203:AB203)-(Q203-Q202)-AC203,0),IF(P203=ConceptDemo!$C$40,ConceptDemo!$C$39,AD203)))</f>
        <v>0</v>
      </c>
      <c r="AF203" s="23">
        <f t="shared" si="25"/>
        <v>0</v>
      </c>
      <c r="AG203" s="23">
        <f t="shared" si="26"/>
        <v>0</v>
      </c>
      <c r="AH203" s="23">
        <f t="shared" si="24"/>
        <v>0</v>
      </c>
    </row>
    <row r="204" spans="16:34" x14ac:dyDescent="0.25">
      <c r="P204" s="16" t="str">
        <f>IFERROR(IF(P203+1=ConceptDemo!$C$19+10,"",Backend!P203+1),"")</f>
        <v/>
      </c>
      <c r="Q204" s="13">
        <f>IF(OR(P204&lt;ConceptDemo!$C$17,Backend!P204&gt;ConceptDemo!$C$19),0,IF(Backend!P204&lt;=Backend!$R$12,Backend!Q203+Backend!$T$12,IF(Backend!P204&lt;=Backend!$R$13,Backend!Q203+Backend!$T$13,IF(Backend!P204&lt;=Backend!$R$14,Backend!Q203+Backend!$T$14,IF(Backend!P204&lt;=Backend!$R$15,Backend!Q203+Backend!$T$15,IF(Backend!P204&lt;=Backend!$X$16,Backend!Q203+Backend!$Z$16))))))</f>
        <v>0</v>
      </c>
      <c r="R204" s="24" t="str">
        <f>IF(1&lt;=ConceptDemo!$K$41,IF(P204=$W$12,ConceptDemo!$K$39,""),"")</f>
        <v/>
      </c>
      <c r="S204" s="24" t="str">
        <f>IF(2&lt;=ConceptDemo!$K$41,IF(P204=$W$13,ConceptDemo!$K$39,""),"")</f>
        <v/>
      </c>
      <c r="T204" s="24" t="str">
        <f>IF(3&lt;=ConceptDemo!$K$41,IF(P204=$W$14,ConceptDemo!$K$39,""),"")</f>
        <v/>
      </c>
      <c r="U204" s="24" t="str">
        <f>IF(4&lt;=ConceptDemo!$K$41,IF(P204=$W$15,ConceptDemo!$K$39,""),"")</f>
        <v/>
      </c>
      <c r="W204" s="23">
        <f>IF($P204&lt;ConceptDemo!$C$17+$E$24-10,$G$27,0)</f>
        <v>0</v>
      </c>
      <c r="X204" s="23">
        <f>IF($P204&lt;ConceptDemo!$C$17+$E$24-10,$H$27,0)</f>
        <v>0</v>
      </c>
      <c r="Y204" s="13">
        <f t="shared" si="19"/>
        <v>0</v>
      </c>
      <c r="Z204" s="13">
        <f t="shared" si="20"/>
        <v>0</v>
      </c>
      <c r="AA204" s="13">
        <f t="shared" si="21"/>
        <v>0</v>
      </c>
      <c r="AB204" s="13">
        <f t="shared" si="22"/>
        <v>0</v>
      </c>
      <c r="AC204" s="23">
        <f t="shared" si="23"/>
        <v>0</v>
      </c>
      <c r="AD204" s="23">
        <f>IF(P204&lt;=ConceptDemo!$C$19,AD203+SUM(W204:AB204)-(Q204-Q203)-AC204,0)</f>
        <v>0</v>
      </c>
      <c r="AE204" s="23">
        <f>IF(ConceptDemo!$C$7=Backend!$A$2,AD204,IF(AE203&lt;&gt;AD203,IF(P204&lt;=ConceptDemo!$C$19,AE203+SUM(W204:AB204)-(Q204-Q203)-AC204,0),IF(P204=ConceptDemo!$C$40,ConceptDemo!$C$39,AD204)))</f>
        <v>0</v>
      </c>
      <c r="AF204" s="23">
        <f t="shared" si="25"/>
        <v>0</v>
      </c>
      <c r="AG204" s="23">
        <f t="shared" si="26"/>
        <v>0</v>
      </c>
      <c r="AH204" s="23">
        <f t="shared" si="24"/>
        <v>0</v>
      </c>
    </row>
    <row r="205" spans="16:34" x14ac:dyDescent="0.25">
      <c r="P205" s="16" t="str">
        <f>IFERROR(IF(P204+1=ConceptDemo!$C$19+10,"",Backend!P204+1),"")</f>
        <v/>
      </c>
      <c r="Q205" s="13">
        <f>IF(OR(P205&lt;ConceptDemo!$C$17,Backend!P205&gt;ConceptDemo!$C$19),0,IF(Backend!P205&lt;=Backend!$R$12,Backend!Q204+Backend!$T$12,IF(Backend!P205&lt;=Backend!$R$13,Backend!Q204+Backend!$T$13,IF(Backend!P205&lt;=Backend!$R$14,Backend!Q204+Backend!$T$14,IF(Backend!P205&lt;=Backend!$R$15,Backend!Q204+Backend!$T$15,IF(Backend!P205&lt;=Backend!$X$16,Backend!Q204+Backend!$Z$16))))))</f>
        <v>0</v>
      </c>
      <c r="R205" s="24" t="str">
        <f>IF(1&lt;=ConceptDemo!$K$41,IF(P205=$W$12,ConceptDemo!$K$39,""),"")</f>
        <v/>
      </c>
      <c r="S205" s="24" t="str">
        <f>IF(2&lt;=ConceptDemo!$K$41,IF(P205=$W$13,ConceptDemo!$K$39,""),"")</f>
        <v/>
      </c>
      <c r="T205" s="24" t="str">
        <f>IF(3&lt;=ConceptDemo!$K$41,IF(P205=$W$14,ConceptDemo!$K$39,""),"")</f>
        <v/>
      </c>
      <c r="U205" s="24" t="str">
        <f>IF(4&lt;=ConceptDemo!$K$41,IF(P205=$W$15,ConceptDemo!$K$39,""),"")</f>
        <v/>
      </c>
      <c r="W205" s="23">
        <f>IF($P205&lt;ConceptDemo!$C$17+$E$24-10,$G$27,0)</f>
        <v>0</v>
      </c>
      <c r="X205" s="23">
        <f>IF($P205&lt;ConceptDemo!$C$17+$E$24-10,$H$27,0)</f>
        <v>0</v>
      </c>
      <c r="Y205" s="13">
        <f t="shared" si="19"/>
        <v>0</v>
      </c>
      <c r="Z205" s="13">
        <f t="shared" si="20"/>
        <v>0</v>
      </c>
      <c r="AA205" s="13">
        <f t="shared" si="21"/>
        <v>0</v>
      </c>
      <c r="AB205" s="13">
        <f t="shared" si="22"/>
        <v>0</v>
      </c>
      <c r="AC205" s="23">
        <f t="shared" si="23"/>
        <v>0</v>
      </c>
      <c r="AD205" s="23">
        <f>IF(P205&lt;=ConceptDemo!$C$19,AD204+SUM(W205:AB205)-(Q205-Q204)-AC205,0)</f>
        <v>0</v>
      </c>
      <c r="AE205" s="23">
        <f>IF(ConceptDemo!$C$7=Backend!$A$2,AD205,IF(AE204&lt;&gt;AD204,IF(P205&lt;=ConceptDemo!$C$19,AE204+SUM(W205:AB205)-(Q205-Q204)-AC205,0),IF(P205=ConceptDemo!$C$40,ConceptDemo!$C$39,AD205)))</f>
        <v>0</v>
      </c>
      <c r="AF205" s="23">
        <f t="shared" si="25"/>
        <v>0</v>
      </c>
      <c r="AG205" s="23">
        <f t="shared" si="26"/>
        <v>0</v>
      </c>
      <c r="AH205" s="23">
        <f t="shared" si="24"/>
        <v>0</v>
      </c>
    </row>
    <row r="206" spans="16:34" x14ac:dyDescent="0.25">
      <c r="P206" s="16" t="str">
        <f>IFERROR(IF(P205+1=ConceptDemo!$C$19+10,"",Backend!P205+1),"")</f>
        <v/>
      </c>
      <c r="Q206" s="13">
        <f>IF(OR(P206&lt;ConceptDemo!$C$17,Backend!P206&gt;ConceptDemo!$C$19),0,IF(Backend!P206&lt;=Backend!$R$12,Backend!Q205+Backend!$T$12,IF(Backend!P206&lt;=Backend!$R$13,Backend!Q205+Backend!$T$13,IF(Backend!P206&lt;=Backend!$R$14,Backend!Q205+Backend!$T$14,IF(Backend!P206&lt;=Backend!$R$15,Backend!Q205+Backend!$T$15,IF(Backend!P206&lt;=Backend!$X$16,Backend!Q205+Backend!$Z$16))))))</f>
        <v>0</v>
      </c>
      <c r="R206" s="24" t="str">
        <f>IF(1&lt;=ConceptDemo!$K$41,IF(P206=$W$12,ConceptDemo!$K$39,""),"")</f>
        <v/>
      </c>
      <c r="S206" s="24" t="str">
        <f>IF(2&lt;=ConceptDemo!$K$41,IF(P206=$W$13,ConceptDemo!$K$39,""),"")</f>
        <v/>
      </c>
      <c r="T206" s="24" t="str">
        <f>IF(3&lt;=ConceptDemo!$K$41,IF(P206=$W$14,ConceptDemo!$K$39,""),"")</f>
        <v/>
      </c>
      <c r="U206" s="24" t="str">
        <f>IF(4&lt;=ConceptDemo!$K$41,IF(P206=$W$15,ConceptDemo!$K$39,""),"")</f>
        <v/>
      </c>
      <c r="W206" s="23">
        <f>IF($P206&lt;ConceptDemo!$C$17+$E$24-10,$G$27,0)</f>
        <v>0</v>
      </c>
      <c r="X206" s="23">
        <f>IF($P206&lt;ConceptDemo!$C$17+$E$24-10,$H$27,0)</f>
        <v>0</v>
      </c>
      <c r="Y206" s="13">
        <f t="shared" si="19"/>
        <v>0</v>
      </c>
      <c r="Z206" s="13">
        <f t="shared" si="20"/>
        <v>0</v>
      </c>
      <c r="AA206" s="13">
        <f t="shared" si="21"/>
        <v>0</v>
      </c>
      <c r="AB206" s="13">
        <f t="shared" si="22"/>
        <v>0</v>
      </c>
      <c r="AC206" s="23">
        <f t="shared" si="23"/>
        <v>0</v>
      </c>
      <c r="AD206" s="23">
        <f>IF(P206&lt;=ConceptDemo!$C$19,AD205+SUM(W206:AB206)-(Q206-Q205)-AC206,0)</f>
        <v>0</v>
      </c>
      <c r="AE206" s="23">
        <f>IF(ConceptDemo!$C$7=Backend!$A$2,AD206,IF(AE205&lt;&gt;AD205,IF(P206&lt;=ConceptDemo!$C$19,AE205+SUM(W206:AB206)-(Q206-Q205)-AC206,0),IF(P206=ConceptDemo!$C$40,ConceptDemo!$C$39,AD206)))</f>
        <v>0</v>
      </c>
      <c r="AF206" s="23">
        <f t="shared" si="25"/>
        <v>0</v>
      </c>
      <c r="AG206" s="23">
        <f t="shared" si="26"/>
        <v>0</v>
      </c>
      <c r="AH206" s="23">
        <f t="shared" si="24"/>
        <v>0</v>
      </c>
    </row>
    <row r="207" spans="16:34" x14ac:dyDescent="0.25">
      <c r="P207" s="16" t="str">
        <f>IFERROR(IF(P206+1=ConceptDemo!$C$19+10,"",Backend!P206+1),"")</f>
        <v/>
      </c>
      <c r="Q207" s="13">
        <f>IF(OR(P207&lt;ConceptDemo!$C$17,Backend!P207&gt;ConceptDemo!$C$19),0,IF(Backend!P207&lt;=Backend!$R$12,Backend!Q206+Backend!$T$12,IF(Backend!P207&lt;=Backend!$R$13,Backend!Q206+Backend!$T$13,IF(Backend!P207&lt;=Backend!$R$14,Backend!Q206+Backend!$T$14,IF(Backend!P207&lt;=Backend!$R$15,Backend!Q206+Backend!$T$15,IF(Backend!P207&lt;=Backend!$X$16,Backend!Q206+Backend!$Z$16))))))</f>
        <v>0</v>
      </c>
      <c r="R207" s="24" t="str">
        <f>IF(1&lt;=ConceptDemo!$K$41,IF(P207=$W$12,ConceptDemo!$K$39,""),"")</f>
        <v/>
      </c>
      <c r="S207" s="24" t="str">
        <f>IF(2&lt;=ConceptDemo!$K$41,IF(P207=$W$13,ConceptDemo!$K$39,""),"")</f>
        <v/>
      </c>
      <c r="T207" s="24" t="str">
        <f>IF(3&lt;=ConceptDemo!$K$41,IF(P207=$W$14,ConceptDemo!$K$39,""),"")</f>
        <v/>
      </c>
      <c r="U207" s="24" t="str">
        <f>IF(4&lt;=ConceptDemo!$K$41,IF(P207=$W$15,ConceptDemo!$K$39,""),"")</f>
        <v/>
      </c>
      <c r="W207" s="23">
        <f>IF($P207&lt;ConceptDemo!$C$17+$E$24-10,$G$27,0)</f>
        <v>0</v>
      </c>
      <c r="X207" s="23">
        <f>IF($P207&lt;ConceptDemo!$C$17+$E$24-10,$H$27,0)</f>
        <v>0</v>
      </c>
      <c r="Y207" s="13">
        <f t="shared" si="19"/>
        <v>0</v>
      </c>
      <c r="Z207" s="13">
        <f t="shared" si="20"/>
        <v>0</v>
      </c>
      <c r="AA207" s="13">
        <f t="shared" si="21"/>
        <v>0</v>
      </c>
      <c r="AB207" s="13">
        <f t="shared" si="22"/>
        <v>0</v>
      </c>
      <c r="AC207" s="23">
        <f t="shared" si="23"/>
        <v>0</v>
      </c>
      <c r="AD207" s="23">
        <f>IF(P207&lt;=ConceptDemo!$C$19,AD206+SUM(W207:AB207)-(Q207-Q206)-AC207,0)</f>
        <v>0</v>
      </c>
      <c r="AE207" s="23">
        <f>IF(ConceptDemo!$C$7=Backend!$A$2,AD207,IF(AE206&lt;&gt;AD206,IF(P207&lt;=ConceptDemo!$C$19,AE206+SUM(W207:AB207)-(Q207-Q206)-AC207,0),IF(P207=ConceptDemo!$C$40,ConceptDemo!$C$39,AD207)))</f>
        <v>0</v>
      </c>
      <c r="AF207" s="23">
        <f t="shared" si="25"/>
        <v>0</v>
      </c>
      <c r="AG207" s="23">
        <f t="shared" si="26"/>
        <v>0</v>
      </c>
      <c r="AH207" s="23">
        <f t="shared" si="24"/>
        <v>0</v>
      </c>
    </row>
    <row r="208" spans="16:34" x14ac:dyDescent="0.25">
      <c r="P208" s="16" t="str">
        <f>IFERROR(IF(P207+1=ConceptDemo!$C$19+10,"",Backend!P207+1),"")</f>
        <v/>
      </c>
      <c r="Q208" s="13">
        <f>IF(OR(P208&lt;ConceptDemo!$C$17,Backend!P208&gt;ConceptDemo!$C$19),0,IF(Backend!P208&lt;=Backend!$R$12,Backend!Q207+Backend!$T$12,IF(Backend!P208&lt;=Backend!$R$13,Backend!Q207+Backend!$T$13,IF(Backend!P208&lt;=Backend!$R$14,Backend!Q207+Backend!$T$14,IF(Backend!P208&lt;=Backend!$R$15,Backend!Q207+Backend!$T$15,IF(Backend!P208&lt;=Backend!$X$16,Backend!Q207+Backend!$Z$16))))))</f>
        <v>0</v>
      </c>
      <c r="R208" s="24" t="str">
        <f>IF(1&lt;=ConceptDemo!$K$41,IF(P208=$W$12,ConceptDemo!$K$39,""),"")</f>
        <v/>
      </c>
      <c r="S208" s="24" t="str">
        <f>IF(2&lt;=ConceptDemo!$K$41,IF(P208=$W$13,ConceptDemo!$K$39,""),"")</f>
        <v/>
      </c>
      <c r="T208" s="24" t="str">
        <f>IF(3&lt;=ConceptDemo!$K$41,IF(P208=$W$14,ConceptDemo!$K$39,""),"")</f>
        <v/>
      </c>
      <c r="U208" s="24" t="str">
        <f>IF(4&lt;=ConceptDemo!$K$41,IF(P208=$W$15,ConceptDemo!$K$39,""),"")</f>
        <v/>
      </c>
      <c r="W208" s="23">
        <f>IF($P208&lt;ConceptDemo!$C$17+$E$24-10,$G$27,0)</f>
        <v>0</v>
      </c>
      <c r="X208" s="23">
        <f>IF($P208&lt;ConceptDemo!$C$17+$E$24-10,$H$27,0)</f>
        <v>0</v>
      </c>
      <c r="Y208" s="13">
        <f t="shared" si="19"/>
        <v>0</v>
      </c>
      <c r="Z208" s="13">
        <f t="shared" si="20"/>
        <v>0</v>
      </c>
      <c r="AA208" s="13">
        <f t="shared" si="21"/>
        <v>0</v>
      </c>
      <c r="AB208" s="13">
        <f t="shared" si="22"/>
        <v>0</v>
      </c>
      <c r="AC208" s="23">
        <f t="shared" si="23"/>
        <v>0</v>
      </c>
      <c r="AD208" s="23">
        <f>IF(P208&lt;=ConceptDemo!$C$19,AD207+SUM(W208:AB208)-(Q208-Q207)-AC208,0)</f>
        <v>0</v>
      </c>
      <c r="AE208" s="23">
        <f>IF(ConceptDemo!$C$7=Backend!$A$2,AD208,IF(AE207&lt;&gt;AD207,IF(P208&lt;=ConceptDemo!$C$19,AE207+SUM(W208:AB208)-(Q208-Q207)-AC208,0),IF(P208=ConceptDemo!$C$40,ConceptDemo!$C$39,AD208)))</f>
        <v>0</v>
      </c>
      <c r="AF208" s="23">
        <f t="shared" si="25"/>
        <v>0</v>
      </c>
      <c r="AG208" s="23">
        <f t="shared" si="26"/>
        <v>0</v>
      </c>
      <c r="AH208" s="23">
        <f t="shared" si="24"/>
        <v>0</v>
      </c>
    </row>
    <row r="209" spans="16:34" x14ac:dyDescent="0.25">
      <c r="P209" s="16" t="str">
        <f>IFERROR(IF(P208+1=ConceptDemo!$C$19+10,"",Backend!P208+1),"")</f>
        <v/>
      </c>
      <c r="Q209" s="13">
        <f>IF(OR(P209&lt;ConceptDemo!$C$17,Backend!P209&gt;ConceptDemo!$C$19),0,IF(Backend!P209&lt;=Backend!$R$12,Backend!Q208+Backend!$T$12,IF(Backend!P209&lt;=Backend!$R$13,Backend!Q208+Backend!$T$13,IF(Backend!P209&lt;=Backend!$R$14,Backend!Q208+Backend!$T$14,IF(Backend!P209&lt;=Backend!$R$15,Backend!Q208+Backend!$T$15,IF(Backend!P209&lt;=Backend!$X$16,Backend!Q208+Backend!$Z$16))))))</f>
        <v>0</v>
      </c>
      <c r="R209" s="24" t="str">
        <f>IF(1&lt;=ConceptDemo!$K$41,IF(P209=$W$12,ConceptDemo!$K$39,""),"")</f>
        <v/>
      </c>
      <c r="S209" s="24" t="str">
        <f>IF(2&lt;=ConceptDemo!$K$41,IF(P209=$W$13,ConceptDemo!$K$39,""),"")</f>
        <v/>
      </c>
      <c r="T209" s="24" t="str">
        <f>IF(3&lt;=ConceptDemo!$K$41,IF(P209=$W$14,ConceptDemo!$K$39,""),"")</f>
        <v/>
      </c>
      <c r="U209" s="24" t="str">
        <f>IF(4&lt;=ConceptDemo!$K$41,IF(P209=$W$15,ConceptDemo!$K$39,""),"")</f>
        <v/>
      </c>
      <c r="W209" s="23">
        <f>IF($P209&lt;ConceptDemo!$C$17+$E$24-10,$G$27,0)</f>
        <v>0</v>
      </c>
      <c r="X209" s="23">
        <f>IF($P209&lt;ConceptDemo!$C$17+$E$24-10,$H$27,0)</f>
        <v>0</v>
      </c>
      <c r="Y209" s="13">
        <f t="shared" si="19"/>
        <v>0</v>
      </c>
      <c r="Z209" s="13">
        <f t="shared" si="20"/>
        <v>0</v>
      </c>
      <c r="AA209" s="13">
        <f t="shared" si="21"/>
        <v>0</v>
      </c>
      <c r="AB209" s="13">
        <f t="shared" si="22"/>
        <v>0</v>
      </c>
      <c r="AC209" s="23">
        <f t="shared" si="23"/>
        <v>0</v>
      </c>
      <c r="AD209" s="23">
        <f>IF(P209&lt;=ConceptDemo!$C$19,AD208+SUM(W209:AB209)-(Q209-Q208)-AC209,0)</f>
        <v>0</v>
      </c>
      <c r="AE209" s="23">
        <f>IF(ConceptDemo!$C$7=Backend!$A$2,AD209,IF(AE208&lt;&gt;AD208,IF(P209&lt;=ConceptDemo!$C$19,AE208+SUM(W209:AB209)-(Q209-Q208)-AC209,0),IF(P209=ConceptDemo!$C$40,ConceptDemo!$C$39,AD209)))</f>
        <v>0</v>
      </c>
      <c r="AF209" s="23">
        <f t="shared" si="25"/>
        <v>0</v>
      </c>
      <c r="AG209" s="23">
        <f t="shared" si="26"/>
        <v>0</v>
      </c>
      <c r="AH209" s="23">
        <f t="shared" si="24"/>
        <v>0</v>
      </c>
    </row>
    <row r="210" spans="16:34" x14ac:dyDescent="0.25">
      <c r="P210" s="16" t="str">
        <f>IFERROR(IF(P209+1=ConceptDemo!$C$19+10,"",Backend!P209+1),"")</f>
        <v/>
      </c>
      <c r="Q210" s="13">
        <f>IF(OR(P210&lt;ConceptDemo!$C$17,Backend!P210&gt;ConceptDemo!$C$19),0,IF(Backend!P210&lt;=Backend!$R$12,Backend!Q209+Backend!$T$12,IF(Backend!P210&lt;=Backend!$R$13,Backend!Q209+Backend!$T$13,IF(Backend!P210&lt;=Backend!$R$14,Backend!Q209+Backend!$T$14,IF(Backend!P210&lt;=Backend!$R$15,Backend!Q209+Backend!$T$15,IF(Backend!P210&lt;=Backend!$X$16,Backend!Q209+Backend!$Z$16))))))</f>
        <v>0</v>
      </c>
      <c r="R210" s="24" t="str">
        <f>IF(1&lt;=ConceptDemo!$K$41,IF(P210=$W$12,ConceptDemo!$K$39,""),"")</f>
        <v/>
      </c>
      <c r="S210" s="24" t="str">
        <f>IF(2&lt;=ConceptDemo!$K$41,IF(P210=$W$13,ConceptDemo!$K$39,""),"")</f>
        <v/>
      </c>
      <c r="T210" s="24" t="str">
        <f>IF(3&lt;=ConceptDemo!$K$41,IF(P210=$W$14,ConceptDemo!$K$39,""),"")</f>
        <v/>
      </c>
      <c r="U210" s="24" t="str">
        <f>IF(4&lt;=ConceptDemo!$K$41,IF(P210=$W$15,ConceptDemo!$K$39,""),"")</f>
        <v/>
      </c>
      <c r="W210" s="23">
        <f>IF($P210&lt;ConceptDemo!$C$17+$E$24-10,$G$27,0)</f>
        <v>0</v>
      </c>
      <c r="X210" s="23">
        <f>IF($P210&lt;ConceptDemo!$C$17+$E$24-10,$H$27,0)</f>
        <v>0</v>
      </c>
      <c r="Y210" s="13">
        <f t="shared" si="19"/>
        <v>0</v>
      </c>
      <c r="Z210" s="13">
        <f t="shared" si="20"/>
        <v>0</v>
      </c>
      <c r="AA210" s="13">
        <f t="shared" si="21"/>
        <v>0</v>
      </c>
      <c r="AB210" s="13">
        <f t="shared" si="22"/>
        <v>0</v>
      </c>
      <c r="AC210" s="23">
        <f t="shared" si="23"/>
        <v>0</v>
      </c>
      <c r="AD210" s="23">
        <f>IF(P210&lt;=ConceptDemo!$C$19,AD209+SUM(W210:AB210)-(Q210-Q209)-AC210,0)</f>
        <v>0</v>
      </c>
      <c r="AE210" s="23">
        <f>IF(ConceptDemo!$C$7=Backend!$A$2,AD210,IF(AE209&lt;&gt;AD209,IF(P210&lt;=ConceptDemo!$C$19,AE209+SUM(W210:AB210)-(Q210-Q209)-AC210,0),IF(P210=ConceptDemo!$C$40,ConceptDemo!$C$39,AD210)))</f>
        <v>0</v>
      </c>
      <c r="AF210" s="23">
        <f t="shared" si="25"/>
        <v>0</v>
      </c>
      <c r="AG210" s="23">
        <f t="shared" si="26"/>
        <v>0</v>
      </c>
      <c r="AH210" s="23">
        <f t="shared" si="24"/>
        <v>0</v>
      </c>
    </row>
    <row r="211" spans="16:34" x14ac:dyDescent="0.25">
      <c r="P211" s="16" t="str">
        <f>IFERROR(IF(P210+1=ConceptDemo!$C$19+10,"",Backend!P210+1),"")</f>
        <v/>
      </c>
      <c r="Q211" s="13">
        <f>IF(OR(P211&lt;ConceptDemo!$C$17,Backend!P211&gt;ConceptDemo!$C$19),0,IF(Backend!P211&lt;=Backend!$R$12,Backend!Q210+Backend!$T$12,IF(Backend!P211&lt;=Backend!$R$13,Backend!Q210+Backend!$T$13,IF(Backend!P211&lt;=Backend!$R$14,Backend!Q210+Backend!$T$14,IF(Backend!P211&lt;=Backend!$R$15,Backend!Q210+Backend!$T$15,IF(Backend!P211&lt;=Backend!$X$16,Backend!Q210+Backend!$Z$16))))))</f>
        <v>0</v>
      </c>
      <c r="R211" s="24" t="str">
        <f>IF(1&lt;=ConceptDemo!$K$41,IF(P211=$W$12,ConceptDemo!$K$39,""),"")</f>
        <v/>
      </c>
      <c r="S211" s="24" t="str">
        <f>IF(2&lt;=ConceptDemo!$K$41,IF(P211=$W$13,ConceptDemo!$K$39,""),"")</f>
        <v/>
      </c>
      <c r="T211" s="24" t="str">
        <f>IF(3&lt;=ConceptDemo!$K$41,IF(P211=$W$14,ConceptDemo!$K$39,""),"")</f>
        <v/>
      </c>
      <c r="U211" s="24" t="str">
        <f>IF(4&lt;=ConceptDemo!$K$41,IF(P211=$W$15,ConceptDemo!$K$39,""),"")</f>
        <v/>
      </c>
      <c r="W211" s="23">
        <f>IF($P211&lt;ConceptDemo!$C$17+$E$24-10,$G$27,0)</f>
        <v>0</v>
      </c>
      <c r="X211" s="23">
        <f>IF($P211&lt;ConceptDemo!$C$17+$E$24-10,$H$27,0)</f>
        <v>0</v>
      </c>
      <c r="Y211" s="13">
        <f t="shared" si="19"/>
        <v>0</v>
      </c>
      <c r="Z211" s="13">
        <f t="shared" si="20"/>
        <v>0</v>
      </c>
      <c r="AA211" s="13">
        <f t="shared" si="21"/>
        <v>0</v>
      </c>
      <c r="AB211" s="13">
        <f t="shared" si="22"/>
        <v>0</v>
      </c>
      <c r="AC211" s="23">
        <f t="shared" si="23"/>
        <v>0</v>
      </c>
      <c r="AD211" s="23">
        <f>IF(P211&lt;=ConceptDemo!$C$19,AD210+SUM(W211:AB211)-(Q211-Q210)-AC211,0)</f>
        <v>0</v>
      </c>
      <c r="AE211" s="23">
        <f>IF(ConceptDemo!$C$7=Backend!$A$2,AD211,IF(AE210&lt;&gt;AD210,IF(P211&lt;=ConceptDemo!$C$19,AE210+SUM(W211:AB211)-(Q211-Q210)-AC211,0),IF(P211=ConceptDemo!$C$40,ConceptDemo!$C$39,AD211)))</f>
        <v>0</v>
      </c>
      <c r="AF211" s="23">
        <f t="shared" si="25"/>
        <v>0</v>
      </c>
      <c r="AG211" s="23">
        <f t="shared" si="26"/>
        <v>0</v>
      </c>
      <c r="AH211" s="23">
        <f t="shared" si="24"/>
        <v>0</v>
      </c>
    </row>
    <row r="212" spans="16:34" x14ac:dyDescent="0.25">
      <c r="P212" s="16" t="str">
        <f>IFERROR(IF(P211+1=ConceptDemo!$C$19+10,"",Backend!P211+1),"")</f>
        <v/>
      </c>
      <c r="Q212" s="13">
        <f>IF(OR(P212&lt;ConceptDemo!$C$17,Backend!P212&gt;ConceptDemo!$C$19),0,IF(Backend!P212&lt;=Backend!$R$12,Backend!Q211+Backend!$T$12,IF(Backend!P212&lt;=Backend!$R$13,Backend!Q211+Backend!$T$13,IF(Backend!P212&lt;=Backend!$R$14,Backend!Q211+Backend!$T$14,IF(Backend!P212&lt;=Backend!$R$15,Backend!Q211+Backend!$T$15,IF(Backend!P212&lt;=Backend!$X$16,Backend!Q211+Backend!$Z$16))))))</f>
        <v>0</v>
      </c>
      <c r="R212" s="24" t="str">
        <f>IF(1&lt;=ConceptDemo!$K$41,IF(P212=$W$12,ConceptDemo!$K$39,""),"")</f>
        <v/>
      </c>
      <c r="S212" s="24" t="str">
        <f>IF(2&lt;=ConceptDemo!$K$41,IF(P212=$W$13,ConceptDemo!$K$39,""),"")</f>
        <v/>
      </c>
      <c r="T212" s="24" t="str">
        <f>IF(3&lt;=ConceptDemo!$K$41,IF(P212=$W$14,ConceptDemo!$K$39,""),"")</f>
        <v/>
      </c>
      <c r="U212" s="24" t="str">
        <f>IF(4&lt;=ConceptDemo!$K$41,IF(P212=$W$15,ConceptDemo!$K$39,""),"")</f>
        <v/>
      </c>
      <c r="W212" s="23">
        <f>IF($P212&lt;ConceptDemo!$C$17+$E$24-10,$G$27,0)</f>
        <v>0</v>
      </c>
      <c r="X212" s="23">
        <f>IF($P212&lt;ConceptDemo!$C$17+$E$24-10,$H$27,0)</f>
        <v>0</v>
      </c>
      <c r="Y212" s="13">
        <f t="shared" si="19"/>
        <v>0</v>
      </c>
      <c r="Z212" s="13">
        <f t="shared" si="20"/>
        <v>0</v>
      </c>
      <c r="AA212" s="13">
        <f t="shared" si="21"/>
        <v>0</v>
      </c>
      <c r="AB212" s="13">
        <f t="shared" si="22"/>
        <v>0</v>
      </c>
      <c r="AC212" s="23">
        <f t="shared" si="23"/>
        <v>0</v>
      </c>
      <c r="AD212" s="23">
        <f>IF(P212&lt;=ConceptDemo!$C$19,AD211+SUM(W212:AB212)-(Q212-Q211)-AC212,0)</f>
        <v>0</v>
      </c>
      <c r="AE212" s="23">
        <f>IF(ConceptDemo!$C$7=Backend!$A$2,AD212,IF(AE211&lt;&gt;AD211,IF(P212&lt;=ConceptDemo!$C$19,AE211+SUM(W212:AB212)-(Q212-Q211)-AC212,0),IF(P212=ConceptDemo!$C$40,ConceptDemo!$C$39,AD212)))</f>
        <v>0</v>
      </c>
      <c r="AF212" s="23">
        <f t="shared" si="25"/>
        <v>0</v>
      </c>
      <c r="AG212" s="23">
        <f t="shared" si="26"/>
        <v>0</v>
      </c>
      <c r="AH212" s="23">
        <f t="shared" si="24"/>
        <v>0</v>
      </c>
    </row>
    <row r="213" spans="16:34" x14ac:dyDescent="0.25">
      <c r="P213" s="16" t="str">
        <f>IFERROR(IF(P212+1=ConceptDemo!$C$19+10,"",Backend!P212+1),"")</f>
        <v/>
      </c>
      <c r="Q213" s="13">
        <f>IF(OR(P213&lt;ConceptDemo!$C$17,Backend!P213&gt;ConceptDemo!$C$19),0,IF(Backend!P213&lt;=Backend!$R$12,Backend!Q212+Backend!$T$12,IF(Backend!P213&lt;=Backend!$R$13,Backend!Q212+Backend!$T$13,IF(Backend!P213&lt;=Backend!$R$14,Backend!Q212+Backend!$T$14,IF(Backend!P213&lt;=Backend!$R$15,Backend!Q212+Backend!$T$15,IF(Backend!P213&lt;=Backend!$X$16,Backend!Q212+Backend!$Z$16))))))</f>
        <v>0</v>
      </c>
      <c r="R213" s="24" t="str">
        <f>IF(1&lt;=ConceptDemo!$K$41,IF(P213=$W$12,ConceptDemo!$K$39,""),"")</f>
        <v/>
      </c>
      <c r="S213" s="24" t="str">
        <f>IF(2&lt;=ConceptDemo!$K$41,IF(P213=$W$13,ConceptDemo!$K$39,""),"")</f>
        <v/>
      </c>
      <c r="T213" s="24" t="str">
        <f>IF(3&lt;=ConceptDemo!$K$41,IF(P213=$W$14,ConceptDemo!$K$39,""),"")</f>
        <v/>
      </c>
      <c r="U213" s="24" t="str">
        <f>IF(4&lt;=ConceptDemo!$K$41,IF(P213=$W$15,ConceptDemo!$K$39,""),"")</f>
        <v/>
      </c>
      <c r="W213" s="23">
        <f>IF($P213&lt;ConceptDemo!$C$17+$E$24-10,$G$27,0)</f>
        <v>0</v>
      </c>
      <c r="X213" s="23">
        <f>IF($P213&lt;ConceptDemo!$C$17+$E$24-10,$H$27,0)</f>
        <v>0</v>
      </c>
      <c r="Y213" s="13">
        <f t="shared" si="19"/>
        <v>0</v>
      </c>
      <c r="Z213" s="13">
        <f t="shared" si="20"/>
        <v>0</v>
      </c>
      <c r="AA213" s="13">
        <f t="shared" si="21"/>
        <v>0</v>
      </c>
      <c r="AB213" s="13">
        <f t="shared" si="22"/>
        <v>0</v>
      </c>
      <c r="AC213" s="23">
        <f t="shared" si="23"/>
        <v>0</v>
      </c>
      <c r="AD213" s="23">
        <f>IF(P213&lt;=ConceptDemo!$C$19,AD212+SUM(W213:AB213)-(Q213-Q212)-AC213,0)</f>
        <v>0</v>
      </c>
      <c r="AE213" s="23">
        <f>IF(ConceptDemo!$C$7=Backend!$A$2,AD213,IF(AE212&lt;&gt;AD212,IF(P213&lt;=ConceptDemo!$C$19,AE212+SUM(W213:AB213)-(Q213-Q212)-AC213,0),IF(P213=ConceptDemo!$C$40,ConceptDemo!$C$39,AD213)))</f>
        <v>0</v>
      </c>
      <c r="AF213" s="23">
        <f t="shared" si="25"/>
        <v>0</v>
      </c>
      <c r="AG213" s="23">
        <f t="shared" si="26"/>
        <v>0</v>
      </c>
      <c r="AH213" s="23">
        <f t="shared" si="24"/>
        <v>0</v>
      </c>
    </row>
    <row r="214" spans="16:34" x14ac:dyDescent="0.25">
      <c r="P214" s="16" t="str">
        <f>IFERROR(IF(P213+1=ConceptDemo!$C$19+10,"",Backend!P213+1),"")</f>
        <v/>
      </c>
      <c r="Q214" s="13">
        <f>IF(OR(P214&lt;ConceptDemo!$C$17,Backend!P214&gt;ConceptDemo!$C$19),0,IF(Backend!P214&lt;=Backend!$R$12,Backend!Q213+Backend!$T$12,IF(Backend!P214&lt;=Backend!$R$13,Backend!Q213+Backend!$T$13,IF(Backend!P214&lt;=Backend!$R$14,Backend!Q213+Backend!$T$14,IF(Backend!P214&lt;=Backend!$R$15,Backend!Q213+Backend!$T$15,IF(Backend!P214&lt;=Backend!$X$16,Backend!Q213+Backend!$Z$16))))))</f>
        <v>0</v>
      </c>
      <c r="R214" s="24" t="str">
        <f>IF(1&lt;=ConceptDemo!$K$41,IF(P214=$W$12,ConceptDemo!$K$39,""),"")</f>
        <v/>
      </c>
      <c r="S214" s="24" t="str">
        <f>IF(2&lt;=ConceptDemo!$K$41,IF(P214=$W$13,ConceptDemo!$K$39,""),"")</f>
        <v/>
      </c>
      <c r="T214" s="24" t="str">
        <f>IF(3&lt;=ConceptDemo!$K$41,IF(P214=$W$14,ConceptDemo!$K$39,""),"")</f>
        <v/>
      </c>
      <c r="U214" s="24" t="str">
        <f>IF(4&lt;=ConceptDemo!$K$41,IF(P214=$W$15,ConceptDemo!$K$39,""),"")</f>
        <v/>
      </c>
      <c r="W214" s="23">
        <f>IF($P214&lt;ConceptDemo!$C$17+$E$24-10,$G$27,0)</f>
        <v>0</v>
      </c>
      <c r="X214" s="23">
        <f>IF($P214&lt;ConceptDemo!$C$17+$E$24-10,$H$27,0)</f>
        <v>0</v>
      </c>
      <c r="Y214" s="13">
        <f t="shared" si="19"/>
        <v>0</v>
      </c>
      <c r="Z214" s="13">
        <f t="shared" si="20"/>
        <v>0</v>
      </c>
      <c r="AA214" s="13">
        <f t="shared" si="21"/>
        <v>0</v>
      </c>
      <c r="AB214" s="13">
        <f t="shared" si="22"/>
        <v>0</v>
      </c>
      <c r="AC214" s="23">
        <f t="shared" si="23"/>
        <v>0</v>
      </c>
      <c r="AD214" s="23">
        <f>IF(P214&lt;=ConceptDemo!$C$19,AD213+SUM(W214:AB214)-(Q214-Q213)-AC214,0)</f>
        <v>0</v>
      </c>
      <c r="AE214" s="23">
        <f>IF(ConceptDemo!$C$7=Backend!$A$2,AD214,IF(AE213&lt;&gt;AD213,IF(P214&lt;=ConceptDemo!$C$19,AE213+SUM(W214:AB214)-(Q214-Q213)-AC214,0),IF(P214=ConceptDemo!$C$40,ConceptDemo!$C$39,AD214)))</f>
        <v>0</v>
      </c>
      <c r="AF214" s="23">
        <f t="shared" si="25"/>
        <v>0</v>
      </c>
      <c r="AG214" s="23">
        <f t="shared" si="26"/>
        <v>0</v>
      </c>
      <c r="AH214" s="23">
        <f t="shared" si="24"/>
        <v>0</v>
      </c>
    </row>
    <row r="215" spans="16:34" x14ac:dyDescent="0.25">
      <c r="P215" s="16" t="str">
        <f>IFERROR(IF(P214+1=ConceptDemo!$C$19+10,"",Backend!P214+1),"")</f>
        <v/>
      </c>
      <c r="Q215" s="13">
        <f>IF(OR(P215&lt;ConceptDemo!$C$17,Backend!P215&gt;ConceptDemo!$C$19),0,IF(Backend!P215&lt;=Backend!$R$12,Backend!Q214+Backend!$T$12,IF(Backend!P215&lt;=Backend!$R$13,Backend!Q214+Backend!$T$13,IF(Backend!P215&lt;=Backend!$R$14,Backend!Q214+Backend!$T$14,IF(Backend!P215&lt;=Backend!$R$15,Backend!Q214+Backend!$T$15,IF(Backend!P215&lt;=Backend!$X$16,Backend!Q214+Backend!$Z$16))))))</f>
        <v>0</v>
      </c>
      <c r="R215" s="24" t="str">
        <f>IF(1&lt;=ConceptDemo!$K$41,IF(P215=$W$12,ConceptDemo!$K$39,""),"")</f>
        <v/>
      </c>
      <c r="S215" s="24" t="str">
        <f>IF(2&lt;=ConceptDemo!$K$41,IF(P215=$W$13,ConceptDemo!$K$39,""),"")</f>
        <v/>
      </c>
      <c r="T215" s="24" t="str">
        <f>IF(3&lt;=ConceptDemo!$K$41,IF(P215=$W$14,ConceptDemo!$K$39,""),"")</f>
        <v/>
      </c>
      <c r="U215" s="24" t="str">
        <f>IF(4&lt;=ConceptDemo!$K$41,IF(P215=$W$15,ConceptDemo!$K$39,""),"")</f>
        <v/>
      </c>
      <c r="W215" s="23">
        <f>IF($P215&lt;ConceptDemo!$C$17+$E$24-10,$G$27,0)</f>
        <v>0</v>
      </c>
      <c r="X215" s="23">
        <f>IF($P215&lt;ConceptDemo!$C$17+$E$24-10,$H$27,0)</f>
        <v>0</v>
      </c>
      <c r="Y215" s="13">
        <f t="shared" si="19"/>
        <v>0</v>
      </c>
      <c r="Z215" s="13">
        <f t="shared" si="20"/>
        <v>0</v>
      </c>
      <c r="AA215" s="13">
        <f t="shared" si="21"/>
        <v>0</v>
      </c>
      <c r="AB215" s="13">
        <f t="shared" si="22"/>
        <v>0</v>
      </c>
      <c r="AC215" s="23">
        <f t="shared" si="23"/>
        <v>0</v>
      </c>
      <c r="AD215" s="23">
        <f>IF(P215&lt;=ConceptDemo!$C$19,AD214+SUM(W215:AB215)-(Q215-Q214)-AC215,0)</f>
        <v>0</v>
      </c>
      <c r="AE215" s="23">
        <f>IF(ConceptDemo!$C$7=Backend!$A$2,AD215,IF(AE214&lt;&gt;AD214,IF(P215&lt;=ConceptDemo!$C$19,AE214+SUM(W215:AB215)-(Q215-Q214)-AC215,0),IF(P215=ConceptDemo!$C$40,ConceptDemo!$C$39,AD215)))</f>
        <v>0</v>
      </c>
      <c r="AF215" s="23">
        <f t="shared" si="25"/>
        <v>0</v>
      </c>
      <c r="AG215" s="23">
        <f t="shared" si="26"/>
        <v>0</v>
      </c>
      <c r="AH215" s="23">
        <f t="shared" si="24"/>
        <v>0</v>
      </c>
    </row>
    <row r="216" spans="16:34" x14ac:dyDescent="0.25">
      <c r="P216" s="16" t="str">
        <f>IFERROR(IF(P215+1=ConceptDemo!$C$19+10,"",Backend!P215+1),"")</f>
        <v/>
      </c>
      <c r="Q216" s="13">
        <f>IF(OR(P216&lt;ConceptDemo!$C$17,Backend!P216&gt;ConceptDemo!$C$19),0,IF(Backend!P216&lt;=Backend!$R$12,Backend!Q215+Backend!$T$12,IF(Backend!P216&lt;=Backend!$R$13,Backend!Q215+Backend!$T$13,IF(Backend!P216&lt;=Backend!$R$14,Backend!Q215+Backend!$T$14,IF(Backend!P216&lt;=Backend!$R$15,Backend!Q215+Backend!$T$15,IF(Backend!P216&lt;=Backend!$X$16,Backend!Q215+Backend!$Z$16))))))</f>
        <v>0</v>
      </c>
      <c r="R216" s="24" t="str">
        <f>IF(1&lt;=ConceptDemo!$K$41,IF(P216=$W$12,ConceptDemo!$K$39,""),"")</f>
        <v/>
      </c>
      <c r="S216" s="24" t="str">
        <f>IF(2&lt;=ConceptDemo!$K$41,IF(P216=$W$13,ConceptDemo!$K$39,""),"")</f>
        <v/>
      </c>
      <c r="T216" s="24" t="str">
        <f>IF(3&lt;=ConceptDemo!$K$41,IF(P216=$W$14,ConceptDemo!$K$39,""),"")</f>
        <v/>
      </c>
      <c r="U216" s="24" t="str">
        <f>IF(4&lt;=ConceptDemo!$K$41,IF(P216=$W$15,ConceptDemo!$K$39,""),"")</f>
        <v/>
      </c>
      <c r="W216" s="23">
        <f>IF($P216&lt;ConceptDemo!$C$17+$E$24-10,$G$27,0)</f>
        <v>0</v>
      </c>
      <c r="X216" s="23">
        <f>IF($P216&lt;ConceptDemo!$C$17+$E$24-10,$H$27,0)</f>
        <v>0</v>
      </c>
      <c r="Y216" s="13">
        <f t="shared" si="19"/>
        <v>0</v>
      </c>
      <c r="Z216" s="13">
        <f t="shared" si="20"/>
        <v>0</v>
      </c>
      <c r="AA216" s="13">
        <f t="shared" si="21"/>
        <v>0</v>
      </c>
      <c r="AB216" s="13">
        <f t="shared" si="22"/>
        <v>0</v>
      </c>
      <c r="AC216" s="23">
        <f t="shared" si="23"/>
        <v>0</v>
      </c>
      <c r="AD216" s="23">
        <f>IF(P216&lt;=ConceptDemo!$C$19,AD215+SUM(W216:AB216)-(Q216-Q215)-AC216,0)</f>
        <v>0</v>
      </c>
      <c r="AE216" s="23">
        <f>IF(ConceptDemo!$C$7=Backend!$A$2,AD216,IF(AE215&lt;&gt;AD215,IF(P216&lt;=ConceptDemo!$C$19,AE215+SUM(W216:AB216)-(Q216-Q215)-AC216,0),IF(P216=ConceptDemo!$C$40,ConceptDemo!$C$39,AD216)))</f>
        <v>0</v>
      </c>
      <c r="AF216" s="23">
        <f t="shared" si="25"/>
        <v>0</v>
      </c>
      <c r="AG216" s="23">
        <f t="shared" si="26"/>
        <v>0</v>
      </c>
      <c r="AH216" s="23">
        <f t="shared" si="24"/>
        <v>0</v>
      </c>
    </row>
    <row r="217" spans="16:34" x14ac:dyDescent="0.25">
      <c r="P217" s="16" t="str">
        <f>IFERROR(IF(P216+1=ConceptDemo!$C$19+10,"",Backend!P216+1),"")</f>
        <v/>
      </c>
      <c r="Q217" s="13">
        <f>IF(OR(P217&lt;ConceptDemo!$C$17,Backend!P217&gt;ConceptDemo!$C$19),0,IF(Backend!P217&lt;=Backend!$R$12,Backend!Q216+Backend!$T$12,IF(Backend!P217&lt;=Backend!$R$13,Backend!Q216+Backend!$T$13,IF(Backend!P217&lt;=Backend!$R$14,Backend!Q216+Backend!$T$14,IF(Backend!P217&lt;=Backend!$R$15,Backend!Q216+Backend!$T$15,IF(Backend!P217&lt;=Backend!$X$16,Backend!Q216+Backend!$Z$16))))))</f>
        <v>0</v>
      </c>
      <c r="R217" s="24" t="str">
        <f>IF(1&lt;=ConceptDemo!$K$41,IF(P217=$W$12,ConceptDemo!$K$39,""),"")</f>
        <v/>
      </c>
      <c r="S217" s="24" t="str">
        <f>IF(2&lt;=ConceptDemo!$K$41,IF(P217=$W$13,ConceptDemo!$K$39,""),"")</f>
        <v/>
      </c>
      <c r="T217" s="24" t="str">
        <f>IF(3&lt;=ConceptDemo!$K$41,IF(P217=$W$14,ConceptDemo!$K$39,""),"")</f>
        <v/>
      </c>
      <c r="U217" s="24" t="str">
        <f>IF(4&lt;=ConceptDemo!$K$41,IF(P217=$W$15,ConceptDemo!$K$39,""),"")</f>
        <v/>
      </c>
      <c r="W217" s="23">
        <f>IF($P217&lt;ConceptDemo!$C$17+$E$24-10,$G$27,0)</f>
        <v>0</v>
      </c>
      <c r="X217" s="23">
        <f>IF($P217&lt;ConceptDemo!$C$17+$E$24-10,$H$27,0)</f>
        <v>0</v>
      </c>
      <c r="Y217" s="13">
        <f t="shared" si="19"/>
        <v>0</v>
      </c>
      <c r="Z217" s="13">
        <f t="shared" si="20"/>
        <v>0</v>
      </c>
      <c r="AA217" s="13">
        <f t="shared" si="21"/>
        <v>0</v>
      </c>
      <c r="AB217" s="13">
        <f t="shared" si="22"/>
        <v>0</v>
      </c>
      <c r="AC217" s="23">
        <f t="shared" si="23"/>
        <v>0</v>
      </c>
      <c r="AD217" s="23">
        <f>IF(P217&lt;=ConceptDemo!$C$19,AD216+SUM(W217:AB217)-(Q217-Q216)-AC217,0)</f>
        <v>0</v>
      </c>
      <c r="AE217" s="23">
        <f>IF(ConceptDemo!$C$7=Backend!$A$2,AD217,IF(AE216&lt;&gt;AD216,IF(P217&lt;=ConceptDemo!$C$19,AE216+SUM(W217:AB217)-(Q217-Q216)-AC217,0),IF(P217=ConceptDemo!$C$40,ConceptDemo!$C$39,AD217)))</f>
        <v>0</v>
      </c>
      <c r="AF217" s="23">
        <f t="shared" si="25"/>
        <v>0</v>
      </c>
      <c r="AG217" s="23">
        <f t="shared" si="26"/>
        <v>0</v>
      </c>
      <c r="AH217" s="23">
        <f t="shared" si="24"/>
        <v>0</v>
      </c>
    </row>
    <row r="218" spans="16:34" x14ac:dyDescent="0.25">
      <c r="P218" s="16" t="str">
        <f>IFERROR(IF(P217+1=ConceptDemo!$C$19+10,"",Backend!P217+1),"")</f>
        <v/>
      </c>
      <c r="Q218" s="13">
        <f>IF(OR(P218&lt;ConceptDemo!$C$17,Backend!P218&gt;ConceptDemo!$C$19),0,IF(Backend!P218&lt;=Backend!$R$12,Backend!Q217+Backend!$T$12,IF(Backend!P218&lt;=Backend!$R$13,Backend!Q217+Backend!$T$13,IF(Backend!P218&lt;=Backend!$R$14,Backend!Q217+Backend!$T$14,IF(Backend!P218&lt;=Backend!$R$15,Backend!Q217+Backend!$T$15,IF(Backend!P218&lt;=Backend!$X$16,Backend!Q217+Backend!$Z$16))))))</f>
        <v>0</v>
      </c>
      <c r="R218" s="24" t="str">
        <f>IF(1&lt;=ConceptDemo!$K$41,IF(P218=$W$12,ConceptDemo!$K$39,""),"")</f>
        <v/>
      </c>
      <c r="S218" s="24" t="str">
        <f>IF(2&lt;=ConceptDemo!$K$41,IF(P218=$W$13,ConceptDemo!$K$39,""),"")</f>
        <v/>
      </c>
      <c r="T218" s="24" t="str">
        <f>IF(3&lt;=ConceptDemo!$K$41,IF(P218=$W$14,ConceptDemo!$K$39,""),"")</f>
        <v/>
      </c>
      <c r="U218" s="24" t="str">
        <f>IF(4&lt;=ConceptDemo!$K$41,IF(P218=$W$15,ConceptDemo!$K$39,""),"")</f>
        <v/>
      </c>
      <c r="W218" s="23">
        <f>IF($P218&lt;ConceptDemo!$C$17+$E$24-10,$G$27,0)</f>
        <v>0</v>
      </c>
      <c r="X218" s="23">
        <f>IF($P218&lt;ConceptDemo!$C$17+$E$24-10,$H$27,0)</f>
        <v>0</v>
      </c>
      <c r="Y218" s="13">
        <f t="shared" si="19"/>
        <v>0</v>
      </c>
      <c r="Z218" s="13">
        <f t="shared" si="20"/>
        <v>0</v>
      </c>
      <c r="AA218" s="13">
        <f t="shared" si="21"/>
        <v>0</v>
      </c>
      <c r="AB218" s="13">
        <f t="shared" si="22"/>
        <v>0</v>
      </c>
      <c r="AC218" s="23">
        <f t="shared" si="23"/>
        <v>0</v>
      </c>
      <c r="AD218" s="23">
        <f>IF(P218&lt;=ConceptDemo!$C$19,AD217+SUM(W218:AB218)-(Q218-Q217)-AC218,0)</f>
        <v>0</v>
      </c>
      <c r="AE218" s="23">
        <f>IF(ConceptDemo!$C$7=Backend!$A$2,AD218,IF(AE217&lt;&gt;AD217,IF(P218&lt;=ConceptDemo!$C$19,AE217+SUM(W218:AB218)-(Q218-Q217)-AC218,0),IF(P218=ConceptDemo!$C$40,ConceptDemo!$C$39,AD218)))</f>
        <v>0</v>
      </c>
      <c r="AF218" s="23">
        <f t="shared" si="25"/>
        <v>0</v>
      </c>
      <c r="AG218" s="23">
        <f t="shared" si="26"/>
        <v>0</v>
      </c>
      <c r="AH218" s="23">
        <f t="shared" si="24"/>
        <v>0</v>
      </c>
    </row>
    <row r="219" spans="16:34" x14ac:dyDescent="0.25">
      <c r="P219" s="16" t="str">
        <f>IFERROR(IF(P218+1=ConceptDemo!$C$19+10,"",Backend!P218+1),"")</f>
        <v/>
      </c>
      <c r="Q219" s="13">
        <f>IF(OR(P219&lt;ConceptDemo!$C$17,Backend!P219&gt;ConceptDemo!$C$19),0,IF(Backend!P219&lt;=Backend!$R$12,Backend!Q218+Backend!$T$12,IF(Backend!P219&lt;=Backend!$R$13,Backend!Q218+Backend!$T$13,IF(Backend!P219&lt;=Backend!$R$14,Backend!Q218+Backend!$T$14,IF(Backend!P219&lt;=Backend!$R$15,Backend!Q218+Backend!$T$15,IF(Backend!P219&lt;=Backend!$X$16,Backend!Q218+Backend!$Z$16))))))</f>
        <v>0</v>
      </c>
      <c r="R219" s="24" t="str">
        <f>IF(1&lt;=ConceptDemo!$K$41,IF(P219=$W$12,ConceptDemo!$K$39,""),"")</f>
        <v/>
      </c>
      <c r="S219" s="24" t="str">
        <f>IF(2&lt;=ConceptDemo!$K$41,IF(P219=$W$13,ConceptDemo!$K$39,""),"")</f>
        <v/>
      </c>
      <c r="T219" s="24" t="str">
        <f>IF(3&lt;=ConceptDemo!$K$41,IF(P219=$W$14,ConceptDemo!$K$39,""),"")</f>
        <v/>
      </c>
      <c r="U219" s="24" t="str">
        <f>IF(4&lt;=ConceptDemo!$K$41,IF(P219=$W$15,ConceptDemo!$K$39,""),"")</f>
        <v/>
      </c>
      <c r="W219" s="23">
        <f>IF($P219&lt;ConceptDemo!$C$17+$E$24-10,$G$27,0)</f>
        <v>0</v>
      </c>
      <c r="X219" s="23">
        <f>IF($P219&lt;ConceptDemo!$C$17+$E$24-10,$H$27,0)</f>
        <v>0</v>
      </c>
      <c r="Y219" s="13">
        <f t="shared" ref="Y219:Y251" si="27">IFERROR(IF(AND($P219&gt;=$W$12,$P219&lt;$W$12+$I$25),$I$27,0),0)</f>
        <v>0</v>
      </c>
      <c r="Z219" s="13">
        <f t="shared" ref="Z219:Z251" si="28">IFERROR(IF(AND($P219&gt;=$W$13,$P219&lt;$W$13+$I$25),$I$27,0),0)</f>
        <v>0</v>
      </c>
      <c r="AA219" s="13">
        <f t="shared" ref="AA219:AA251" si="29">IFERROR(IF(AND($P219&gt;=$W$14,$P219&lt;$W$14+$I$25),$I$27,0),0)</f>
        <v>0</v>
      </c>
      <c r="AB219" s="13">
        <f t="shared" ref="AB219:AB251" si="30">IFERROR(IF(AND($P219&gt;=$W$15,$P219&lt;$W$15+$I$25),$I$27,0),0)</f>
        <v>0</v>
      </c>
      <c r="AC219" s="23">
        <f t="shared" ref="AC219:AC251" si="31">IF(Q219&gt;0,$J$27,0)</f>
        <v>0</v>
      </c>
      <c r="AD219" s="23">
        <f>IF(P219&lt;=ConceptDemo!$C$19,AD218+SUM(W219:AB219)-(Q219-Q218)-AC219,0)</f>
        <v>0</v>
      </c>
      <c r="AE219" s="23">
        <f>IF(ConceptDemo!$C$7=Backend!$A$2,AD219,IF(AE218&lt;&gt;AD218,IF(P219&lt;=ConceptDemo!$C$19,AE218+SUM(W219:AB219)-(Q219-Q218)-AC219,0),IF(P219=ConceptDemo!$C$40,ConceptDemo!$C$39,AD219)))</f>
        <v>0</v>
      </c>
      <c r="AF219" s="23">
        <f t="shared" si="25"/>
        <v>0</v>
      </c>
      <c r="AG219" s="23">
        <f t="shared" si="26"/>
        <v>0</v>
      </c>
      <c r="AH219" s="23">
        <f t="shared" ref="AH219:AH251" si="32">AG219-AF219</f>
        <v>0</v>
      </c>
    </row>
    <row r="220" spans="16:34" x14ac:dyDescent="0.25">
      <c r="P220" s="16" t="str">
        <f>IFERROR(IF(P219+1=ConceptDemo!$C$19+10,"",Backend!P219+1),"")</f>
        <v/>
      </c>
      <c r="Q220" s="13">
        <f>IF(OR(P220&lt;ConceptDemo!$C$17,Backend!P220&gt;ConceptDemo!$C$19),0,IF(Backend!P220&lt;=Backend!$R$12,Backend!Q219+Backend!$T$12,IF(Backend!P220&lt;=Backend!$R$13,Backend!Q219+Backend!$T$13,IF(Backend!P220&lt;=Backend!$R$14,Backend!Q219+Backend!$T$14,IF(Backend!P220&lt;=Backend!$R$15,Backend!Q219+Backend!$T$15,IF(Backend!P220&lt;=Backend!$X$16,Backend!Q219+Backend!$Z$16))))))</f>
        <v>0</v>
      </c>
      <c r="R220" s="24" t="str">
        <f>IF(1&lt;=ConceptDemo!$K$41,IF(P220=$W$12,ConceptDemo!$K$39,""),"")</f>
        <v/>
      </c>
      <c r="S220" s="24" t="str">
        <f>IF(2&lt;=ConceptDemo!$K$41,IF(P220=$W$13,ConceptDemo!$K$39,""),"")</f>
        <v/>
      </c>
      <c r="T220" s="24" t="str">
        <f>IF(3&lt;=ConceptDemo!$K$41,IF(P220=$W$14,ConceptDemo!$K$39,""),"")</f>
        <v/>
      </c>
      <c r="U220" s="24" t="str">
        <f>IF(4&lt;=ConceptDemo!$K$41,IF(P220=$W$15,ConceptDemo!$K$39,""),"")</f>
        <v/>
      </c>
      <c r="W220" s="23">
        <f>IF($P220&lt;ConceptDemo!$C$17+$E$24-10,$G$27,0)</f>
        <v>0</v>
      </c>
      <c r="X220" s="23">
        <f>IF($P220&lt;ConceptDemo!$C$17+$E$24-10,$H$27,0)</f>
        <v>0</v>
      </c>
      <c r="Y220" s="13">
        <f t="shared" si="27"/>
        <v>0</v>
      </c>
      <c r="Z220" s="13">
        <f t="shared" si="28"/>
        <v>0</v>
      </c>
      <c r="AA220" s="13">
        <f t="shared" si="29"/>
        <v>0</v>
      </c>
      <c r="AB220" s="13">
        <f t="shared" si="30"/>
        <v>0</v>
      </c>
      <c r="AC220" s="23">
        <f t="shared" si="31"/>
        <v>0</v>
      </c>
      <c r="AD220" s="23">
        <f>IF(P220&lt;=ConceptDemo!$C$19,AD219+SUM(W220:AB220)-(Q220-Q219)-AC220,0)</f>
        <v>0</v>
      </c>
      <c r="AE220" s="23">
        <f>IF(ConceptDemo!$C$7=Backend!$A$2,AD220,IF(AE219&lt;&gt;AD219,IF(P220&lt;=ConceptDemo!$C$19,AE219+SUM(W220:AB220)-(Q220-Q219)-AC220,0),IF(P220=ConceptDemo!$C$40,ConceptDemo!$C$39,AD220)))</f>
        <v>0</v>
      </c>
      <c r="AF220" s="23">
        <f t="shared" ref="AF220:AF251" si="33">IF(AE220=0,0,IF(AE220-(AE220*($AF$22+0.1%))&gt;=AE220-(AE220*$AG$22),AE220-(AE220*$AG$22),AE220-(AE220*($AF$22+0.1%))))</f>
        <v>0</v>
      </c>
      <c r="AG220" s="23">
        <f t="shared" ref="AG220:AG251" si="34">IF(AE220=0,0,IF(AE220+(AE220*($AF$22+0.1%))&gt;=AE220+(AE220*$AG$22),AE220+(AE220*$AG$22),AE220+(AE220*($AF$22+0.1%))))</f>
        <v>0</v>
      </c>
      <c r="AH220" s="23">
        <f t="shared" si="32"/>
        <v>0</v>
      </c>
    </row>
    <row r="221" spans="16:34" x14ac:dyDescent="0.25">
      <c r="P221" s="16" t="str">
        <f>IFERROR(IF(P220+1=ConceptDemo!$C$19+10,"",Backend!P220+1),"")</f>
        <v/>
      </c>
      <c r="Q221" s="13">
        <f>IF(OR(P221&lt;ConceptDemo!$C$17,Backend!P221&gt;ConceptDemo!$C$19),0,IF(Backend!P221&lt;=Backend!$R$12,Backend!Q220+Backend!$T$12,IF(Backend!P221&lt;=Backend!$R$13,Backend!Q220+Backend!$T$13,IF(Backend!P221&lt;=Backend!$R$14,Backend!Q220+Backend!$T$14,IF(Backend!P221&lt;=Backend!$R$15,Backend!Q220+Backend!$T$15,IF(Backend!P221&lt;=Backend!$X$16,Backend!Q220+Backend!$Z$16))))))</f>
        <v>0</v>
      </c>
      <c r="R221" s="24" t="str">
        <f>IF(1&lt;=ConceptDemo!$K$41,IF(P221=$W$12,ConceptDemo!$K$39,""),"")</f>
        <v/>
      </c>
      <c r="S221" s="24" t="str">
        <f>IF(2&lt;=ConceptDemo!$K$41,IF(P221=$W$13,ConceptDemo!$K$39,""),"")</f>
        <v/>
      </c>
      <c r="T221" s="24" t="str">
        <f>IF(3&lt;=ConceptDemo!$K$41,IF(P221=$W$14,ConceptDemo!$K$39,""),"")</f>
        <v/>
      </c>
      <c r="U221" s="24" t="str">
        <f>IF(4&lt;=ConceptDemo!$K$41,IF(P221=$W$15,ConceptDemo!$K$39,""),"")</f>
        <v/>
      </c>
      <c r="W221" s="23">
        <f>IF($P221&lt;ConceptDemo!$C$17+$E$24-10,$G$27,0)</f>
        <v>0</v>
      </c>
      <c r="X221" s="23">
        <f>IF($P221&lt;ConceptDemo!$C$17+$E$24-10,$H$27,0)</f>
        <v>0</v>
      </c>
      <c r="Y221" s="13">
        <f t="shared" si="27"/>
        <v>0</v>
      </c>
      <c r="Z221" s="13">
        <f t="shared" si="28"/>
        <v>0</v>
      </c>
      <c r="AA221" s="13">
        <f t="shared" si="29"/>
        <v>0</v>
      </c>
      <c r="AB221" s="13">
        <f t="shared" si="30"/>
        <v>0</v>
      </c>
      <c r="AC221" s="23">
        <f t="shared" si="31"/>
        <v>0</v>
      </c>
      <c r="AD221" s="23">
        <f>IF(P221&lt;=ConceptDemo!$C$19,AD220+SUM(W221:AB221)-(Q221-Q220)-AC221,0)</f>
        <v>0</v>
      </c>
      <c r="AE221" s="23">
        <f>IF(ConceptDemo!$C$7=Backend!$A$2,AD221,IF(AE220&lt;&gt;AD220,IF(P221&lt;=ConceptDemo!$C$19,AE220+SUM(W221:AB221)-(Q221-Q220)-AC221,0),IF(P221=ConceptDemo!$C$40,ConceptDemo!$C$39,AD221)))</f>
        <v>0</v>
      </c>
      <c r="AF221" s="23">
        <f t="shared" si="33"/>
        <v>0</v>
      </c>
      <c r="AG221" s="23">
        <f t="shared" si="34"/>
        <v>0</v>
      </c>
      <c r="AH221" s="23">
        <f t="shared" si="32"/>
        <v>0</v>
      </c>
    </row>
    <row r="222" spans="16:34" x14ac:dyDescent="0.25">
      <c r="P222" s="16" t="str">
        <f>IFERROR(IF(P221+1=ConceptDemo!$C$19+10,"",Backend!P221+1),"")</f>
        <v/>
      </c>
      <c r="Q222" s="13">
        <f>IF(OR(P222&lt;ConceptDemo!$C$17,Backend!P222&gt;ConceptDemo!$C$19),0,IF(Backend!P222&lt;=Backend!$R$12,Backend!Q221+Backend!$T$12,IF(Backend!P222&lt;=Backend!$R$13,Backend!Q221+Backend!$T$13,IF(Backend!P222&lt;=Backend!$R$14,Backend!Q221+Backend!$T$14,IF(Backend!P222&lt;=Backend!$R$15,Backend!Q221+Backend!$T$15,IF(Backend!P222&lt;=Backend!$X$16,Backend!Q221+Backend!$Z$16))))))</f>
        <v>0</v>
      </c>
      <c r="R222" s="24" t="str">
        <f>IF(1&lt;=ConceptDemo!$K$41,IF(P222=$W$12,ConceptDemo!$K$39,""),"")</f>
        <v/>
      </c>
      <c r="S222" s="24" t="str">
        <f>IF(2&lt;=ConceptDemo!$K$41,IF(P222=$W$13,ConceptDemo!$K$39,""),"")</f>
        <v/>
      </c>
      <c r="T222" s="24" t="str">
        <f>IF(3&lt;=ConceptDemo!$K$41,IF(P222=$W$14,ConceptDemo!$K$39,""),"")</f>
        <v/>
      </c>
      <c r="U222" s="24" t="str">
        <f>IF(4&lt;=ConceptDemo!$K$41,IF(P222=$W$15,ConceptDemo!$K$39,""),"")</f>
        <v/>
      </c>
      <c r="W222" s="23">
        <f>IF($P222&lt;ConceptDemo!$C$17+$E$24-10,$G$27,0)</f>
        <v>0</v>
      </c>
      <c r="X222" s="23">
        <f>IF($P222&lt;ConceptDemo!$C$17+$E$24-10,$H$27,0)</f>
        <v>0</v>
      </c>
      <c r="Y222" s="13">
        <f t="shared" si="27"/>
        <v>0</v>
      </c>
      <c r="Z222" s="13">
        <f t="shared" si="28"/>
        <v>0</v>
      </c>
      <c r="AA222" s="13">
        <f t="shared" si="29"/>
        <v>0</v>
      </c>
      <c r="AB222" s="13">
        <f t="shared" si="30"/>
        <v>0</v>
      </c>
      <c r="AC222" s="23">
        <f t="shared" si="31"/>
        <v>0</v>
      </c>
      <c r="AD222" s="23">
        <f>IF(P222&lt;=ConceptDemo!$C$19,AD221+SUM(W222:AB222)-(Q222-Q221)-AC222,0)</f>
        <v>0</v>
      </c>
      <c r="AE222" s="23">
        <f>IF(ConceptDemo!$C$7=Backend!$A$2,AD222,IF(AE221&lt;&gt;AD221,IF(P222&lt;=ConceptDemo!$C$19,AE221+SUM(W222:AB222)-(Q222-Q221)-AC222,0),IF(P222=ConceptDemo!$C$40,ConceptDemo!$C$39,AD222)))</f>
        <v>0</v>
      </c>
      <c r="AF222" s="23">
        <f t="shared" si="33"/>
        <v>0</v>
      </c>
      <c r="AG222" s="23">
        <f t="shared" si="34"/>
        <v>0</v>
      </c>
      <c r="AH222" s="23">
        <f t="shared" si="32"/>
        <v>0</v>
      </c>
    </row>
    <row r="223" spans="16:34" x14ac:dyDescent="0.25">
      <c r="P223" s="16" t="str">
        <f>IFERROR(IF(P222+1=ConceptDemo!$C$19+10,"",Backend!P222+1),"")</f>
        <v/>
      </c>
      <c r="Q223" s="13">
        <f>IF(OR(P223&lt;ConceptDemo!$C$17,Backend!P223&gt;ConceptDemo!$C$19),0,IF(Backend!P223&lt;=Backend!$R$12,Backend!Q222+Backend!$T$12,IF(Backend!P223&lt;=Backend!$R$13,Backend!Q222+Backend!$T$13,IF(Backend!P223&lt;=Backend!$R$14,Backend!Q222+Backend!$T$14,IF(Backend!P223&lt;=Backend!$R$15,Backend!Q222+Backend!$T$15,IF(Backend!P223&lt;=Backend!$X$16,Backend!Q222+Backend!$Z$16))))))</f>
        <v>0</v>
      </c>
      <c r="R223" s="24" t="str">
        <f>IF(1&lt;=ConceptDemo!$K$41,IF(P223=$W$12,ConceptDemo!$K$39,""),"")</f>
        <v/>
      </c>
      <c r="S223" s="24" t="str">
        <f>IF(2&lt;=ConceptDemo!$K$41,IF(P223=$W$13,ConceptDemo!$K$39,""),"")</f>
        <v/>
      </c>
      <c r="T223" s="24" t="str">
        <f>IF(3&lt;=ConceptDemo!$K$41,IF(P223=$W$14,ConceptDemo!$K$39,""),"")</f>
        <v/>
      </c>
      <c r="U223" s="24" t="str">
        <f>IF(4&lt;=ConceptDemo!$K$41,IF(P223=$W$15,ConceptDemo!$K$39,""),"")</f>
        <v/>
      </c>
      <c r="W223" s="23">
        <f>IF($P223&lt;ConceptDemo!$C$17+$E$24-10,$G$27,0)</f>
        <v>0</v>
      </c>
      <c r="X223" s="23">
        <f>IF($P223&lt;ConceptDemo!$C$17+$E$24-10,$H$27,0)</f>
        <v>0</v>
      </c>
      <c r="Y223" s="13">
        <f t="shared" si="27"/>
        <v>0</v>
      </c>
      <c r="Z223" s="13">
        <f t="shared" si="28"/>
        <v>0</v>
      </c>
      <c r="AA223" s="13">
        <f t="shared" si="29"/>
        <v>0</v>
      </c>
      <c r="AB223" s="13">
        <f t="shared" si="30"/>
        <v>0</v>
      </c>
      <c r="AC223" s="23">
        <f t="shared" si="31"/>
        <v>0</v>
      </c>
      <c r="AD223" s="23">
        <f>IF(P223&lt;=ConceptDemo!$C$19,AD222+SUM(W223:AB223)-(Q223-Q222)-AC223,0)</f>
        <v>0</v>
      </c>
      <c r="AE223" s="23">
        <f>IF(ConceptDemo!$C$7=Backend!$A$2,AD223,IF(AE222&lt;&gt;AD222,IF(P223&lt;=ConceptDemo!$C$19,AE222+SUM(W223:AB223)-(Q223-Q222)-AC223,0),IF(P223=ConceptDemo!$C$40,ConceptDemo!$C$39,AD223)))</f>
        <v>0</v>
      </c>
      <c r="AF223" s="23">
        <f t="shared" si="33"/>
        <v>0</v>
      </c>
      <c r="AG223" s="23">
        <f t="shared" si="34"/>
        <v>0</v>
      </c>
      <c r="AH223" s="23">
        <f t="shared" si="32"/>
        <v>0</v>
      </c>
    </row>
    <row r="224" spans="16:34" x14ac:dyDescent="0.25">
      <c r="P224" s="16" t="str">
        <f>IFERROR(IF(P223+1=ConceptDemo!$C$19+10,"",Backend!P223+1),"")</f>
        <v/>
      </c>
      <c r="Q224" s="13">
        <f>IF(OR(P224&lt;ConceptDemo!$C$17,Backend!P224&gt;ConceptDemo!$C$19),0,IF(Backend!P224&lt;=Backend!$R$12,Backend!Q223+Backend!$T$12,IF(Backend!P224&lt;=Backend!$R$13,Backend!Q223+Backend!$T$13,IF(Backend!P224&lt;=Backend!$R$14,Backend!Q223+Backend!$T$14,IF(Backend!P224&lt;=Backend!$R$15,Backend!Q223+Backend!$T$15,IF(Backend!P224&lt;=Backend!$X$16,Backend!Q223+Backend!$Z$16))))))</f>
        <v>0</v>
      </c>
      <c r="R224" s="24" t="str">
        <f>IF(1&lt;=ConceptDemo!$K$41,IF(P224=$W$12,ConceptDemo!$K$39,""),"")</f>
        <v/>
      </c>
      <c r="S224" s="24" t="str">
        <f>IF(2&lt;=ConceptDemo!$K$41,IF(P224=$W$13,ConceptDemo!$K$39,""),"")</f>
        <v/>
      </c>
      <c r="T224" s="24" t="str">
        <f>IF(3&lt;=ConceptDemo!$K$41,IF(P224=$W$14,ConceptDemo!$K$39,""),"")</f>
        <v/>
      </c>
      <c r="U224" s="24" t="str">
        <f>IF(4&lt;=ConceptDemo!$K$41,IF(P224=$W$15,ConceptDemo!$K$39,""),"")</f>
        <v/>
      </c>
      <c r="W224" s="23">
        <f>IF($P224&lt;ConceptDemo!$C$17+$E$24-10,$G$27,0)</f>
        <v>0</v>
      </c>
      <c r="X224" s="23">
        <f>IF($P224&lt;ConceptDemo!$C$17+$E$24-10,$H$27,0)</f>
        <v>0</v>
      </c>
      <c r="Y224" s="13">
        <f t="shared" si="27"/>
        <v>0</v>
      </c>
      <c r="Z224" s="13">
        <f t="shared" si="28"/>
        <v>0</v>
      </c>
      <c r="AA224" s="13">
        <f t="shared" si="29"/>
        <v>0</v>
      </c>
      <c r="AB224" s="13">
        <f t="shared" si="30"/>
        <v>0</v>
      </c>
      <c r="AC224" s="23">
        <f t="shared" si="31"/>
        <v>0</v>
      </c>
      <c r="AD224" s="23">
        <f>IF(P224&lt;=ConceptDemo!$C$19,AD223+SUM(W224:AB224)-(Q224-Q223)-AC224,0)</f>
        <v>0</v>
      </c>
      <c r="AE224" s="23">
        <f>IF(ConceptDemo!$C$7=Backend!$A$2,AD224,IF(AE223&lt;&gt;AD223,IF(P224&lt;=ConceptDemo!$C$19,AE223+SUM(W224:AB224)-(Q224-Q223)-AC224,0),IF(P224=ConceptDemo!$C$40,ConceptDemo!$C$39,AD224)))</f>
        <v>0</v>
      </c>
      <c r="AF224" s="23">
        <f t="shared" si="33"/>
        <v>0</v>
      </c>
      <c r="AG224" s="23">
        <f t="shared" si="34"/>
        <v>0</v>
      </c>
      <c r="AH224" s="23">
        <f t="shared" si="32"/>
        <v>0</v>
      </c>
    </row>
    <row r="225" spans="16:34" x14ac:dyDescent="0.25">
      <c r="P225" s="16" t="str">
        <f>IFERROR(IF(P224+1=ConceptDemo!$C$19+10,"",Backend!P224+1),"")</f>
        <v/>
      </c>
      <c r="Q225" s="13">
        <f>IF(OR(P225&lt;ConceptDemo!$C$17,Backend!P225&gt;ConceptDemo!$C$19),0,IF(Backend!P225&lt;=Backend!$R$12,Backend!Q224+Backend!$T$12,IF(Backend!P225&lt;=Backend!$R$13,Backend!Q224+Backend!$T$13,IF(Backend!P225&lt;=Backend!$R$14,Backend!Q224+Backend!$T$14,IF(Backend!P225&lt;=Backend!$R$15,Backend!Q224+Backend!$T$15,IF(Backend!P225&lt;=Backend!$X$16,Backend!Q224+Backend!$Z$16))))))</f>
        <v>0</v>
      </c>
      <c r="R225" s="24" t="str">
        <f>IF(1&lt;=ConceptDemo!$K$41,IF(P225=$W$12,ConceptDemo!$K$39,""),"")</f>
        <v/>
      </c>
      <c r="S225" s="24" t="str">
        <f>IF(2&lt;=ConceptDemo!$K$41,IF(P225=$W$13,ConceptDemo!$K$39,""),"")</f>
        <v/>
      </c>
      <c r="T225" s="24" t="str">
        <f>IF(3&lt;=ConceptDemo!$K$41,IF(P225=$W$14,ConceptDemo!$K$39,""),"")</f>
        <v/>
      </c>
      <c r="U225" s="24" t="str">
        <f>IF(4&lt;=ConceptDemo!$K$41,IF(P225=$W$15,ConceptDemo!$K$39,""),"")</f>
        <v/>
      </c>
      <c r="W225" s="23">
        <f>IF($P225&lt;ConceptDemo!$C$17+$E$24-10,$G$27,0)</f>
        <v>0</v>
      </c>
      <c r="X225" s="23">
        <f>IF($P225&lt;ConceptDemo!$C$17+$E$24-10,$H$27,0)</f>
        <v>0</v>
      </c>
      <c r="Y225" s="13">
        <f t="shared" si="27"/>
        <v>0</v>
      </c>
      <c r="Z225" s="13">
        <f t="shared" si="28"/>
        <v>0</v>
      </c>
      <c r="AA225" s="13">
        <f t="shared" si="29"/>
        <v>0</v>
      </c>
      <c r="AB225" s="13">
        <f t="shared" si="30"/>
        <v>0</v>
      </c>
      <c r="AC225" s="23">
        <f t="shared" si="31"/>
        <v>0</v>
      </c>
      <c r="AD225" s="23">
        <f>IF(P225&lt;=ConceptDemo!$C$19,AD224+SUM(W225:AB225)-(Q225-Q224)-AC225,0)</f>
        <v>0</v>
      </c>
      <c r="AE225" s="23">
        <f>IF(ConceptDemo!$C$7=Backend!$A$2,AD225,IF(AE224&lt;&gt;AD224,IF(P225&lt;=ConceptDemo!$C$19,AE224+SUM(W225:AB225)-(Q225-Q224)-AC225,0),IF(P225=ConceptDemo!$C$40,ConceptDemo!$C$39,AD225)))</f>
        <v>0</v>
      </c>
      <c r="AF225" s="23">
        <f t="shared" si="33"/>
        <v>0</v>
      </c>
      <c r="AG225" s="23">
        <f t="shared" si="34"/>
        <v>0</v>
      </c>
      <c r="AH225" s="23">
        <f t="shared" si="32"/>
        <v>0</v>
      </c>
    </row>
    <row r="226" spans="16:34" x14ac:dyDescent="0.25">
      <c r="P226" s="16" t="str">
        <f>IFERROR(IF(P225+1=ConceptDemo!$C$19+10,"",Backend!P225+1),"")</f>
        <v/>
      </c>
      <c r="Q226" s="13">
        <f>IF(OR(P226&lt;ConceptDemo!$C$17,Backend!P226&gt;ConceptDemo!$C$19),0,IF(Backend!P226&lt;=Backend!$R$12,Backend!Q225+Backend!$T$12,IF(Backend!P226&lt;=Backend!$R$13,Backend!Q225+Backend!$T$13,IF(Backend!P226&lt;=Backend!$R$14,Backend!Q225+Backend!$T$14,IF(Backend!P226&lt;=Backend!$R$15,Backend!Q225+Backend!$T$15,IF(Backend!P226&lt;=Backend!$X$16,Backend!Q225+Backend!$Z$16))))))</f>
        <v>0</v>
      </c>
      <c r="R226" s="24" t="str">
        <f>IF(1&lt;=ConceptDemo!$K$41,IF(P226=$W$12,ConceptDemo!$K$39,""),"")</f>
        <v/>
      </c>
      <c r="S226" s="24" t="str">
        <f>IF(2&lt;=ConceptDemo!$K$41,IF(P226=$W$13,ConceptDemo!$K$39,""),"")</f>
        <v/>
      </c>
      <c r="T226" s="24" t="str">
        <f>IF(3&lt;=ConceptDemo!$K$41,IF(P226=$W$14,ConceptDemo!$K$39,""),"")</f>
        <v/>
      </c>
      <c r="U226" s="24" t="str">
        <f>IF(4&lt;=ConceptDemo!$K$41,IF(P226=$W$15,ConceptDemo!$K$39,""),"")</f>
        <v/>
      </c>
      <c r="W226" s="23">
        <f>IF($P226&lt;ConceptDemo!$C$17+$E$24-10,$G$27,0)</f>
        <v>0</v>
      </c>
      <c r="X226" s="23">
        <f>IF($P226&lt;ConceptDemo!$C$17+$E$24-10,$H$27,0)</f>
        <v>0</v>
      </c>
      <c r="Y226" s="13">
        <f t="shared" si="27"/>
        <v>0</v>
      </c>
      <c r="Z226" s="13">
        <f t="shared" si="28"/>
        <v>0</v>
      </c>
      <c r="AA226" s="13">
        <f t="shared" si="29"/>
        <v>0</v>
      </c>
      <c r="AB226" s="13">
        <f t="shared" si="30"/>
        <v>0</v>
      </c>
      <c r="AC226" s="23">
        <f t="shared" si="31"/>
        <v>0</v>
      </c>
      <c r="AD226" s="23">
        <f>IF(P226&lt;=ConceptDemo!$C$19,AD225+SUM(W226:AB226)-(Q226-Q225)-AC226,0)</f>
        <v>0</v>
      </c>
      <c r="AE226" s="23">
        <f>IF(ConceptDemo!$C$7=Backend!$A$2,AD226,IF(AE225&lt;&gt;AD225,IF(P226&lt;=ConceptDemo!$C$19,AE225+SUM(W226:AB226)-(Q226-Q225)-AC226,0),IF(P226=ConceptDemo!$C$40,ConceptDemo!$C$39,AD226)))</f>
        <v>0</v>
      </c>
      <c r="AF226" s="23">
        <f t="shared" si="33"/>
        <v>0</v>
      </c>
      <c r="AG226" s="23">
        <f t="shared" si="34"/>
        <v>0</v>
      </c>
      <c r="AH226" s="23">
        <f t="shared" si="32"/>
        <v>0</v>
      </c>
    </row>
    <row r="227" spans="16:34" x14ac:dyDescent="0.25">
      <c r="P227" s="16" t="str">
        <f>IFERROR(IF(P226+1=ConceptDemo!$C$19+10,"",Backend!P226+1),"")</f>
        <v/>
      </c>
      <c r="Q227" s="13">
        <f>IF(OR(P227&lt;ConceptDemo!$C$17,Backend!P227&gt;ConceptDemo!$C$19),0,IF(Backend!P227&lt;=Backend!$R$12,Backend!Q226+Backend!$T$12,IF(Backend!P227&lt;=Backend!$R$13,Backend!Q226+Backend!$T$13,IF(Backend!P227&lt;=Backend!$R$14,Backend!Q226+Backend!$T$14,IF(Backend!P227&lt;=Backend!$R$15,Backend!Q226+Backend!$T$15,IF(Backend!P227&lt;=Backend!$X$16,Backend!Q226+Backend!$Z$16))))))</f>
        <v>0</v>
      </c>
      <c r="R227" s="24" t="str">
        <f>IF(1&lt;=ConceptDemo!$K$41,IF(P227=$W$12,ConceptDemo!$K$39,""),"")</f>
        <v/>
      </c>
      <c r="S227" s="24" t="str">
        <f>IF(2&lt;=ConceptDemo!$K$41,IF(P227=$W$13,ConceptDemo!$K$39,""),"")</f>
        <v/>
      </c>
      <c r="T227" s="24" t="str">
        <f>IF(3&lt;=ConceptDemo!$K$41,IF(P227=$W$14,ConceptDemo!$K$39,""),"")</f>
        <v/>
      </c>
      <c r="U227" s="24" t="str">
        <f>IF(4&lt;=ConceptDemo!$K$41,IF(P227=$W$15,ConceptDemo!$K$39,""),"")</f>
        <v/>
      </c>
      <c r="W227" s="23">
        <f>IF($P227&lt;ConceptDemo!$C$17+$E$24-10,$G$27,0)</f>
        <v>0</v>
      </c>
      <c r="X227" s="23">
        <f>IF($P227&lt;ConceptDemo!$C$17+$E$24-10,$H$27,0)</f>
        <v>0</v>
      </c>
      <c r="Y227" s="13">
        <f t="shared" si="27"/>
        <v>0</v>
      </c>
      <c r="Z227" s="13">
        <f t="shared" si="28"/>
        <v>0</v>
      </c>
      <c r="AA227" s="13">
        <f t="shared" si="29"/>
        <v>0</v>
      </c>
      <c r="AB227" s="13">
        <f t="shared" si="30"/>
        <v>0</v>
      </c>
      <c r="AC227" s="23">
        <f t="shared" si="31"/>
        <v>0</v>
      </c>
      <c r="AD227" s="23">
        <f>IF(P227&lt;=ConceptDemo!$C$19,AD226+SUM(W227:AB227)-(Q227-Q226)-AC227,0)</f>
        <v>0</v>
      </c>
      <c r="AE227" s="23">
        <f>IF(ConceptDemo!$C$7=Backend!$A$2,AD227,IF(AE226&lt;&gt;AD226,IF(P227&lt;=ConceptDemo!$C$19,AE226+SUM(W227:AB227)-(Q227-Q226)-AC227,0),IF(P227=ConceptDemo!$C$40,ConceptDemo!$C$39,AD227)))</f>
        <v>0</v>
      </c>
      <c r="AF227" s="23">
        <f t="shared" si="33"/>
        <v>0</v>
      </c>
      <c r="AG227" s="23">
        <f t="shared" si="34"/>
        <v>0</v>
      </c>
      <c r="AH227" s="23">
        <f t="shared" si="32"/>
        <v>0</v>
      </c>
    </row>
    <row r="228" spans="16:34" x14ac:dyDescent="0.25">
      <c r="P228" s="16" t="str">
        <f>IFERROR(IF(P227+1=ConceptDemo!$C$19+10,"",Backend!P227+1),"")</f>
        <v/>
      </c>
      <c r="Q228" s="13">
        <f>IF(OR(P228&lt;ConceptDemo!$C$17,Backend!P228&gt;ConceptDemo!$C$19),0,IF(Backend!P228&lt;=Backend!$R$12,Backend!Q227+Backend!$T$12,IF(Backend!P228&lt;=Backend!$R$13,Backend!Q227+Backend!$T$13,IF(Backend!P228&lt;=Backend!$R$14,Backend!Q227+Backend!$T$14,IF(Backend!P228&lt;=Backend!$R$15,Backend!Q227+Backend!$T$15,IF(Backend!P228&lt;=Backend!$X$16,Backend!Q227+Backend!$Z$16))))))</f>
        <v>0</v>
      </c>
      <c r="R228" s="24" t="str">
        <f>IF(1&lt;=ConceptDemo!$K$41,IF(P228=$W$12,ConceptDemo!$K$39,""),"")</f>
        <v/>
      </c>
      <c r="S228" s="24" t="str">
        <f>IF(2&lt;=ConceptDemo!$K$41,IF(P228=$W$13,ConceptDemo!$K$39,""),"")</f>
        <v/>
      </c>
      <c r="T228" s="24" t="str">
        <f>IF(3&lt;=ConceptDemo!$K$41,IF(P228=$W$14,ConceptDemo!$K$39,""),"")</f>
        <v/>
      </c>
      <c r="U228" s="24" t="str">
        <f>IF(4&lt;=ConceptDemo!$K$41,IF(P228=$W$15,ConceptDemo!$K$39,""),"")</f>
        <v/>
      </c>
      <c r="W228" s="23">
        <f>IF($P228&lt;ConceptDemo!$C$17+$E$24-10,$G$27,0)</f>
        <v>0</v>
      </c>
      <c r="X228" s="23">
        <f>IF($P228&lt;ConceptDemo!$C$17+$E$24-10,$H$27,0)</f>
        <v>0</v>
      </c>
      <c r="Y228" s="13">
        <f t="shared" si="27"/>
        <v>0</v>
      </c>
      <c r="Z228" s="13">
        <f t="shared" si="28"/>
        <v>0</v>
      </c>
      <c r="AA228" s="13">
        <f t="shared" si="29"/>
        <v>0</v>
      </c>
      <c r="AB228" s="13">
        <f t="shared" si="30"/>
        <v>0</v>
      </c>
      <c r="AC228" s="23">
        <f t="shared" si="31"/>
        <v>0</v>
      </c>
      <c r="AD228" s="23">
        <f>IF(P228&lt;=ConceptDemo!$C$19,AD227+SUM(W228:AB228)-(Q228-Q227)-AC228,0)</f>
        <v>0</v>
      </c>
      <c r="AE228" s="23">
        <f>IF(ConceptDemo!$C$7=Backend!$A$2,AD228,IF(AE227&lt;&gt;AD227,IF(P228&lt;=ConceptDemo!$C$19,AE227+SUM(W228:AB228)-(Q228-Q227)-AC228,0),IF(P228=ConceptDemo!$C$40,ConceptDemo!$C$39,AD228)))</f>
        <v>0</v>
      </c>
      <c r="AF228" s="23">
        <f t="shared" si="33"/>
        <v>0</v>
      </c>
      <c r="AG228" s="23">
        <f t="shared" si="34"/>
        <v>0</v>
      </c>
      <c r="AH228" s="23">
        <f t="shared" si="32"/>
        <v>0</v>
      </c>
    </row>
    <row r="229" spans="16:34" x14ac:dyDescent="0.25">
      <c r="P229" s="16" t="str">
        <f>IFERROR(IF(P228+1=ConceptDemo!$C$19+10,"",Backend!P228+1),"")</f>
        <v/>
      </c>
      <c r="Q229" s="13">
        <f>IF(OR(P229&lt;ConceptDemo!$C$17,Backend!P229&gt;ConceptDemo!$C$19),0,IF(Backend!P229&lt;=Backend!$R$12,Backend!Q228+Backend!$T$12,IF(Backend!P229&lt;=Backend!$R$13,Backend!Q228+Backend!$T$13,IF(Backend!P229&lt;=Backend!$R$14,Backend!Q228+Backend!$T$14,IF(Backend!P229&lt;=Backend!$R$15,Backend!Q228+Backend!$T$15,IF(Backend!P229&lt;=Backend!$X$16,Backend!Q228+Backend!$Z$16))))))</f>
        <v>0</v>
      </c>
      <c r="R229" s="24" t="str">
        <f>IF(1&lt;=ConceptDemo!$K$41,IF(P229=$W$12,ConceptDemo!$K$39,""),"")</f>
        <v/>
      </c>
      <c r="S229" s="24" t="str">
        <f>IF(2&lt;=ConceptDemo!$K$41,IF(P229=$W$13,ConceptDemo!$K$39,""),"")</f>
        <v/>
      </c>
      <c r="T229" s="24" t="str">
        <f>IF(3&lt;=ConceptDemo!$K$41,IF(P229=$W$14,ConceptDemo!$K$39,""),"")</f>
        <v/>
      </c>
      <c r="U229" s="24" t="str">
        <f>IF(4&lt;=ConceptDemo!$K$41,IF(P229=$W$15,ConceptDemo!$K$39,""),"")</f>
        <v/>
      </c>
      <c r="W229" s="23">
        <f>IF($P229&lt;ConceptDemo!$C$17+$E$24-10,$G$27,0)</f>
        <v>0</v>
      </c>
      <c r="X229" s="23">
        <f>IF($P229&lt;ConceptDemo!$C$17+$E$24-10,$H$27,0)</f>
        <v>0</v>
      </c>
      <c r="Y229" s="13">
        <f t="shared" si="27"/>
        <v>0</v>
      </c>
      <c r="Z229" s="13">
        <f t="shared" si="28"/>
        <v>0</v>
      </c>
      <c r="AA229" s="13">
        <f t="shared" si="29"/>
        <v>0</v>
      </c>
      <c r="AB229" s="13">
        <f t="shared" si="30"/>
        <v>0</v>
      </c>
      <c r="AC229" s="23">
        <f t="shared" si="31"/>
        <v>0</v>
      </c>
      <c r="AD229" s="23">
        <f>IF(P229&lt;=ConceptDemo!$C$19,AD228+SUM(W229:AB229)-(Q229-Q228)-AC229,0)</f>
        <v>0</v>
      </c>
      <c r="AE229" s="23">
        <f>IF(ConceptDemo!$C$7=Backend!$A$2,AD229,IF(AE228&lt;&gt;AD228,IF(P229&lt;=ConceptDemo!$C$19,AE228+SUM(W229:AB229)-(Q229-Q228)-AC229,0),IF(P229=ConceptDemo!$C$40,ConceptDemo!$C$39,AD229)))</f>
        <v>0</v>
      </c>
      <c r="AF229" s="23">
        <f t="shared" si="33"/>
        <v>0</v>
      </c>
      <c r="AG229" s="23">
        <f t="shared" si="34"/>
        <v>0</v>
      </c>
      <c r="AH229" s="23">
        <f t="shared" si="32"/>
        <v>0</v>
      </c>
    </row>
    <row r="230" spans="16:34" x14ac:dyDescent="0.25">
      <c r="P230" s="16" t="str">
        <f>IFERROR(IF(P229+1=ConceptDemo!$C$19+10,"",Backend!P229+1),"")</f>
        <v/>
      </c>
      <c r="Q230" s="13">
        <f>IF(OR(P230&lt;ConceptDemo!$C$17,Backend!P230&gt;ConceptDemo!$C$19),0,IF(Backend!P230&lt;=Backend!$R$12,Backend!Q229+Backend!$T$12,IF(Backend!P230&lt;=Backend!$R$13,Backend!Q229+Backend!$T$13,IF(Backend!P230&lt;=Backend!$R$14,Backend!Q229+Backend!$T$14,IF(Backend!P230&lt;=Backend!$R$15,Backend!Q229+Backend!$T$15,IF(Backend!P230&lt;=Backend!$X$16,Backend!Q229+Backend!$Z$16))))))</f>
        <v>0</v>
      </c>
      <c r="R230" s="24" t="str">
        <f>IF(1&lt;=ConceptDemo!$K$41,IF(P230=$W$12,ConceptDemo!$K$39,""),"")</f>
        <v/>
      </c>
      <c r="S230" s="24" t="str">
        <f>IF(2&lt;=ConceptDemo!$K$41,IF(P230=$W$13,ConceptDemo!$K$39,""),"")</f>
        <v/>
      </c>
      <c r="T230" s="24" t="str">
        <f>IF(3&lt;=ConceptDemo!$K$41,IF(P230=$W$14,ConceptDemo!$K$39,""),"")</f>
        <v/>
      </c>
      <c r="U230" s="24" t="str">
        <f>IF(4&lt;=ConceptDemo!$K$41,IF(P230=$W$15,ConceptDemo!$K$39,""),"")</f>
        <v/>
      </c>
      <c r="W230" s="23">
        <f>IF($P230&lt;ConceptDemo!$C$17+$E$24-10,$G$27,0)</f>
        <v>0</v>
      </c>
      <c r="X230" s="23">
        <f>IF($P230&lt;ConceptDemo!$C$17+$E$24-10,$H$27,0)</f>
        <v>0</v>
      </c>
      <c r="Y230" s="13">
        <f t="shared" si="27"/>
        <v>0</v>
      </c>
      <c r="Z230" s="13">
        <f t="shared" si="28"/>
        <v>0</v>
      </c>
      <c r="AA230" s="13">
        <f t="shared" si="29"/>
        <v>0</v>
      </c>
      <c r="AB230" s="13">
        <f t="shared" si="30"/>
        <v>0</v>
      </c>
      <c r="AC230" s="23">
        <f t="shared" si="31"/>
        <v>0</v>
      </c>
      <c r="AD230" s="23">
        <f>IF(P230&lt;=ConceptDemo!$C$19,AD229+SUM(W230:AB230)-(Q230-Q229)-AC230,0)</f>
        <v>0</v>
      </c>
      <c r="AE230" s="23">
        <f>IF(ConceptDemo!$C$7=Backend!$A$2,AD230,IF(AE229&lt;&gt;AD229,IF(P230&lt;=ConceptDemo!$C$19,AE229+SUM(W230:AB230)-(Q230-Q229)-AC230,0),IF(P230=ConceptDemo!$C$40,ConceptDemo!$C$39,AD230)))</f>
        <v>0</v>
      </c>
      <c r="AF230" s="23">
        <f t="shared" si="33"/>
        <v>0</v>
      </c>
      <c r="AG230" s="23">
        <f t="shared" si="34"/>
        <v>0</v>
      </c>
      <c r="AH230" s="23">
        <f t="shared" si="32"/>
        <v>0</v>
      </c>
    </row>
    <row r="231" spans="16:34" x14ac:dyDescent="0.25">
      <c r="P231" s="16" t="str">
        <f>IFERROR(IF(P230+1=ConceptDemo!$C$19+10,"",Backend!P230+1),"")</f>
        <v/>
      </c>
      <c r="Q231" s="13">
        <f>IF(OR(P231&lt;ConceptDemo!$C$17,Backend!P231&gt;ConceptDemo!$C$19),0,IF(Backend!P231&lt;=Backend!$R$12,Backend!Q230+Backend!$T$12,IF(Backend!P231&lt;=Backend!$R$13,Backend!Q230+Backend!$T$13,IF(Backend!P231&lt;=Backend!$R$14,Backend!Q230+Backend!$T$14,IF(Backend!P231&lt;=Backend!$R$15,Backend!Q230+Backend!$T$15,IF(Backend!P231&lt;=Backend!$X$16,Backend!Q230+Backend!$Z$16))))))</f>
        <v>0</v>
      </c>
      <c r="R231" s="24" t="str">
        <f>IF(1&lt;=ConceptDemo!$K$41,IF(P231=$W$12,ConceptDemo!$K$39,""),"")</f>
        <v/>
      </c>
      <c r="S231" s="24" t="str">
        <f>IF(2&lt;=ConceptDemo!$K$41,IF(P231=$W$13,ConceptDemo!$K$39,""),"")</f>
        <v/>
      </c>
      <c r="T231" s="24" t="str">
        <f>IF(3&lt;=ConceptDemo!$K$41,IF(P231=$W$14,ConceptDemo!$K$39,""),"")</f>
        <v/>
      </c>
      <c r="U231" s="24" t="str">
        <f>IF(4&lt;=ConceptDemo!$K$41,IF(P231=$W$15,ConceptDemo!$K$39,""),"")</f>
        <v/>
      </c>
      <c r="W231" s="23">
        <f>IF($P231&lt;ConceptDemo!$C$17+$E$24-10,$G$27,0)</f>
        <v>0</v>
      </c>
      <c r="X231" s="23">
        <f>IF($P231&lt;ConceptDemo!$C$17+$E$24-10,$H$27,0)</f>
        <v>0</v>
      </c>
      <c r="Y231" s="13">
        <f t="shared" si="27"/>
        <v>0</v>
      </c>
      <c r="Z231" s="13">
        <f t="shared" si="28"/>
        <v>0</v>
      </c>
      <c r="AA231" s="13">
        <f t="shared" si="29"/>
        <v>0</v>
      </c>
      <c r="AB231" s="13">
        <f t="shared" si="30"/>
        <v>0</v>
      </c>
      <c r="AC231" s="23">
        <f t="shared" si="31"/>
        <v>0</v>
      </c>
      <c r="AD231" s="23">
        <f>IF(P231&lt;=ConceptDemo!$C$19,AD230+SUM(W231:AB231)-(Q231-Q230)-AC231,0)</f>
        <v>0</v>
      </c>
      <c r="AE231" s="23">
        <f>IF(ConceptDemo!$C$7=Backend!$A$2,AD231,IF(AE230&lt;&gt;AD230,IF(P231&lt;=ConceptDemo!$C$19,AE230+SUM(W231:AB231)-(Q231-Q230)-AC231,0),IF(P231=ConceptDemo!$C$40,ConceptDemo!$C$39,AD231)))</f>
        <v>0</v>
      </c>
      <c r="AF231" s="23">
        <f t="shared" si="33"/>
        <v>0</v>
      </c>
      <c r="AG231" s="23">
        <f t="shared" si="34"/>
        <v>0</v>
      </c>
      <c r="AH231" s="23">
        <f t="shared" si="32"/>
        <v>0</v>
      </c>
    </row>
    <row r="232" spans="16:34" x14ac:dyDescent="0.25">
      <c r="P232" s="16" t="str">
        <f>IFERROR(IF(P231+1=ConceptDemo!$C$19+10,"",Backend!P231+1),"")</f>
        <v/>
      </c>
      <c r="Q232" s="13">
        <f>IF(OR(P232&lt;ConceptDemo!$C$17,Backend!P232&gt;ConceptDemo!$C$19),0,IF(Backend!P232&lt;=Backend!$R$12,Backend!Q231+Backend!$T$12,IF(Backend!P232&lt;=Backend!$R$13,Backend!Q231+Backend!$T$13,IF(Backend!P232&lt;=Backend!$R$14,Backend!Q231+Backend!$T$14,IF(Backend!P232&lt;=Backend!$R$15,Backend!Q231+Backend!$T$15,IF(Backend!P232&lt;=Backend!$X$16,Backend!Q231+Backend!$Z$16))))))</f>
        <v>0</v>
      </c>
      <c r="R232" s="24" t="str">
        <f>IF(1&lt;=ConceptDemo!$K$41,IF(P232=$W$12,ConceptDemo!$K$39,""),"")</f>
        <v/>
      </c>
      <c r="S232" s="24" t="str">
        <f>IF(2&lt;=ConceptDemo!$K$41,IF(P232=$W$13,ConceptDemo!$K$39,""),"")</f>
        <v/>
      </c>
      <c r="T232" s="24" t="str">
        <f>IF(3&lt;=ConceptDemo!$K$41,IF(P232=$W$14,ConceptDemo!$K$39,""),"")</f>
        <v/>
      </c>
      <c r="U232" s="24" t="str">
        <f>IF(4&lt;=ConceptDemo!$K$41,IF(P232=$W$15,ConceptDemo!$K$39,""),"")</f>
        <v/>
      </c>
      <c r="W232" s="23">
        <f>IF($P232&lt;ConceptDemo!$C$17+$E$24-10,$G$27,0)</f>
        <v>0</v>
      </c>
      <c r="X232" s="23">
        <f>IF($P232&lt;ConceptDemo!$C$17+$E$24-10,$H$27,0)</f>
        <v>0</v>
      </c>
      <c r="Y232" s="13">
        <f t="shared" si="27"/>
        <v>0</v>
      </c>
      <c r="Z232" s="13">
        <f t="shared" si="28"/>
        <v>0</v>
      </c>
      <c r="AA232" s="13">
        <f t="shared" si="29"/>
        <v>0</v>
      </c>
      <c r="AB232" s="13">
        <f t="shared" si="30"/>
        <v>0</v>
      </c>
      <c r="AC232" s="23">
        <f t="shared" si="31"/>
        <v>0</v>
      </c>
      <c r="AD232" s="23">
        <f>IF(P232&lt;=ConceptDemo!$C$19,AD231+SUM(W232:AB232)-(Q232-Q231)-AC232,0)</f>
        <v>0</v>
      </c>
      <c r="AE232" s="23">
        <f>IF(ConceptDemo!$C$7=Backend!$A$2,AD232,IF(AE231&lt;&gt;AD231,IF(P232&lt;=ConceptDemo!$C$19,AE231+SUM(W232:AB232)-(Q232-Q231)-AC232,0),IF(P232=ConceptDemo!$C$40,ConceptDemo!$C$39,AD232)))</f>
        <v>0</v>
      </c>
      <c r="AF232" s="23">
        <f t="shared" si="33"/>
        <v>0</v>
      </c>
      <c r="AG232" s="23">
        <f t="shared" si="34"/>
        <v>0</v>
      </c>
      <c r="AH232" s="23">
        <f t="shared" si="32"/>
        <v>0</v>
      </c>
    </row>
    <row r="233" spans="16:34" x14ac:dyDescent="0.25">
      <c r="P233" s="16" t="str">
        <f>IFERROR(IF(P232+1=ConceptDemo!$C$19+10,"",Backend!P232+1),"")</f>
        <v/>
      </c>
      <c r="Q233" s="13">
        <f>IF(OR(P233&lt;ConceptDemo!$C$17,Backend!P233&gt;ConceptDemo!$C$19),0,IF(Backend!P233&lt;=Backend!$R$12,Backend!Q232+Backend!$T$12,IF(Backend!P233&lt;=Backend!$R$13,Backend!Q232+Backend!$T$13,IF(Backend!P233&lt;=Backend!$R$14,Backend!Q232+Backend!$T$14,IF(Backend!P233&lt;=Backend!$R$15,Backend!Q232+Backend!$T$15,IF(Backend!P233&lt;=Backend!$X$16,Backend!Q232+Backend!$Z$16))))))</f>
        <v>0</v>
      </c>
      <c r="R233" s="24" t="str">
        <f>IF(1&lt;=ConceptDemo!$K$41,IF(P233=$W$12,ConceptDemo!$K$39,""),"")</f>
        <v/>
      </c>
      <c r="S233" s="24" t="str">
        <f>IF(2&lt;=ConceptDemo!$K$41,IF(P233=$W$13,ConceptDemo!$K$39,""),"")</f>
        <v/>
      </c>
      <c r="T233" s="24" t="str">
        <f>IF(3&lt;=ConceptDemo!$K$41,IF(P233=$W$14,ConceptDemo!$K$39,""),"")</f>
        <v/>
      </c>
      <c r="U233" s="24" t="str">
        <f>IF(4&lt;=ConceptDemo!$K$41,IF(P233=$W$15,ConceptDemo!$K$39,""),"")</f>
        <v/>
      </c>
      <c r="W233" s="23">
        <f>IF($P233&lt;ConceptDemo!$C$17+$E$24-10,$G$27,0)</f>
        <v>0</v>
      </c>
      <c r="X233" s="23">
        <f>IF($P233&lt;ConceptDemo!$C$17+$E$24-10,$H$27,0)</f>
        <v>0</v>
      </c>
      <c r="Y233" s="13">
        <f t="shared" si="27"/>
        <v>0</v>
      </c>
      <c r="Z233" s="13">
        <f t="shared" si="28"/>
        <v>0</v>
      </c>
      <c r="AA233" s="13">
        <f t="shared" si="29"/>
        <v>0</v>
      </c>
      <c r="AB233" s="13">
        <f t="shared" si="30"/>
        <v>0</v>
      </c>
      <c r="AC233" s="23">
        <f t="shared" si="31"/>
        <v>0</v>
      </c>
      <c r="AD233" s="23">
        <f>IF(P233&lt;=ConceptDemo!$C$19,AD232+SUM(W233:AB233)-(Q233-Q232)-AC233,0)</f>
        <v>0</v>
      </c>
      <c r="AE233" s="23">
        <f>IF(ConceptDemo!$C$7=Backend!$A$2,AD233,IF(AE232&lt;&gt;AD232,IF(P233&lt;=ConceptDemo!$C$19,AE232+SUM(W233:AB233)-(Q233-Q232)-AC233,0),IF(P233=ConceptDemo!$C$40,ConceptDemo!$C$39,AD233)))</f>
        <v>0</v>
      </c>
      <c r="AF233" s="23">
        <f t="shared" si="33"/>
        <v>0</v>
      </c>
      <c r="AG233" s="23">
        <f t="shared" si="34"/>
        <v>0</v>
      </c>
      <c r="AH233" s="23">
        <f t="shared" si="32"/>
        <v>0</v>
      </c>
    </row>
    <row r="234" spans="16:34" x14ac:dyDescent="0.25">
      <c r="P234" s="16" t="str">
        <f>IFERROR(IF(P233+1=ConceptDemo!$C$19+10,"",Backend!P233+1),"")</f>
        <v/>
      </c>
      <c r="Q234" s="13">
        <f>IF(OR(P234&lt;ConceptDemo!$C$17,Backend!P234&gt;ConceptDemo!$C$19),0,IF(Backend!P234&lt;=Backend!$R$12,Backend!Q233+Backend!$T$12,IF(Backend!P234&lt;=Backend!$R$13,Backend!Q233+Backend!$T$13,IF(Backend!P234&lt;=Backend!$R$14,Backend!Q233+Backend!$T$14,IF(Backend!P234&lt;=Backend!$R$15,Backend!Q233+Backend!$T$15,IF(Backend!P234&lt;=Backend!$X$16,Backend!Q233+Backend!$Z$16))))))</f>
        <v>0</v>
      </c>
      <c r="R234" s="24" t="str">
        <f>IF(1&lt;=ConceptDemo!$K$41,IF(P234=$W$12,ConceptDemo!$K$39,""),"")</f>
        <v/>
      </c>
      <c r="S234" s="24" t="str">
        <f>IF(2&lt;=ConceptDemo!$K$41,IF(P234=$W$13,ConceptDemo!$K$39,""),"")</f>
        <v/>
      </c>
      <c r="T234" s="24" t="str">
        <f>IF(3&lt;=ConceptDemo!$K$41,IF(P234=$W$14,ConceptDemo!$K$39,""),"")</f>
        <v/>
      </c>
      <c r="U234" s="24" t="str">
        <f>IF(4&lt;=ConceptDemo!$K$41,IF(P234=$W$15,ConceptDemo!$K$39,""),"")</f>
        <v/>
      </c>
      <c r="W234" s="23">
        <f>IF($P234&lt;ConceptDemo!$C$17+$E$24-10,$G$27,0)</f>
        <v>0</v>
      </c>
      <c r="X234" s="23">
        <f>IF($P234&lt;ConceptDemo!$C$17+$E$24-10,$H$27,0)</f>
        <v>0</v>
      </c>
      <c r="Y234" s="13">
        <f t="shared" si="27"/>
        <v>0</v>
      </c>
      <c r="Z234" s="13">
        <f t="shared" si="28"/>
        <v>0</v>
      </c>
      <c r="AA234" s="13">
        <f t="shared" si="29"/>
        <v>0</v>
      </c>
      <c r="AB234" s="13">
        <f t="shared" si="30"/>
        <v>0</v>
      </c>
      <c r="AC234" s="23">
        <f t="shared" si="31"/>
        <v>0</v>
      </c>
      <c r="AD234" s="23">
        <f>IF(P234&lt;=ConceptDemo!$C$19,AD233+SUM(W234:AB234)-(Q234-Q233)-AC234,0)</f>
        <v>0</v>
      </c>
      <c r="AE234" s="23">
        <f>IF(ConceptDemo!$C$7=Backend!$A$2,AD234,IF(AE233&lt;&gt;AD233,IF(P234&lt;=ConceptDemo!$C$19,AE233+SUM(W234:AB234)-(Q234-Q233)-AC234,0),IF(P234=ConceptDemo!$C$40,ConceptDemo!$C$39,AD234)))</f>
        <v>0</v>
      </c>
      <c r="AF234" s="23">
        <f t="shared" si="33"/>
        <v>0</v>
      </c>
      <c r="AG234" s="23">
        <f t="shared" si="34"/>
        <v>0</v>
      </c>
      <c r="AH234" s="23">
        <f t="shared" si="32"/>
        <v>0</v>
      </c>
    </row>
    <row r="235" spans="16:34" x14ac:dyDescent="0.25">
      <c r="P235" s="16" t="str">
        <f>IFERROR(IF(P234+1=ConceptDemo!$C$19+10,"",Backend!P234+1),"")</f>
        <v/>
      </c>
      <c r="Q235" s="13">
        <f>IF(OR(P235&lt;ConceptDemo!$C$17,Backend!P235&gt;ConceptDemo!$C$19),0,IF(Backend!P235&lt;=Backend!$R$12,Backend!Q234+Backend!$T$12,IF(Backend!P235&lt;=Backend!$R$13,Backend!Q234+Backend!$T$13,IF(Backend!P235&lt;=Backend!$R$14,Backend!Q234+Backend!$T$14,IF(Backend!P235&lt;=Backend!$R$15,Backend!Q234+Backend!$T$15,IF(Backend!P235&lt;=Backend!$X$16,Backend!Q234+Backend!$Z$16))))))</f>
        <v>0</v>
      </c>
      <c r="R235" s="24" t="str">
        <f>IF(1&lt;=ConceptDemo!$K$41,IF(P235=$W$12,ConceptDemo!$K$39,""),"")</f>
        <v/>
      </c>
      <c r="S235" s="24" t="str">
        <f>IF(2&lt;=ConceptDemo!$K$41,IF(P235=$W$13,ConceptDemo!$K$39,""),"")</f>
        <v/>
      </c>
      <c r="T235" s="24" t="str">
        <f>IF(3&lt;=ConceptDemo!$K$41,IF(P235=$W$14,ConceptDemo!$K$39,""),"")</f>
        <v/>
      </c>
      <c r="U235" s="24" t="str">
        <f>IF(4&lt;=ConceptDemo!$K$41,IF(P235=$W$15,ConceptDemo!$K$39,""),"")</f>
        <v/>
      </c>
      <c r="W235" s="23">
        <f>IF($P235&lt;ConceptDemo!$C$17+$E$24-10,$G$27,0)</f>
        <v>0</v>
      </c>
      <c r="X235" s="23">
        <f>IF($P235&lt;ConceptDemo!$C$17+$E$24-10,$H$27,0)</f>
        <v>0</v>
      </c>
      <c r="Y235" s="13">
        <f t="shared" si="27"/>
        <v>0</v>
      </c>
      <c r="Z235" s="13">
        <f t="shared" si="28"/>
        <v>0</v>
      </c>
      <c r="AA235" s="13">
        <f t="shared" si="29"/>
        <v>0</v>
      </c>
      <c r="AB235" s="13">
        <f t="shared" si="30"/>
        <v>0</v>
      </c>
      <c r="AC235" s="23">
        <f t="shared" si="31"/>
        <v>0</v>
      </c>
      <c r="AD235" s="23">
        <f>IF(P235&lt;=ConceptDemo!$C$19,AD234+SUM(W235:AB235)-(Q235-Q234)-AC235,0)</f>
        <v>0</v>
      </c>
      <c r="AE235" s="23">
        <f>IF(ConceptDemo!$C$7=Backend!$A$2,AD235,IF(AE234&lt;&gt;AD234,IF(P235&lt;=ConceptDemo!$C$19,AE234+SUM(W235:AB235)-(Q235-Q234)-AC235,0),IF(P235=ConceptDemo!$C$40,ConceptDemo!$C$39,AD235)))</f>
        <v>0</v>
      </c>
      <c r="AF235" s="23">
        <f t="shared" si="33"/>
        <v>0</v>
      </c>
      <c r="AG235" s="23">
        <f t="shared" si="34"/>
        <v>0</v>
      </c>
      <c r="AH235" s="23">
        <f t="shared" si="32"/>
        <v>0</v>
      </c>
    </row>
    <row r="236" spans="16:34" x14ac:dyDescent="0.25">
      <c r="P236" s="16" t="str">
        <f>IFERROR(IF(P235+1=ConceptDemo!$C$19+10,"",Backend!P235+1),"")</f>
        <v/>
      </c>
      <c r="Q236" s="13">
        <f>IF(OR(P236&lt;ConceptDemo!$C$17,Backend!P236&gt;ConceptDemo!$C$19),0,IF(Backend!P236&lt;=Backend!$R$12,Backend!Q235+Backend!$T$12,IF(Backend!P236&lt;=Backend!$R$13,Backend!Q235+Backend!$T$13,IF(Backend!P236&lt;=Backend!$R$14,Backend!Q235+Backend!$T$14,IF(Backend!P236&lt;=Backend!$R$15,Backend!Q235+Backend!$T$15,IF(Backend!P236&lt;=Backend!$X$16,Backend!Q235+Backend!$Z$16))))))</f>
        <v>0</v>
      </c>
      <c r="R236" s="24" t="str">
        <f>IF(1&lt;=ConceptDemo!$K$41,IF(P236=$W$12,ConceptDemo!$K$39,""),"")</f>
        <v/>
      </c>
      <c r="S236" s="24" t="str">
        <f>IF(2&lt;=ConceptDemo!$K$41,IF(P236=$W$13,ConceptDemo!$K$39,""),"")</f>
        <v/>
      </c>
      <c r="T236" s="24" t="str">
        <f>IF(3&lt;=ConceptDemo!$K$41,IF(P236=$W$14,ConceptDemo!$K$39,""),"")</f>
        <v/>
      </c>
      <c r="U236" s="24" t="str">
        <f>IF(4&lt;=ConceptDemo!$K$41,IF(P236=$W$15,ConceptDemo!$K$39,""),"")</f>
        <v/>
      </c>
      <c r="W236" s="23">
        <f>IF($P236&lt;ConceptDemo!$C$17+$E$24-10,$G$27,0)</f>
        <v>0</v>
      </c>
      <c r="X236" s="23">
        <f>IF($P236&lt;ConceptDemo!$C$17+$E$24-10,$H$27,0)</f>
        <v>0</v>
      </c>
      <c r="Y236" s="13">
        <f t="shared" si="27"/>
        <v>0</v>
      </c>
      <c r="Z236" s="13">
        <f t="shared" si="28"/>
        <v>0</v>
      </c>
      <c r="AA236" s="13">
        <f t="shared" si="29"/>
        <v>0</v>
      </c>
      <c r="AB236" s="13">
        <f t="shared" si="30"/>
        <v>0</v>
      </c>
      <c r="AC236" s="23">
        <f t="shared" si="31"/>
        <v>0</v>
      </c>
      <c r="AD236" s="23">
        <f>IF(P236&lt;=ConceptDemo!$C$19,AD235+SUM(W236:AB236)-(Q236-Q235)-AC236,0)</f>
        <v>0</v>
      </c>
      <c r="AE236" s="23">
        <f>IF(ConceptDemo!$C$7=Backend!$A$2,AD236,IF(AE235&lt;&gt;AD235,IF(P236&lt;=ConceptDemo!$C$19,AE235+SUM(W236:AB236)-(Q236-Q235)-AC236,0),IF(P236=ConceptDemo!$C$40,ConceptDemo!$C$39,AD236)))</f>
        <v>0</v>
      </c>
      <c r="AF236" s="23">
        <f t="shared" si="33"/>
        <v>0</v>
      </c>
      <c r="AG236" s="23">
        <f t="shared" si="34"/>
        <v>0</v>
      </c>
      <c r="AH236" s="23">
        <f t="shared" si="32"/>
        <v>0</v>
      </c>
    </row>
    <row r="237" spans="16:34" x14ac:dyDescent="0.25">
      <c r="P237" s="16" t="str">
        <f>IFERROR(IF(P236+1=ConceptDemo!$C$19+10,"",Backend!P236+1),"")</f>
        <v/>
      </c>
      <c r="Q237" s="13">
        <f>IF(OR(P237&lt;ConceptDemo!$C$17,Backend!P237&gt;ConceptDemo!$C$19),0,IF(Backend!P237&lt;=Backend!$R$12,Backend!Q236+Backend!$T$12,IF(Backend!P237&lt;=Backend!$R$13,Backend!Q236+Backend!$T$13,IF(Backend!P237&lt;=Backend!$R$14,Backend!Q236+Backend!$T$14,IF(Backend!P237&lt;=Backend!$R$15,Backend!Q236+Backend!$T$15,IF(Backend!P237&lt;=Backend!$X$16,Backend!Q236+Backend!$Z$16))))))</f>
        <v>0</v>
      </c>
      <c r="R237" s="24" t="str">
        <f>IF(1&lt;=ConceptDemo!$K$41,IF(P237=$W$12,ConceptDemo!$K$39,""),"")</f>
        <v/>
      </c>
      <c r="S237" s="24" t="str">
        <f>IF(2&lt;=ConceptDemo!$K$41,IF(P237=$W$13,ConceptDemo!$K$39,""),"")</f>
        <v/>
      </c>
      <c r="T237" s="24" t="str">
        <f>IF(3&lt;=ConceptDemo!$K$41,IF(P237=$W$14,ConceptDemo!$K$39,""),"")</f>
        <v/>
      </c>
      <c r="U237" s="24" t="str">
        <f>IF(4&lt;=ConceptDemo!$K$41,IF(P237=$W$15,ConceptDemo!$K$39,""),"")</f>
        <v/>
      </c>
      <c r="W237" s="23">
        <f>IF($P237&lt;ConceptDemo!$C$17+$E$24-10,$G$27,0)</f>
        <v>0</v>
      </c>
      <c r="X237" s="23">
        <f>IF($P237&lt;ConceptDemo!$C$17+$E$24-10,$H$27,0)</f>
        <v>0</v>
      </c>
      <c r="Y237" s="13">
        <f t="shared" si="27"/>
        <v>0</v>
      </c>
      <c r="Z237" s="13">
        <f t="shared" si="28"/>
        <v>0</v>
      </c>
      <c r="AA237" s="13">
        <f t="shared" si="29"/>
        <v>0</v>
      </c>
      <c r="AB237" s="13">
        <f t="shared" si="30"/>
        <v>0</v>
      </c>
      <c r="AC237" s="23">
        <f t="shared" si="31"/>
        <v>0</v>
      </c>
      <c r="AD237" s="23">
        <f>IF(P237&lt;=ConceptDemo!$C$19,AD236+SUM(W237:AB237)-(Q237-Q236)-AC237,0)</f>
        <v>0</v>
      </c>
      <c r="AE237" s="23">
        <f>IF(ConceptDemo!$C$7=Backend!$A$2,AD237,IF(AE236&lt;&gt;AD236,IF(P237&lt;=ConceptDemo!$C$19,AE236+SUM(W237:AB237)-(Q237-Q236)-AC237,0),IF(P237=ConceptDemo!$C$40,ConceptDemo!$C$39,AD237)))</f>
        <v>0</v>
      </c>
      <c r="AF237" s="23">
        <f t="shared" si="33"/>
        <v>0</v>
      </c>
      <c r="AG237" s="23">
        <f t="shared" si="34"/>
        <v>0</v>
      </c>
      <c r="AH237" s="23">
        <f t="shared" si="32"/>
        <v>0</v>
      </c>
    </row>
    <row r="238" spans="16:34" x14ac:dyDescent="0.25">
      <c r="P238" s="16" t="str">
        <f>IFERROR(IF(P237+1=ConceptDemo!$C$19+10,"",Backend!P237+1),"")</f>
        <v/>
      </c>
      <c r="Q238" s="13">
        <f>IF(OR(P238&lt;ConceptDemo!$C$17,Backend!P238&gt;ConceptDemo!$C$19),0,IF(Backend!P238&lt;=Backend!$R$12,Backend!Q237+Backend!$T$12,IF(Backend!P238&lt;=Backend!$R$13,Backend!Q237+Backend!$T$13,IF(Backend!P238&lt;=Backend!$R$14,Backend!Q237+Backend!$T$14,IF(Backend!P238&lt;=Backend!$R$15,Backend!Q237+Backend!$T$15,IF(Backend!P238&lt;=Backend!$X$16,Backend!Q237+Backend!$Z$16))))))</f>
        <v>0</v>
      </c>
      <c r="R238" s="24" t="str">
        <f>IF(1&lt;=ConceptDemo!$K$41,IF(P238=$W$12,ConceptDemo!$K$39,""),"")</f>
        <v/>
      </c>
      <c r="S238" s="24" t="str">
        <f>IF(2&lt;=ConceptDemo!$K$41,IF(P238=$W$13,ConceptDemo!$K$39,""),"")</f>
        <v/>
      </c>
      <c r="T238" s="24" t="str">
        <f>IF(3&lt;=ConceptDemo!$K$41,IF(P238=$W$14,ConceptDemo!$K$39,""),"")</f>
        <v/>
      </c>
      <c r="U238" s="24" t="str">
        <f>IF(4&lt;=ConceptDemo!$K$41,IF(P238=$W$15,ConceptDemo!$K$39,""),"")</f>
        <v/>
      </c>
      <c r="W238" s="23">
        <f>IF($P238&lt;ConceptDemo!$C$17+$E$24-10,$G$27,0)</f>
        <v>0</v>
      </c>
      <c r="X238" s="23">
        <f>IF($P238&lt;ConceptDemo!$C$17+$E$24-10,$H$27,0)</f>
        <v>0</v>
      </c>
      <c r="Y238" s="13">
        <f t="shared" si="27"/>
        <v>0</v>
      </c>
      <c r="Z238" s="13">
        <f t="shared" si="28"/>
        <v>0</v>
      </c>
      <c r="AA238" s="13">
        <f t="shared" si="29"/>
        <v>0</v>
      </c>
      <c r="AB238" s="13">
        <f t="shared" si="30"/>
        <v>0</v>
      </c>
      <c r="AC238" s="23">
        <f t="shared" si="31"/>
        <v>0</v>
      </c>
      <c r="AD238" s="23">
        <f>IF(P238&lt;=ConceptDemo!$C$19,AD237+SUM(W238:AB238)-(Q238-Q237)-AC238,0)</f>
        <v>0</v>
      </c>
      <c r="AE238" s="23">
        <f>IF(ConceptDemo!$C$7=Backend!$A$2,AD238,IF(AE237&lt;&gt;AD237,IF(P238&lt;=ConceptDemo!$C$19,AE237+SUM(W238:AB238)-(Q238-Q237)-AC238,0),IF(P238=ConceptDemo!$C$40,ConceptDemo!$C$39,AD238)))</f>
        <v>0</v>
      </c>
      <c r="AF238" s="23">
        <f t="shared" si="33"/>
        <v>0</v>
      </c>
      <c r="AG238" s="23">
        <f t="shared" si="34"/>
        <v>0</v>
      </c>
      <c r="AH238" s="23">
        <f t="shared" si="32"/>
        <v>0</v>
      </c>
    </row>
    <row r="239" spans="16:34" x14ac:dyDescent="0.25">
      <c r="P239" s="16" t="str">
        <f>IFERROR(IF(P238+1=ConceptDemo!$C$19+10,"",Backend!P238+1),"")</f>
        <v/>
      </c>
      <c r="Q239" s="13">
        <f>IF(OR(P239&lt;ConceptDemo!$C$17,Backend!P239&gt;ConceptDemo!$C$19),0,IF(Backend!P239&lt;=Backend!$R$12,Backend!Q238+Backend!$T$12,IF(Backend!P239&lt;=Backend!$R$13,Backend!Q238+Backend!$T$13,IF(Backend!P239&lt;=Backend!$R$14,Backend!Q238+Backend!$T$14,IF(Backend!P239&lt;=Backend!$R$15,Backend!Q238+Backend!$T$15,IF(Backend!P239&lt;=Backend!$X$16,Backend!Q238+Backend!$Z$16))))))</f>
        <v>0</v>
      </c>
      <c r="R239" s="24" t="str">
        <f>IF(1&lt;=ConceptDemo!$K$41,IF(P239=$W$12,ConceptDemo!$K$39,""),"")</f>
        <v/>
      </c>
      <c r="S239" s="24" t="str">
        <f>IF(2&lt;=ConceptDemo!$K$41,IF(P239=$W$13,ConceptDemo!$K$39,""),"")</f>
        <v/>
      </c>
      <c r="T239" s="24" t="str">
        <f>IF(3&lt;=ConceptDemo!$K$41,IF(P239=$W$14,ConceptDemo!$K$39,""),"")</f>
        <v/>
      </c>
      <c r="U239" s="24" t="str">
        <f>IF(4&lt;=ConceptDemo!$K$41,IF(P239=$W$15,ConceptDemo!$K$39,""),"")</f>
        <v/>
      </c>
      <c r="W239" s="23">
        <f>IF($P239&lt;ConceptDemo!$C$17+$E$24-10,$G$27,0)</f>
        <v>0</v>
      </c>
      <c r="X239" s="23">
        <f>IF($P239&lt;ConceptDemo!$C$17+$E$24-10,$H$27,0)</f>
        <v>0</v>
      </c>
      <c r="Y239" s="13">
        <f t="shared" si="27"/>
        <v>0</v>
      </c>
      <c r="Z239" s="13">
        <f t="shared" si="28"/>
        <v>0</v>
      </c>
      <c r="AA239" s="13">
        <f t="shared" si="29"/>
        <v>0</v>
      </c>
      <c r="AB239" s="13">
        <f t="shared" si="30"/>
        <v>0</v>
      </c>
      <c r="AC239" s="23">
        <f t="shared" si="31"/>
        <v>0</v>
      </c>
      <c r="AD239" s="23">
        <f>IF(P239&lt;=ConceptDemo!$C$19,AD238+SUM(W239:AB239)-(Q239-Q238)-AC239,0)</f>
        <v>0</v>
      </c>
      <c r="AE239" s="23">
        <f>IF(ConceptDemo!$C$7=Backend!$A$2,AD239,IF(AE238&lt;&gt;AD238,IF(P239&lt;=ConceptDemo!$C$19,AE238+SUM(W239:AB239)-(Q239-Q238)-AC239,0),IF(P239=ConceptDemo!$C$40,ConceptDemo!$C$39,AD239)))</f>
        <v>0</v>
      </c>
      <c r="AF239" s="23">
        <f t="shared" si="33"/>
        <v>0</v>
      </c>
      <c r="AG239" s="23">
        <f t="shared" si="34"/>
        <v>0</v>
      </c>
      <c r="AH239" s="23">
        <f t="shared" si="32"/>
        <v>0</v>
      </c>
    </row>
    <row r="240" spans="16:34" x14ac:dyDescent="0.25">
      <c r="P240" s="16" t="str">
        <f>IFERROR(IF(P239+1=ConceptDemo!$C$19+10,"",Backend!P239+1),"")</f>
        <v/>
      </c>
      <c r="Q240" s="13">
        <f>IF(OR(P240&lt;ConceptDemo!$C$17,Backend!P240&gt;ConceptDemo!$C$19),0,IF(Backend!P240&lt;=Backend!$R$12,Backend!Q239+Backend!$T$12,IF(Backend!P240&lt;=Backend!$R$13,Backend!Q239+Backend!$T$13,IF(Backend!P240&lt;=Backend!$R$14,Backend!Q239+Backend!$T$14,IF(Backend!P240&lt;=Backend!$R$15,Backend!Q239+Backend!$T$15,IF(Backend!P240&lt;=Backend!$X$16,Backend!Q239+Backend!$Z$16))))))</f>
        <v>0</v>
      </c>
      <c r="R240" s="24" t="str">
        <f>IF(1&lt;=ConceptDemo!$K$41,IF(P240=$W$12,ConceptDemo!$K$39,""),"")</f>
        <v/>
      </c>
      <c r="S240" s="24" t="str">
        <f>IF(2&lt;=ConceptDemo!$K$41,IF(P240=$W$13,ConceptDemo!$K$39,""),"")</f>
        <v/>
      </c>
      <c r="T240" s="24" t="str">
        <f>IF(3&lt;=ConceptDemo!$K$41,IF(P240=$W$14,ConceptDemo!$K$39,""),"")</f>
        <v/>
      </c>
      <c r="U240" s="24" t="str">
        <f>IF(4&lt;=ConceptDemo!$K$41,IF(P240=$W$15,ConceptDemo!$K$39,""),"")</f>
        <v/>
      </c>
      <c r="W240" s="23">
        <f>IF($P240&lt;ConceptDemo!$C$17+$E$24-10,$G$27,0)</f>
        <v>0</v>
      </c>
      <c r="X240" s="23">
        <f>IF($P240&lt;ConceptDemo!$C$17+$E$24-10,$H$27,0)</f>
        <v>0</v>
      </c>
      <c r="Y240" s="13">
        <f t="shared" si="27"/>
        <v>0</v>
      </c>
      <c r="Z240" s="13">
        <f t="shared" si="28"/>
        <v>0</v>
      </c>
      <c r="AA240" s="13">
        <f t="shared" si="29"/>
        <v>0</v>
      </c>
      <c r="AB240" s="13">
        <f t="shared" si="30"/>
        <v>0</v>
      </c>
      <c r="AC240" s="23">
        <f t="shared" si="31"/>
        <v>0</v>
      </c>
      <c r="AD240" s="23">
        <f>IF(P240&lt;=ConceptDemo!$C$19,AD239+SUM(W240:AB240)-(Q240-Q239)-AC240,0)</f>
        <v>0</v>
      </c>
      <c r="AE240" s="23">
        <f>IF(ConceptDemo!$C$7=Backend!$A$2,AD240,IF(AE239&lt;&gt;AD239,IF(P240&lt;=ConceptDemo!$C$19,AE239+SUM(W240:AB240)-(Q240-Q239)-AC240,0),IF(P240=ConceptDemo!$C$40,ConceptDemo!$C$39,AD240)))</f>
        <v>0</v>
      </c>
      <c r="AF240" s="23">
        <f t="shared" si="33"/>
        <v>0</v>
      </c>
      <c r="AG240" s="23">
        <f t="shared" si="34"/>
        <v>0</v>
      </c>
      <c r="AH240" s="23">
        <f t="shared" si="32"/>
        <v>0</v>
      </c>
    </row>
    <row r="241" spans="16:34" x14ac:dyDescent="0.25">
      <c r="P241" s="16" t="str">
        <f>IFERROR(IF(P240+1=ConceptDemo!$C$19+10,"",Backend!P240+1),"")</f>
        <v/>
      </c>
      <c r="Q241" s="13">
        <f>IF(OR(P241&lt;ConceptDemo!$C$17,Backend!P241&gt;ConceptDemo!$C$19),0,IF(Backend!P241&lt;=Backend!$R$12,Backend!Q240+Backend!$T$12,IF(Backend!P241&lt;=Backend!$R$13,Backend!Q240+Backend!$T$13,IF(Backend!P241&lt;=Backend!$R$14,Backend!Q240+Backend!$T$14,IF(Backend!P241&lt;=Backend!$R$15,Backend!Q240+Backend!$T$15,IF(Backend!P241&lt;=Backend!$X$16,Backend!Q240+Backend!$Z$16))))))</f>
        <v>0</v>
      </c>
      <c r="R241" s="24" t="str">
        <f>IF(1&lt;=ConceptDemo!$K$41,IF(P241=$W$12,ConceptDemo!$K$39,""),"")</f>
        <v/>
      </c>
      <c r="S241" s="24" t="str">
        <f>IF(2&lt;=ConceptDemo!$K$41,IF(P241=$W$13,ConceptDemo!$K$39,""),"")</f>
        <v/>
      </c>
      <c r="T241" s="24" t="str">
        <f>IF(3&lt;=ConceptDemo!$K$41,IF(P241=$W$14,ConceptDemo!$K$39,""),"")</f>
        <v/>
      </c>
      <c r="U241" s="24" t="str">
        <f>IF(4&lt;=ConceptDemo!$K$41,IF(P241=$W$15,ConceptDemo!$K$39,""),"")</f>
        <v/>
      </c>
      <c r="W241" s="23">
        <f>IF($P241&lt;ConceptDemo!$C$17+$E$24-10,$G$27,0)</f>
        <v>0</v>
      </c>
      <c r="X241" s="23">
        <f>IF($P241&lt;ConceptDemo!$C$17+$E$24-10,$H$27,0)</f>
        <v>0</v>
      </c>
      <c r="Y241" s="13">
        <f t="shared" si="27"/>
        <v>0</v>
      </c>
      <c r="Z241" s="13">
        <f t="shared" si="28"/>
        <v>0</v>
      </c>
      <c r="AA241" s="13">
        <f t="shared" si="29"/>
        <v>0</v>
      </c>
      <c r="AB241" s="13">
        <f t="shared" si="30"/>
        <v>0</v>
      </c>
      <c r="AC241" s="23">
        <f t="shared" si="31"/>
        <v>0</v>
      </c>
      <c r="AD241" s="23">
        <f>IF(P241&lt;=ConceptDemo!$C$19,AD240+SUM(W241:AB241)-(Q241-Q240)-AC241,0)</f>
        <v>0</v>
      </c>
      <c r="AE241" s="23">
        <f>IF(ConceptDemo!$C$7=Backend!$A$2,AD241,IF(AE240&lt;&gt;AD240,IF(P241&lt;=ConceptDemo!$C$19,AE240+SUM(W241:AB241)-(Q241-Q240)-AC241,0),IF(P241=ConceptDemo!$C$40,ConceptDemo!$C$39,AD241)))</f>
        <v>0</v>
      </c>
      <c r="AF241" s="23">
        <f t="shared" si="33"/>
        <v>0</v>
      </c>
      <c r="AG241" s="23">
        <f t="shared" si="34"/>
        <v>0</v>
      </c>
      <c r="AH241" s="23">
        <f t="shared" si="32"/>
        <v>0</v>
      </c>
    </row>
    <row r="242" spans="16:34" x14ac:dyDescent="0.25">
      <c r="P242" s="16" t="str">
        <f>IFERROR(IF(P241+1=ConceptDemo!$C$19+10,"",Backend!P241+1),"")</f>
        <v/>
      </c>
      <c r="Q242" s="13">
        <f>IF(OR(P242&lt;ConceptDemo!$C$17,Backend!P242&gt;ConceptDemo!$C$19),0,IF(Backend!P242&lt;=Backend!$R$12,Backend!Q241+Backend!$T$12,IF(Backend!P242&lt;=Backend!$R$13,Backend!Q241+Backend!$T$13,IF(Backend!P242&lt;=Backend!$R$14,Backend!Q241+Backend!$T$14,IF(Backend!P242&lt;=Backend!$R$15,Backend!Q241+Backend!$T$15,IF(Backend!P242&lt;=Backend!$X$16,Backend!Q241+Backend!$Z$16))))))</f>
        <v>0</v>
      </c>
      <c r="R242" s="24" t="str">
        <f>IF(1&lt;=ConceptDemo!$K$41,IF(P242=$W$12,ConceptDemo!$K$39,""),"")</f>
        <v/>
      </c>
      <c r="S242" s="24" t="str">
        <f>IF(2&lt;=ConceptDemo!$K$41,IF(P242=$W$13,ConceptDemo!$K$39,""),"")</f>
        <v/>
      </c>
      <c r="T242" s="24" t="str">
        <f>IF(3&lt;=ConceptDemo!$K$41,IF(P242=$W$14,ConceptDemo!$K$39,""),"")</f>
        <v/>
      </c>
      <c r="U242" s="24" t="str">
        <f>IF(4&lt;=ConceptDemo!$K$41,IF(P242=$W$15,ConceptDemo!$K$39,""),"")</f>
        <v/>
      </c>
      <c r="W242" s="23">
        <f>IF($P242&lt;ConceptDemo!$C$17+$E$24-10,$G$27,0)</f>
        <v>0</v>
      </c>
      <c r="X242" s="23">
        <f>IF($P242&lt;ConceptDemo!$C$17+$E$24-10,$H$27,0)</f>
        <v>0</v>
      </c>
      <c r="Y242" s="13">
        <f t="shared" si="27"/>
        <v>0</v>
      </c>
      <c r="Z242" s="13">
        <f t="shared" si="28"/>
        <v>0</v>
      </c>
      <c r="AA242" s="13">
        <f t="shared" si="29"/>
        <v>0</v>
      </c>
      <c r="AB242" s="13">
        <f t="shared" si="30"/>
        <v>0</v>
      </c>
      <c r="AC242" s="23">
        <f t="shared" si="31"/>
        <v>0</v>
      </c>
      <c r="AD242" s="23">
        <f>IF(P242&lt;=ConceptDemo!$C$19,AD241+SUM(W242:AB242)-(Q242-Q241)-AC242,0)</f>
        <v>0</v>
      </c>
      <c r="AE242" s="23">
        <f>IF(ConceptDemo!$C$7=Backend!$A$2,AD242,IF(AE241&lt;&gt;AD241,IF(P242&lt;=ConceptDemo!$C$19,AE241+SUM(W242:AB242)-(Q242-Q241)-AC242,0),IF(P242=ConceptDemo!$C$40,ConceptDemo!$C$39,AD242)))</f>
        <v>0</v>
      </c>
      <c r="AF242" s="23">
        <f t="shared" si="33"/>
        <v>0</v>
      </c>
      <c r="AG242" s="23">
        <f t="shared" si="34"/>
        <v>0</v>
      </c>
      <c r="AH242" s="23">
        <f t="shared" si="32"/>
        <v>0</v>
      </c>
    </row>
    <row r="243" spans="16:34" x14ac:dyDescent="0.25">
      <c r="P243" s="16" t="str">
        <f>IFERROR(IF(P242+1=ConceptDemo!$C$19+10,"",Backend!P242+1),"")</f>
        <v/>
      </c>
      <c r="Q243" s="13">
        <f>IF(OR(P243&lt;ConceptDemo!$C$17,Backend!P243&gt;ConceptDemo!$C$19),0,IF(Backend!P243&lt;=Backend!$R$12,Backend!Q242+Backend!$T$12,IF(Backend!P243&lt;=Backend!$R$13,Backend!Q242+Backend!$T$13,IF(Backend!P243&lt;=Backend!$R$14,Backend!Q242+Backend!$T$14,IF(Backend!P243&lt;=Backend!$R$15,Backend!Q242+Backend!$T$15,IF(Backend!P243&lt;=Backend!$X$16,Backend!Q242+Backend!$Z$16))))))</f>
        <v>0</v>
      </c>
      <c r="R243" s="24" t="str">
        <f>IF(1&lt;=ConceptDemo!$K$41,IF(P243=$W$12,ConceptDemo!$K$39,""),"")</f>
        <v/>
      </c>
      <c r="S243" s="24" t="str">
        <f>IF(2&lt;=ConceptDemo!$K$41,IF(P243=$W$13,ConceptDemo!$K$39,""),"")</f>
        <v/>
      </c>
      <c r="T243" s="24" t="str">
        <f>IF(3&lt;=ConceptDemo!$K$41,IF(P243=$W$14,ConceptDemo!$K$39,""),"")</f>
        <v/>
      </c>
      <c r="U243" s="24" t="str">
        <f>IF(4&lt;=ConceptDemo!$K$41,IF(P243=$W$15,ConceptDemo!$K$39,""),"")</f>
        <v/>
      </c>
      <c r="W243" s="23">
        <f>IF($P243&lt;ConceptDemo!$C$17+$E$24-10,$G$27,0)</f>
        <v>0</v>
      </c>
      <c r="X243" s="23">
        <f>IF($P243&lt;ConceptDemo!$C$17+$E$24-10,$H$27,0)</f>
        <v>0</v>
      </c>
      <c r="Y243" s="13">
        <f t="shared" si="27"/>
        <v>0</v>
      </c>
      <c r="Z243" s="13">
        <f t="shared" si="28"/>
        <v>0</v>
      </c>
      <c r="AA243" s="13">
        <f t="shared" si="29"/>
        <v>0</v>
      </c>
      <c r="AB243" s="13">
        <f t="shared" si="30"/>
        <v>0</v>
      </c>
      <c r="AC243" s="23">
        <f t="shared" si="31"/>
        <v>0</v>
      </c>
      <c r="AD243" s="23">
        <f>IF(P243&lt;=ConceptDemo!$C$19,AD242+SUM(W243:AB243)-(Q243-Q242)-AC243,0)</f>
        <v>0</v>
      </c>
      <c r="AE243" s="23">
        <f>IF(ConceptDemo!$C$7=Backend!$A$2,AD243,IF(AE242&lt;&gt;AD242,IF(P243&lt;=ConceptDemo!$C$19,AE242+SUM(W243:AB243)-(Q243-Q242)-AC243,0),IF(P243=ConceptDemo!$C$40,ConceptDemo!$C$39,AD243)))</f>
        <v>0</v>
      </c>
      <c r="AF243" s="23">
        <f t="shared" si="33"/>
        <v>0</v>
      </c>
      <c r="AG243" s="23">
        <f t="shared" si="34"/>
        <v>0</v>
      </c>
      <c r="AH243" s="23">
        <f t="shared" si="32"/>
        <v>0</v>
      </c>
    </row>
    <row r="244" spans="16:34" x14ac:dyDescent="0.25">
      <c r="P244" s="16" t="str">
        <f>IFERROR(IF(P243+1=ConceptDemo!$C$19+10,"",Backend!P243+1),"")</f>
        <v/>
      </c>
      <c r="Q244" s="13">
        <f>IF(OR(P244&lt;ConceptDemo!$C$17,Backend!P244&gt;ConceptDemo!$C$19),0,IF(Backend!P244&lt;=Backend!$R$12,Backend!Q243+Backend!$T$12,IF(Backend!P244&lt;=Backend!$R$13,Backend!Q243+Backend!$T$13,IF(Backend!P244&lt;=Backend!$R$14,Backend!Q243+Backend!$T$14,IF(Backend!P244&lt;=Backend!$R$15,Backend!Q243+Backend!$T$15,IF(Backend!P244&lt;=Backend!$X$16,Backend!Q243+Backend!$Z$16))))))</f>
        <v>0</v>
      </c>
      <c r="R244" s="24" t="str">
        <f>IF(1&lt;=ConceptDemo!$K$41,IF(P244=$W$12,ConceptDemo!$K$39,""),"")</f>
        <v/>
      </c>
      <c r="S244" s="24" t="str">
        <f>IF(2&lt;=ConceptDemo!$K$41,IF(P244=$W$13,ConceptDemo!$K$39,""),"")</f>
        <v/>
      </c>
      <c r="T244" s="24" t="str">
        <f>IF(3&lt;=ConceptDemo!$K$41,IF(P244=$W$14,ConceptDemo!$K$39,""),"")</f>
        <v/>
      </c>
      <c r="U244" s="24" t="str">
        <f>IF(4&lt;=ConceptDemo!$K$41,IF(P244=$W$15,ConceptDemo!$K$39,""),"")</f>
        <v/>
      </c>
      <c r="W244" s="23">
        <f>IF($P244&lt;ConceptDemo!$C$17+$E$24-10,$G$27,0)</f>
        <v>0</v>
      </c>
      <c r="X244" s="23">
        <f>IF($P244&lt;ConceptDemo!$C$17+$E$24-10,$H$27,0)</f>
        <v>0</v>
      </c>
      <c r="Y244" s="13">
        <f t="shared" si="27"/>
        <v>0</v>
      </c>
      <c r="Z244" s="13">
        <f t="shared" si="28"/>
        <v>0</v>
      </c>
      <c r="AA244" s="13">
        <f t="shared" si="29"/>
        <v>0</v>
      </c>
      <c r="AB244" s="13">
        <f t="shared" si="30"/>
        <v>0</v>
      </c>
      <c r="AC244" s="23">
        <f t="shared" si="31"/>
        <v>0</v>
      </c>
      <c r="AD244" s="23">
        <f>IF(P244&lt;=ConceptDemo!$C$19,AD243+SUM(W244:AB244)-(Q244-Q243)-AC244,0)</f>
        <v>0</v>
      </c>
      <c r="AE244" s="23">
        <f>IF(ConceptDemo!$C$7=Backend!$A$2,AD244,IF(AE243&lt;&gt;AD243,IF(P244&lt;=ConceptDemo!$C$19,AE243+SUM(W244:AB244)-(Q244-Q243)-AC244,0),IF(P244=ConceptDemo!$C$40,ConceptDemo!$C$39,AD244)))</f>
        <v>0</v>
      </c>
      <c r="AF244" s="23">
        <f t="shared" si="33"/>
        <v>0</v>
      </c>
      <c r="AG244" s="23">
        <f t="shared" si="34"/>
        <v>0</v>
      </c>
      <c r="AH244" s="23">
        <f t="shared" si="32"/>
        <v>0</v>
      </c>
    </row>
    <row r="245" spans="16:34" x14ac:dyDescent="0.25">
      <c r="P245" s="16" t="str">
        <f>IFERROR(IF(P244+1=ConceptDemo!$C$19+10,"",Backend!P244+1),"")</f>
        <v/>
      </c>
      <c r="Q245" s="13">
        <f>IF(OR(P245&lt;ConceptDemo!$C$17,Backend!P245&gt;ConceptDemo!$C$19),0,IF(Backend!P245&lt;=Backend!$R$12,Backend!Q244+Backend!$T$12,IF(Backend!P245&lt;=Backend!$R$13,Backend!Q244+Backend!$T$13,IF(Backend!P245&lt;=Backend!$R$14,Backend!Q244+Backend!$T$14,IF(Backend!P245&lt;=Backend!$R$15,Backend!Q244+Backend!$T$15,IF(Backend!P245&lt;=Backend!$X$16,Backend!Q244+Backend!$Z$16))))))</f>
        <v>0</v>
      </c>
      <c r="R245" s="24" t="str">
        <f>IF(1&lt;=ConceptDemo!$K$41,IF(P245=$W$12,ConceptDemo!$K$39,""),"")</f>
        <v/>
      </c>
      <c r="S245" s="24" t="str">
        <f>IF(2&lt;=ConceptDemo!$K$41,IF(P245=$W$13,ConceptDemo!$K$39,""),"")</f>
        <v/>
      </c>
      <c r="T245" s="24" t="str">
        <f>IF(3&lt;=ConceptDemo!$K$41,IF(P245=$W$14,ConceptDemo!$K$39,""),"")</f>
        <v/>
      </c>
      <c r="U245" s="24" t="str">
        <f>IF(4&lt;=ConceptDemo!$K$41,IF(P245=$W$15,ConceptDemo!$K$39,""),"")</f>
        <v/>
      </c>
      <c r="W245" s="23">
        <f>IF($P245&lt;ConceptDemo!$C$17+$E$24-10,$G$27,0)</f>
        <v>0</v>
      </c>
      <c r="X245" s="23">
        <f>IF($P245&lt;ConceptDemo!$C$17+$E$24-10,$H$27,0)</f>
        <v>0</v>
      </c>
      <c r="Y245" s="13">
        <f t="shared" si="27"/>
        <v>0</v>
      </c>
      <c r="Z245" s="13">
        <f t="shared" si="28"/>
        <v>0</v>
      </c>
      <c r="AA245" s="13">
        <f t="shared" si="29"/>
        <v>0</v>
      </c>
      <c r="AB245" s="13">
        <f t="shared" si="30"/>
        <v>0</v>
      </c>
      <c r="AC245" s="23">
        <f t="shared" si="31"/>
        <v>0</v>
      </c>
      <c r="AD245" s="23">
        <f>IF(P245&lt;=ConceptDemo!$C$19,AD244+SUM(W245:AB245)-(Q245-Q244)-AC245,0)</f>
        <v>0</v>
      </c>
      <c r="AE245" s="23">
        <f>IF(ConceptDemo!$C$7=Backend!$A$2,AD245,IF(AE244&lt;&gt;AD244,IF(P245&lt;=ConceptDemo!$C$19,AE244+SUM(W245:AB245)-(Q245-Q244)-AC245,0),IF(P245=ConceptDemo!$C$40,ConceptDemo!$C$39,AD245)))</f>
        <v>0</v>
      </c>
      <c r="AF245" s="23">
        <f t="shared" si="33"/>
        <v>0</v>
      </c>
      <c r="AG245" s="23">
        <f t="shared" si="34"/>
        <v>0</v>
      </c>
      <c r="AH245" s="23">
        <f t="shared" si="32"/>
        <v>0</v>
      </c>
    </row>
    <row r="246" spans="16:34" x14ac:dyDescent="0.25">
      <c r="P246" s="16" t="str">
        <f>IFERROR(IF(P245+1=ConceptDemo!$C$19+10,"",Backend!P245+1),"")</f>
        <v/>
      </c>
      <c r="Q246" s="13">
        <f>IF(OR(P246&lt;ConceptDemo!$C$17,Backend!P246&gt;ConceptDemo!$C$19),0,IF(Backend!P246&lt;=Backend!$R$12,Backend!Q245+Backend!$T$12,IF(Backend!P246&lt;=Backend!$R$13,Backend!Q245+Backend!$T$13,IF(Backend!P246&lt;=Backend!$R$14,Backend!Q245+Backend!$T$14,IF(Backend!P246&lt;=Backend!$R$15,Backend!Q245+Backend!$T$15,IF(Backend!P246&lt;=Backend!$X$16,Backend!Q245+Backend!$Z$16))))))</f>
        <v>0</v>
      </c>
      <c r="R246" s="24" t="str">
        <f>IF(1&lt;=ConceptDemo!$K$41,IF(P246=$W$12,ConceptDemo!$K$39,""),"")</f>
        <v/>
      </c>
      <c r="S246" s="24" t="str">
        <f>IF(2&lt;=ConceptDemo!$K$41,IF(P246=$W$13,ConceptDemo!$K$39,""),"")</f>
        <v/>
      </c>
      <c r="T246" s="24" t="str">
        <f>IF(3&lt;=ConceptDemo!$K$41,IF(P246=$W$14,ConceptDemo!$K$39,""),"")</f>
        <v/>
      </c>
      <c r="U246" s="24" t="str">
        <f>IF(4&lt;=ConceptDemo!$K$41,IF(P246=$W$15,ConceptDemo!$K$39,""),"")</f>
        <v/>
      </c>
      <c r="W246" s="23">
        <f>IF($P246&lt;ConceptDemo!$C$17+$E$24-10,$G$27,0)</f>
        <v>0</v>
      </c>
      <c r="X246" s="23">
        <f>IF($P246&lt;ConceptDemo!$C$17+$E$24-10,$H$27,0)</f>
        <v>0</v>
      </c>
      <c r="Y246" s="13">
        <f t="shared" si="27"/>
        <v>0</v>
      </c>
      <c r="Z246" s="13">
        <f t="shared" si="28"/>
        <v>0</v>
      </c>
      <c r="AA246" s="13">
        <f t="shared" si="29"/>
        <v>0</v>
      </c>
      <c r="AB246" s="13">
        <f t="shared" si="30"/>
        <v>0</v>
      </c>
      <c r="AC246" s="23">
        <f t="shared" si="31"/>
        <v>0</v>
      </c>
      <c r="AD246" s="23">
        <f>IF(P246&lt;=ConceptDemo!$C$19,AD245+SUM(W246:AB246)-(Q246-Q245)-AC246,0)</f>
        <v>0</v>
      </c>
      <c r="AE246" s="23">
        <f>IF(ConceptDemo!$C$7=Backend!$A$2,AD246,IF(AE245&lt;&gt;AD245,IF(P246&lt;=ConceptDemo!$C$19,AE245+SUM(W246:AB246)-(Q246-Q245)-AC246,0),IF(P246=ConceptDemo!$C$40,ConceptDemo!$C$39,AD246)))</f>
        <v>0</v>
      </c>
      <c r="AF246" s="23">
        <f t="shared" si="33"/>
        <v>0</v>
      </c>
      <c r="AG246" s="23">
        <f t="shared" si="34"/>
        <v>0</v>
      </c>
      <c r="AH246" s="23">
        <f t="shared" si="32"/>
        <v>0</v>
      </c>
    </row>
    <row r="247" spans="16:34" x14ac:dyDescent="0.25">
      <c r="P247" s="16" t="str">
        <f>IFERROR(IF(P246+1=ConceptDemo!$C$19+10,"",Backend!P246+1),"")</f>
        <v/>
      </c>
      <c r="Q247" s="13">
        <f>IF(OR(P247&lt;ConceptDemo!$C$17,Backend!P247&gt;ConceptDemo!$C$19),0,IF(Backend!P247&lt;=Backend!$R$12,Backend!Q246+Backend!$T$12,IF(Backend!P247&lt;=Backend!$R$13,Backend!Q246+Backend!$T$13,IF(Backend!P247&lt;=Backend!$R$14,Backend!Q246+Backend!$T$14,IF(Backend!P247&lt;=Backend!$R$15,Backend!Q246+Backend!$T$15,IF(Backend!P247&lt;=Backend!$X$16,Backend!Q246+Backend!$Z$16))))))</f>
        <v>0</v>
      </c>
      <c r="R247" s="24" t="str">
        <f>IF(1&lt;=ConceptDemo!$K$41,IF(P247=$W$12,ConceptDemo!$K$39,""),"")</f>
        <v/>
      </c>
      <c r="S247" s="24" t="str">
        <f>IF(2&lt;=ConceptDemo!$K$41,IF(P247=$W$13,ConceptDemo!$K$39,""),"")</f>
        <v/>
      </c>
      <c r="T247" s="24" t="str">
        <f>IF(3&lt;=ConceptDemo!$K$41,IF(P247=$W$14,ConceptDemo!$K$39,""),"")</f>
        <v/>
      </c>
      <c r="U247" s="24" t="str">
        <f>IF(4&lt;=ConceptDemo!$K$41,IF(P247=$W$15,ConceptDemo!$K$39,""),"")</f>
        <v/>
      </c>
      <c r="W247" s="23">
        <f>IF($P247&lt;ConceptDemo!$C$17+$E$24-10,$G$27,0)</f>
        <v>0</v>
      </c>
      <c r="X247" s="23">
        <f>IF($P247&lt;ConceptDemo!$C$17+$E$24-10,$H$27,0)</f>
        <v>0</v>
      </c>
      <c r="Y247" s="13">
        <f t="shared" si="27"/>
        <v>0</v>
      </c>
      <c r="Z247" s="13">
        <f t="shared" si="28"/>
        <v>0</v>
      </c>
      <c r="AA247" s="13">
        <f t="shared" si="29"/>
        <v>0</v>
      </c>
      <c r="AB247" s="13">
        <f t="shared" si="30"/>
        <v>0</v>
      </c>
      <c r="AC247" s="23">
        <f t="shared" si="31"/>
        <v>0</v>
      </c>
      <c r="AD247" s="23">
        <f>IF(P247&lt;=ConceptDemo!$C$19,AD246+SUM(W247:AB247)-(Q247-Q246)-AC247,0)</f>
        <v>0</v>
      </c>
      <c r="AE247" s="23">
        <f>IF(ConceptDemo!$C$7=Backend!$A$2,AD247,IF(AE246&lt;&gt;AD246,IF(P247&lt;=ConceptDemo!$C$19,AE246+SUM(W247:AB247)-(Q247-Q246)-AC247,0),IF(P247=ConceptDemo!$C$40,ConceptDemo!$C$39,AD247)))</f>
        <v>0</v>
      </c>
      <c r="AF247" s="23">
        <f t="shared" si="33"/>
        <v>0</v>
      </c>
      <c r="AG247" s="23">
        <f t="shared" si="34"/>
        <v>0</v>
      </c>
      <c r="AH247" s="23">
        <f t="shared" si="32"/>
        <v>0</v>
      </c>
    </row>
    <row r="248" spans="16:34" x14ac:dyDescent="0.25">
      <c r="P248" s="16" t="str">
        <f>IFERROR(IF(P247+1=ConceptDemo!$C$19+10,"",Backend!P247+1),"")</f>
        <v/>
      </c>
      <c r="Q248" s="13">
        <f>IF(OR(P248&lt;ConceptDemo!$C$17,Backend!P248&gt;ConceptDemo!$C$19),0,IF(Backend!P248&lt;=Backend!$R$12,Backend!Q247+Backend!$T$12,IF(Backend!P248&lt;=Backend!$R$13,Backend!Q247+Backend!$T$13,IF(Backend!P248&lt;=Backend!$R$14,Backend!Q247+Backend!$T$14,IF(Backend!P248&lt;=Backend!$R$15,Backend!Q247+Backend!$T$15,IF(Backend!P248&lt;=Backend!$X$16,Backend!Q247+Backend!$Z$16))))))</f>
        <v>0</v>
      </c>
      <c r="R248" s="24" t="str">
        <f>IF(1&lt;=ConceptDemo!$K$41,IF(P248=$W$12,ConceptDemo!$K$39,""),"")</f>
        <v/>
      </c>
      <c r="S248" s="24" t="str">
        <f>IF(2&lt;=ConceptDemo!$K$41,IF(P248=$W$13,ConceptDemo!$K$39,""),"")</f>
        <v/>
      </c>
      <c r="T248" s="24" t="str">
        <f>IF(3&lt;=ConceptDemo!$K$41,IF(P248=$W$14,ConceptDemo!$K$39,""),"")</f>
        <v/>
      </c>
      <c r="U248" s="24" t="str">
        <f>IF(4&lt;=ConceptDemo!$K$41,IF(P248=$W$15,ConceptDemo!$K$39,""),"")</f>
        <v/>
      </c>
      <c r="W248" s="23">
        <f>IF($P248&lt;ConceptDemo!$C$17+$E$24-10,$G$27,0)</f>
        <v>0</v>
      </c>
      <c r="X248" s="23">
        <f>IF($P248&lt;ConceptDemo!$C$17+$E$24-10,$H$27,0)</f>
        <v>0</v>
      </c>
      <c r="Y248" s="13">
        <f t="shared" si="27"/>
        <v>0</v>
      </c>
      <c r="Z248" s="13">
        <f t="shared" si="28"/>
        <v>0</v>
      </c>
      <c r="AA248" s="13">
        <f t="shared" si="29"/>
        <v>0</v>
      </c>
      <c r="AB248" s="13">
        <f t="shared" si="30"/>
        <v>0</v>
      </c>
      <c r="AC248" s="23">
        <f t="shared" si="31"/>
        <v>0</v>
      </c>
      <c r="AD248" s="23">
        <f>IF(P248&lt;=ConceptDemo!$C$19,AD247+SUM(W248:AB248)-(Q248-Q247)-AC248,0)</f>
        <v>0</v>
      </c>
      <c r="AE248" s="23">
        <f>IF(ConceptDemo!$C$7=Backend!$A$2,AD248,IF(AE247&lt;&gt;AD247,IF(P248&lt;=ConceptDemo!$C$19,AE247+SUM(W248:AB248)-(Q248-Q247)-AC248,0),IF(P248=ConceptDemo!$C$40,ConceptDemo!$C$39,AD248)))</f>
        <v>0</v>
      </c>
      <c r="AF248" s="23">
        <f t="shared" si="33"/>
        <v>0</v>
      </c>
      <c r="AG248" s="23">
        <f t="shared" si="34"/>
        <v>0</v>
      </c>
      <c r="AH248" s="23">
        <f t="shared" si="32"/>
        <v>0</v>
      </c>
    </row>
    <row r="249" spans="16:34" x14ac:dyDescent="0.25">
      <c r="P249" s="16" t="str">
        <f>IFERROR(IF(P248+1=ConceptDemo!$C$19+10,"",Backend!P248+1),"")</f>
        <v/>
      </c>
      <c r="Q249" s="13">
        <f>IF(OR(P249&lt;ConceptDemo!$C$17,Backend!P249&gt;ConceptDemo!$C$19),0,IF(Backend!P249&lt;=Backend!$R$12,Backend!Q248+Backend!$T$12,IF(Backend!P249&lt;=Backend!$R$13,Backend!Q248+Backend!$T$13,IF(Backend!P249&lt;=Backend!$R$14,Backend!Q248+Backend!$T$14,IF(Backend!P249&lt;=Backend!$R$15,Backend!Q248+Backend!$T$15,IF(Backend!P249&lt;=Backend!$X$16,Backend!Q248+Backend!$Z$16))))))</f>
        <v>0</v>
      </c>
      <c r="R249" s="24" t="str">
        <f>IF(1&lt;=ConceptDemo!$K$41,IF(P249=$W$12,ConceptDemo!$K$39,""),"")</f>
        <v/>
      </c>
      <c r="S249" s="24" t="str">
        <f>IF(2&lt;=ConceptDemo!$K$41,IF(P249=$W$13,ConceptDemo!$K$39,""),"")</f>
        <v/>
      </c>
      <c r="T249" s="24" t="str">
        <f>IF(3&lt;=ConceptDemo!$K$41,IF(P249=$W$14,ConceptDemo!$K$39,""),"")</f>
        <v/>
      </c>
      <c r="U249" s="24" t="str">
        <f>IF(4&lt;=ConceptDemo!$K$41,IF(P249=$W$15,ConceptDemo!$K$39,""),"")</f>
        <v/>
      </c>
      <c r="W249" s="23">
        <f>IF($P249&lt;ConceptDemo!$C$17+$E$24-10,$G$27,0)</f>
        <v>0</v>
      </c>
      <c r="X249" s="23">
        <f>IF($P249&lt;ConceptDemo!$C$17+$E$24-10,$H$27,0)</f>
        <v>0</v>
      </c>
      <c r="Y249" s="13">
        <f t="shared" si="27"/>
        <v>0</v>
      </c>
      <c r="Z249" s="13">
        <f t="shared" si="28"/>
        <v>0</v>
      </c>
      <c r="AA249" s="13">
        <f t="shared" si="29"/>
        <v>0</v>
      </c>
      <c r="AB249" s="13">
        <f t="shared" si="30"/>
        <v>0</v>
      </c>
      <c r="AC249" s="23">
        <f t="shared" si="31"/>
        <v>0</v>
      </c>
      <c r="AD249" s="23">
        <f>IF(P249&lt;=ConceptDemo!$C$19,AD248+SUM(W249:AB249)-(Q249-Q248)-AC249,0)</f>
        <v>0</v>
      </c>
      <c r="AE249" s="23">
        <f>IF(ConceptDemo!$C$7=Backend!$A$2,AD249,IF(AE248&lt;&gt;AD248,IF(P249&lt;=ConceptDemo!$C$19,AE248+SUM(W249:AB249)-(Q249-Q248)-AC249,0),IF(P249=ConceptDemo!$C$40,ConceptDemo!$C$39,AD249)))</f>
        <v>0</v>
      </c>
      <c r="AF249" s="23">
        <f t="shared" si="33"/>
        <v>0</v>
      </c>
      <c r="AG249" s="23">
        <f t="shared" si="34"/>
        <v>0</v>
      </c>
      <c r="AH249" s="23">
        <f t="shared" si="32"/>
        <v>0</v>
      </c>
    </row>
    <row r="250" spans="16:34" x14ac:dyDescent="0.25">
      <c r="P250" s="16" t="str">
        <f>IFERROR(IF(P249+1=ConceptDemo!$C$19+10,"",Backend!P249+1),"")</f>
        <v/>
      </c>
      <c r="Q250" s="13">
        <f>IF(OR(P250&lt;ConceptDemo!$C$17,Backend!P250&gt;ConceptDemo!$C$19),0,IF(Backend!P250&lt;=Backend!$R$12,Backend!Q249+Backend!$T$12,IF(Backend!P250&lt;=Backend!$R$13,Backend!Q249+Backend!$T$13,IF(Backend!P250&lt;=Backend!$R$14,Backend!Q249+Backend!$T$14,IF(Backend!P250&lt;=Backend!$R$15,Backend!Q249+Backend!$T$15,IF(Backend!P250&lt;=Backend!$X$16,Backend!Q249+Backend!$Z$16))))))</f>
        <v>0</v>
      </c>
      <c r="R250" s="24" t="str">
        <f>IF(1&lt;=ConceptDemo!$K$41,IF(P250=$W$12,ConceptDemo!$K$39,""),"")</f>
        <v/>
      </c>
      <c r="S250" s="24" t="str">
        <f>IF(2&lt;=ConceptDemo!$K$41,IF(P250=$W$13,ConceptDemo!$K$39,""),"")</f>
        <v/>
      </c>
      <c r="T250" s="24" t="str">
        <f>IF(3&lt;=ConceptDemo!$K$41,IF(P250=$W$14,ConceptDemo!$K$39,""),"")</f>
        <v/>
      </c>
      <c r="U250" s="24" t="str">
        <f>IF(4&lt;=ConceptDemo!$K$41,IF(P250=$W$15,ConceptDemo!$K$39,""),"")</f>
        <v/>
      </c>
      <c r="W250" s="23">
        <f>IF($P250&lt;ConceptDemo!$C$17+$E$24-10,$G$27,0)</f>
        <v>0</v>
      </c>
      <c r="X250" s="23">
        <f>IF($P250&lt;ConceptDemo!$C$17+$E$24-10,$H$27,0)</f>
        <v>0</v>
      </c>
      <c r="Y250" s="13">
        <f t="shared" si="27"/>
        <v>0</v>
      </c>
      <c r="Z250" s="13">
        <f t="shared" si="28"/>
        <v>0</v>
      </c>
      <c r="AA250" s="13">
        <f t="shared" si="29"/>
        <v>0</v>
      </c>
      <c r="AB250" s="13">
        <f t="shared" si="30"/>
        <v>0</v>
      </c>
      <c r="AC250" s="23">
        <f t="shared" si="31"/>
        <v>0</v>
      </c>
      <c r="AD250" s="23">
        <f>IF(P250&lt;=ConceptDemo!$C$19,AD249+SUM(W250:AB250)-(Q250-Q249)-AC250,0)</f>
        <v>0</v>
      </c>
      <c r="AE250" s="23">
        <f>IF(ConceptDemo!$C$7=Backend!$A$2,AD250,IF(AE249&lt;&gt;AD249,IF(P250&lt;=ConceptDemo!$C$19,AE249+SUM(W250:AB250)-(Q250-Q249)-AC250,0),IF(P250=ConceptDemo!$C$40,ConceptDemo!$C$39,AD250)))</f>
        <v>0</v>
      </c>
      <c r="AF250" s="23">
        <f t="shared" si="33"/>
        <v>0</v>
      </c>
      <c r="AG250" s="23">
        <f t="shared" si="34"/>
        <v>0</v>
      </c>
      <c r="AH250" s="23">
        <f t="shared" si="32"/>
        <v>0</v>
      </c>
    </row>
    <row r="251" spans="16:34" x14ac:dyDescent="0.25">
      <c r="P251" s="16" t="str">
        <f>IFERROR(IF(P250+1=ConceptDemo!$C$19+10,"",Backend!P250+1),"")</f>
        <v/>
      </c>
      <c r="Q251" s="13">
        <f>IF(OR(P251&lt;ConceptDemo!$C$17,Backend!P251&gt;ConceptDemo!$C$19),0,IF(Backend!P251&lt;=Backend!$R$12,Backend!Q250+Backend!$T$12,IF(Backend!P251&lt;=Backend!$R$13,Backend!Q250+Backend!$T$13,IF(Backend!P251&lt;=Backend!$R$14,Backend!Q250+Backend!$T$14,IF(Backend!P251&lt;=Backend!$R$15,Backend!Q250+Backend!$T$15,IF(Backend!P251&lt;=Backend!$X$16,Backend!Q250+Backend!$Z$16))))))</f>
        <v>0</v>
      </c>
      <c r="R251" s="24" t="str">
        <f>IF(1&lt;=ConceptDemo!$K$41,IF(P251=$W$12,ConceptDemo!$K$39,""),"")</f>
        <v/>
      </c>
      <c r="S251" s="24" t="str">
        <f>IF(2&lt;=ConceptDemo!$K$41,IF(P251=$W$13,ConceptDemo!$K$39,""),"")</f>
        <v/>
      </c>
      <c r="T251" s="24" t="str">
        <f>IF(3&lt;=ConceptDemo!$K$41,IF(P251=$W$14,ConceptDemo!$K$39,""),"")</f>
        <v/>
      </c>
      <c r="U251" s="24" t="str">
        <f>IF(4&lt;=ConceptDemo!$K$41,IF(P251=$W$15,ConceptDemo!$K$39,""),"")</f>
        <v/>
      </c>
      <c r="W251" s="23">
        <f>IF($P251&lt;ConceptDemo!$C$17+$E$24-10,$G$27,0)</f>
        <v>0</v>
      </c>
      <c r="X251" s="23">
        <f>IF($P251&lt;ConceptDemo!$C$17+$E$24-10,$H$27,0)</f>
        <v>0</v>
      </c>
      <c r="Y251" s="13">
        <f t="shared" si="27"/>
        <v>0</v>
      </c>
      <c r="Z251" s="13">
        <f t="shared" si="28"/>
        <v>0</v>
      </c>
      <c r="AA251" s="13">
        <f t="shared" si="29"/>
        <v>0</v>
      </c>
      <c r="AB251" s="13">
        <f t="shared" si="30"/>
        <v>0</v>
      </c>
      <c r="AC251" s="23">
        <f t="shared" si="31"/>
        <v>0</v>
      </c>
      <c r="AD251" s="23">
        <f>IF(P251&lt;=ConceptDemo!$C$19,AD250+SUM(W251:AB251)-(Q251-Q250)-AC251,0)</f>
        <v>0</v>
      </c>
      <c r="AE251" s="23">
        <f>IF(ConceptDemo!$C$7=Backend!$A$2,AD251,IF(AE250&lt;&gt;AD250,IF(P251&lt;=ConceptDemo!$C$19,AE250+SUM(W251:AB251)-(Q251-Q250)-AC251,0),IF(P251=ConceptDemo!$C$40,ConceptDemo!$C$39,AD251)))</f>
        <v>0</v>
      </c>
      <c r="AF251" s="23">
        <f t="shared" si="33"/>
        <v>0</v>
      </c>
      <c r="AG251" s="23">
        <f t="shared" si="34"/>
        <v>0</v>
      </c>
      <c r="AH251" s="23">
        <f t="shared" si="32"/>
        <v>0</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9D3D-86EC-4CDB-A5D3-4DA78B18B0CC}">
  <dimension ref="A1:AB492"/>
  <sheetViews>
    <sheetView tabSelected="1" topLeftCell="F1" workbookViewId="0">
      <selection activeCell="F37" sqref="F37"/>
    </sheetView>
  </sheetViews>
  <sheetFormatPr defaultRowHeight="15" x14ac:dyDescent="0.25"/>
  <cols>
    <col min="1" max="1" width="3" bestFit="1" customWidth="1"/>
    <col min="3" max="3" width="14.7109375" bestFit="1" customWidth="1"/>
    <col min="4" max="4" width="26.7109375" bestFit="1" customWidth="1"/>
    <col min="5" max="6" width="29.85546875" bestFit="1" customWidth="1"/>
    <col min="7" max="7" width="5" customWidth="1"/>
    <col min="16" max="16" width="10.7109375" bestFit="1" customWidth="1"/>
    <col min="17" max="17" width="9.28515625" bestFit="1" customWidth="1"/>
    <col min="18" max="18" width="11.7109375" bestFit="1" customWidth="1"/>
    <col min="19" max="27" width="11.7109375" customWidth="1"/>
    <col min="28" max="28" width="10.7109375" bestFit="1" customWidth="1"/>
    <col min="31" max="31" width="6.140625" customWidth="1"/>
    <col min="38" max="38" width="3.7109375" customWidth="1"/>
    <col min="39" max="39" width="14.140625" customWidth="1"/>
    <col min="40" max="40" width="12.5703125" customWidth="1"/>
    <col min="41" max="41" width="6.28515625" customWidth="1"/>
    <col min="42" max="42" width="15.140625" bestFit="1" customWidth="1"/>
    <col min="43" max="43" width="17.42578125" bestFit="1" customWidth="1"/>
    <col min="44" max="44" width="12.42578125" bestFit="1" customWidth="1"/>
    <col min="45" max="45" width="6" bestFit="1" customWidth="1"/>
  </cols>
  <sheetData>
    <row r="1" spans="1:21" x14ac:dyDescent="0.25">
      <c r="M1" t="str">
        <f>ConceptDemo!C21</f>
        <v>Pukekohe</v>
      </c>
    </row>
    <row r="2" spans="1:21" ht="15.75" thickBot="1" x14ac:dyDescent="0.3">
      <c r="C2" s="6" t="s">
        <v>160</v>
      </c>
      <c r="D2" s="6"/>
      <c r="E2" t="s">
        <v>161</v>
      </c>
      <c r="F2" t="s">
        <v>162</v>
      </c>
      <c r="K2" t="s">
        <v>430</v>
      </c>
      <c r="L2" t="s">
        <v>85</v>
      </c>
      <c r="M2" t="s">
        <v>164</v>
      </c>
      <c r="P2" t="str">
        <f t="array" ref="P2:U62">_xll.GetDailyNBalance(L2:M492,D3:E44,H3:I10)</f>
        <v>Date</v>
      </c>
      <c r="Q2" s="16" t="str">
        <v>SoilMineralN</v>
      </c>
      <c r="R2" t="str">
        <v>UptakeN</v>
      </c>
      <c r="S2" t="str">
        <v>ResidueN</v>
      </c>
      <c r="T2" t="str">
        <v>SoilOMN</v>
      </c>
      <c r="U2" t="str">
        <v>FertiliserN</v>
      </c>
    </row>
    <row r="3" spans="1:21" ht="15.75" thickBot="1" x14ac:dyDescent="0.3">
      <c r="D3" s="44" t="s">
        <v>165</v>
      </c>
      <c r="E3" s="45">
        <f>IF(F3="",50,F3)</f>
        <v>50</v>
      </c>
      <c r="H3" s="132" t="s">
        <v>163</v>
      </c>
      <c r="I3" s="133"/>
      <c r="K3" s="24">
        <f>L3-DATE(YEAR(L3),1,0)+1</f>
        <v>259</v>
      </c>
      <c r="L3" s="46">
        <f>F10</f>
        <v>44454</v>
      </c>
      <c r="M3">
        <f>HLOOKUP($M$1,meanT!$A$2:$D$368,K3,FALSE)</f>
        <v>12.3883333333333</v>
      </c>
      <c r="P3" s="16">
        <v>44454</v>
      </c>
      <c r="Q3">
        <v>87.943990999999997</v>
      </c>
      <c r="R3">
        <v>0</v>
      </c>
      <c r="S3">
        <v>1.4865999999999959E-2</v>
      </c>
      <c r="T3" s="42">
        <v>0.92912499999999754</v>
      </c>
      <c r="U3">
        <v>37</v>
      </c>
    </row>
    <row r="4" spans="1:21" ht="15.75" thickBot="1" x14ac:dyDescent="0.3">
      <c r="B4" t="s">
        <v>169</v>
      </c>
      <c r="C4" t="s">
        <v>170</v>
      </c>
      <c r="D4" s="47" t="str">
        <f>B4&amp;C4</f>
        <v>PriorCropName</v>
      </c>
      <c r="E4" s="48" t="str">
        <f>F4</f>
        <v>Annual ryegrass Fodder General</v>
      </c>
      <c r="F4" s="49" t="s">
        <v>171</v>
      </c>
      <c r="H4" s="126" t="s">
        <v>85</v>
      </c>
      <c r="I4" s="127" t="s">
        <v>166</v>
      </c>
      <c r="K4" s="24">
        <f t="shared" ref="K4:K67" si="0">L4-DATE(YEAR(L4),1,0)+1</f>
        <v>260</v>
      </c>
      <c r="L4" s="46">
        <f>L3+1</f>
        <v>44455</v>
      </c>
      <c r="M4">
        <f>HLOOKUP($M$1,meanT!$A$2:$D$368,K4,FALSE)</f>
        <v>12.5766666666666</v>
      </c>
      <c r="P4" s="16">
        <v>44455</v>
      </c>
      <c r="Q4">
        <v>89.417581748246846</v>
      </c>
      <c r="R4">
        <v>0.145765430372674</v>
      </c>
      <c r="S4">
        <v>0.67610617861953781</v>
      </c>
      <c r="T4" s="42">
        <v>0.94324999999999504</v>
      </c>
      <c r="U4">
        <v>0</v>
      </c>
    </row>
    <row r="5" spans="1:21" x14ac:dyDescent="0.25">
      <c r="A5">
        <v>7</v>
      </c>
      <c r="B5" t="str">
        <f>B4</f>
        <v>Prior</v>
      </c>
      <c r="C5" t="s">
        <v>174</v>
      </c>
      <c r="D5" s="50" t="str">
        <f t="shared" ref="D5:D15" si="1">B5&amp;C5</f>
        <v>PriorSaleableYield</v>
      </c>
      <c r="E5" s="51">
        <f>IF(F5="",VLOOKUP(E$4,[1]CropCoefficients!$K$3:$AF$78,'[1]NBalance Test'!$Q4,FALSE),F5)</f>
        <v>5</v>
      </c>
      <c r="F5" s="52"/>
      <c r="H5" s="128">
        <f>F22-1</f>
        <v>44453</v>
      </c>
      <c r="I5" s="127">
        <v>100</v>
      </c>
      <c r="K5" s="24">
        <f t="shared" si="0"/>
        <v>261</v>
      </c>
      <c r="L5" s="46">
        <f t="shared" ref="L5:L68" si="2">L4+1</f>
        <v>44456</v>
      </c>
      <c r="M5">
        <f>HLOOKUP($M$1,meanT!$A$2:$D$368,K5,FALSE)</f>
        <v>12.482258064516101</v>
      </c>
      <c r="P5" s="16">
        <v>44456</v>
      </c>
      <c r="Q5">
        <v>90.862449707795179</v>
      </c>
      <c r="R5">
        <v>0.15389295142064499</v>
      </c>
      <c r="S5">
        <v>0.66259155613024956</v>
      </c>
      <c r="T5" s="42">
        <v>0.93616935483870767</v>
      </c>
      <c r="U5">
        <v>0</v>
      </c>
    </row>
    <row r="6" spans="1:21" x14ac:dyDescent="0.25">
      <c r="A6">
        <v>8</v>
      </c>
      <c r="B6" t="str">
        <f t="shared" ref="B6:B15" si="3">B5</f>
        <v>Prior</v>
      </c>
      <c r="C6" t="s">
        <v>3</v>
      </c>
      <c r="D6" s="50" t="str">
        <f t="shared" si="1"/>
        <v>PriorUnits</v>
      </c>
      <c r="E6" s="51" t="str">
        <f>IF(F6="",VLOOKUP(E$4,[1]CropCoefficients!$K$3:$AF$78,'[1]NBalance Test'!$Q5,FALSE),F6)</f>
        <v>t/ha</v>
      </c>
      <c r="F6" s="52"/>
      <c r="H6" s="128">
        <v>44945</v>
      </c>
      <c r="I6" s="127">
        <v>120</v>
      </c>
      <c r="K6" s="24">
        <f t="shared" si="0"/>
        <v>262</v>
      </c>
      <c r="L6" s="46">
        <f t="shared" si="2"/>
        <v>44457</v>
      </c>
      <c r="M6">
        <f>HLOOKUP($M$1,meanT!$A$2:$D$368,K6,FALSE)</f>
        <v>12.261290322580599</v>
      </c>
      <c r="P6" s="16">
        <v>44457</v>
      </c>
      <c r="Q6">
        <v>92.26413216988216</v>
      </c>
      <c r="R6">
        <v>0.160652083599337</v>
      </c>
      <c r="S6">
        <v>0.64273777149278444</v>
      </c>
      <c r="T6" s="42">
        <v>0.91959677419354491</v>
      </c>
      <c r="U6">
        <v>0</v>
      </c>
    </row>
    <row r="7" spans="1:21" x14ac:dyDescent="0.25">
      <c r="A7">
        <v>12</v>
      </c>
      <c r="B7" t="str">
        <f t="shared" si="3"/>
        <v>Prior</v>
      </c>
      <c r="C7" t="s">
        <v>177</v>
      </c>
      <c r="D7" s="50" t="str">
        <f t="shared" si="1"/>
        <v>PriorFieldLoss</v>
      </c>
      <c r="E7" s="51">
        <v>50</v>
      </c>
      <c r="F7" s="52"/>
      <c r="H7" s="126"/>
      <c r="I7" s="127"/>
      <c r="K7" s="24">
        <f t="shared" si="0"/>
        <v>263</v>
      </c>
      <c r="L7" s="46">
        <f t="shared" si="2"/>
        <v>44458</v>
      </c>
      <c r="M7">
        <f>HLOOKUP($M$1,meanT!$A$2:$D$368,K7,FALSE)</f>
        <v>12.1677419354838</v>
      </c>
      <c r="P7" s="16">
        <v>44458</v>
      </c>
      <c r="Q7">
        <v>93.637458178840802</v>
      </c>
      <c r="R7">
        <v>0.16926792679136499</v>
      </c>
      <c r="S7">
        <v>0.63001329058872291</v>
      </c>
      <c r="T7" s="42">
        <v>0.91258064516128501</v>
      </c>
      <c r="U7">
        <v>0</v>
      </c>
    </row>
    <row r="8" spans="1:21" x14ac:dyDescent="0.25">
      <c r="A8">
        <v>11</v>
      </c>
      <c r="B8" t="str">
        <f t="shared" si="3"/>
        <v>Prior</v>
      </c>
      <c r="C8" t="s">
        <v>179</v>
      </c>
      <c r="D8" s="50" t="str">
        <f t="shared" si="1"/>
        <v>PriorDressingLoss</v>
      </c>
      <c r="E8" s="51">
        <f>IF(F8="",VLOOKUP(E$4,[1]CropCoefficients!$K$3:$AF$78,'[1]NBalance Test'!$Q7,FALSE),F8)</f>
        <v>0</v>
      </c>
      <c r="F8" s="52"/>
      <c r="H8" s="126"/>
      <c r="I8" s="127"/>
      <c r="K8" s="24">
        <f t="shared" si="0"/>
        <v>264</v>
      </c>
      <c r="L8" s="46">
        <f t="shared" si="2"/>
        <v>44459</v>
      </c>
      <c r="M8">
        <f>HLOOKUP($M$1,meanT!$A$2:$D$368,K8,FALSE)</f>
        <v>12.1064516129032</v>
      </c>
      <c r="P8" s="16">
        <v>44459</v>
      </c>
      <c r="Q8">
        <v>94.985943147416009</v>
      </c>
      <c r="R8">
        <v>0.178711517796245</v>
      </c>
      <c r="S8">
        <v>0.61921261540371064</v>
      </c>
      <c r="T8" s="42">
        <v>0.90798387096774014</v>
      </c>
      <c r="U8">
        <v>0</v>
      </c>
    </row>
    <row r="9" spans="1:21" ht="15.75" thickBot="1" x14ac:dyDescent="0.3">
      <c r="A9">
        <v>15</v>
      </c>
      <c r="B9" t="str">
        <f t="shared" si="3"/>
        <v>Prior</v>
      </c>
      <c r="C9" t="s">
        <v>180</v>
      </c>
      <c r="D9" s="50" t="str">
        <f t="shared" si="1"/>
        <v>PriorMoistureContent</v>
      </c>
      <c r="E9" s="51">
        <f>IF(F9="",VLOOKUP(E$4,[1]CropCoefficients!$K$3:$AF$78,'[1]NBalance Test'!$Q8,FALSE),F9)</f>
        <v>80</v>
      </c>
      <c r="F9" s="52"/>
      <c r="H9" s="126"/>
      <c r="I9" s="127"/>
      <c r="K9" s="24">
        <f t="shared" si="0"/>
        <v>265</v>
      </c>
      <c r="L9" s="46">
        <f t="shared" si="2"/>
        <v>44460</v>
      </c>
      <c r="M9">
        <f>HLOOKUP($M$1,meanT!$A$2:$D$368,K9,FALSE)</f>
        <v>12.012903225806401</v>
      </c>
      <c r="P9" s="16">
        <v>44460</v>
      </c>
      <c r="Q9">
        <v>96.305835537975355</v>
      </c>
      <c r="R9">
        <v>0.188064675795478</v>
      </c>
      <c r="S9">
        <v>0.60698932441935161</v>
      </c>
      <c r="T9" s="42">
        <v>0.90096774193548002</v>
      </c>
      <c r="U9">
        <v>0</v>
      </c>
    </row>
    <row r="10" spans="1:21" ht="15.75" thickBot="1" x14ac:dyDescent="0.3">
      <c r="B10" t="str">
        <f t="shared" si="3"/>
        <v>Prior</v>
      </c>
      <c r="C10" t="s">
        <v>181</v>
      </c>
      <c r="D10" s="50" t="str">
        <f t="shared" si="1"/>
        <v>PriorEstablishDate</v>
      </c>
      <c r="E10" s="53">
        <f>F10</f>
        <v>44454</v>
      </c>
      <c r="F10" s="54">
        <f>F12</f>
        <v>44454</v>
      </c>
      <c r="H10" s="129"/>
      <c r="I10" s="130"/>
      <c r="K10" s="24">
        <f t="shared" si="0"/>
        <v>266</v>
      </c>
      <c r="L10" s="46">
        <f t="shared" si="2"/>
        <v>44461</v>
      </c>
      <c r="M10">
        <f>HLOOKUP($M$1,meanT!$A$2:$D$368,K10,FALSE)</f>
        <v>12.1612903225806</v>
      </c>
      <c r="P10" s="16">
        <v>44461</v>
      </c>
      <c r="Q10">
        <v>97.623138145767044</v>
      </c>
      <c r="R10">
        <v>0.201899437328454</v>
      </c>
      <c r="S10">
        <v>0.60710527092659428</v>
      </c>
      <c r="T10" s="42">
        <v>0.91209677419354496</v>
      </c>
      <c r="U10">
        <v>0</v>
      </c>
    </row>
    <row r="11" spans="1:21" ht="15.75" thickBot="1" x14ac:dyDescent="0.3">
      <c r="A11">
        <v>3</v>
      </c>
      <c r="B11" t="str">
        <f t="shared" si="3"/>
        <v>Prior</v>
      </c>
      <c r="C11" t="s">
        <v>182</v>
      </c>
      <c r="D11" s="50" t="str">
        <f t="shared" si="1"/>
        <v>PriorEstablishStage</v>
      </c>
      <c r="E11" s="51" t="str">
        <f>IF(F11="",VLOOKUP(E$4,[1]CropCoefficients!$K$3:$AF$78,'[1]NBalance Test'!$Q10,FALSE),F11)</f>
        <v>Seed</v>
      </c>
      <c r="F11" s="52"/>
      <c r="K11" s="24">
        <f t="shared" si="0"/>
        <v>267</v>
      </c>
      <c r="L11" s="46">
        <f t="shared" si="2"/>
        <v>44462</v>
      </c>
      <c r="M11">
        <f>HLOOKUP($M$1,meanT!$A$2:$D$368,K11,FALSE)</f>
        <v>12.285483870967701</v>
      </c>
      <c r="P11" s="16">
        <v>44462</v>
      </c>
      <c r="Q11">
        <v>98.934006414549145</v>
      </c>
      <c r="R11">
        <v>0.216389591867091</v>
      </c>
      <c r="S11">
        <v>0.60584657032661815</v>
      </c>
      <c r="T11" s="42">
        <v>0.92141129032257751</v>
      </c>
      <c r="U11">
        <v>0</v>
      </c>
    </row>
    <row r="12" spans="1:21" ht="15.75" thickBot="1" x14ac:dyDescent="0.3">
      <c r="B12" t="str">
        <f t="shared" si="3"/>
        <v>Prior</v>
      </c>
      <c r="C12" t="s">
        <v>183</v>
      </c>
      <c r="D12" s="50" t="str">
        <f t="shared" si="1"/>
        <v>PriorHarvestDate</v>
      </c>
      <c r="E12" s="53">
        <f>F12</f>
        <v>44454</v>
      </c>
      <c r="F12" s="54">
        <f>F22</f>
        <v>44454</v>
      </c>
      <c r="K12" s="24">
        <f t="shared" si="0"/>
        <v>268</v>
      </c>
      <c r="L12" s="46">
        <f t="shared" si="2"/>
        <v>44463</v>
      </c>
      <c r="M12">
        <f>HLOOKUP($M$1,meanT!$A$2:$D$368,K12,FALSE)</f>
        <v>12.7274193548387</v>
      </c>
      <c r="P12" s="16">
        <v>44463</v>
      </c>
      <c r="Q12">
        <v>100.27038836085661</v>
      </c>
      <c r="R12">
        <v>0.23810382658603799</v>
      </c>
      <c r="S12">
        <v>0.61992932128060152</v>
      </c>
      <c r="T12" s="42">
        <v>0.95455645161290248</v>
      </c>
      <c r="U12">
        <v>0</v>
      </c>
    </row>
    <row r="13" spans="1:21" x14ac:dyDescent="0.25">
      <c r="A13">
        <v>5</v>
      </c>
      <c r="B13" t="str">
        <f t="shared" si="3"/>
        <v>Prior</v>
      </c>
      <c r="C13" t="s">
        <v>184</v>
      </c>
      <c r="D13" s="50" t="str">
        <f t="shared" si="1"/>
        <v>PriorHarvestStage</v>
      </c>
      <c r="E13" s="51" t="str">
        <f>IF(F13="",VLOOKUP(E$4,[1]CropCoefficients!$K$3:$AF$78,'[1]NBalance Test'!$Q12,FALSE),F13)</f>
        <v>EarlyReproductive</v>
      </c>
      <c r="F13" s="52"/>
      <c r="K13" s="24">
        <f t="shared" si="0"/>
        <v>269</v>
      </c>
      <c r="L13" s="46">
        <f t="shared" si="2"/>
        <v>44464</v>
      </c>
      <c r="M13">
        <f>HLOOKUP($M$1,meanT!$A$2:$D$368,K13,FALSE)</f>
        <v>12.4338709677419</v>
      </c>
      <c r="P13" s="16">
        <v>44464</v>
      </c>
      <c r="Q13">
        <v>101.55376519359574</v>
      </c>
      <c r="R13">
        <v>0.24708648482852499</v>
      </c>
      <c r="S13">
        <v>0.59792299498700596</v>
      </c>
      <c r="T13" s="42">
        <v>0.93254032258064246</v>
      </c>
      <c r="U13">
        <v>0</v>
      </c>
    </row>
    <row r="14" spans="1:21" x14ac:dyDescent="0.25">
      <c r="B14" t="str">
        <f t="shared" si="3"/>
        <v>Prior</v>
      </c>
      <c r="C14" t="s">
        <v>185</v>
      </c>
      <c r="D14" s="50" t="str">
        <f t="shared" si="1"/>
        <v>PriorResidueTreatment</v>
      </c>
      <c r="E14" s="51">
        <f>IF(F14="",D54,F14)</f>
        <v>0</v>
      </c>
      <c r="F14" s="52"/>
      <c r="K14" s="24">
        <f t="shared" si="0"/>
        <v>270</v>
      </c>
      <c r="L14" s="46">
        <f t="shared" si="2"/>
        <v>44465</v>
      </c>
      <c r="M14">
        <f>HLOOKUP($M$1,meanT!$A$2:$D$368,K14,FALSE)</f>
        <v>12.341666666666599</v>
      </c>
      <c r="P14" s="16">
        <v>44465</v>
      </c>
      <c r="Q14">
        <v>102.80529521459528</v>
      </c>
      <c r="R14">
        <v>0.26020466495565098</v>
      </c>
      <c r="S14">
        <v>0.5861096859551973</v>
      </c>
      <c r="T14" s="42">
        <v>0.92562499999999492</v>
      </c>
      <c r="U14">
        <v>0</v>
      </c>
    </row>
    <row r="15" spans="1:21" ht="15.75" thickBot="1" x14ac:dyDescent="0.3">
      <c r="B15" t="str">
        <f t="shared" si="3"/>
        <v>Prior</v>
      </c>
      <c r="C15" t="s">
        <v>186</v>
      </c>
      <c r="D15" s="55" t="str">
        <f t="shared" si="1"/>
        <v>PriorEstablishN</v>
      </c>
      <c r="E15" s="56">
        <f>IF(F15="",0,F15)</f>
        <v>0</v>
      </c>
      <c r="F15" s="52"/>
      <c r="K15" s="24">
        <f t="shared" si="0"/>
        <v>271</v>
      </c>
      <c r="L15" s="46">
        <f t="shared" si="2"/>
        <v>44466</v>
      </c>
      <c r="M15">
        <f>HLOOKUP($M$1,meanT!$A$2:$D$368,K15,FALSE)</f>
        <v>12.7183333333333</v>
      </c>
      <c r="P15" s="16">
        <v>44466</v>
      </c>
      <c r="Q15">
        <v>104.07110821079219</v>
      </c>
      <c r="R15">
        <v>0.28460537152744397</v>
      </c>
      <c r="S15">
        <v>0.59654336772435934</v>
      </c>
      <c r="T15" s="42">
        <v>0.95387499999999747</v>
      </c>
      <c r="U15">
        <v>0</v>
      </c>
    </row>
    <row r="16" spans="1:21" ht="15.75" thickBot="1" x14ac:dyDescent="0.3">
      <c r="B16" t="s">
        <v>187</v>
      </c>
      <c r="C16" t="s">
        <v>170</v>
      </c>
      <c r="D16" s="57" t="str">
        <f>B16&amp;C16</f>
        <v>CurrentCropName</v>
      </c>
      <c r="E16" s="58" t="str">
        <f>F16</f>
        <v>Lettuce Vegetable Leafy-salad</v>
      </c>
      <c r="F16" s="59" t="str">
        <f>ConceptDemo!C13&amp;" "&amp;ConceptDemo!C12&amp;" "&amp;ConceptDemo!C14</f>
        <v>Lettuce Vegetable Leafy-salad</v>
      </c>
      <c r="K16" s="24">
        <f t="shared" si="0"/>
        <v>272</v>
      </c>
      <c r="L16" s="46">
        <f t="shared" si="2"/>
        <v>44467</v>
      </c>
      <c r="M16">
        <f>HLOOKUP($M$1,meanT!$A$2:$D$368,K16,FALSE)</f>
        <v>13.04</v>
      </c>
      <c r="P16" s="16">
        <v>44467</v>
      </c>
      <c r="Q16">
        <v>105.34283166843879</v>
      </c>
      <c r="R16">
        <v>0.31012850519829499</v>
      </c>
      <c r="S16">
        <v>0.60385196284490561</v>
      </c>
      <c r="T16" s="42">
        <v>0.97799999999999998</v>
      </c>
      <c r="U16">
        <v>0</v>
      </c>
    </row>
    <row r="17" spans="1:21" x14ac:dyDescent="0.25">
      <c r="A17">
        <v>7</v>
      </c>
      <c r="B17" t="str">
        <f>B16</f>
        <v>Current</v>
      </c>
      <c r="C17" t="s">
        <v>174</v>
      </c>
      <c r="D17" s="60" t="str">
        <f t="shared" ref="D17:D27" si="4">B17&amp;C17</f>
        <v>CurrentSaleableYield</v>
      </c>
      <c r="E17" s="61">
        <f>IF(F17="",VLOOKUP(E$16,[1]CropCoefficients!$K$3:$AF$78,'[1]NBalance Test'!$Q16,FALSE),F17)</f>
        <v>40</v>
      </c>
      <c r="F17" s="52"/>
      <c r="K17" s="24">
        <f t="shared" si="0"/>
        <v>273</v>
      </c>
      <c r="L17" s="46">
        <f t="shared" si="2"/>
        <v>44468</v>
      </c>
      <c r="M17">
        <f>HLOOKUP($M$1,meanT!$A$2:$D$368,K17,FALSE)</f>
        <v>13.381034482758601</v>
      </c>
      <c r="P17" s="16">
        <v>44468</v>
      </c>
      <c r="Q17">
        <v>106.6193415138147</v>
      </c>
      <c r="R17">
        <v>0.33863205061370799</v>
      </c>
      <c r="S17">
        <v>0.61156430978271736</v>
      </c>
      <c r="T17" s="42">
        <v>1.0035775862068952</v>
      </c>
      <c r="U17">
        <v>0</v>
      </c>
    </row>
    <row r="18" spans="1:21" x14ac:dyDescent="0.25">
      <c r="A18">
        <v>8</v>
      </c>
      <c r="B18" t="str">
        <f t="shared" ref="B18:B27" si="5">B17</f>
        <v>Current</v>
      </c>
      <c r="C18" t="s">
        <v>3</v>
      </c>
      <c r="D18" s="60" t="str">
        <f t="shared" si="4"/>
        <v>CurrentUnits</v>
      </c>
      <c r="E18" s="61" t="str">
        <f>IF(F18="",VLOOKUP(E$16,[1]CropCoefficients!$K$3:$AF$78,'[1]NBalance Test'!$Q17,FALSE),F18)</f>
        <v>t/ha</v>
      </c>
      <c r="F18" s="52"/>
      <c r="K18" s="24">
        <f t="shared" si="0"/>
        <v>274</v>
      </c>
      <c r="L18" s="46">
        <f t="shared" si="2"/>
        <v>44469</v>
      </c>
      <c r="M18">
        <f>HLOOKUP($M$1,meanT!$A$2:$D$368,K18,FALSE)</f>
        <v>13.274137931034399</v>
      </c>
      <c r="P18" s="16">
        <v>44469</v>
      </c>
      <c r="Q18">
        <v>107.85595789711967</v>
      </c>
      <c r="R18">
        <v>0.35750470219707298</v>
      </c>
      <c r="S18">
        <v>0.59856074067446308</v>
      </c>
      <c r="T18" s="42">
        <v>0.99556034482757993</v>
      </c>
      <c r="U18">
        <v>0</v>
      </c>
    </row>
    <row r="19" spans="1:21" x14ac:dyDescent="0.25">
      <c r="A19">
        <v>12</v>
      </c>
      <c r="B19" t="str">
        <f t="shared" si="5"/>
        <v>Current</v>
      </c>
      <c r="C19" t="s">
        <v>177</v>
      </c>
      <c r="D19" s="60" t="str">
        <f t="shared" si="4"/>
        <v>CurrentFieldLoss</v>
      </c>
      <c r="E19" s="61">
        <f>IF(F19="",VLOOKUP(E$16,[1]CropCoefficients!$K$3:$AF$78,'[1]NBalance Test'!$Q18,FALSE),F19)</f>
        <v>0</v>
      </c>
      <c r="F19" s="52"/>
      <c r="K19" s="24">
        <f t="shared" si="0"/>
        <v>275</v>
      </c>
      <c r="L19" s="46">
        <f t="shared" si="2"/>
        <v>44470</v>
      </c>
      <c r="M19">
        <f>HLOOKUP($M$1,meanT!$A$2:$D$368,K19,FALSE)</f>
        <v>13.0233333333333</v>
      </c>
      <c r="P19" s="16">
        <v>44470</v>
      </c>
      <c r="Q19">
        <v>109.03935146807162</v>
      </c>
      <c r="R19">
        <v>0.37281257015867703</v>
      </c>
      <c r="S19">
        <v>0.57945614111062782</v>
      </c>
      <c r="T19" s="42">
        <v>0.97674999999999745</v>
      </c>
      <c r="U19">
        <v>0</v>
      </c>
    </row>
    <row r="20" spans="1:21" x14ac:dyDescent="0.25">
      <c r="A20">
        <v>11</v>
      </c>
      <c r="B20" t="str">
        <f t="shared" si="5"/>
        <v>Current</v>
      </c>
      <c r="C20" t="s">
        <v>179</v>
      </c>
      <c r="D20" s="60" t="str">
        <f t="shared" si="4"/>
        <v>CurrentDressingLoss</v>
      </c>
      <c r="E20" s="61">
        <f>IF(F20="",VLOOKUP(E$16,[1]CropCoefficients!$K$3:$AF$78,'[1]NBalance Test'!$Q19,FALSE),F20)</f>
        <v>0</v>
      </c>
      <c r="F20" s="52"/>
      <c r="K20" s="24">
        <f t="shared" si="0"/>
        <v>276</v>
      </c>
      <c r="L20" s="46">
        <f t="shared" si="2"/>
        <v>44471</v>
      </c>
      <c r="M20">
        <f>HLOOKUP($M$1,meanT!$A$2:$D$368,K20,FALSE)</f>
        <v>12.938333333333301</v>
      </c>
      <c r="P20" s="16">
        <v>44471</v>
      </c>
      <c r="Q20">
        <v>110.18470075256573</v>
      </c>
      <c r="R20">
        <v>0.39320269635861199</v>
      </c>
      <c r="S20">
        <v>0.56817698085272306</v>
      </c>
      <c r="T20" s="42">
        <v>0.97037499999999755</v>
      </c>
      <c r="U20">
        <v>0</v>
      </c>
    </row>
    <row r="21" spans="1:21" ht="15.75" thickBot="1" x14ac:dyDescent="0.3">
      <c r="A21">
        <v>15</v>
      </c>
      <c r="B21" t="str">
        <f t="shared" si="5"/>
        <v>Current</v>
      </c>
      <c r="C21" t="s">
        <v>180</v>
      </c>
      <c r="D21" s="60" t="str">
        <f t="shared" si="4"/>
        <v>CurrentMoistureContent</v>
      </c>
      <c r="E21" s="61">
        <f>IF(F21="",VLOOKUP(E$16,[1]CropCoefficients!$K$3:$AF$78,'[1]NBalance Test'!$Q20,FALSE),F21)</f>
        <v>95</v>
      </c>
      <c r="F21" s="52"/>
      <c r="K21" s="24">
        <f t="shared" si="0"/>
        <v>277</v>
      </c>
      <c r="L21" s="46">
        <f t="shared" si="2"/>
        <v>44472</v>
      </c>
      <c r="M21">
        <f>HLOOKUP($M$1,meanT!$A$2:$D$368,K21,FALSE)</f>
        <v>13.2433333333333</v>
      </c>
      <c r="P21" s="16">
        <v>44472</v>
      </c>
      <c r="Q21">
        <v>111.32470046046832</v>
      </c>
      <c r="R21">
        <v>0.42729655677630302</v>
      </c>
      <c r="S21">
        <v>0.5740462646788812</v>
      </c>
      <c r="T21" s="42">
        <v>0.99324999999999752</v>
      </c>
      <c r="U21">
        <v>0</v>
      </c>
    </row>
    <row r="22" spans="1:21" ht="15.75" thickBot="1" x14ac:dyDescent="0.3">
      <c r="B22" t="str">
        <f t="shared" si="5"/>
        <v>Current</v>
      </c>
      <c r="C22" t="s">
        <v>181</v>
      </c>
      <c r="D22" s="60" t="str">
        <f t="shared" si="4"/>
        <v>CurrentEstablishDate</v>
      </c>
      <c r="E22" s="62">
        <f>F22</f>
        <v>44454</v>
      </c>
      <c r="F22" s="54">
        <f>ConceptDemo!C17</f>
        <v>44454</v>
      </c>
      <c r="K22" s="24">
        <f t="shared" si="0"/>
        <v>278</v>
      </c>
      <c r="L22" s="46">
        <f t="shared" si="2"/>
        <v>44473</v>
      </c>
      <c r="M22">
        <f>HLOOKUP($M$1,meanT!$A$2:$D$368,K22,FALSE)</f>
        <v>12.85</v>
      </c>
      <c r="P22" s="16">
        <v>44473</v>
      </c>
      <c r="Q22">
        <v>112.39820085397783</v>
      </c>
      <c r="R22">
        <v>0.43986992808227399</v>
      </c>
      <c r="S22">
        <v>0.54962032159177665</v>
      </c>
      <c r="T22" s="42">
        <v>0.96375</v>
      </c>
      <c r="U22">
        <v>0</v>
      </c>
    </row>
    <row r="23" spans="1:21" ht="15.75" thickBot="1" x14ac:dyDescent="0.3">
      <c r="A23">
        <v>3</v>
      </c>
      <c r="B23" t="str">
        <f t="shared" si="5"/>
        <v>Current</v>
      </c>
      <c r="C23" t="s">
        <v>182</v>
      </c>
      <c r="D23" s="60" t="str">
        <f t="shared" si="4"/>
        <v>CurrentEstablishStage</v>
      </c>
      <c r="E23" s="61" t="str">
        <f>IF(F23="",VLOOKUP(E$16,[1]CropCoefficients!$K$3:$AF$78,'[1]NBalance Test'!$Q22,FALSE),F23)</f>
        <v>Seedling</v>
      </c>
      <c r="F23" s="52"/>
      <c r="K23" s="24">
        <f t="shared" si="0"/>
        <v>279</v>
      </c>
      <c r="L23" s="46">
        <f t="shared" si="2"/>
        <v>44474</v>
      </c>
      <c r="M23">
        <f>HLOOKUP($M$1,meanT!$A$2:$D$368,K23,FALSE)</f>
        <v>12.875806451612901</v>
      </c>
      <c r="P23" s="16">
        <v>44474</v>
      </c>
      <c r="Q23">
        <v>113.44054400072442</v>
      </c>
      <c r="R23">
        <v>0.466989647626044</v>
      </c>
      <c r="S23">
        <v>0.5436473105016657</v>
      </c>
      <c r="T23" s="42">
        <v>0.96568548387096753</v>
      </c>
      <c r="U23">
        <v>0</v>
      </c>
    </row>
    <row r="24" spans="1:21" ht="15.75" thickBot="1" x14ac:dyDescent="0.3">
      <c r="B24" t="str">
        <f t="shared" si="5"/>
        <v>Current</v>
      </c>
      <c r="C24" t="s">
        <v>183</v>
      </c>
      <c r="D24" s="60" t="str">
        <f t="shared" si="4"/>
        <v>CurrentHarvestDate</v>
      </c>
      <c r="E24" s="62">
        <f>F24</f>
        <v>44515</v>
      </c>
      <c r="F24" s="54">
        <f>ConceptDemo!C19</f>
        <v>44515</v>
      </c>
      <c r="K24" s="24">
        <f t="shared" si="0"/>
        <v>280</v>
      </c>
      <c r="L24" s="46">
        <f t="shared" si="2"/>
        <v>44475</v>
      </c>
      <c r="M24">
        <f>HLOOKUP($M$1,meanT!$A$2:$D$368,K24,FALSE)</f>
        <v>12.9966666666666</v>
      </c>
      <c r="P24" s="16">
        <v>44475</v>
      </c>
      <c r="Q24">
        <v>114.45764849803852</v>
      </c>
      <c r="R24">
        <v>0.49933021734037902</v>
      </c>
      <c r="S24">
        <v>0.54168471465448431</v>
      </c>
      <c r="T24" s="42">
        <v>0.97474999999999501</v>
      </c>
      <c r="U24">
        <v>0</v>
      </c>
    </row>
    <row r="25" spans="1:21" x14ac:dyDescent="0.25">
      <c r="A25">
        <v>5</v>
      </c>
      <c r="B25" t="str">
        <f t="shared" si="5"/>
        <v>Current</v>
      </c>
      <c r="C25" t="s">
        <v>184</v>
      </c>
      <c r="D25" s="60" t="str">
        <f t="shared" si="4"/>
        <v>CurrentHarvestStage</v>
      </c>
      <c r="E25" s="61" t="str">
        <f>IF(F25="",VLOOKUP(E$4,[1]CropCoefficients!$K$3:$AF$78,'[1]NBalance Test'!$Q24,FALSE),F25)</f>
        <v>EarlyReproductive</v>
      </c>
      <c r="F25" s="52"/>
      <c r="K25" s="24">
        <f t="shared" si="0"/>
        <v>281</v>
      </c>
      <c r="L25" s="46">
        <f t="shared" si="2"/>
        <v>44476</v>
      </c>
      <c r="M25">
        <f>HLOOKUP($M$1,meanT!$A$2:$D$368,K25,FALSE)</f>
        <v>12.7633333333333</v>
      </c>
      <c r="P25" s="16">
        <v>44476</v>
      </c>
      <c r="Q25">
        <v>115.42092185249238</v>
      </c>
      <c r="R25">
        <v>0.51902261786551496</v>
      </c>
      <c r="S25">
        <v>0.52504597231937489</v>
      </c>
      <c r="T25" s="42">
        <v>0.95724999999999749</v>
      </c>
      <c r="U25">
        <v>0</v>
      </c>
    </row>
    <row r="26" spans="1:21" x14ac:dyDescent="0.25">
      <c r="B26" t="str">
        <f t="shared" si="5"/>
        <v>Current</v>
      </c>
      <c r="C26" t="s">
        <v>185</v>
      </c>
      <c r="D26" s="60" t="str">
        <f t="shared" si="4"/>
        <v>CurrentResidueTreatment</v>
      </c>
      <c r="E26" s="61">
        <f>IF(F26="",D54,F26)</f>
        <v>0</v>
      </c>
      <c r="F26" s="52"/>
      <c r="K26" s="24">
        <f t="shared" si="0"/>
        <v>282</v>
      </c>
      <c r="L26" s="46">
        <f t="shared" si="2"/>
        <v>44477</v>
      </c>
      <c r="M26">
        <f>HLOOKUP($M$1,meanT!$A$2:$D$368,K26,FALSE)</f>
        <v>13.4816666666666</v>
      </c>
      <c r="P26" s="16">
        <v>44477</v>
      </c>
      <c r="Q26">
        <v>116.39901819310916</v>
      </c>
      <c r="R26">
        <v>0.58054625628051904</v>
      </c>
      <c r="S26">
        <v>0.54751759689729462</v>
      </c>
      <c r="T26" s="42">
        <v>1.0111249999999949</v>
      </c>
      <c r="U26">
        <v>0</v>
      </c>
    </row>
    <row r="27" spans="1:21" ht="15.75" thickBot="1" x14ac:dyDescent="0.3">
      <c r="B27" t="str">
        <f t="shared" si="5"/>
        <v>Current</v>
      </c>
      <c r="C27" t="s">
        <v>186</v>
      </c>
      <c r="D27" s="63" t="str">
        <f t="shared" si="4"/>
        <v>CurrentEstablishN</v>
      </c>
      <c r="E27" s="64">
        <f>IF(F27="",0,F27)</f>
        <v>0</v>
      </c>
      <c r="F27" s="52"/>
      <c r="K27" s="24">
        <f t="shared" si="0"/>
        <v>283</v>
      </c>
      <c r="L27" s="46">
        <f t="shared" si="2"/>
        <v>44478</v>
      </c>
      <c r="M27">
        <f>HLOOKUP($M$1,meanT!$A$2:$D$368,K27,FALSE)</f>
        <v>13.6933333333333</v>
      </c>
      <c r="P27" s="16">
        <v>44478</v>
      </c>
      <c r="Q27">
        <v>117.34938935159879</v>
      </c>
      <c r="R27">
        <v>0.62524530647281495</v>
      </c>
      <c r="S27">
        <v>0.54861646496245342</v>
      </c>
      <c r="T27" s="42">
        <v>1.0269999999999975</v>
      </c>
      <c r="U27">
        <v>0</v>
      </c>
    </row>
    <row r="28" spans="1:21" ht="15.75" thickBot="1" x14ac:dyDescent="0.3">
      <c r="B28" t="s">
        <v>188</v>
      </c>
      <c r="C28" t="s">
        <v>170</v>
      </c>
      <c r="D28" s="47" t="str">
        <f>B28&amp;C28</f>
        <v>FollowingCropName</v>
      </c>
      <c r="E28" s="48" t="str">
        <f>F28</f>
        <v>Oat Grain General</v>
      </c>
      <c r="F28" s="59" t="s">
        <v>189</v>
      </c>
      <c r="K28" s="24">
        <f t="shared" si="0"/>
        <v>284</v>
      </c>
      <c r="L28" s="46">
        <f t="shared" si="2"/>
        <v>44479</v>
      </c>
      <c r="M28">
        <f>HLOOKUP($M$1,meanT!$A$2:$D$368,K28,FALSE)</f>
        <v>12.9568965517241</v>
      </c>
      <c r="P28" s="16">
        <v>44479</v>
      </c>
      <c r="Q28">
        <v>118.20701008654697</v>
      </c>
      <c r="R28">
        <v>0.62614963792635203</v>
      </c>
      <c r="S28">
        <v>0.51200313149522625</v>
      </c>
      <c r="T28" s="42">
        <v>0.97176724137930748</v>
      </c>
      <c r="U28">
        <v>0</v>
      </c>
    </row>
    <row r="29" spans="1:21" x14ac:dyDescent="0.25">
      <c r="A29">
        <v>7</v>
      </c>
      <c r="B29" t="str">
        <f>B28</f>
        <v>Following</v>
      </c>
      <c r="C29" t="s">
        <v>174</v>
      </c>
      <c r="D29" s="50" t="str">
        <f t="shared" ref="D29:D39" si="6">B29&amp;C29</f>
        <v>FollowingSaleableYield</v>
      </c>
      <c r="E29" s="51">
        <f>IF(F29="",VLOOKUP(E$28,[1]CropCoefficients!$K$3:$AF$78,'[1]NBalance Test'!$Q28,FALSE),F29)</f>
        <v>6</v>
      </c>
      <c r="F29" s="52"/>
      <c r="K29" s="24">
        <f t="shared" si="0"/>
        <v>285</v>
      </c>
      <c r="L29" s="46">
        <f t="shared" si="2"/>
        <v>44480</v>
      </c>
      <c r="M29">
        <f>HLOOKUP($M$1,meanT!$A$2:$D$368,K29,FALSE)</f>
        <v>13.2293103448275</v>
      </c>
      <c r="P29" s="16">
        <v>44480</v>
      </c>
      <c r="Q29">
        <v>119.03973117809997</v>
      </c>
      <c r="R29">
        <v>0.67547153744379596</v>
      </c>
      <c r="S29">
        <v>0.51599435313472297</v>
      </c>
      <c r="T29" s="42">
        <v>0.99219827586206255</v>
      </c>
      <c r="U29">
        <v>0</v>
      </c>
    </row>
    <row r="30" spans="1:21" x14ac:dyDescent="0.25">
      <c r="A30">
        <v>8</v>
      </c>
      <c r="B30" t="str">
        <f t="shared" ref="B30:B39" si="7">B29</f>
        <v>Following</v>
      </c>
      <c r="C30" t="s">
        <v>3</v>
      </c>
      <c r="D30" s="50" t="str">
        <f t="shared" si="6"/>
        <v>FollowingUnits</v>
      </c>
      <c r="E30" s="51" t="str">
        <f>IF(F30="",VLOOKUP(E$28,[1]CropCoefficients!$K$3:$AF$78,'[1]NBalance Test'!$Q29,FALSE),F30)</f>
        <v>t/ha</v>
      </c>
      <c r="F30" s="52"/>
      <c r="K30" s="24">
        <f t="shared" si="0"/>
        <v>286</v>
      </c>
      <c r="L30" s="46">
        <f t="shared" si="2"/>
        <v>44481</v>
      </c>
      <c r="M30">
        <f>HLOOKUP($M$1,meanT!$A$2:$D$368,K30,FALSE)</f>
        <v>13.7431034482758</v>
      </c>
      <c r="P30" s="16">
        <v>44481</v>
      </c>
      <c r="Q30">
        <v>119.85738909468886</v>
      </c>
      <c r="R30">
        <v>0.74201775283593796</v>
      </c>
      <c r="S30">
        <v>0.52894291080412925</v>
      </c>
      <c r="T30" s="42">
        <v>1.0307327586206849</v>
      </c>
      <c r="U30">
        <v>0</v>
      </c>
    </row>
    <row r="31" spans="1:21" x14ac:dyDescent="0.25">
      <c r="A31">
        <v>12</v>
      </c>
      <c r="B31" t="str">
        <f t="shared" si="7"/>
        <v>Following</v>
      </c>
      <c r="C31" t="s">
        <v>177</v>
      </c>
      <c r="D31" s="50" t="str">
        <f t="shared" si="6"/>
        <v>FollowingFieldLoss</v>
      </c>
      <c r="E31" s="51">
        <f>IF(F31="",VLOOKUP(E$28,[1]CropCoefficients!$K$3:$AF$78,'[1]NBalance Test'!$Q30,FALSE),F31)</f>
        <v>0</v>
      </c>
      <c r="F31" s="52"/>
      <c r="K31" s="24">
        <f t="shared" si="0"/>
        <v>287</v>
      </c>
      <c r="L31" s="46">
        <f t="shared" si="2"/>
        <v>44482</v>
      </c>
      <c r="M31">
        <f>HLOOKUP($M$1,meanT!$A$2:$D$368,K31,FALSE)</f>
        <v>13.6551724137931</v>
      </c>
      <c r="P31" s="16">
        <v>44482</v>
      </c>
      <c r="Q31">
        <v>120.62024941596439</v>
      </c>
      <c r="R31">
        <v>0.77961343485099699</v>
      </c>
      <c r="S31">
        <v>0.51833582509204978</v>
      </c>
      <c r="T31" s="42">
        <v>1.0241379310344825</v>
      </c>
      <c r="U31">
        <v>0</v>
      </c>
    </row>
    <row r="32" spans="1:21" x14ac:dyDescent="0.25">
      <c r="A32">
        <v>11</v>
      </c>
      <c r="B32" t="str">
        <f t="shared" si="7"/>
        <v>Following</v>
      </c>
      <c r="C32" t="s">
        <v>179</v>
      </c>
      <c r="D32" s="50" t="str">
        <f t="shared" si="6"/>
        <v>FollowingDressingLoss</v>
      </c>
      <c r="E32" s="51">
        <f>IF(F32="",VLOOKUP(E$28,[1]CropCoefficients!$K$3:$AF$78,'[1]NBalance Test'!$Q31,FALSE),F32)</f>
        <v>0</v>
      </c>
      <c r="F32" s="52"/>
      <c r="K32" s="24">
        <f t="shared" si="0"/>
        <v>288</v>
      </c>
      <c r="L32" s="46">
        <f t="shared" si="2"/>
        <v>44483</v>
      </c>
      <c r="M32">
        <f>HLOOKUP($M$1,meanT!$A$2:$D$368,K32,FALSE)</f>
        <v>13.334482758620601</v>
      </c>
      <c r="P32" s="16">
        <v>44483</v>
      </c>
      <c r="Q32">
        <v>121.31597560862761</v>
      </c>
      <c r="R32">
        <v>0.80361106088595902</v>
      </c>
      <c r="S32">
        <v>0.49925104665262532</v>
      </c>
      <c r="T32" s="42">
        <v>1.000086206896545</v>
      </c>
      <c r="U32">
        <v>0</v>
      </c>
    </row>
    <row r="33" spans="1:28" ht="15.75" thickBot="1" x14ac:dyDescent="0.3">
      <c r="A33">
        <v>15</v>
      </c>
      <c r="B33" t="str">
        <f t="shared" si="7"/>
        <v>Following</v>
      </c>
      <c r="C33" t="s">
        <v>180</v>
      </c>
      <c r="D33" s="50" t="str">
        <f t="shared" si="6"/>
        <v>FollowingMoistureContent</v>
      </c>
      <c r="E33" s="51">
        <f>IF(F33="",VLOOKUP(E$28,[1]CropCoefficients!$K$3:$AF$78,'[1]NBalance Test'!$Q32,FALSE),F33)</f>
        <v>13</v>
      </c>
      <c r="F33" s="52"/>
      <c r="K33" s="24">
        <f t="shared" si="0"/>
        <v>289</v>
      </c>
      <c r="L33" s="46">
        <f t="shared" si="2"/>
        <v>44484</v>
      </c>
      <c r="M33">
        <f>HLOOKUP($M$1,meanT!$A$2:$D$368,K33,FALSE)</f>
        <v>13.0379310344827</v>
      </c>
      <c r="P33" s="16">
        <v>44484</v>
      </c>
      <c r="Q33">
        <v>121.94785579946961</v>
      </c>
      <c r="R33">
        <v>0.82760340794359699</v>
      </c>
      <c r="S33">
        <v>0.48163877119940374</v>
      </c>
      <c r="T33">
        <v>0.9778448275862025</v>
      </c>
      <c r="U33">
        <v>0</v>
      </c>
    </row>
    <row r="34" spans="1:28" ht="15.75" thickBot="1" x14ac:dyDescent="0.3">
      <c r="B34" t="str">
        <f t="shared" si="7"/>
        <v>Following</v>
      </c>
      <c r="C34" t="s">
        <v>181</v>
      </c>
      <c r="D34" s="50" t="str">
        <f t="shared" si="6"/>
        <v>FollowingEstablishDate</v>
      </c>
      <c r="E34" s="53">
        <f>F34</f>
        <v>44545</v>
      </c>
      <c r="F34" s="54">
        <f>F24+30</f>
        <v>44545</v>
      </c>
      <c r="K34" s="24">
        <f t="shared" si="0"/>
        <v>290</v>
      </c>
      <c r="L34" s="46">
        <f t="shared" si="2"/>
        <v>44485</v>
      </c>
      <c r="M34">
        <f>HLOOKUP($M$1,meanT!$A$2:$D$368,K34,FALSE)</f>
        <v>13.094827586206801</v>
      </c>
      <c r="P34" s="16">
        <v>44485</v>
      </c>
      <c r="Q34">
        <v>122.53315067467302</v>
      </c>
      <c r="R34">
        <v>0.87425082371427498</v>
      </c>
      <c r="S34">
        <v>0.47743362995218197</v>
      </c>
      <c r="T34">
        <v>0.98211206896551007</v>
      </c>
      <c r="U34">
        <v>0</v>
      </c>
    </row>
    <row r="35" spans="1:28" ht="15.75" thickBot="1" x14ac:dyDescent="0.3">
      <c r="A35">
        <v>3</v>
      </c>
      <c r="B35" t="str">
        <f t="shared" si="7"/>
        <v>Following</v>
      </c>
      <c r="C35" t="s">
        <v>182</v>
      </c>
      <c r="D35" s="50" t="str">
        <f t="shared" si="6"/>
        <v>FollowingEstablishStage</v>
      </c>
      <c r="E35" s="51" t="str">
        <f>IF(F35="",VLOOKUP(E$28,[1]CropCoefficients!$K$3:$AF$78,'[1]NBalance Test'!$Q34,FALSE),F35)</f>
        <v>Seed</v>
      </c>
      <c r="F35" s="52"/>
      <c r="K35" s="24">
        <f t="shared" si="0"/>
        <v>291</v>
      </c>
      <c r="L35" s="46">
        <f t="shared" si="2"/>
        <v>44486</v>
      </c>
      <c r="M35">
        <f>HLOOKUP($M$1,meanT!$A$2:$D$368,K35,FALSE)</f>
        <v>13.6775862068965</v>
      </c>
      <c r="P35" s="16">
        <v>44486</v>
      </c>
      <c r="Q35">
        <v>123.09049764810747</v>
      </c>
      <c r="R35">
        <v>0.96062269332144001</v>
      </c>
      <c r="S35">
        <v>0.49215070123865551</v>
      </c>
      <c r="T35">
        <v>1.0258189655172374</v>
      </c>
      <c r="U35">
        <v>0</v>
      </c>
    </row>
    <row r="36" spans="1:28" ht="15.75" thickBot="1" x14ac:dyDescent="0.3">
      <c r="B36" t="str">
        <f t="shared" si="7"/>
        <v>Following</v>
      </c>
      <c r="C36" t="s">
        <v>183</v>
      </c>
      <c r="D36" s="50" t="str">
        <f t="shared" si="6"/>
        <v>FollowingHarvestDate</v>
      </c>
      <c r="E36" s="53">
        <f>F36</f>
        <v>44548</v>
      </c>
      <c r="F36" s="54">
        <f>F34+3</f>
        <v>44548</v>
      </c>
      <c r="K36" s="24">
        <f t="shared" si="0"/>
        <v>292</v>
      </c>
      <c r="L36" s="46">
        <f t="shared" si="2"/>
        <v>44487</v>
      </c>
      <c r="M36">
        <f>HLOOKUP($M$1,meanT!$A$2:$D$368,K36,FALSE)</f>
        <v>13.189655172413699</v>
      </c>
      <c r="P36" s="16">
        <v>44487</v>
      </c>
      <c r="Q36">
        <v>123.57424373100515</v>
      </c>
      <c r="R36">
        <v>0.97358058838857198</v>
      </c>
      <c r="S36">
        <v>0.46810253335521657</v>
      </c>
      <c r="T36">
        <v>0.98922413793102748</v>
      </c>
      <c r="U36">
        <v>0</v>
      </c>
    </row>
    <row r="37" spans="1:28" x14ac:dyDescent="0.25">
      <c r="A37">
        <v>5</v>
      </c>
      <c r="B37" t="str">
        <f t="shared" si="7"/>
        <v>Following</v>
      </c>
      <c r="C37" t="s">
        <v>184</v>
      </c>
      <c r="D37" s="50" t="str">
        <f t="shared" si="6"/>
        <v>FollowingHarvestStage</v>
      </c>
      <c r="E37" s="51" t="str">
        <f>IF(F37="",VLOOKUP(E$4,[1]CropCoefficients!$K$3:$AF$78,'[1]NBalance Test'!$Q36,FALSE),F37)</f>
        <v>EarlyReproductive</v>
      </c>
      <c r="F37" s="52"/>
      <c r="K37" s="24">
        <f t="shared" si="0"/>
        <v>293</v>
      </c>
      <c r="L37" s="46">
        <f t="shared" si="2"/>
        <v>44488</v>
      </c>
      <c r="M37">
        <f>HLOOKUP($M$1,meanT!$A$2:$D$368,K37,FALSE)</f>
        <v>12.9428571428571</v>
      </c>
      <c r="P37" s="16">
        <v>44488</v>
      </c>
      <c r="Q37">
        <v>123.9966673902008</v>
      </c>
      <c r="R37">
        <v>1.00157568231522</v>
      </c>
      <c r="S37">
        <v>0.45328505579657985</v>
      </c>
      <c r="T37">
        <v>0.97071428571428264</v>
      </c>
      <c r="U37">
        <v>0</v>
      </c>
    </row>
    <row r="38" spans="1:28" x14ac:dyDescent="0.25">
      <c r="B38" t="str">
        <f t="shared" si="7"/>
        <v>Following</v>
      </c>
      <c r="C38" t="s">
        <v>185</v>
      </c>
      <c r="D38" s="50" t="str">
        <f t="shared" si="6"/>
        <v>FollowingResidueTreatment</v>
      </c>
      <c r="E38" s="51">
        <f>IF(F38="",D54,F38)</f>
        <v>0</v>
      </c>
      <c r="F38" s="52"/>
      <c r="K38" s="24">
        <f t="shared" si="0"/>
        <v>294</v>
      </c>
      <c r="L38" s="46">
        <f t="shared" si="2"/>
        <v>44489</v>
      </c>
      <c r="M38">
        <f>HLOOKUP($M$1,meanT!$A$2:$D$368,K38,FALSE)</f>
        <v>12.819642857142799</v>
      </c>
      <c r="P38" s="16">
        <v>44489</v>
      </c>
      <c r="Q38">
        <v>124.36315393282155</v>
      </c>
      <c r="R38">
        <v>1.0381455612403101</v>
      </c>
      <c r="S38">
        <v>0.44315888957535948</v>
      </c>
      <c r="T38">
        <v>0.96147321428570998</v>
      </c>
      <c r="U38">
        <v>0</v>
      </c>
    </row>
    <row r="39" spans="1:28" ht="15.75" thickBot="1" x14ac:dyDescent="0.3">
      <c r="B39" t="str">
        <f t="shared" si="7"/>
        <v>Following</v>
      </c>
      <c r="C39" t="s">
        <v>186</v>
      </c>
      <c r="D39" s="55" t="str">
        <f t="shared" si="6"/>
        <v>FollowingEstablishN</v>
      </c>
      <c r="E39" s="56">
        <f>IF(F39="",0,F39)</f>
        <v>0</v>
      </c>
      <c r="F39" s="52"/>
      <c r="K39" s="24">
        <f t="shared" si="0"/>
        <v>295</v>
      </c>
      <c r="L39" s="46">
        <f t="shared" si="2"/>
        <v>44490</v>
      </c>
      <c r="M39">
        <f>HLOOKUP($M$1,meanT!$A$2:$D$368,K39,FALSE)</f>
        <v>13.2785714285714</v>
      </c>
      <c r="P39" s="16">
        <v>44490</v>
      </c>
      <c r="Q39">
        <v>124.68759496661565</v>
      </c>
      <c r="R39">
        <v>1.12459077801637</v>
      </c>
      <c r="S39">
        <v>0.453138954667617</v>
      </c>
      <c r="T39">
        <v>0.99589285714285503</v>
      </c>
      <c r="U39">
        <v>0</v>
      </c>
    </row>
    <row r="40" spans="1:28" x14ac:dyDescent="0.25">
      <c r="D40" s="66" t="s">
        <v>190</v>
      </c>
      <c r="E40" s="67">
        <v>15</v>
      </c>
      <c r="F40" s="72"/>
      <c r="K40" s="24">
        <f t="shared" si="0"/>
        <v>296</v>
      </c>
      <c r="L40" s="46">
        <f t="shared" si="2"/>
        <v>44491</v>
      </c>
      <c r="M40">
        <f>HLOOKUP($M$1,meanT!$A$2:$D$368,K40,FALSE)</f>
        <v>13.5625</v>
      </c>
      <c r="P40" s="16">
        <v>44491</v>
      </c>
      <c r="Q40">
        <v>124.96025435297391</v>
      </c>
      <c r="R40">
        <v>1.20121059848147</v>
      </c>
      <c r="S40">
        <v>0.45668248483971408</v>
      </c>
      <c r="T40">
        <v>1.0171874999999999</v>
      </c>
      <c r="U40">
        <v>0</v>
      </c>
      <c r="AB40" s="65"/>
    </row>
    <row r="41" spans="1:28" x14ac:dyDescent="0.25">
      <c r="D41" s="68" t="s">
        <v>191</v>
      </c>
      <c r="E41" s="69">
        <v>30</v>
      </c>
      <c r="F41" s="73"/>
      <c r="K41" s="24">
        <f t="shared" si="0"/>
        <v>297</v>
      </c>
      <c r="L41" s="46">
        <f t="shared" si="2"/>
        <v>44492</v>
      </c>
      <c r="M41">
        <f>HLOOKUP($M$1,meanT!$A$2:$D$368,K41,FALSE)</f>
        <v>13.9310344827586</v>
      </c>
      <c r="P41" s="16">
        <v>44492</v>
      </c>
      <c r="Q41">
        <v>125.17797124733549</v>
      </c>
      <c r="R41">
        <v>1.28984057297084</v>
      </c>
      <c r="S41">
        <v>0.46272988112553298</v>
      </c>
      <c r="T41">
        <v>1.044827586206895</v>
      </c>
      <c r="U41">
        <v>0</v>
      </c>
    </row>
    <row r="42" spans="1:28" x14ac:dyDescent="0.25">
      <c r="D42" s="68" t="s">
        <v>192</v>
      </c>
      <c r="E42" s="69">
        <v>80</v>
      </c>
      <c r="F42" s="73"/>
      <c r="K42" s="24">
        <f t="shared" si="0"/>
        <v>298</v>
      </c>
      <c r="L42" s="46">
        <f t="shared" si="2"/>
        <v>44493</v>
      </c>
      <c r="M42">
        <f>HLOOKUP($M$1,meanT!$A$2:$D$368,K42,FALSE)</f>
        <v>13.336206896551699</v>
      </c>
      <c r="P42" s="16">
        <v>44493</v>
      </c>
      <c r="Q42">
        <v>125.3266332827577</v>
      </c>
      <c r="R42">
        <v>1.28835465188552</v>
      </c>
      <c r="S42">
        <v>0.43680117006635993</v>
      </c>
      <c r="T42">
        <v>1.0002155172413776</v>
      </c>
      <c r="U42">
        <v>0</v>
      </c>
    </row>
    <row r="43" spans="1:28" x14ac:dyDescent="0.25">
      <c r="D43" s="68" t="s">
        <v>193</v>
      </c>
      <c r="E43" s="69">
        <v>3</v>
      </c>
      <c r="F43" s="73"/>
      <c r="K43" s="24">
        <f t="shared" si="0"/>
        <v>299</v>
      </c>
      <c r="L43" s="46">
        <f t="shared" si="2"/>
        <v>44494</v>
      </c>
      <c r="M43">
        <f>HLOOKUP($M$1,meanT!$A$2:$D$368,K43,FALSE)</f>
        <v>13.789655172413701</v>
      </c>
      <c r="P43" s="16">
        <v>44494</v>
      </c>
      <c r="Q43">
        <v>125.41900370971109</v>
      </c>
      <c r="R43">
        <v>1.3874833480195301</v>
      </c>
      <c r="S43">
        <v>0.44562963704188713</v>
      </c>
      <c r="T43">
        <v>1.0342241379310277</v>
      </c>
      <c r="U43">
        <v>0</v>
      </c>
    </row>
    <row r="44" spans="1:28" x14ac:dyDescent="0.25">
      <c r="D44" s="68" t="s">
        <v>186</v>
      </c>
      <c r="E44" s="69">
        <v>37</v>
      </c>
      <c r="F44" s="73"/>
      <c r="K44" s="24">
        <f t="shared" si="0"/>
        <v>300</v>
      </c>
      <c r="L44" s="46">
        <f t="shared" si="2"/>
        <v>44495</v>
      </c>
      <c r="M44">
        <f>HLOOKUP($M$1,meanT!$A$2:$D$368,K44,FALSE)</f>
        <v>14.0810344827586</v>
      </c>
      <c r="P44" s="16">
        <v>44495</v>
      </c>
      <c r="Q44">
        <v>125.44908106961495</v>
      </c>
      <c r="R44">
        <v>1.47477121721175</v>
      </c>
      <c r="S44">
        <v>0.44877099090871136</v>
      </c>
      <c r="T44">
        <v>1.056077586206895</v>
      </c>
      <c r="U44">
        <v>0</v>
      </c>
    </row>
    <row r="45" spans="1:28" ht="15.75" thickBot="1" x14ac:dyDescent="0.3">
      <c r="D45" s="70"/>
      <c r="E45" s="71"/>
      <c r="F45" s="74"/>
      <c r="K45" s="24">
        <f t="shared" si="0"/>
        <v>301</v>
      </c>
      <c r="L45" s="46">
        <f t="shared" si="2"/>
        <v>44496</v>
      </c>
      <c r="M45">
        <f>HLOOKUP($M$1,meanT!$A$2:$D$368,K45,FALSE)</f>
        <v>14.8396551724137</v>
      </c>
      <c r="P45" s="16">
        <v>44496</v>
      </c>
      <c r="Q45">
        <v>125.41116225686871</v>
      </c>
      <c r="R45">
        <v>1.6171820299439801</v>
      </c>
      <c r="S45">
        <v>0.46628907926670621</v>
      </c>
      <c r="T45">
        <v>1.1129741379310276</v>
      </c>
      <c r="U45">
        <v>0</v>
      </c>
    </row>
    <row r="46" spans="1:28" x14ac:dyDescent="0.25">
      <c r="K46" s="24">
        <f t="shared" si="0"/>
        <v>302</v>
      </c>
      <c r="L46" s="46">
        <f t="shared" si="2"/>
        <v>44497</v>
      </c>
      <c r="M46">
        <f>HLOOKUP($M$1,meanT!$A$2:$D$368,K46,FALSE)</f>
        <v>14.274137931034399</v>
      </c>
      <c r="P46" s="16">
        <v>44497</v>
      </c>
      <c r="Q46">
        <v>125.3078773145876</v>
      </c>
      <c r="R46">
        <v>1.6157089067533099</v>
      </c>
      <c r="S46">
        <v>0.44186361964461646</v>
      </c>
      <c r="T46">
        <v>1.07056034482758</v>
      </c>
      <c r="U46">
        <v>0</v>
      </c>
    </row>
    <row r="47" spans="1:28" x14ac:dyDescent="0.25">
      <c r="K47" s="24">
        <f t="shared" si="0"/>
        <v>303</v>
      </c>
      <c r="L47" s="46">
        <f t="shared" si="2"/>
        <v>44498</v>
      </c>
      <c r="M47">
        <f>HLOOKUP($M$1,meanT!$A$2:$D$368,K47,FALSE)</f>
        <v>14.29</v>
      </c>
      <c r="P47" s="16">
        <v>44498</v>
      </c>
      <c r="Q47">
        <v>125.14027309976352</v>
      </c>
      <c r="R47">
        <v>1.6753946222231499</v>
      </c>
      <c r="S47">
        <v>0.43604040739907735</v>
      </c>
      <c r="T47">
        <v>1.07175</v>
      </c>
      <c r="U47">
        <v>0</v>
      </c>
    </row>
    <row r="48" spans="1:28" x14ac:dyDescent="0.25">
      <c r="K48" s="24">
        <f t="shared" si="0"/>
        <v>304</v>
      </c>
      <c r="L48" s="46">
        <f t="shared" si="2"/>
        <v>44499</v>
      </c>
      <c r="M48">
        <f>HLOOKUP($M$1,meanT!$A$2:$D$368,K48,FALSE)</f>
        <v>14.715</v>
      </c>
      <c r="P48" s="16">
        <v>44499</v>
      </c>
      <c r="Q48">
        <v>124.90242100959276</v>
      </c>
      <c r="R48">
        <v>1.7840694746015899</v>
      </c>
      <c r="S48">
        <v>0.44259238443083432</v>
      </c>
      <c r="T48">
        <v>1.1036250000000001</v>
      </c>
      <c r="U48">
        <v>0</v>
      </c>
    </row>
    <row r="49" spans="2:21" x14ac:dyDescent="0.25">
      <c r="K49" s="24">
        <f t="shared" si="0"/>
        <v>305</v>
      </c>
      <c r="L49" s="46">
        <f t="shared" si="2"/>
        <v>44500</v>
      </c>
      <c r="M49">
        <f>HLOOKUP($M$1,meanT!$A$2:$D$368,K49,FALSE)</f>
        <v>14.5266666666666</v>
      </c>
      <c r="P49" s="16">
        <v>44500</v>
      </c>
      <c r="Q49">
        <v>124.60475469212658</v>
      </c>
      <c r="R49">
        <v>1.81766468878763</v>
      </c>
      <c r="S49">
        <v>0.43049837132145397</v>
      </c>
      <c r="T49">
        <v>1.089499999999995</v>
      </c>
      <c r="U49">
        <v>0</v>
      </c>
    </row>
    <row r="50" spans="2:21" x14ac:dyDescent="0.25">
      <c r="K50" s="24">
        <f t="shared" si="0"/>
        <v>306</v>
      </c>
      <c r="L50" s="46">
        <f t="shared" si="2"/>
        <v>44501</v>
      </c>
      <c r="M50">
        <f>HLOOKUP($M$1,meanT!$A$2:$D$368,K50,FALSE)</f>
        <v>14.0416666666666</v>
      </c>
      <c r="P50" s="16">
        <v>44501</v>
      </c>
      <c r="Q50">
        <v>124.2601304456927</v>
      </c>
      <c r="R50">
        <v>1.8078297079371599</v>
      </c>
      <c r="S50">
        <v>0.41008046150328153</v>
      </c>
      <c r="T50">
        <v>1.053124999999995</v>
      </c>
      <c r="U50">
        <v>0</v>
      </c>
    </row>
    <row r="51" spans="2:21" x14ac:dyDescent="0.25">
      <c r="K51" s="24">
        <f t="shared" si="0"/>
        <v>307</v>
      </c>
      <c r="L51" s="46">
        <f t="shared" si="2"/>
        <v>44502</v>
      </c>
      <c r="M51">
        <f>HLOOKUP($M$1,meanT!$A$2:$D$368,K51,FALSE)</f>
        <v>14.098333333333301</v>
      </c>
      <c r="P51" s="16">
        <v>44502</v>
      </c>
      <c r="Q51">
        <v>123.86083865884871</v>
      </c>
      <c r="R51">
        <v>1.86262072142514</v>
      </c>
      <c r="S51">
        <v>0.40595393458116141</v>
      </c>
      <c r="T51">
        <v>1.0573749999999975</v>
      </c>
      <c r="U51">
        <v>0</v>
      </c>
    </row>
    <row r="52" spans="2:21" x14ac:dyDescent="0.25">
      <c r="K52" s="24">
        <f t="shared" si="0"/>
        <v>308</v>
      </c>
      <c r="L52" s="46">
        <f t="shared" si="2"/>
        <v>44503</v>
      </c>
      <c r="M52">
        <f>HLOOKUP($M$1,meanT!$A$2:$D$368,K52,FALSE)</f>
        <v>13.9933333333333</v>
      </c>
      <c r="P52" s="16">
        <v>44503</v>
      </c>
      <c r="Q52">
        <v>123.41491432840385</v>
      </c>
      <c r="R52">
        <v>1.8926741977083901</v>
      </c>
      <c r="S52">
        <v>0.39724986726353884</v>
      </c>
      <c r="T52">
        <v>1.0494999999999974</v>
      </c>
      <c r="U52">
        <v>0</v>
      </c>
    </row>
    <row r="53" spans="2:21" x14ac:dyDescent="0.25">
      <c r="B53" s="6"/>
      <c r="C53" s="43"/>
      <c r="D53" s="6"/>
      <c r="E53" s="6"/>
      <c r="K53" s="24">
        <f t="shared" si="0"/>
        <v>309</v>
      </c>
      <c r="L53" s="46">
        <f t="shared" si="2"/>
        <v>44504</v>
      </c>
      <c r="M53">
        <f>HLOOKUP($M$1,meanT!$A$2:$D$368,K53,FALSE)</f>
        <v>14.2016666666666</v>
      </c>
      <c r="P53" s="16">
        <v>44504</v>
      </c>
      <c r="Q53">
        <v>122.9155655670572</v>
      </c>
      <c r="R53">
        <v>1.9619962910903399</v>
      </c>
      <c r="S53">
        <v>0.39752252974369484</v>
      </c>
      <c r="T53">
        <v>1.065124999999995</v>
      </c>
      <c r="U53">
        <v>0</v>
      </c>
    </row>
    <row r="54" spans="2:21" x14ac:dyDescent="0.25">
      <c r="K54" s="24">
        <f t="shared" si="0"/>
        <v>310</v>
      </c>
      <c r="L54" s="46">
        <f t="shared" si="2"/>
        <v>44505</v>
      </c>
      <c r="M54">
        <f>HLOOKUP($M$1,meanT!$A$2:$D$368,K54,FALSE)</f>
        <v>14.5483333333333</v>
      </c>
      <c r="P54" s="16">
        <v>44505</v>
      </c>
      <c r="Q54">
        <v>122.35946661242377</v>
      </c>
      <c r="R54">
        <v>2.0486668305564502</v>
      </c>
      <c r="S54">
        <v>0.40144287592303329</v>
      </c>
      <c r="T54">
        <v>1.0911249999999977</v>
      </c>
      <c r="U54">
        <v>0</v>
      </c>
    </row>
    <row r="55" spans="2:21" x14ac:dyDescent="0.25">
      <c r="K55" s="24">
        <f t="shared" si="0"/>
        <v>311</v>
      </c>
      <c r="L55" s="46">
        <f t="shared" si="2"/>
        <v>44506</v>
      </c>
      <c r="M55">
        <f>HLOOKUP($M$1,meanT!$A$2:$D$368,K55,FALSE)</f>
        <v>14.156666666666601</v>
      </c>
      <c r="P55" s="16">
        <v>44506</v>
      </c>
      <c r="Q55">
        <v>121.77944105035303</v>
      </c>
      <c r="R55">
        <v>2.02672779823369</v>
      </c>
      <c r="S55">
        <v>0.38495223616296298</v>
      </c>
      <c r="T55">
        <v>1.0617499999999951</v>
      </c>
      <c r="U55">
        <v>0</v>
      </c>
    </row>
    <row r="56" spans="2:21" x14ac:dyDescent="0.25">
      <c r="K56" s="24">
        <f t="shared" si="0"/>
        <v>312</v>
      </c>
      <c r="L56" s="46">
        <f t="shared" si="2"/>
        <v>44507</v>
      </c>
      <c r="M56">
        <f>HLOOKUP($M$1,meanT!$A$2:$D$368,K56,FALSE)</f>
        <v>14.466666666666599</v>
      </c>
      <c r="P56" s="16">
        <v>44507</v>
      </c>
      <c r="Q56">
        <v>121.1522131540986</v>
      </c>
      <c r="R56">
        <v>2.1000407677450901</v>
      </c>
      <c r="S56">
        <v>0.38781287149067323</v>
      </c>
      <c r="T56">
        <v>1.0849999999999949</v>
      </c>
      <c r="U56">
        <v>0</v>
      </c>
    </row>
    <row r="57" spans="2:21" x14ac:dyDescent="0.25">
      <c r="K57" s="24">
        <f t="shared" si="0"/>
        <v>313</v>
      </c>
      <c r="L57" s="46">
        <f t="shared" si="2"/>
        <v>44508</v>
      </c>
      <c r="M57">
        <f>HLOOKUP($M$1,meanT!$A$2:$D$368,K57,FALSE)</f>
        <v>14.7283333333333</v>
      </c>
      <c r="P57" s="16">
        <v>44508</v>
      </c>
      <c r="Q57">
        <v>120.48332167276068</v>
      </c>
      <c r="R57">
        <v>2.16263210323886</v>
      </c>
      <c r="S57">
        <v>0.38911562190094107</v>
      </c>
      <c r="T57">
        <v>1.1046249999999975</v>
      </c>
      <c r="U57">
        <v>0</v>
      </c>
    </row>
    <row r="58" spans="2:21" x14ac:dyDescent="0.25">
      <c r="K58" s="24">
        <f t="shared" si="0"/>
        <v>314</v>
      </c>
      <c r="L58" s="46">
        <f t="shared" si="2"/>
        <v>44509</v>
      </c>
      <c r="M58">
        <f>HLOOKUP($M$1,meanT!$A$2:$D$368,K58,FALSE)</f>
        <v>14.37</v>
      </c>
      <c r="P58" s="16">
        <v>44509</v>
      </c>
      <c r="Q58">
        <v>119.80675191450793</v>
      </c>
      <c r="R58">
        <v>2.1283767909631499</v>
      </c>
      <c r="S58">
        <v>0.37405703271040042</v>
      </c>
      <c r="T58">
        <v>1.07775</v>
      </c>
      <c r="U58">
        <v>0</v>
      </c>
    </row>
    <row r="59" spans="2:21" x14ac:dyDescent="0.25">
      <c r="K59" s="24">
        <f t="shared" si="0"/>
        <v>315</v>
      </c>
      <c r="L59" s="46">
        <f t="shared" si="2"/>
        <v>44510</v>
      </c>
      <c r="M59">
        <f>HLOOKUP($M$1,meanT!$A$2:$D$368,K59,FALSE)</f>
        <v>14.7216666666666</v>
      </c>
      <c r="P59" s="16">
        <v>44510</v>
      </c>
      <c r="Q59">
        <v>119.09525577313272</v>
      </c>
      <c r="R59">
        <v>2.1933254596560001</v>
      </c>
      <c r="S59">
        <v>0.37770431828079831</v>
      </c>
      <c r="T59">
        <v>1.1041249999999949</v>
      </c>
      <c r="U59">
        <v>0</v>
      </c>
    </row>
    <row r="60" spans="2:21" x14ac:dyDescent="0.25">
      <c r="K60" s="24">
        <f t="shared" si="0"/>
        <v>316</v>
      </c>
      <c r="L60" s="46">
        <f t="shared" si="2"/>
        <v>44511</v>
      </c>
      <c r="M60">
        <f>HLOOKUP($M$1,meanT!$A$2:$D$368,K60,FALSE)</f>
        <v>14.816666666666601</v>
      </c>
      <c r="P60" s="16">
        <v>44511</v>
      </c>
      <c r="Q60">
        <v>118.36666038602434</v>
      </c>
      <c r="R60">
        <v>2.2143907402096699</v>
      </c>
      <c r="S60">
        <v>0.37454535310128334</v>
      </c>
      <c r="T60">
        <v>1.111249999999995</v>
      </c>
      <c r="U60">
        <v>0</v>
      </c>
    </row>
    <row r="61" spans="2:21" x14ac:dyDescent="0.25">
      <c r="K61" s="24">
        <f t="shared" si="0"/>
        <v>317</v>
      </c>
      <c r="L61" s="46">
        <f t="shared" si="2"/>
        <v>44512</v>
      </c>
      <c r="M61">
        <f>HLOOKUP($M$1,meanT!$A$2:$D$368,K61,FALSE)</f>
        <v>14.7883333333333</v>
      </c>
      <c r="P61" s="16">
        <v>44512</v>
      </c>
      <c r="Q61">
        <v>117.63337793914046</v>
      </c>
      <c r="R61">
        <v>2.2106976699957999</v>
      </c>
      <c r="S61">
        <v>0.3682902231119225</v>
      </c>
      <c r="T61">
        <v>1.1091249999999975</v>
      </c>
      <c r="U61">
        <v>0</v>
      </c>
    </row>
    <row r="62" spans="2:21" x14ac:dyDescent="0.25">
      <c r="K62" s="24">
        <f t="shared" si="0"/>
        <v>318</v>
      </c>
      <c r="L62" s="46">
        <f t="shared" si="2"/>
        <v>44513</v>
      </c>
      <c r="M62">
        <f>HLOOKUP($M$1,meanT!$A$2:$D$368,K62,FALSE)</f>
        <v>14.5583333333333</v>
      </c>
      <c r="P62" s="16">
        <v>44513</v>
      </c>
      <c r="Q62">
        <v>116.91181200005381</v>
      </c>
      <c r="R62">
        <v>2.1706415259526501</v>
      </c>
      <c r="S62">
        <v>0.35720058686599804</v>
      </c>
      <c r="T62">
        <v>1.0918749999999975</v>
      </c>
      <c r="U62">
        <v>0</v>
      </c>
    </row>
    <row r="63" spans="2:21" x14ac:dyDescent="0.25">
      <c r="K63" s="24">
        <f t="shared" si="0"/>
        <v>319</v>
      </c>
      <c r="L63" s="46">
        <f t="shared" si="2"/>
        <v>44514</v>
      </c>
      <c r="M63">
        <f>HLOOKUP($M$1,meanT!$A$2:$D$368,K63,FALSE)</f>
        <v>14.5066666666666</v>
      </c>
    </row>
    <row r="64" spans="2:21" x14ac:dyDescent="0.25">
      <c r="K64" s="24">
        <f t="shared" si="0"/>
        <v>320</v>
      </c>
      <c r="L64" s="46">
        <f t="shared" si="2"/>
        <v>44515</v>
      </c>
      <c r="M64">
        <f>HLOOKUP($M$1,meanT!$A$2:$D$368,K64,FALSE)</f>
        <v>14.8633333333333</v>
      </c>
    </row>
    <row r="65" spans="11:13" x14ac:dyDescent="0.25">
      <c r="K65" s="24">
        <f t="shared" si="0"/>
        <v>321</v>
      </c>
      <c r="L65" s="46">
        <f t="shared" si="2"/>
        <v>44516</v>
      </c>
      <c r="M65">
        <f>HLOOKUP($M$1,meanT!$A$2:$D$368,K65,FALSE)</f>
        <v>15.191666666666601</v>
      </c>
    </row>
    <row r="66" spans="11:13" x14ac:dyDescent="0.25">
      <c r="K66" s="24">
        <f t="shared" si="0"/>
        <v>322</v>
      </c>
      <c r="L66" s="46">
        <f t="shared" si="2"/>
        <v>44517</v>
      </c>
      <c r="M66">
        <f>HLOOKUP($M$1,meanT!$A$2:$D$368,K66,FALSE)</f>
        <v>14.805</v>
      </c>
    </row>
    <row r="67" spans="11:13" x14ac:dyDescent="0.25">
      <c r="K67" s="24">
        <f t="shared" si="0"/>
        <v>323</v>
      </c>
      <c r="L67" s="46">
        <f t="shared" si="2"/>
        <v>44518</v>
      </c>
      <c r="M67">
        <f>HLOOKUP($M$1,meanT!$A$2:$D$368,K67,FALSE)</f>
        <v>14.4366666666666</v>
      </c>
    </row>
    <row r="68" spans="11:13" x14ac:dyDescent="0.25">
      <c r="K68" s="24">
        <f t="shared" ref="K68:K131" si="8">L68-DATE(YEAR(L68),1,0)+1</f>
        <v>324</v>
      </c>
      <c r="L68" s="46">
        <f t="shared" si="2"/>
        <v>44519</v>
      </c>
      <c r="M68">
        <f>HLOOKUP($M$1,meanT!$A$2:$D$368,K68,FALSE)</f>
        <v>14.4133333333333</v>
      </c>
    </row>
    <row r="69" spans="11:13" x14ac:dyDescent="0.25">
      <c r="K69" s="24">
        <f t="shared" si="8"/>
        <v>325</v>
      </c>
      <c r="L69" s="46">
        <f t="shared" ref="L69:L132" si="9">L68+1</f>
        <v>44520</v>
      </c>
      <c r="M69">
        <f>HLOOKUP($M$1,meanT!$A$2:$D$368,K69,FALSE)</f>
        <v>14.8266666666666</v>
      </c>
    </row>
    <row r="70" spans="11:13" x14ac:dyDescent="0.25">
      <c r="K70" s="24">
        <f t="shared" si="8"/>
        <v>326</v>
      </c>
      <c r="L70" s="46">
        <f t="shared" si="9"/>
        <v>44521</v>
      </c>
      <c r="M70">
        <f>HLOOKUP($M$1,meanT!$A$2:$D$368,K70,FALSE)</f>
        <v>14.899999999999901</v>
      </c>
    </row>
    <row r="71" spans="11:13" x14ac:dyDescent="0.25">
      <c r="K71" s="24">
        <f t="shared" si="8"/>
        <v>327</v>
      </c>
      <c r="L71" s="46">
        <f t="shared" si="9"/>
        <v>44522</v>
      </c>
      <c r="M71">
        <f>HLOOKUP($M$1,meanT!$A$2:$D$368,K71,FALSE)</f>
        <v>15.125</v>
      </c>
    </row>
    <row r="72" spans="11:13" x14ac:dyDescent="0.25">
      <c r="K72" s="24">
        <f t="shared" si="8"/>
        <v>328</v>
      </c>
      <c r="L72" s="46">
        <f t="shared" si="9"/>
        <v>44523</v>
      </c>
      <c r="M72">
        <f>HLOOKUP($M$1,meanT!$A$2:$D$368,K72,FALSE)</f>
        <v>15.358333333333301</v>
      </c>
    </row>
    <row r="73" spans="11:13" x14ac:dyDescent="0.25">
      <c r="K73" s="24">
        <f t="shared" si="8"/>
        <v>329</v>
      </c>
      <c r="L73" s="46">
        <f t="shared" si="9"/>
        <v>44524</v>
      </c>
      <c r="M73">
        <f>HLOOKUP($M$1,meanT!$A$2:$D$368,K73,FALSE)</f>
        <v>15.2051724137931</v>
      </c>
    </row>
    <row r="74" spans="11:13" x14ac:dyDescent="0.25">
      <c r="K74" s="24">
        <f t="shared" si="8"/>
        <v>330</v>
      </c>
      <c r="L74" s="46">
        <f t="shared" si="9"/>
        <v>44525</v>
      </c>
      <c r="M74">
        <f>HLOOKUP($M$1,meanT!$A$2:$D$368,K74,FALSE)</f>
        <v>15.834482758620601</v>
      </c>
    </row>
    <row r="75" spans="11:13" x14ac:dyDescent="0.25">
      <c r="K75" s="24">
        <f t="shared" si="8"/>
        <v>331</v>
      </c>
      <c r="L75" s="46">
        <f t="shared" si="9"/>
        <v>44526</v>
      </c>
      <c r="M75">
        <f>HLOOKUP($M$1,meanT!$A$2:$D$368,K75,FALSE)</f>
        <v>15.876666666666599</v>
      </c>
    </row>
    <row r="76" spans="11:13" x14ac:dyDescent="0.25">
      <c r="K76" s="24">
        <f t="shared" si="8"/>
        <v>332</v>
      </c>
      <c r="L76" s="46">
        <f t="shared" si="9"/>
        <v>44527</v>
      </c>
      <c r="M76">
        <f>HLOOKUP($M$1,meanT!$A$2:$D$368,K76,FALSE)</f>
        <v>15.52</v>
      </c>
    </row>
    <row r="77" spans="11:13" x14ac:dyDescent="0.25">
      <c r="K77" s="24">
        <f t="shared" si="8"/>
        <v>333</v>
      </c>
      <c r="L77" s="46">
        <f t="shared" si="9"/>
        <v>44528</v>
      </c>
      <c r="M77">
        <f>HLOOKUP($M$1,meanT!$A$2:$D$368,K77,FALSE)</f>
        <v>15.438333333333301</v>
      </c>
    </row>
    <row r="78" spans="11:13" x14ac:dyDescent="0.25">
      <c r="K78" s="24">
        <f t="shared" si="8"/>
        <v>334</v>
      </c>
      <c r="L78" s="46">
        <f t="shared" si="9"/>
        <v>44529</v>
      </c>
      <c r="M78">
        <f>HLOOKUP($M$1,meanT!$A$2:$D$368,K78,FALSE)</f>
        <v>15.551724137931</v>
      </c>
    </row>
    <row r="79" spans="11:13" x14ac:dyDescent="0.25">
      <c r="K79" s="24">
        <f t="shared" si="8"/>
        <v>335</v>
      </c>
      <c r="L79" s="46">
        <f t="shared" si="9"/>
        <v>44530</v>
      </c>
      <c r="M79">
        <f>HLOOKUP($M$1,meanT!$A$2:$D$368,K79,FALSE)</f>
        <v>15.832758620689599</v>
      </c>
    </row>
    <row r="80" spans="11:13" x14ac:dyDescent="0.25">
      <c r="K80" s="24">
        <f t="shared" si="8"/>
        <v>336</v>
      </c>
      <c r="L80" s="46">
        <f t="shared" si="9"/>
        <v>44531</v>
      </c>
      <c r="M80">
        <f>HLOOKUP($M$1,meanT!$A$2:$D$368,K80,FALSE)</f>
        <v>16.082758620689599</v>
      </c>
    </row>
    <row r="81" spans="11:13" x14ac:dyDescent="0.25">
      <c r="K81" s="24">
        <f t="shared" si="8"/>
        <v>337</v>
      </c>
      <c r="L81" s="46">
        <f t="shared" si="9"/>
        <v>44532</v>
      </c>
      <c r="M81">
        <f>HLOOKUP($M$1,meanT!$A$2:$D$368,K81,FALSE)</f>
        <v>16.4931034482758</v>
      </c>
    </row>
    <row r="82" spans="11:13" x14ac:dyDescent="0.25">
      <c r="K82" s="24">
        <f t="shared" si="8"/>
        <v>338</v>
      </c>
      <c r="L82" s="46">
        <f t="shared" si="9"/>
        <v>44533</v>
      </c>
      <c r="M82">
        <f>HLOOKUP($M$1,meanT!$A$2:$D$368,K82,FALSE)</f>
        <v>16.78</v>
      </c>
    </row>
    <row r="83" spans="11:13" x14ac:dyDescent="0.25">
      <c r="K83" s="24">
        <f t="shared" si="8"/>
        <v>339</v>
      </c>
      <c r="L83" s="46">
        <f t="shared" si="9"/>
        <v>44534</v>
      </c>
      <c r="M83">
        <f>HLOOKUP($M$1,meanT!$A$2:$D$368,K83,FALSE)</f>
        <v>16.8266666666666</v>
      </c>
    </row>
    <row r="84" spans="11:13" x14ac:dyDescent="0.25">
      <c r="K84" s="24">
        <f t="shared" si="8"/>
        <v>340</v>
      </c>
      <c r="L84" s="46">
        <f t="shared" si="9"/>
        <v>44535</v>
      </c>
      <c r="M84">
        <f>HLOOKUP($M$1,meanT!$A$2:$D$368,K84,FALSE)</f>
        <v>16.6516666666666</v>
      </c>
    </row>
    <row r="85" spans="11:13" x14ac:dyDescent="0.25">
      <c r="K85" s="24">
        <f t="shared" si="8"/>
        <v>341</v>
      </c>
      <c r="L85" s="46">
        <f t="shared" si="9"/>
        <v>44536</v>
      </c>
      <c r="M85">
        <f>HLOOKUP($M$1,meanT!$A$2:$D$368,K85,FALSE)</f>
        <v>16.68</v>
      </c>
    </row>
    <row r="86" spans="11:13" x14ac:dyDescent="0.25">
      <c r="K86" s="24">
        <f t="shared" si="8"/>
        <v>342</v>
      </c>
      <c r="L86" s="46">
        <f t="shared" si="9"/>
        <v>44537</v>
      </c>
      <c r="M86">
        <f>HLOOKUP($M$1,meanT!$A$2:$D$368,K86,FALSE)</f>
        <v>16.158333333333299</v>
      </c>
    </row>
    <row r="87" spans="11:13" x14ac:dyDescent="0.25">
      <c r="K87" s="24">
        <f t="shared" si="8"/>
        <v>343</v>
      </c>
      <c r="L87" s="46">
        <f t="shared" si="9"/>
        <v>44538</v>
      </c>
      <c r="M87">
        <f>HLOOKUP($M$1,meanT!$A$2:$D$368,K87,FALSE)</f>
        <v>16.105</v>
      </c>
    </row>
    <row r="88" spans="11:13" x14ac:dyDescent="0.25">
      <c r="K88" s="24">
        <f t="shared" si="8"/>
        <v>344</v>
      </c>
      <c r="L88" s="46">
        <f t="shared" si="9"/>
        <v>44539</v>
      </c>
      <c r="M88">
        <f>HLOOKUP($M$1,meanT!$A$2:$D$368,K88,FALSE)</f>
        <v>16.565000000000001</v>
      </c>
    </row>
    <row r="89" spans="11:13" x14ac:dyDescent="0.25">
      <c r="K89" s="24">
        <f t="shared" si="8"/>
        <v>345</v>
      </c>
      <c r="L89" s="46">
        <f t="shared" si="9"/>
        <v>44540</v>
      </c>
      <c r="M89">
        <f>HLOOKUP($M$1,meanT!$A$2:$D$368,K89,FALSE)</f>
        <v>16.483333333333299</v>
      </c>
    </row>
    <row r="90" spans="11:13" x14ac:dyDescent="0.25">
      <c r="K90" s="24">
        <f t="shared" si="8"/>
        <v>346</v>
      </c>
      <c r="L90" s="46">
        <f t="shared" si="9"/>
        <v>44541</v>
      </c>
      <c r="M90">
        <f>HLOOKUP($M$1,meanT!$A$2:$D$368,K90,FALSE)</f>
        <v>17.015000000000001</v>
      </c>
    </row>
    <row r="91" spans="11:13" x14ac:dyDescent="0.25">
      <c r="K91" s="24">
        <f t="shared" si="8"/>
        <v>347</v>
      </c>
      <c r="L91" s="46">
        <f t="shared" si="9"/>
        <v>44542</v>
      </c>
      <c r="M91">
        <f>HLOOKUP($M$1,meanT!$A$2:$D$368,K91,FALSE)</f>
        <v>17.483333333333299</v>
      </c>
    </row>
    <row r="92" spans="11:13" x14ac:dyDescent="0.25">
      <c r="K92" s="24">
        <f t="shared" si="8"/>
        <v>348</v>
      </c>
      <c r="L92" s="46">
        <f t="shared" si="9"/>
        <v>44543</v>
      </c>
      <c r="M92">
        <f>HLOOKUP($M$1,meanT!$A$2:$D$368,K92,FALSE)</f>
        <v>17.251666666666601</v>
      </c>
    </row>
    <row r="93" spans="11:13" x14ac:dyDescent="0.25">
      <c r="K93" s="24">
        <f t="shared" si="8"/>
        <v>349</v>
      </c>
      <c r="L93" s="46">
        <f t="shared" si="9"/>
        <v>44544</v>
      </c>
      <c r="M93">
        <f>HLOOKUP($M$1,meanT!$A$2:$D$368,K93,FALSE)</f>
        <v>17.1733333333333</v>
      </c>
    </row>
    <row r="94" spans="11:13" x14ac:dyDescent="0.25">
      <c r="K94" s="24">
        <f t="shared" si="8"/>
        <v>350</v>
      </c>
      <c r="L94" s="46">
        <f t="shared" si="9"/>
        <v>44545</v>
      </c>
      <c r="M94">
        <f>HLOOKUP($M$1,meanT!$A$2:$D$368,K94,FALSE)</f>
        <v>17.0068965517241</v>
      </c>
    </row>
    <row r="95" spans="11:13" x14ac:dyDescent="0.25">
      <c r="K95" s="24">
        <f t="shared" si="8"/>
        <v>351</v>
      </c>
      <c r="L95" s="46">
        <f t="shared" si="9"/>
        <v>44546</v>
      </c>
      <c r="M95">
        <f>HLOOKUP($M$1,meanT!$A$2:$D$368,K95,FALSE)</f>
        <v>17.105172413793099</v>
      </c>
    </row>
    <row r="96" spans="11:13" x14ac:dyDescent="0.25">
      <c r="K96" s="24">
        <f t="shared" si="8"/>
        <v>352</v>
      </c>
      <c r="L96" s="46">
        <f t="shared" si="9"/>
        <v>44547</v>
      </c>
      <c r="M96">
        <f>HLOOKUP($M$1,meanT!$A$2:$D$368,K96,FALSE)</f>
        <v>17.153448275862001</v>
      </c>
    </row>
    <row r="97" spans="11:13" x14ac:dyDescent="0.25">
      <c r="K97" s="24">
        <f t="shared" si="8"/>
        <v>353</v>
      </c>
      <c r="L97" s="46">
        <f t="shared" si="9"/>
        <v>44548</v>
      </c>
      <c r="M97">
        <f>HLOOKUP($M$1,meanT!$A$2:$D$368,K97,FALSE)</f>
        <v>16.853448275862</v>
      </c>
    </row>
    <row r="98" spans="11:13" x14ac:dyDescent="0.25">
      <c r="K98" s="24">
        <f t="shared" si="8"/>
        <v>354</v>
      </c>
      <c r="L98" s="46">
        <f t="shared" si="9"/>
        <v>44549</v>
      </c>
      <c r="M98">
        <f>HLOOKUP($M$1,meanT!$A$2:$D$368,K98,FALSE)</f>
        <v>17.030357142857099</v>
      </c>
    </row>
    <row r="99" spans="11:13" x14ac:dyDescent="0.25">
      <c r="K99" s="24">
        <f t="shared" si="8"/>
        <v>355</v>
      </c>
      <c r="L99" s="46">
        <f t="shared" si="9"/>
        <v>44550</v>
      </c>
      <c r="M99">
        <f>HLOOKUP($M$1,meanT!$A$2:$D$368,K99,FALSE)</f>
        <v>17.3086206896551</v>
      </c>
    </row>
    <row r="100" spans="11:13" x14ac:dyDescent="0.25">
      <c r="K100" s="24">
        <f t="shared" si="8"/>
        <v>356</v>
      </c>
      <c r="L100" s="46">
        <f t="shared" si="9"/>
        <v>44551</v>
      </c>
      <c r="M100">
        <f>HLOOKUP($M$1,meanT!$A$2:$D$368,K100,FALSE)</f>
        <v>17.3086206896551</v>
      </c>
    </row>
    <row r="101" spans="11:13" x14ac:dyDescent="0.25">
      <c r="K101" s="24">
        <f t="shared" si="8"/>
        <v>357</v>
      </c>
      <c r="L101" s="46">
        <f t="shared" si="9"/>
        <v>44552</v>
      </c>
      <c r="M101">
        <f>HLOOKUP($M$1,meanT!$A$2:$D$368,K101,FALSE)</f>
        <v>17.474137931034399</v>
      </c>
    </row>
    <row r="102" spans="11:13" x14ac:dyDescent="0.25">
      <c r="K102" s="24">
        <f t="shared" si="8"/>
        <v>358</v>
      </c>
      <c r="L102" s="46">
        <f t="shared" si="9"/>
        <v>44553</v>
      </c>
      <c r="M102">
        <f>HLOOKUP($M$1,meanT!$A$2:$D$368,K102,FALSE)</f>
        <v>17.091379310344799</v>
      </c>
    </row>
    <row r="103" spans="11:13" x14ac:dyDescent="0.25">
      <c r="K103" s="24">
        <f t="shared" si="8"/>
        <v>359</v>
      </c>
      <c r="L103" s="46">
        <f t="shared" si="9"/>
        <v>44554</v>
      </c>
      <c r="M103">
        <f>HLOOKUP($M$1,meanT!$A$2:$D$368,K103,FALSE)</f>
        <v>17.2275862068965</v>
      </c>
    </row>
    <row r="104" spans="11:13" x14ac:dyDescent="0.25">
      <c r="K104" s="24">
        <f t="shared" si="8"/>
        <v>360</v>
      </c>
      <c r="L104" s="46">
        <f t="shared" si="9"/>
        <v>44555</v>
      </c>
      <c r="M104">
        <f>HLOOKUP($M$1,meanT!$A$2:$D$368,K104,FALSE)</f>
        <v>17.475862068965501</v>
      </c>
    </row>
    <row r="105" spans="11:13" x14ac:dyDescent="0.25">
      <c r="K105" s="24">
        <f t="shared" si="8"/>
        <v>361</v>
      </c>
      <c r="L105" s="46">
        <f t="shared" si="9"/>
        <v>44556</v>
      </c>
      <c r="M105">
        <f>HLOOKUP($M$1,meanT!$A$2:$D$368,K105,FALSE)</f>
        <v>17.193103448275799</v>
      </c>
    </row>
    <row r="106" spans="11:13" x14ac:dyDescent="0.25">
      <c r="K106" s="24">
        <f t="shared" si="8"/>
        <v>362</v>
      </c>
      <c r="L106" s="46">
        <f t="shared" si="9"/>
        <v>44557</v>
      </c>
      <c r="M106">
        <f>HLOOKUP($M$1,meanT!$A$2:$D$368,K106,FALSE)</f>
        <v>17.263793103448201</v>
      </c>
    </row>
    <row r="107" spans="11:13" x14ac:dyDescent="0.25">
      <c r="K107" s="24">
        <f t="shared" si="8"/>
        <v>363</v>
      </c>
      <c r="L107" s="46">
        <f t="shared" si="9"/>
        <v>44558</v>
      </c>
      <c r="M107">
        <f>HLOOKUP($M$1,meanT!$A$2:$D$368,K107,FALSE)</f>
        <v>18.060344827586199</v>
      </c>
    </row>
    <row r="108" spans="11:13" x14ac:dyDescent="0.25">
      <c r="K108" s="24">
        <f t="shared" si="8"/>
        <v>364</v>
      </c>
      <c r="L108" s="46">
        <f t="shared" si="9"/>
        <v>44559</v>
      </c>
      <c r="M108">
        <f>HLOOKUP($M$1,meanT!$A$2:$D$368,K108,FALSE)</f>
        <v>18.386206896551698</v>
      </c>
    </row>
    <row r="109" spans="11:13" x14ac:dyDescent="0.25">
      <c r="K109" s="24">
        <f t="shared" si="8"/>
        <v>365</v>
      </c>
      <c r="L109" s="46">
        <f t="shared" si="9"/>
        <v>44560</v>
      </c>
      <c r="M109">
        <f>HLOOKUP($M$1,meanT!$A$2:$D$368,K109,FALSE)</f>
        <v>18.156896551724099</v>
      </c>
    </row>
    <row r="110" spans="11:13" x14ac:dyDescent="0.25">
      <c r="K110" s="24">
        <f t="shared" si="8"/>
        <v>366</v>
      </c>
      <c r="L110" s="46">
        <f t="shared" si="9"/>
        <v>44561</v>
      </c>
      <c r="M110">
        <f>HLOOKUP($M$1,meanT!$A$2:$D$368,K110,FALSE)</f>
        <v>17.8086206896551</v>
      </c>
    </row>
    <row r="111" spans="11:13" x14ac:dyDescent="0.25">
      <c r="K111" s="24">
        <f t="shared" si="8"/>
        <v>2</v>
      </c>
      <c r="L111" s="46">
        <f t="shared" si="9"/>
        <v>44562</v>
      </c>
      <c r="M111">
        <f>HLOOKUP($M$1,meanT!$A$2:$D$368,K111,FALSE)</f>
        <v>17.639655172413701</v>
      </c>
    </row>
    <row r="112" spans="11:13" x14ac:dyDescent="0.25">
      <c r="K112" s="24">
        <f t="shared" si="8"/>
        <v>3</v>
      </c>
      <c r="L112" s="46">
        <f t="shared" si="9"/>
        <v>44563</v>
      </c>
      <c r="M112">
        <f>HLOOKUP($M$1,meanT!$A$2:$D$368,K112,FALSE)</f>
        <v>18.013793103448201</v>
      </c>
    </row>
    <row r="113" spans="11:13" x14ac:dyDescent="0.25">
      <c r="K113" s="24">
        <f t="shared" si="8"/>
        <v>4</v>
      </c>
      <c r="L113" s="46">
        <f t="shared" si="9"/>
        <v>44564</v>
      </c>
      <c r="M113">
        <f>HLOOKUP($M$1,meanT!$A$2:$D$368,K113,FALSE)</f>
        <v>17.827586206896498</v>
      </c>
    </row>
    <row r="114" spans="11:13" x14ac:dyDescent="0.25">
      <c r="K114" s="24">
        <f t="shared" si="8"/>
        <v>5</v>
      </c>
      <c r="L114" s="46">
        <f t="shared" si="9"/>
        <v>44565</v>
      </c>
      <c r="M114">
        <f>HLOOKUP($M$1,meanT!$A$2:$D$368,K114,FALSE)</f>
        <v>18.068965517241299</v>
      </c>
    </row>
    <row r="115" spans="11:13" x14ac:dyDescent="0.25">
      <c r="K115" s="24">
        <f t="shared" si="8"/>
        <v>6</v>
      </c>
      <c r="L115" s="46">
        <f t="shared" si="9"/>
        <v>44566</v>
      </c>
      <c r="M115">
        <f>HLOOKUP($M$1,meanT!$A$2:$D$368,K115,FALSE)</f>
        <v>17.658620689655098</v>
      </c>
    </row>
    <row r="116" spans="11:13" x14ac:dyDescent="0.25">
      <c r="K116" s="24">
        <f t="shared" si="8"/>
        <v>7</v>
      </c>
      <c r="L116" s="46">
        <f t="shared" si="9"/>
        <v>44567</v>
      </c>
      <c r="M116">
        <f>HLOOKUP($M$1,meanT!$A$2:$D$368,K116,FALSE)</f>
        <v>17.7431034482758</v>
      </c>
    </row>
    <row r="117" spans="11:13" x14ac:dyDescent="0.25">
      <c r="K117" s="24">
        <f t="shared" si="8"/>
        <v>8</v>
      </c>
      <c r="L117" s="46">
        <f t="shared" si="9"/>
        <v>44568</v>
      </c>
      <c r="M117">
        <f>HLOOKUP($M$1,meanT!$A$2:$D$368,K117,FALSE)</f>
        <v>18.181034482758601</v>
      </c>
    </row>
    <row r="118" spans="11:13" x14ac:dyDescent="0.25">
      <c r="K118" s="24">
        <f t="shared" si="8"/>
        <v>9</v>
      </c>
      <c r="L118" s="46">
        <f t="shared" si="9"/>
        <v>44569</v>
      </c>
      <c r="M118">
        <f>HLOOKUP($M$1,meanT!$A$2:$D$368,K118,FALSE)</f>
        <v>18.393103448275799</v>
      </c>
    </row>
    <row r="119" spans="11:13" x14ac:dyDescent="0.25">
      <c r="K119" s="24">
        <f t="shared" si="8"/>
        <v>10</v>
      </c>
      <c r="L119" s="46">
        <f t="shared" si="9"/>
        <v>44570</v>
      </c>
      <c r="M119">
        <f>HLOOKUP($M$1,meanT!$A$2:$D$368,K119,FALSE)</f>
        <v>18.6103448275862</v>
      </c>
    </row>
    <row r="120" spans="11:13" x14ac:dyDescent="0.25">
      <c r="K120" s="24">
        <f t="shared" si="8"/>
        <v>11</v>
      </c>
      <c r="L120" s="46">
        <f t="shared" si="9"/>
        <v>44571</v>
      </c>
      <c r="M120">
        <f>HLOOKUP($M$1,meanT!$A$2:$D$368,K120,FALSE)</f>
        <v>18.453448275862002</v>
      </c>
    </row>
    <row r="121" spans="11:13" x14ac:dyDescent="0.25">
      <c r="K121" s="24">
        <f t="shared" si="8"/>
        <v>12</v>
      </c>
      <c r="L121" s="46">
        <f t="shared" si="9"/>
        <v>44572</v>
      </c>
      <c r="M121">
        <f>HLOOKUP($M$1,meanT!$A$2:$D$368,K121,FALSE)</f>
        <v>18.186206896551699</v>
      </c>
    </row>
    <row r="122" spans="11:13" x14ac:dyDescent="0.25">
      <c r="K122" s="24">
        <f t="shared" si="8"/>
        <v>13</v>
      </c>
      <c r="L122" s="46">
        <f t="shared" si="9"/>
        <v>44573</v>
      </c>
      <c r="M122">
        <f>HLOOKUP($M$1,meanT!$A$2:$D$368,K122,FALSE)</f>
        <v>18.314999999999898</v>
      </c>
    </row>
    <row r="123" spans="11:13" x14ac:dyDescent="0.25">
      <c r="K123" s="24">
        <f t="shared" si="8"/>
        <v>14</v>
      </c>
      <c r="L123" s="46">
        <f t="shared" si="9"/>
        <v>44574</v>
      </c>
      <c r="M123">
        <f>HLOOKUP($M$1,meanT!$A$2:$D$368,K123,FALSE)</f>
        <v>18.473333333333301</v>
      </c>
    </row>
    <row r="124" spans="11:13" x14ac:dyDescent="0.25">
      <c r="K124" s="24">
        <f t="shared" si="8"/>
        <v>15</v>
      </c>
      <c r="L124" s="46">
        <f t="shared" si="9"/>
        <v>44575</v>
      </c>
      <c r="M124">
        <f>HLOOKUP($M$1,meanT!$A$2:$D$368,K124,FALSE)</f>
        <v>18.684999999999999</v>
      </c>
    </row>
    <row r="125" spans="11:13" x14ac:dyDescent="0.25">
      <c r="K125" s="24">
        <f t="shared" si="8"/>
        <v>16</v>
      </c>
      <c r="L125" s="46">
        <f t="shared" si="9"/>
        <v>44576</v>
      </c>
      <c r="M125">
        <f>HLOOKUP($M$1,meanT!$A$2:$D$368,K125,FALSE)</f>
        <v>18.661666666666601</v>
      </c>
    </row>
    <row r="126" spans="11:13" x14ac:dyDescent="0.25">
      <c r="K126" s="24">
        <f t="shared" si="8"/>
        <v>17</v>
      </c>
      <c r="L126" s="46">
        <f t="shared" si="9"/>
        <v>44577</v>
      </c>
      <c r="M126">
        <f>HLOOKUP($M$1,meanT!$A$2:$D$368,K126,FALSE)</f>
        <v>18.636666666666599</v>
      </c>
    </row>
    <row r="127" spans="11:13" x14ac:dyDescent="0.25">
      <c r="K127" s="24">
        <f t="shared" si="8"/>
        <v>18</v>
      </c>
      <c r="L127" s="46">
        <f t="shared" si="9"/>
        <v>44578</v>
      </c>
      <c r="M127">
        <f>HLOOKUP($M$1,meanT!$A$2:$D$368,K127,FALSE)</f>
        <v>18.4233333333333</v>
      </c>
    </row>
    <row r="128" spans="11:13" x14ac:dyDescent="0.25">
      <c r="K128" s="24">
        <f t="shared" si="8"/>
        <v>19</v>
      </c>
      <c r="L128" s="46">
        <f t="shared" si="9"/>
        <v>44579</v>
      </c>
      <c r="M128">
        <f>HLOOKUP($M$1,meanT!$A$2:$D$368,K128,FALSE)</f>
        <v>18.466666666666601</v>
      </c>
    </row>
    <row r="129" spans="11:13" x14ac:dyDescent="0.25">
      <c r="K129" s="24">
        <f t="shared" si="8"/>
        <v>20</v>
      </c>
      <c r="L129" s="46">
        <f t="shared" si="9"/>
        <v>44580</v>
      </c>
      <c r="M129">
        <f>HLOOKUP($M$1,meanT!$A$2:$D$368,K129,FALSE)</f>
        <v>18.754999999999999</v>
      </c>
    </row>
    <row r="130" spans="11:13" x14ac:dyDescent="0.25">
      <c r="K130" s="24">
        <f t="shared" si="8"/>
        <v>21</v>
      </c>
      <c r="L130" s="46">
        <f t="shared" si="9"/>
        <v>44581</v>
      </c>
      <c r="M130">
        <f>HLOOKUP($M$1,meanT!$A$2:$D$368,K130,FALSE)</f>
        <v>18.6933333333333</v>
      </c>
    </row>
    <row r="131" spans="11:13" x14ac:dyDescent="0.25">
      <c r="K131" s="24">
        <f t="shared" si="8"/>
        <v>22</v>
      </c>
      <c r="L131" s="46">
        <f t="shared" si="9"/>
        <v>44582</v>
      </c>
      <c r="M131">
        <f>HLOOKUP($M$1,meanT!$A$2:$D$368,K131,FALSE)</f>
        <v>18.914999999999999</v>
      </c>
    </row>
    <row r="132" spans="11:13" x14ac:dyDescent="0.25">
      <c r="K132" s="24">
        <f t="shared" ref="K132:K195" si="10">L132-DATE(YEAR(L132),1,0)+1</f>
        <v>23</v>
      </c>
      <c r="L132" s="46">
        <f t="shared" si="9"/>
        <v>44583</v>
      </c>
      <c r="M132">
        <f>HLOOKUP($M$1,meanT!$A$2:$D$368,K132,FALSE)</f>
        <v>19.0133333333333</v>
      </c>
    </row>
    <row r="133" spans="11:13" x14ac:dyDescent="0.25">
      <c r="K133" s="24">
        <f t="shared" si="10"/>
        <v>24</v>
      </c>
      <c r="L133" s="46">
        <f t="shared" ref="L133:L196" si="11">L132+1</f>
        <v>44584</v>
      </c>
      <c r="M133">
        <f>HLOOKUP($M$1,meanT!$A$2:$D$368,K133,FALSE)</f>
        <v>19.03</v>
      </c>
    </row>
    <row r="134" spans="11:13" x14ac:dyDescent="0.25">
      <c r="K134" s="24">
        <f t="shared" si="10"/>
        <v>25</v>
      </c>
      <c r="L134" s="46">
        <f t="shared" si="11"/>
        <v>44585</v>
      </c>
      <c r="M134">
        <f>HLOOKUP($M$1,meanT!$A$2:$D$368,K134,FALSE)</f>
        <v>19.07</v>
      </c>
    </row>
    <row r="135" spans="11:13" x14ac:dyDescent="0.25">
      <c r="K135" s="24">
        <f t="shared" si="10"/>
        <v>26</v>
      </c>
      <c r="L135" s="46">
        <f t="shared" si="11"/>
        <v>44586</v>
      </c>
      <c r="M135">
        <f>HLOOKUP($M$1,meanT!$A$2:$D$368,K135,FALSE)</f>
        <v>19.3</v>
      </c>
    </row>
    <row r="136" spans="11:13" x14ac:dyDescent="0.25">
      <c r="K136" s="24">
        <f t="shared" si="10"/>
        <v>27</v>
      </c>
      <c r="L136" s="46">
        <f t="shared" si="11"/>
        <v>44587</v>
      </c>
      <c r="M136">
        <f>HLOOKUP($M$1,meanT!$A$2:$D$368,K136,FALSE)</f>
        <v>19.418333333333301</v>
      </c>
    </row>
    <row r="137" spans="11:13" x14ac:dyDescent="0.25">
      <c r="K137" s="24">
        <f t="shared" si="10"/>
        <v>28</v>
      </c>
      <c r="L137" s="46">
        <f t="shared" si="11"/>
        <v>44588</v>
      </c>
      <c r="M137">
        <f>HLOOKUP($M$1,meanT!$A$2:$D$368,K137,FALSE)</f>
        <v>19.086666666666599</v>
      </c>
    </row>
    <row r="138" spans="11:13" x14ac:dyDescent="0.25">
      <c r="K138" s="24">
        <f t="shared" si="10"/>
        <v>29</v>
      </c>
      <c r="L138" s="46">
        <f t="shared" si="11"/>
        <v>44589</v>
      </c>
      <c r="M138">
        <f>HLOOKUP($M$1,meanT!$A$2:$D$368,K138,FALSE)</f>
        <v>19.248333333333299</v>
      </c>
    </row>
    <row r="139" spans="11:13" x14ac:dyDescent="0.25">
      <c r="K139" s="24">
        <f t="shared" si="10"/>
        <v>30</v>
      </c>
      <c r="L139" s="46">
        <f t="shared" si="11"/>
        <v>44590</v>
      </c>
      <c r="M139">
        <f>HLOOKUP($M$1,meanT!$A$2:$D$368,K139,FALSE)</f>
        <v>19.486666666666601</v>
      </c>
    </row>
    <row r="140" spans="11:13" x14ac:dyDescent="0.25">
      <c r="K140" s="24">
        <f t="shared" si="10"/>
        <v>31</v>
      </c>
      <c r="L140" s="46">
        <f t="shared" si="11"/>
        <v>44591</v>
      </c>
      <c r="M140">
        <f>HLOOKUP($M$1,meanT!$A$2:$D$368,K140,FALSE)</f>
        <v>19.725000000000001</v>
      </c>
    </row>
    <row r="141" spans="11:13" x14ac:dyDescent="0.25">
      <c r="K141" s="24">
        <f t="shared" si="10"/>
        <v>32</v>
      </c>
      <c r="L141" s="46">
        <f t="shared" si="11"/>
        <v>44592</v>
      </c>
      <c r="M141">
        <f>HLOOKUP($M$1,meanT!$A$2:$D$368,K141,FALSE)</f>
        <v>19.670000000000002</v>
      </c>
    </row>
    <row r="142" spans="11:13" x14ac:dyDescent="0.25">
      <c r="K142" s="24">
        <f t="shared" si="10"/>
        <v>33</v>
      </c>
      <c r="L142" s="46">
        <f t="shared" si="11"/>
        <v>44593</v>
      </c>
      <c r="M142">
        <f>HLOOKUP($M$1,meanT!$A$2:$D$368,K142,FALSE)</f>
        <v>19.770689655172401</v>
      </c>
    </row>
    <row r="143" spans="11:13" x14ac:dyDescent="0.25">
      <c r="K143" s="24">
        <f t="shared" si="10"/>
        <v>34</v>
      </c>
      <c r="L143" s="46">
        <f t="shared" si="11"/>
        <v>44594</v>
      </c>
      <c r="M143">
        <f>HLOOKUP($M$1,meanT!$A$2:$D$368,K143,FALSE)</f>
        <v>19.548275862068898</v>
      </c>
    </row>
    <row r="144" spans="11:13" x14ac:dyDescent="0.25">
      <c r="K144" s="24">
        <f t="shared" si="10"/>
        <v>35</v>
      </c>
      <c r="L144" s="46">
        <f t="shared" si="11"/>
        <v>44595</v>
      </c>
      <c r="M144">
        <f>HLOOKUP($M$1,meanT!$A$2:$D$368,K144,FALSE)</f>
        <v>19.325862068965499</v>
      </c>
    </row>
    <row r="145" spans="11:13" x14ac:dyDescent="0.25">
      <c r="K145" s="24">
        <f t="shared" si="10"/>
        <v>36</v>
      </c>
      <c r="L145" s="46">
        <f t="shared" si="11"/>
        <v>44596</v>
      </c>
      <c r="M145">
        <f>HLOOKUP($M$1,meanT!$A$2:$D$368,K145,FALSE)</f>
        <v>18.712068965517201</v>
      </c>
    </row>
    <row r="146" spans="11:13" x14ac:dyDescent="0.25">
      <c r="K146" s="24">
        <f t="shared" si="10"/>
        <v>37</v>
      </c>
      <c r="L146" s="46">
        <f t="shared" si="11"/>
        <v>44597</v>
      </c>
      <c r="M146">
        <f>HLOOKUP($M$1,meanT!$A$2:$D$368,K146,FALSE)</f>
        <v>19.178333333333299</v>
      </c>
    </row>
    <row r="147" spans="11:13" x14ac:dyDescent="0.25">
      <c r="K147" s="24">
        <f t="shared" si="10"/>
        <v>38</v>
      </c>
      <c r="L147" s="46">
        <f t="shared" si="11"/>
        <v>44598</v>
      </c>
      <c r="M147">
        <f>HLOOKUP($M$1,meanT!$A$2:$D$368,K147,FALSE)</f>
        <v>19.063333333333301</v>
      </c>
    </row>
    <row r="148" spans="11:13" x14ac:dyDescent="0.25">
      <c r="K148" s="24">
        <f t="shared" si="10"/>
        <v>39</v>
      </c>
      <c r="L148" s="46">
        <f t="shared" si="11"/>
        <v>44599</v>
      </c>
      <c r="M148">
        <f>HLOOKUP($M$1,meanT!$A$2:$D$368,K148,FALSE)</f>
        <v>19.164999999999999</v>
      </c>
    </row>
    <row r="149" spans="11:13" x14ac:dyDescent="0.25">
      <c r="K149" s="24">
        <f t="shared" si="10"/>
        <v>40</v>
      </c>
      <c r="L149" s="46">
        <f t="shared" si="11"/>
        <v>44600</v>
      </c>
      <c r="M149">
        <f>HLOOKUP($M$1,meanT!$A$2:$D$368,K149,FALSE)</f>
        <v>19.145</v>
      </c>
    </row>
    <row r="150" spans="11:13" x14ac:dyDescent="0.25">
      <c r="K150" s="24">
        <f t="shared" si="10"/>
        <v>41</v>
      </c>
      <c r="L150" s="46">
        <f t="shared" si="11"/>
        <v>44601</v>
      </c>
      <c r="M150">
        <f>HLOOKUP($M$1,meanT!$A$2:$D$368,K150,FALSE)</f>
        <v>19.28</v>
      </c>
    </row>
    <row r="151" spans="11:13" x14ac:dyDescent="0.25">
      <c r="K151" s="24">
        <f t="shared" si="10"/>
        <v>42</v>
      </c>
      <c r="L151" s="46">
        <f t="shared" si="11"/>
        <v>44602</v>
      </c>
      <c r="M151">
        <f>HLOOKUP($M$1,meanT!$A$2:$D$368,K151,FALSE)</f>
        <v>19.6533333333333</v>
      </c>
    </row>
    <row r="152" spans="11:13" x14ac:dyDescent="0.25">
      <c r="K152" s="24">
        <f t="shared" si="10"/>
        <v>43</v>
      </c>
      <c r="L152" s="46">
        <f t="shared" si="11"/>
        <v>44603</v>
      </c>
      <c r="M152">
        <f>HLOOKUP($M$1,meanT!$A$2:$D$368,K152,FALSE)</f>
        <v>19.843333333333302</v>
      </c>
    </row>
    <row r="153" spans="11:13" x14ac:dyDescent="0.25">
      <c r="K153" s="24">
        <f t="shared" si="10"/>
        <v>44</v>
      </c>
      <c r="L153" s="46">
        <f t="shared" si="11"/>
        <v>44604</v>
      </c>
      <c r="M153">
        <f>HLOOKUP($M$1,meanT!$A$2:$D$368,K153,FALSE)</f>
        <v>19.767241379310299</v>
      </c>
    </row>
    <row r="154" spans="11:13" x14ac:dyDescent="0.25">
      <c r="K154" s="24">
        <f t="shared" si="10"/>
        <v>45</v>
      </c>
      <c r="L154" s="46">
        <f t="shared" si="11"/>
        <v>44605</v>
      </c>
      <c r="M154">
        <f>HLOOKUP($M$1,meanT!$A$2:$D$368,K154,FALSE)</f>
        <v>19.5672413793103</v>
      </c>
    </row>
    <row r="155" spans="11:13" x14ac:dyDescent="0.25">
      <c r="K155" s="24">
        <f t="shared" si="10"/>
        <v>46</v>
      </c>
      <c r="L155" s="46">
        <f t="shared" si="11"/>
        <v>44606</v>
      </c>
      <c r="M155">
        <f>HLOOKUP($M$1,meanT!$A$2:$D$368,K155,FALSE)</f>
        <v>19.5910714285714</v>
      </c>
    </row>
    <row r="156" spans="11:13" x14ac:dyDescent="0.25">
      <c r="K156" s="24">
        <f t="shared" si="10"/>
        <v>47</v>
      </c>
      <c r="L156" s="46">
        <f t="shared" si="11"/>
        <v>44607</v>
      </c>
      <c r="M156">
        <f>HLOOKUP($M$1,meanT!$A$2:$D$368,K156,FALSE)</f>
        <v>19.355357142857098</v>
      </c>
    </row>
    <row r="157" spans="11:13" x14ac:dyDescent="0.25">
      <c r="K157" s="24">
        <f t="shared" si="10"/>
        <v>48</v>
      </c>
      <c r="L157" s="46">
        <f t="shared" si="11"/>
        <v>44608</v>
      </c>
      <c r="M157">
        <f>HLOOKUP($M$1,meanT!$A$2:$D$368,K157,FALSE)</f>
        <v>19.258928571428498</v>
      </c>
    </row>
    <row r="158" spans="11:13" x14ac:dyDescent="0.25">
      <c r="K158" s="24">
        <f t="shared" si="10"/>
        <v>49</v>
      </c>
      <c r="L158" s="46">
        <f t="shared" si="11"/>
        <v>44609</v>
      </c>
      <c r="M158">
        <f>HLOOKUP($M$1,meanT!$A$2:$D$368,K158,FALSE)</f>
        <v>19.284482758620602</v>
      </c>
    </row>
    <row r="159" spans="11:13" x14ac:dyDescent="0.25">
      <c r="K159" s="24">
        <f t="shared" si="10"/>
        <v>50</v>
      </c>
      <c r="L159" s="46">
        <f t="shared" si="11"/>
        <v>44610</v>
      </c>
      <c r="M159">
        <f>HLOOKUP($M$1,meanT!$A$2:$D$368,K159,FALSE)</f>
        <v>19.415517241379298</v>
      </c>
    </row>
    <row r="160" spans="11:13" x14ac:dyDescent="0.25">
      <c r="K160" s="24">
        <f t="shared" si="10"/>
        <v>51</v>
      </c>
      <c r="L160" s="46">
        <f t="shared" si="11"/>
        <v>44611</v>
      </c>
      <c r="M160">
        <f>HLOOKUP($M$1,meanT!$A$2:$D$368,K160,FALSE)</f>
        <v>19.4189655172413</v>
      </c>
    </row>
    <row r="161" spans="11:13" x14ac:dyDescent="0.25">
      <c r="K161" s="24">
        <f t="shared" si="10"/>
        <v>52</v>
      </c>
      <c r="L161" s="46">
        <f t="shared" si="11"/>
        <v>44612</v>
      </c>
      <c r="M161">
        <f>HLOOKUP($M$1,meanT!$A$2:$D$368,K161,FALSE)</f>
        <v>19.5068965517241</v>
      </c>
    </row>
    <row r="162" spans="11:13" x14ac:dyDescent="0.25">
      <c r="K162" s="24">
        <f t="shared" si="10"/>
        <v>53</v>
      </c>
      <c r="L162" s="46">
        <f t="shared" si="11"/>
        <v>44613</v>
      </c>
      <c r="M162">
        <f>HLOOKUP($M$1,meanT!$A$2:$D$368,K162,FALSE)</f>
        <v>19.441666666666599</v>
      </c>
    </row>
    <row r="163" spans="11:13" x14ac:dyDescent="0.25">
      <c r="K163" s="24">
        <f t="shared" si="10"/>
        <v>54</v>
      </c>
      <c r="L163" s="46">
        <f t="shared" si="11"/>
        <v>44614</v>
      </c>
      <c r="M163">
        <f>HLOOKUP($M$1,meanT!$A$2:$D$368,K163,FALSE)</f>
        <v>19.231666666666602</v>
      </c>
    </row>
    <row r="164" spans="11:13" x14ac:dyDescent="0.25">
      <c r="K164" s="24">
        <f t="shared" si="10"/>
        <v>55</v>
      </c>
      <c r="L164" s="46">
        <f t="shared" si="11"/>
        <v>44615</v>
      </c>
      <c r="M164">
        <f>HLOOKUP($M$1,meanT!$A$2:$D$368,K164,FALSE)</f>
        <v>19.22</v>
      </c>
    </row>
    <row r="165" spans="11:13" x14ac:dyDescent="0.25">
      <c r="K165" s="24">
        <f t="shared" si="10"/>
        <v>56</v>
      </c>
      <c r="L165" s="46">
        <f t="shared" si="11"/>
        <v>44616</v>
      </c>
      <c r="M165">
        <f>HLOOKUP($M$1,meanT!$A$2:$D$368,K165,FALSE)</f>
        <v>18.793333333333301</v>
      </c>
    </row>
    <row r="166" spans="11:13" x14ac:dyDescent="0.25">
      <c r="K166" s="24">
        <f t="shared" si="10"/>
        <v>57</v>
      </c>
      <c r="L166" s="46">
        <f t="shared" si="11"/>
        <v>44617</v>
      </c>
      <c r="M166">
        <f>HLOOKUP($M$1,meanT!$A$2:$D$368,K166,FALSE)</f>
        <v>18.3</v>
      </c>
    </row>
    <row r="167" spans="11:13" x14ac:dyDescent="0.25">
      <c r="K167" s="24">
        <f t="shared" si="10"/>
        <v>58</v>
      </c>
      <c r="L167" s="46">
        <f t="shared" si="11"/>
        <v>44618</v>
      </c>
      <c r="M167">
        <f>HLOOKUP($M$1,meanT!$A$2:$D$368,K167,FALSE)</f>
        <v>18.41</v>
      </c>
    </row>
    <row r="168" spans="11:13" x14ac:dyDescent="0.25">
      <c r="K168" s="24">
        <f t="shared" si="10"/>
        <v>59</v>
      </c>
      <c r="L168" s="46">
        <f t="shared" si="11"/>
        <v>44619</v>
      </c>
      <c r="M168">
        <f>HLOOKUP($M$1,meanT!$A$2:$D$368,K168,FALSE)</f>
        <v>18.516666666666602</v>
      </c>
    </row>
    <row r="169" spans="11:13" x14ac:dyDescent="0.25">
      <c r="K169" s="24">
        <f t="shared" si="10"/>
        <v>60</v>
      </c>
      <c r="L169" s="46">
        <f t="shared" si="11"/>
        <v>44620</v>
      </c>
      <c r="M169">
        <f>HLOOKUP($M$1,meanT!$A$2:$D$368,K169,FALSE)</f>
        <v>18.253571428571401</v>
      </c>
    </row>
    <row r="170" spans="11:13" x14ac:dyDescent="0.25">
      <c r="K170" s="24">
        <f t="shared" si="10"/>
        <v>61</v>
      </c>
      <c r="L170" s="46">
        <f t="shared" si="11"/>
        <v>44621</v>
      </c>
      <c r="M170">
        <f>HLOOKUP($M$1,meanT!$A$2:$D$368,K170,FALSE)</f>
        <v>18.313793103448202</v>
      </c>
    </row>
    <row r="171" spans="11:13" x14ac:dyDescent="0.25">
      <c r="K171" s="24">
        <f t="shared" si="10"/>
        <v>62</v>
      </c>
      <c r="L171" s="46">
        <f t="shared" si="11"/>
        <v>44622</v>
      </c>
      <c r="M171">
        <f>HLOOKUP($M$1,meanT!$A$2:$D$368,K171,FALSE)</f>
        <v>18.701724137930999</v>
      </c>
    </row>
    <row r="172" spans="11:13" x14ac:dyDescent="0.25">
      <c r="K172" s="24">
        <f t="shared" si="10"/>
        <v>63</v>
      </c>
      <c r="L172" s="46">
        <f t="shared" si="11"/>
        <v>44623</v>
      </c>
      <c r="M172">
        <f>HLOOKUP($M$1,meanT!$A$2:$D$368,K172,FALSE)</f>
        <v>18.759999999999899</v>
      </c>
    </row>
    <row r="173" spans="11:13" x14ac:dyDescent="0.25">
      <c r="K173" s="24">
        <f t="shared" si="10"/>
        <v>64</v>
      </c>
      <c r="L173" s="46">
        <f t="shared" si="11"/>
        <v>44624</v>
      </c>
      <c r="M173">
        <f>HLOOKUP($M$1,meanT!$A$2:$D$368,K173,FALSE)</f>
        <v>18.0322580645161</v>
      </c>
    </row>
    <row r="174" spans="11:13" x14ac:dyDescent="0.25">
      <c r="K174" s="24">
        <f t="shared" si="10"/>
        <v>65</v>
      </c>
      <c r="L174" s="46">
        <f t="shared" si="11"/>
        <v>44625</v>
      </c>
      <c r="M174">
        <f>HLOOKUP($M$1,meanT!$A$2:$D$368,K174,FALSE)</f>
        <v>17.95</v>
      </c>
    </row>
    <row r="175" spans="11:13" x14ac:dyDescent="0.25">
      <c r="K175" s="24">
        <f t="shared" si="10"/>
        <v>66</v>
      </c>
      <c r="L175" s="46">
        <f t="shared" si="11"/>
        <v>44626</v>
      </c>
      <c r="M175">
        <f>HLOOKUP($M$1,meanT!$A$2:$D$368,K175,FALSE)</f>
        <v>18.361290322580601</v>
      </c>
    </row>
    <row r="176" spans="11:13" x14ac:dyDescent="0.25">
      <c r="K176" s="24">
        <f t="shared" si="10"/>
        <v>67</v>
      </c>
      <c r="L176" s="46">
        <f t="shared" si="11"/>
        <v>44627</v>
      </c>
      <c r="M176">
        <f>HLOOKUP($M$1,meanT!$A$2:$D$368,K176,FALSE)</f>
        <v>17.7903225806451</v>
      </c>
    </row>
    <row r="177" spans="11:13" x14ac:dyDescent="0.25">
      <c r="K177" s="24">
        <f t="shared" si="10"/>
        <v>68</v>
      </c>
      <c r="L177" s="46">
        <f t="shared" si="11"/>
        <v>44628</v>
      </c>
      <c r="M177">
        <f>HLOOKUP($M$1,meanT!$A$2:$D$368,K177,FALSE)</f>
        <v>18.141379310344799</v>
      </c>
    </row>
    <row r="178" spans="11:13" x14ac:dyDescent="0.25">
      <c r="K178" s="24">
        <f t="shared" si="10"/>
        <v>69</v>
      </c>
      <c r="L178" s="46">
        <f t="shared" si="11"/>
        <v>44629</v>
      </c>
      <c r="M178">
        <f>HLOOKUP($M$1,meanT!$A$2:$D$368,K178,FALSE)</f>
        <v>18.3816666666666</v>
      </c>
    </row>
    <row r="179" spans="11:13" x14ac:dyDescent="0.25">
      <c r="K179" s="24">
        <f t="shared" si="10"/>
        <v>70</v>
      </c>
      <c r="L179" s="46">
        <f t="shared" si="11"/>
        <v>44630</v>
      </c>
      <c r="M179">
        <f>HLOOKUP($M$1,meanT!$A$2:$D$368,K179,FALSE)</f>
        <v>18.100000000000001</v>
      </c>
    </row>
    <row r="180" spans="11:13" x14ac:dyDescent="0.25">
      <c r="K180" s="24">
        <f t="shared" si="10"/>
        <v>71</v>
      </c>
      <c r="L180" s="46">
        <f t="shared" si="11"/>
        <v>44631</v>
      </c>
      <c r="M180">
        <f>HLOOKUP($M$1,meanT!$A$2:$D$368,K180,FALSE)</f>
        <v>17.931666666666601</v>
      </c>
    </row>
    <row r="181" spans="11:13" x14ac:dyDescent="0.25">
      <c r="K181" s="24">
        <f t="shared" si="10"/>
        <v>72</v>
      </c>
      <c r="L181" s="46">
        <f t="shared" si="11"/>
        <v>44632</v>
      </c>
      <c r="M181">
        <f>HLOOKUP($M$1,meanT!$A$2:$D$368,K181,FALSE)</f>
        <v>18.11</v>
      </c>
    </row>
    <row r="182" spans="11:13" x14ac:dyDescent="0.25">
      <c r="K182" s="24">
        <f t="shared" si="10"/>
        <v>73</v>
      </c>
      <c r="L182" s="46">
        <f t="shared" si="11"/>
        <v>44633</v>
      </c>
      <c r="M182">
        <f>HLOOKUP($M$1,meanT!$A$2:$D$368,K182,FALSE)</f>
        <v>17.7392857142857</v>
      </c>
    </row>
    <row r="183" spans="11:13" x14ac:dyDescent="0.25">
      <c r="K183" s="24">
        <f t="shared" si="10"/>
        <v>74</v>
      </c>
      <c r="L183" s="46">
        <f t="shared" si="11"/>
        <v>44634</v>
      </c>
      <c r="M183">
        <f>HLOOKUP($M$1,meanT!$A$2:$D$368,K183,FALSE)</f>
        <v>17.7431034482758</v>
      </c>
    </row>
    <row r="184" spans="11:13" x14ac:dyDescent="0.25">
      <c r="K184" s="24">
        <f t="shared" si="10"/>
        <v>75</v>
      </c>
      <c r="L184" s="46">
        <f t="shared" si="11"/>
        <v>44635</v>
      </c>
      <c r="M184">
        <f>HLOOKUP($M$1,meanT!$A$2:$D$368,K184,FALSE)</f>
        <v>17.582758620689599</v>
      </c>
    </row>
    <row r="185" spans="11:13" x14ac:dyDescent="0.25">
      <c r="K185" s="24">
        <f t="shared" si="10"/>
        <v>76</v>
      </c>
      <c r="L185" s="46">
        <f t="shared" si="11"/>
        <v>44636</v>
      </c>
      <c r="M185">
        <f>HLOOKUP($M$1,meanT!$A$2:$D$368,K185,FALSE)</f>
        <v>17.724137931034399</v>
      </c>
    </row>
    <row r="186" spans="11:13" x14ac:dyDescent="0.25">
      <c r="K186" s="24">
        <f t="shared" si="10"/>
        <v>77</v>
      </c>
      <c r="L186" s="46">
        <f t="shared" si="11"/>
        <v>44637</v>
      </c>
      <c r="M186">
        <f>HLOOKUP($M$1,meanT!$A$2:$D$368,K186,FALSE)</f>
        <v>17.698333333333299</v>
      </c>
    </row>
    <row r="187" spans="11:13" x14ac:dyDescent="0.25">
      <c r="K187" s="24">
        <f t="shared" si="10"/>
        <v>78</v>
      </c>
      <c r="L187" s="46">
        <f t="shared" si="11"/>
        <v>44638</v>
      </c>
      <c r="M187">
        <f>HLOOKUP($M$1,meanT!$A$2:$D$368,K187,FALSE)</f>
        <v>17.62</v>
      </c>
    </row>
    <row r="188" spans="11:13" x14ac:dyDescent="0.25">
      <c r="K188" s="24">
        <f t="shared" si="10"/>
        <v>79</v>
      </c>
      <c r="L188" s="46">
        <f t="shared" si="11"/>
        <v>44639</v>
      </c>
      <c r="M188">
        <f>HLOOKUP($M$1,meanT!$A$2:$D$368,K188,FALSE)</f>
        <v>17.170000000000002</v>
      </c>
    </row>
    <row r="189" spans="11:13" x14ac:dyDescent="0.25">
      <c r="K189" s="24">
        <f t="shared" si="10"/>
        <v>80</v>
      </c>
      <c r="L189" s="46">
        <f t="shared" si="11"/>
        <v>44640</v>
      </c>
      <c r="M189">
        <f>HLOOKUP($M$1,meanT!$A$2:$D$368,K189,FALSE)</f>
        <v>17.223333333333301</v>
      </c>
    </row>
    <row r="190" spans="11:13" x14ac:dyDescent="0.25">
      <c r="K190" s="24">
        <f t="shared" si="10"/>
        <v>81</v>
      </c>
      <c r="L190" s="46">
        <f t="shared" si="11"/>
        <v>44641</v>
      </c>
      <c r="M190">
        <f>HLOOKUP($M$1,meanT!$A$2:$D$368,K190,FALSE)</f>
        <v>17.498333333333299</v>
      </c>
    </row>
    <row r="191" spans="11:13" x14ac:dyDescent="0.25">
      <c r="K191" s="24">
        <f t="shared" si="10"/>
        <v>82</v>
      </c>
      <c r="L191" s="46">
        <f t="shared" si="11"/>
        <v>44642</v>
      </c>
      <c r="M191">
        <f>HLOOKUP($M$1,meanT!$A$2:$D$368,K191,FALSE)</f>
        <v>17.390322580645101</v>
      </c>
    </row>
    <row r="192" spans="11:13" x14ac:dyDescent="0.25">
      <c r="K192" s="24">
        <f t="shared" si="10"/>
        <v>83</v>
      </c>
      <c r="L192" s="46">
        <f t="shared" si="11"/>
        <v>44643</v>
      </c>
      <c r="M192">
        <f>HLOOKUP($M$1,meanT!$A$2:$D$368,K192,FALSE)</f>
        <v>17.053333333333299</v>
      </c>
    </row>
    <row r="193" spans="11:13" x14ac:dyDescent="0.25">
      <c r="K193" s="24">
        <f t="shared" si="10"/>
        <v>84</v>
      </c>
      <c r="L193" s="46">
        <f t="shared" si="11"/>
        <v>44644</v>
      </c>
      <c r="M193">
        <f>HLOOKUP($M$1,meanT!$A$2:$D$368,K193,FALSE)</f>
        <v>16.973333333333301</v>
      </c>
    </row>
    <row r="194" spans="11:13" x14ac:dyDescent="0.25">
      <c r="K194" s="24">
        <f t="shared" si="10"/>
        <v>85</v>
      </c>
      <c r="L194" s="46">
        <f t="shared" si="11"/>
        <v>44645</v>
      </c>
      <c r="M194">
        <f>HLOOKUP($M$1,meanT!$A$2:$D$368,K194,FALSE)</f>
        <v>16.984999999999999</v>
      </c>
    </row>
    <row r="195" spans="11:13" x14ac:dyDescent="0.25">
      <c r="K195" s="24">
        <f t="shared" si="10"/>
        <v>86</v>
      </c>
      <c r="L195" s="46">
        <f t="shared" si="11"/>
        <v>44646</v>
      </c>
      <c r="M195">
        <f>HLOOKUP($M$1,meanT!$A$2:$D$368,K195,FALSE)</f>
        <v>17.064516129032199</v>
      </c>
    </row>
    <row r="196" spans="11:13" x14ac:dyDescent="0.25">
      <c r="K196" s="24">
        <f t="shared" ref="K196:K259" si="12">L196-DATE(YEAR(L196),1,0)+1</f>
        <v>87</v>
      </c>
      <c r="L196" s="46">
        <f t="shared" si="11"/>
        <v>44647</v>
      </c>
      <c r="M196">
        <f>HLOOKUP($M$1,meanT!$A$2:$D$368,K196,FALSE)</f>
        <v>17.208064516128999</v>
      </c>
    </row>
    <row r="197" spans="11:13" x14ac:dyDescent="0.25">
      <c r="K197" s="24">
        <f t="shared" si="12"/>
        <v>88</v>
      </c>
      <c r="L197" s="46">
        <f t="shared" ref="L197:L260" si="13">L196+1</f>
        <v>44648</v>
      </c>
      <c r="M197">
        <f>HLOOKUP($M$1,meanT!$A$2:$D$368,K197,FALSE)</f>
        <v>17.141666666666602</v>
      </c>
    </row>
    <row r="198" spans="11:13" x14ac:dyDescent="0.25">
      <c r="K198" s="24">
        <f t="shared" si="12"/>
        <v>89</v>
      </c>
      <c r="L198" s="46">
        <f t="shared" si="13"/>
        <v>44649</v>
      </c>
      <c r="M198">
        <f>HLOOKUP($M$1,meanT!$A$2:$D$368,K198,FALSE)</f>
        <v>17.338333333333299</v>
      </c>
    </row>
    <row r="199" spans="11:13" x14ac:dyDescent="0.25">
      <c r="K199" s="24">
        <f t="shared" si="12"/>
        <v>90</v>
      </c>
      <c r="L199" s="46">
        <f t="shared" si="13"/>
        <v>44650</v>
      </c>
      <c r="M199">
        <f>HLOOKUP($M$1,meanT!$A$2:$D$368,K199,FALSE)</f>
        <v>17.136206896551698</v>
      </c>
    </row>
    <row r="200" spans="11:13" x14ac:dyDescent="0.25">
      <c r="K200" s="24">
        <f t="shared" si="12"/>
        <v>91</v>
      </c>
      <c r="L200" s="46">
        <f t="shared" si="13"/>
        <v>44651</v>
      </c>
      <c r="M200">
        <f>HLOOKUP($M$1,meanT!$A$2:$D$368,K200,FALSE)</f>
        <v>16.922413793103399</v>
      </c>
    </row>
    <row r="201" spans="11:13" x14ac:dyDescent="0.25">
      <c r="K201" s="24">
        <f t="shared" si="12"/>
        <v>92</v>
      </c>
      <c r="L201" s="46">
        <f t="shared" si="13"/>
        <v>44652</v>
      </c>
      <c r="M201">
        <f>HLOOKUP($M$1,meanT!$A$2:$D$368,K201,FALSE)</f>
        <v>16.63</v>
      </c>
    </row>
    <row r="202" spans="11:13" x14ac:dyDescent="0.25">
      <c r="K202" s="24">
        <f t="shared" si="12"/>
        <v>93</v>
      </c>
      <c r="L202" s="46">
        <f t="shared" si="13"/>
        <v>44653</v>
      </c>
      <c r="M202">
        <f>HLOOKUP($M$1,meanT!$A$2:$D$368,K202,FALSE)</f>
        <v>16.5379310344827</v>
      </c>
    </row>
    <row r="203" spans="11:13" x14ac:dyDescent="0.25">
      <c r="K203" s="24">
        <f t="shared" si="12"/>
        <v>94</v>
      </c>
      <c r="L203" s="46">
        <f t="shared" si="13"/>
        <v>44654</v>
      </c>
      <c r="M203">
        <f>HLOOKUP($M$1,meanT!$A$2:$D$368,K203,FALSE)</f>
        <v>16.693103448275799</v>
      </c>
    </row>
    <row r="204" spans="11:13" x14ac:dyDescent="0.25">
      <c r="K204" s="24">
        <f t="shared" si="12"/>
        <v>95</v>
      </c>
      <c r="L204" s="46">
        <f t="shared" si="13"/>
        <v>44655</v>
      </c>
      <c r="M204">
        <f>HLOOKUP($M$1,meanT!$A$2:$D$368,K204,FALSE)</f>
        <v>16.29</v>
      </c>
    </row>
    <row r="205" spans="11:13" x14ac:dyDescent="0.25">
      <c r="K205" s="24">
        <f t="shared" si="12"/>
        <v>96</v>
      </c>
      <c r="L205" s="46">
        <f t="shared" si="13"/>
        <v>44656</v>
      </c>
      <c r="M205">
        <f>HLOOKUP($M$1,meanT!$A$2:$D$368,K205,FALSE)</f>
        <v>16.28</v>
      </c>
    </row>
    <row r="206" spans="11:13" x14ac:dyDescent="0.25">
      <c r="K206" s="24">
        <f t="shared" si="12"/>
        <v>97</v>
      </c>
      <c r="L206" s="46">
        <f t="shared" si="13"/>
        <v>44657</v>
      </c>
      <c r="M206">
        <f>HLOOKUP($M$1,meanT!$A$2:$D$368,K206,FALSE)</f>
        <v>16.288333333333298</v>
      </c>
    </row>
    <row r="207" spans="11:13" x14ac:dyDescent="0.25">
      <c r="K207" s="24">
        <f t="shared" si="12"/>
        <v>98</v>
      </c>
      <c r="L207" s="46">
        <f t="shared" si="13"/>
        <v>44658</v>
      </c>
      <c r="M207">
        <f>HLOOKUP($M$1,meanT!$A$2:$D$368,K207,FALSE)</f>
        <v>16.247502601456802</v>
      </c>
    </row>
    <row r="208" spans="11:13" x14ac:dyDescent="0.25">
      <c r="K208" s="24">
        <f t="shared" si="12"/>
        <v>99</v>
      </c>
      <c r="L208" s="46">
        <f t="shared" si="13"/>
        <v>44659</v>
      </c>
      <c r="M208">
        <f>HLOOKUP($M$1,meanT!$A$2:$D$368,K208,FALSE)</f>
        <v>15.9919354838709</v>
      </c>
    </row>
    <row r="209" spans="11:13" x14ac:dyDescent="0.25">
      <c r="K209" s="24">
        <f t="shared" si="12"/>
        <v>100</v>
      </c>
      <c r="L209" s="46">
        <f t="shared" si="13"/>
        <v>44660</v>
      </c>
      <c r="M209">
        <f>HLOOKUP($M$1,meanT!$A$2:$D$368,K209,FALSE)</f>
        <v>15.7</v>
      </c>
    </row>
    <row r="210" spans="11:13" x14ac:dyDescent="0.25">
      <c r="K210" s="24">
        <f t="shared" si="12"/>
        <v>101</v>
      </c>
      <c r="L210" s="46">
        <f t="shared" si="13"/>
        <v>44661</v>
      </c>
      <c r="M210">
        <f>HLOOKUP($M$1,meanT!$A$2:$D$368,K210,FALSE)</f>
        <v>15.6066666666666</v>
      </c>
    </row>
    <row r="211" spans="11:13" x14ac:dyDescent="0.25">
      <c r="K211" s="24">
        <f t="shared" si="12"/>
        <v>102</v>
      </c>
      <c r="L211" s="46">
        <f t="shared" si="13"/>
        <v>44662</v>
      </c>
      <c r="M211">
        <f>HLOOKUP($M$1,meanT!$A$2:$D$368,K211,FALSE)</f>
        <v>15.335000000000001</v>
      </c>
    </row>
    <row r="212" spans="11:13" x14ac:dyDescent="0.25">
      <c r="K212" s="24">
        <f t="shared" si="12"/>
        <v>103</v>
      </c>
      <c r="L212" s="46">
        <f t="shared" si="13"/>
        <v>44663</v>
      </c>
      <c r="M212">
        <f>HLOOKUP($M$1,meanT!$A$2:$D$368,K212,FALSE)</f>
        <v>15.3916666666666</v>
      </c>
    </row>
    <row r="213" spans="11:13" x14ac:dyDescent="0.25">
      <c r="K213" s="24">
        <f t="shared" si="12"/>
        <v>104</v>
      </c>
      <c r="L213" s="46">
        <f t="shared" si="13"/>
        <v>44664</v>
      </c>
      <c r="M213">
        <f>HLOOKUP($M$1,meanT!$A$2:$D$368,K213,FALSE)</f>
        <v>15.6451612903225</v>
      </c>
    </row>
    <row r="214" spans="11:13" x14ac:dyDescent="0.25">
      <c r="K214" s="24">
        <f t="shared" si="12"/>
        <v>105</v>
      </c>
      <c r="L214" s="46">
        <f t="shared" si="13"/>
        <v>44665</v>
      </c>
      <c r="M214">
        <f>HLOOKUP($M$1,meanT!$A$2:$D$368,K214,FALSE)</f>
        <v>15.3435483870967</v>
      </c>
    </row>
    <row r="215" spans="11:13" x14ac:dyDescent="0.25">
      <c r="K215" s="24">
        <f t="shared" si="12"/>
        <v>106</v>
      </c>
      <c r="L215" s="46">
        <f t="shared" si="13"/>
        <v>44666</v>
      </c>
      <c r="M215">
        <f>HLOOKUP($M$1,meanT!$A$2:$D$368,K215,FALSE)</f>
        <v>15.1612903225806</v>
      </c>
    </row>
    <row r="216" spans="11:13" x14ac:dyDescent="0.25">
      <c r="K216" s="24">
        <f t="shared" si="12"/>
        <v>107</v>
      </c>
      <c r="L216" s="46">
        <f t="shared" si="13"/>
        <v>44667</v>
      </c>
      <c r="M216">
        <f>HLOOKUP($M$1,meanT!$A$2:$D$368,K216,FALSE)</f>
        <v>15.658064516129</v>
      </c>
    </row>
    <row r="217" spans="11:13" x14ac:dyDescent="0.25">
      <c r="K217" s="24">
        <f t="shared" si="12"/>
        <v>108</v>
      </c>
      <c r="L217" s="46">
        <f t="shared" si="13"/>
        <v>44668</v>
      </c>
      <c r="M217">
        <f>HLOOKUP($M$1,meanT!$A$2:$D$368,K217,FALSE)</f>
        <v>15.408064516129</v>
      </c>
    </row>
    <row r="218" spans="11:13" x14ac:dyDescent="0.25">
      <c r="K218" s="24">
        <f t="shared" si="12"/>
        <v>109</v>
      </c>
      <c r="L218" s="46">
        <f t="shared" si="13"/>
        <v>44669</v>
      </c>
      <c r="M218">
        <f>HLOOKUP($M$1,meanT!$A$2:$D$368,K218,FALSE)</f>
        <v>15.420967741935399</v>
      </c>
    </row>
    <row r="219" spans="11:13" x14ac:dyDescent="0.25">
      <c r="K219" s="24">
        <f t="shared" si="12"/>
        <v>110</v>
      </c>
      <c r="L219" s="46">
        <f t="shared" si="13"/>
        <v>44670</v>
      </c>
      <c r="M219">
        <f>HLOOKUP($M$1,meanT!$A$2:$D$368,K219,FALSE)</f>
        <v>15.193548387096699</v>
      </c>
    </row>
    <row r="220" spans="11:13" x14ac:dyDescent="0.25">
      <c r="K220" s="24">
        <f t="shared" si="12"/>
        <v>111</v>
      </c>
      <c r="L220" s="46">
        <f t="shared" si="13"/>
        <v>44671</v>
      </c>
      <c r="M220">
        <f>HLOOKUP($M$1,meanT!$A$2:$D$368,K220,FALSE)</f>
        <v>15.4096774193548</v>
      </c>
    </row>
    <row r="221" spans="11:13" x14ac:dyDescent="0.25">
      <c r="K221" s="24">
        <f t="shared" si="12"/>
        <v>112</v>
      </c>
      <c r="L221" s="46">
        <f t="shared" si="13"/>
        <v>44672</v>
      </c>
      <c r="M221">
        <f>HLOOKUP($M$1,meanT!$A$2:$D$368,K221,FALSE)</f>
        <v>15.261666666666599</v>
      </c>
    </row>
    <row r="222" spans="11:13" x14ac:dyDescent="0.25">
      <c r="K222" s="24">
        <f t="shared" si="12"/>
        <v>113</v>
      </c>
      <c r="L222" s="46">
        <f t="shared" si="13"/>
        <v>44673</v>
      </c>
      <c r="M222">
        <f>HLOOKUP($M$1,meanT!$A$2:$D$368,K222,FALSE)</f>
        <v>14.5283333333333</v>
      </c>
    </row>
    <row r="223" spans="11:13" x14ac:dyDescent="0.25">
      <c r="K223" s="24">
        <f t="shared" si="12"/>
        <v>114</v>
      </c>
      <c r="L223" s="46">
        <f t="shared" si="13"/>
        <v>44674</v>
      </c>
      <c r="M223">
        <f>HLOOKUP($M$1,meanT!$A$2:$D$368,K223,FALSE)</f>
        <v>14.68</v>
      </c>
    </row>
    <row r="224" spans="11:13" x14ac:dyDescent="0.25">
      <c r="K224" s="24">
        <f t="shared" si="12"/>
        <v>115</v>
      </c>
      <c r="L224" s="46">
        <f t="shared" si="13"/>
        <v>44675</v>
      </c>
      <c r="M224">
        <f>HLOOKUP($M$1,meanT!$A$2:$D$368,K224,FALSE)</f>
        <v>14.4933333333333</v>
      </c>
    </row>
    <row r="225" spans="11:13" x14ac:dyDescent="0.25">
      <c r="K225" s="24">
        <f t="shared" si="12"/>
        <v>116</v>
      </c>
      <c r="L225" s="46">
        <f t="shared" si="13"/>
        <v>44676</v>
      </c>
      <c r="M225">
        <f>HLOOKUP($M$1,meanT!$A$2:$D$368,K225,FALSE)</f>
        <v>14.7733333333333</v>
      </c>
    </row>
    <row r="226" spans="11:13" x14ac:dyDescent="0.25">
      <c r="K226" s="24">
        <f t="shared" si="12"/>
        <v>117</v>
      </c>
      <c r="L226" s="46">
        <f t="shared" si="13"/>
        <v>44677</v>
      </c>
      <c r="M226">
        <f>HLOOKUP($M$1,meanT!$A$2:$D$368,K226,FALSE)</f>
        <v>14.998333333333299</v>
      </c>
    </row>
    <row r="227" spans="11:13" x14ac:dyDescent="0.25">
      <c r="K227" s="24">
        <f t="shared" si="12"/>
        <v>118</v>
      </c>
      <c r="L227" s="46">
        <f t="shared" si="13"/>
        <v>44678</v>
      </c>
      <c r="M227">
        <f>HLOOKUP($M$1,meanT!$A$2:$D$368,K227,FALSE)</f>
        <v>15.395</v>
      </c>
    </row>
    <row r="228" spans="11:13" x14ac:dyDescent="0.25">
      <c r="K228" s="24">
        <f t="shared" si="12"/>
        <v>119</v>
      </c>
      <c r="L228" s="46">
        <f t="shared" si="13"/>
        <v>44679</v>
      </c>
      <c r="M228">
        <f>HLOOKUP($M$1,meanT!$A$2:$D$368,K228,FALSE)</f>
        <v>15.641379310344799</v>
      </c>
    </row>
    <row r="229" spans="11:13" x14ac:dyDescent="0.25">
      <c r="K229" s="24">
        <f t="shared" si="12"/>
        <v>120</v>
      </c>
      <c r="L229" s="46">
        <f t="shared" si="13"/>
        <v>44680</v>
      </c>
      <c r="M229">
        <f>HLOOKUP($M$1,meanT!$A$2:$D$368,K229,FALSE)</f>
        <v>14.7327586206896</v>
      </c>
    </row>
    <row r="230" spans="11:13" x14ac:dyDescent="0.25">
      <c r="K230" s="24">
        <f t="shared" si="12"/>
        <v>121</v>
      </c>
      <c r="L230" s="46">
        <f t="shared" si="13"/>
        <v>44681</v>
      </c>
      <c r="M230">
        <f>HLOOKUP($M$1,meanT!$A$2:$D$368,K230,FALSE)</f>
        <v>14.332758620689599</v>
      </c>
    </row>
    <row r="231" spans="11:13" x14ac:dyDescent="0.25">
      <c r="K231" s="24">
        <f t="shared" si="12"/>
        <v>122</v>
      </c>
      <c r="L231" s="46">
        <f t="shared" si="13"/>
        <v>44682</v>
      </c>
      <c r="M231">
        <f>HLOOKUP($M$1,meanT!$A$2:$D$368,K231,FALSE)</f>
        <v>14.3982758620689</v>
      </c>
    </row>
    <row r="232" spans="11:13" x14ac:dyDescent="0.25">
      <c r="K232" s="24">
        <f t="shared" si="12"/>
        <v>123</v>
      </c>
      <c r="L232" s="46">
        <f t="shared" si="13"/>
        <v>44683</v>
      </c>
      <c r="M232">
        <f>HLOOKUP($M$1,meanT!$A$2:$D$368,K232,FALSE)</f>
        <v>14.296666666666599</v>
      </c>
    </row>
    <row r="233" spans="11:13" x14ac:dyDescent="0.25">
      <c r="K233" s="24">
        <f t="shared" si="12"/>
        <v>124</v>
      </c>
      <c r="L233" s="46">
        <f t="shared" si="13"/>
        <v>44684</v>
      </c>
      <c r="M233">
        <f>HLOOKUP($M$1,meanT!$A$2:$D$368,K233,FALSE)</f>
        <v>14.1866666666666</v>
      </c>
    </row>
    <row r="234" spans="11:13" x14ac:dyDescent="0.25">
      <c r="K234" s="24">
        <f t="shared" si="12"/>
        <v>125</v>
      </c>
      <c r="L234" s="46">
        <f t="shared" si="13"/>
        <v>44685</v>
      </c>
      <c r="M234">
        <f>HLOOKUP($M$1,meanT!$A$2:$D$368,K234,FALSE)</f>
        <v>13.9112903225806</v>
      </c>
    </row>
    <row r="235" spans="11:13" x14ac:dyDescent="0.25">
      <c r="K235" s="24">
        <f t="shared" si="12"/>
        <v>126</v>
      </c>
      <c r="L235" s="46">
        <f t="shared" si="13"/>
        <v>44686</v>
      </c>
      <c r="M235">
        <f>HLOOKUP($M$1,meanT!$A$2:$D$368,K235,FALSE)</f>
        <v>13.9966666666666</v>
      </c>
    </row>
    <row r="236" spans="11:13" x14ac:dyDescent="0.25">
      <c r="K236" s="24">
        <f t="shared" si="12"/>
        <v>127</v>
      </c>
      <c r="L236" s="46">
        <f t="shared" si="13"/>
        <v>44687</v>
      </c>
      <c r="M236">
        <f>HLOOKUP($M$1,meanT!$A$2:$D$368,K236,FALSE)</f>
        <v>14.1596774193548</v>
      </c>
    </row>
    <row r="237" spans="11:13" x14ac:dyDescent="0.25">
      <c r="K237" s="24">
        <f t="shared" si="12"/>
        <v>128</v>
      </c>
      <c r="L237" s="46">
        <f t="shared" si="13"/>
        <v>44688</v>
      </c>
      <c r="M237">
        <f>HLOOKUP($M$1,meanT!$A$2:$D$368,K237,FALSE)</f>
        <v>13.8403225806451</v>
      </c>
    </row>
    <row r="238" spans="11:13" x14ac:dyDescent="0.25">
      <c r="K238" s="24">
        <f t="shared" si="12"/>
        <v>129</v>
      </c>
      <c r="L238" s="46">
        <f t="shared" si="13"/>
        <v>44689</v>
      </c>
      <c r="M238">
        <f>HLOOKUP($M$1,meanT!$A$2:$D$368,K238,FALSE)</f>
        <v>13.5774193548387</v>
      </c>
    </row>
    <row r="239" spans="11:13" x14ac:dyDescent="0.25">
      <c r="K239" s="24">
        <f t="shared" si="12"/>
        <v>130</v>
      </c>
      <c r="L239" s="46">
        <f t="shared" si="13"/>
        <v>44690</v>
      </c>
      <c r="M239">
        <f>HLOOKUP($M$1,meanT!$A$2:$D$368,K239,FALSE)</f>
        <v>13.1612903225806</v>
      </c>
    </row>
    <row r="240" spans="11:13" x14ac:dyDescent="0.25">
      <c r="K240" s="24">
        <f t="shared" si="12"/>
        <v>131</v>
      </c>
      <c r="L240" s="46">
        <f t="shared" si="13"/>
        <v>44691</v>
      </c>
      <c r="M240">
        <f>HLOOKUP($M$1,meanT!$A$2:$D$368,K240,FALSE)</f>
        <v>13.291935483870899</v>
      </c>
    </row>
    <row r="241" spans="11:13" x14ac:dyDescent="0.25">
      <c r="K241" s="24">
        <f t="shared" si="12"/>
        <v>132</v>
      </c>
      <c r="L241" s="46">
        <f t="shared" si="13"/>
        <v>44692</v>
      </c>
      <c r="M241">
        <f>HLOOKUP($M$1,meanT!$A$2:$D$368,K241,FALSE)</f>
        <v>13.5774193548387</v>
      </c>
    </row>
    <row r="242" spans="11:13" x14ac:dyDescent="0.25">
      <c r="K242" s="24">
        <f t="shared" si="12"/>
        <v>133</v>
      </c>
      <c r="L242" s="46">
        <f t="shared" si="13"/>
        <v>44693</v>
      </c>
      <c r="M242">
        <f>HLOOKUP($M$1,meanT!$A$2:$D$368,K242,FALSE)</f>
        <v>13.898387096774099</v>
      </c>
    </row>
    <row r="243" spans="11:13" x14ac:dyDescent="0.25">
      <c r="K243" s="24">
        <f t="shared" si="12"/>
        <v>134</v>
      </c>
      <c r="L243" s="46">
        <f t="shared" si="13"/>
        <v>44694</v>
      </c>
      <c r="M243">
        <f>HLOOKUP($M$1,meanT!$A$2:$D$368,K243,FALSE)</f>
        <v>13.8193548387096</v>
      </c>
    </row>
    <row r="244" spans="11:13" x14ac:dyDescent="0.25">
      <c r="K244" s="24">
        <f t="shared" si="12"/>
        <v>135</v>
      </c>
      <c r="L244" s="46">
        <f t="shared" si="13"/>
        <v>44695</v>
      </c>
      <c r="M244">
        <f>HLOOKUP($M$1,meanT!$A$2:$D$368,K244,FALSE)</f>
        <v>13.49</v>
      </c>
    </row>
    <row r="245" spans="11:13" x14ac:dyDescent="0.25">
      <c r="K245" s="24">
        <f t="shared" si="12"/>
        <v>136</v>
      </c>
      <c r="L245" s="46">
        <f t="shared" si="13"/>
        <v>44696</v>
      </c>
      <c r="M245">
        <f>HLOOKUP($M$1,meanT!$A$2:$D$368,K245,FALSE)</f>
        <v>13.408064516129</v>
      </c>
    </row>
    <row r="246" spans="11:13" x14ac:dyDescent="0.25">
      <c r="K246" s="24">
        <f t="shared" si="12"/>
        <v>137</v>
      </c>
      <c r="L246" s="46">
        <f t="shared" si="13"/>
        <v>44697</v>
      </c>
      <c r="M246">
        <f>HLOOKUP($M$1,meanT!$A$2:$D$368,K246,FALSE)</f>
        <v>13.4193548387096</v>
      </c>
    </row>
    <row r="247" spans="11:13" x14ac:dyDescent="0.25">
      <c r="K247" s="24">
        <f t="shared" si="12"/>
        <v>138</v>
      </c>
      <c r="L247" s="46">
        <f t="shared" si="13"/>
        <v>44698</v>
      </c>
      <c r="M247">
        <f>HLOOKUP($M$1,meanT!$A$2:$D$368,K247,FALSE)</f>
        <v>13.0177419354838</v>
      </c>
    </row>
    <row r="248" spans="11:13" x14ac:dyDescent="0.25">
      <c r="K248" s="24">
        <f t="shared" si="12"/>
        <v>139</v>
      </c>
      <c r="L248" s="46">
        <f t="shared" si="13"/>
        <v>44699</v>
      </c>
      <c r="M248">
        <f>HLOOKUP($M$1,meanT!$A$2:$D$368,K248,FALSE)</f>
        <v>12.8774193548387</v>
      </c>
    </row>
    <row r="249" spans="11:13" x14ac:dyDescent="0.25">
      <c r="K249" s="24">
        <f t="shared" si="12"/>
        <v>140</v>
      </c>
      <c r="L249" s="46">
        <f t="shared" si="13"/>
        <v>44700</v>
      </c>
      <c r="M249">
        <f>HLOOKUP($M$1,meanT!$A$2:$D$368,K249,FALSE)</f>
        <v>13.3629032258064</v>
      </c>
    </row>
    <row r="250" spans="11:13" x14ac:dyDescent="0.25">
      <c r="K250" s="24">
        <f t="shared" si="12"/>
        <v>141</v>
      </c>
      <c r="L250" s="46">
        <f t="shared" si="13"/>
        <v>44701</v>
      </c>
      <c r="M250">
        <f>HLOOKUP($M$1,meanT!$A$2:$D$368,K250,FALSE)</f>
        <v>13.314516129032199</v>
      </c>
    </row>
    <row r="251" spans="11:13" x14ac:dyDescent="0.25">
      <c r="K251" s="24">
        <f t="shared" si="12"/>
        <v>142</v>
      </c>
      <c r="L251" s="46">
        <f t="shared" si="13"/>
        <v>44702</v>
      </c>
      <c r="M251">
        <f>HLOOKUP($M$1,meanT!$A$2:$D$368,K251,FALSE)</f>
        <v>13.598387096774101</v>
      </c>
    </row>
    <row r="252" spans="11:13" x14ac:dyDescent="0.25">
      <c r="K252" s="24">
        <f t="shared" si="12"/>
        <v>143</v>
      </c>
      <c r="L252" s="46">
        <f t="shared" si="13"/>
        <v>44703</v>
      </c>
      <c r="M252">
        <f>HLOOKUP($M$1,meanT!$A$2:$D$368,K252,FALSE)</f>
        <v>13.074193548387001</v>
      </c>
    </row>
    <row r="253" spans="11:13" x14ac:dyDescent="0.25">
      <c r="K253" s="24">
        <f t="shared" si="12"/>
        <v>144</v>
      </c>
      <c r="L253" s="46">
        <f t="shared" si="13"/>
        <v>44704</v>
      </c>
      <c r="M253">
        <f>HLOOKUP($M$1,meanT!$A$2:$D$368,K253,FALSE)</f>
        <v>12.8338709677419</v>
      </c>
    </row>
    <row r="254" spans="11:13" x14ac:dyDescent="0.25">
      <c r="K254" s="24">
        <f t="shared" si="12"/>
        <v>145</v>
      </c>
      <c r="L254" s="46">
        <f t="shared" si="13"/>
        <v>44705</v>
      </c>
      <c r="M254">
        <f>HLOOKUP($M$1,meanT!$A$2:$D$368,K254,FALSE)</f>
        <v>12.761290322580599</v>
      </c>
    </row>
    <row r="255" spans="11:13" x14ac:dyDescent="0.25">
      <c r="K255" s="24">
        <f t="shared" si="12"/>
        <v>146</v>
      </c>
      <c r="L255" s="46">
        <f t="shared" si="13"/>
        <v>44706</v>
      </c>
      <c r="M255">
        <f>HLOOKUP($M$1,meanT!$A$2:$D$368,K255,FALSE)</f>
        <v>13.04</v>
      </c>
    </row>
    <row r="256" spans="11:13" x14ac:dyDescent="0.25">
      <c r="K256" s="24">
        <f t="shared" si="12"/>
        <v>147</v>
      </c>
      <c r="L256" s="46">
        <f t="shared" si="13"/>
        <v>44707</v>
      </c>
      <c r="M256">
        <f>HLOOKUP($M$1,meanT!$A$2:$D$368,K256,FALSE)</f>
        <v>13.44</v>
      </c>
    </row>
    <row r="257" spans="11:13" x14ac:dyDescent="0.25">
      <c r="K257" s="24">
        <f t="shared" si="12"/>
        <v>148</v>
      </c>
      <c r="L257" s="46">
        <f t="shared" si="13"/>
        <v>44708</v>
      </c>
      <c r="M257">
        <f>HLOOKUP($M$1,meanT!$A$2:$D$368,K257,FALSE)</f>
        <v>12.8183333333333</v>
      </c>
    </row>
    <row r="258" spans="11:13" x14ac:dyDescent="0.25">
      <c r="K258" s="24">
        <f t="shared" si="12"/>
        <v>149</v>
      </c>
      <c r="L258" s="46">
        <f t="shared" si="13"/>
        <v>44709</v>
      </c>
      <c r="M258">
        <f>HLOOKUP($M$1,meanT!$A$2:$D$368,K258,FALSE)</f>
        <v>12.088333333333299</v>
      </c>
    </row>
    <row r="259" spans="11:13" x14ac:dyDescent="0.25">
      <c r="K259" s="24">
        <f t="shared" si="12"/>
        <v>150</v>
      </c>
      <c r="L259" s="46">
        <f t="shared" si="13"/>
        <v>44710</v>
      </c>
      <c r="M259">
        <f>HLOOKUP($M$1,meanT!$A$2:$D$368,K259,FALSE)</f>
        <v>11.7193548387096</v>
      </c>
    </row>
    <row r="260" spans="11:13" x14ac:dyDescent="0.25">
      <c r="K260" s="24">
        <f t="shared" ref="K260:K323" si="14">L260-DATE(YEAR(L260),1,0)+1</f>
        <v>151</v>
      </c>
      <c r="L260" s="46">
        <f t="shared" si="13"/>
        <v>44711</v>
      </c>
      <c r="M260">
        <f>HLOOKUP($M$1,meanT!$A$2:$D$368,K260,FALSE)</f>
        <v>12.024193548387</v>
      </c>
    </row>
    <row r="261" spans="11:13" x14ac:dyDescent="0.25">
      <c r="K261" s="24">
        <f t="shared" si="14"/>
        <v>152</v>
      </c>
      <c r="L261" s="46">
        <f t="shared" ref="L261:L324" si="15">L260+1</f>
        <v>44712</v>
      </c>
      <c r="M261">
        <f>HLOOKUP($M$1,meanT!$A$2:$D$368,K261,FALSE)</f>
        <v>11.7258064516129</v>
      </c>
    </row>
    <row r="262" spans="11:13" x14ac:dyDescent="0.25">
      <c r="K262" s="24">
        <f t="shared" si="14"/>
        <v>153</v>
      </c>
      <c r="L262" s="46">
        <f t="shared" si="15"/>
        <v>44713</v>
      </c>
      <c r="M262">
        <f>HLOOKUP($M$1,meanT!$A$2:$D$368,K262,FALSE)</f>
        <v>11.7564516129032</v>
      </c>
    </row>
    <row r="263" spans="11:13" x14ac:dyDescent="0.25">
      <c r="K263" s="24">
        <f t="shared" si="14"/>
        <v>154</v>
      </c>
      <c r="L263" s="46">
        <f t="shared" si="15"/>
        <v>44714</v>
      </c>
      <c r="M263">
        <f>HLOOKUP($M$1,meanT!$A$2:$D$368,K263,FALSE)</f>
        <v>11.6033333333333</v>
      </c>
    </row>
    <row r="264" spans="11:13" x14ac:dyDescent="0.25">
      <c r="K264" s="24">
        <f t="shared" si="14"/>
        <v>155</v>
      </c>
      <c r="L264" s="46">
        <f t="shared" si="15"/>
        <v>44715</v>
      </c>
      <c r="M264">
        <f>HLOOKUP($M$1,meanT!$A$2:$D$368,K264,FALSE)</f>
        <v>11.056666666666599</v>
      </c>
    </row>
    <row r="265" spans="11:13" x14ac:dyDescent="0.25">
      <c r="K265" s="24">
        <f t="shared" si="14"/>
        <v>156</v>
      </c>
      <c r="L265" s="46">
        <f t="shared" si="15"/>
        <v>44716</v>
      </c>
      <c r="M265">
        <f>HLOOKUP($M$1,meanT!$A$2:$D$368,K265,FALSE)</f>
        <v>11.1733333333333</v>
      </c>
    </row>
    <row r="266" spans="11:13" x14ac:dyDescent="0.25">
      <c r="K266" s="24">
        <f t="shared" si="14"/>
        <v>157</v>
      </c>
      <c r="L266" s="46">
        <f t="shared" si="15"/>
        <v>44717</v>
      </c>
      <c r="M266">
        <f>HLOOKUP($M$1,meanT!$A$2:$D$368,K266,FALSE)</f>
        <v>11.3016666666666</v>
      </c>
    </row>
    <row r="267" spans="11:13" x14ac:dyDescent="0.25">
      <c r="K267" s="24">
        <f t="shared" si="14"/>
        <v>158</v>
      </c>
      <c r="L267" s="46">
        <f t="shared" si="15"/>
        <v>44718</v>
      </c>
      <c r="M267">
        <f>HLOOKUP($M$1,meanT!$A$2:$D$368,K267,FALSE)</f>
        <v>11.2416666666666</v>
      </c>
    </row>
    <row r="268" spans="11:13" x14ac:dyDescent="0.25">
      <c r="K268" s="24">
        <f t="shared" si="14"/>
        <v>159</v>
      </c>
      <c r="L268" s="46">
        <f t="shared" si="15"/>
        <v>44719</v>
      </c>
      <c r="M268">
        <f>HLOOKUP($M$1,meanT!$A$2:$D$368,K268,FALSE)</f>
        <v>11.3533333333333</v>
      </c>
    </row>
    <row r="269" spans="11:13" x14ac:dyDescent="0.25">
      <c r="K269" s="24">
        <f t="shared" si="14"/>
        <v>160</v>
      </c>
      <c r="L269" s="46">
        <f t="shared" si="15"/>
        <v>44720</v>
      </c>
      <c r="M269">
        <f>HLOOKUP($M$1,meanT!$A$2:$D$368,K269,FALSE)</f>
        <v>11.6383333333333</v>
      </c>
    </row>
    <row r="270" spans="11:13" x14ac:dyDescent="0.25">
      <c r="K270" s="24">
        <f t="shared" si="14"/>
        <v>161</v>
      </c>
      <c r="L270" s="46">
        <f t="shared" si="15"/>
        <v>44721</v>
      </c>
      <c r="M270">
        <f>HLOOKUP($M$1,meanT!$A$2:$D$368,K270,FALSE)</f>
        <v>12.033333333333299</v>
      </c>
    </row>
    <row r="271" spans="11:13" x14ac:dyDescent="0.25">
      <c r="K271" s="24">
        <f t="shared" si="14"/>
        <v>162</v>
      </c>
      <c r="L271" s="46">
        <f t="shared" si="15"/>
        <v>44722</v>
      </c>
      <c r="M271">
        <f>HLOOKUP($M$1,meanT!$A$2:$D$368,K271,FALSE)</f>
        <v>12.0483333333333</v>
      </c>
    </row>
    <row r="272" spans="11:13" x14ac:dyDescent="0.25">
      <c r="K272" s="24">
        <f t="shared" si="14"/>
        <v>163</v>
      </c>
      <c r="L272" s="46">
        <f t="shared" si="15"/>
        <v>44723</v>
      </c>
      <c r="M272">
        <f>HLOOKUP($M$1,meanT!$A$2:$D$368,K272,FALSE)</f>
        <v>12.105</v>
      </c>
    </row>
    <row r="273" spans="11:13" x14ac:dyDescent="0.25">
      <c r="K273" s="24">
        <f t="shared" si="14"/>
        <v>164</v>
      </c>
      <c r="L273" s="46">
        <f t="shared" si="15"/>
        <v>44724</v>
      </c>
      <c r="M273">
        <f>HLOOKUP($M$1,meanT!$A$2:$D$368,K273,FALSE)</f>
        <v>11.93</v>
      </c>
    </row>
    <row r="274" spans="11:13" x14ac:dyDescent="0.25">
      <c r="K274" s="24">
        <f t="shared" si="14"/>
        <v>165</v>
      </c>
      <c r="L274" s="46">
        <f t="shared" si="15"/>
        <v>44725</v>
      </c>
      <c r="M274">
        <f>HLOOKUP($M$1,meanT!$A$2:$D$368,K274,FALSE)</f>
        <v>11.734999999999999</v>
      </c>
    </row>
    <row r="275" spans="11:13" x14ac:dyDescent="0.25">
      <c r="K275" s="24">
        <f t="shared" si="14"/>
        <v>166</v>
      </c>
      <c r="L275" s="46">
        <f t="shared" si="15"/>
        <v>44726</v>
      </c>
      <c r="M275">
        <f>HLOOKUP($M$1,meanT!$A$2:$D$368,K275,FALSE)</f>
        <v>11.1666666666666</v>
      </c>
    </row>
    <row r="276" spans="11:13" x14ac:dyDescent="0.25">
      <c r="K276" s="24">
        <f t="shared" si="14"/>
        <v>167</v>
      </c>
      <c r="L276" s="46">
        <f t="shared" si="15"/>
        <v>44727</v>
      </c>
      <c r="M276">
        <f>HLOOKUP($M$1,meanT!$A$2:$D$368,K276,FALSE)</f>
        <v>11.2283333333333</v>
      </c>
    </row>
    <row r="277" spans="11:13" x14ac:dyDescent="0.25">
      <c r="K277" s="24">
        <f t="shared" si="14"/>
        <v>168</v>
      </c>
      <c r="L277" s="46">
        <f t="shared" si="15"/>
        <v>44728</v>
      </c>
      <c r="M277">
        <f>HLOOKUP($M$1,meanT!$A$2:$D$368,K277,FALSE)</f>
        <v>10.6586206896551</v>
      </c>
    </row>
    <row r="278" spans="11:13" x14ac:dyDescent="0.25">
      <c r="K278" s="24">
        <f t="shared" si="14"/>
        <v>169</v>
      </c>
      <c r="L278" s="46">
        <f t="shared" si="15"/>
        <v>44729</v>
      </c>
      <c r="M278">
        <f>HLOOKUP($M$1,meanT!$A$2:$D$368,K278,FALSE)</f>
        <v>10.7310344827586</v>
      </c>
    </row>
    <row r="279" spans="11:13" x14ac:dyDescent="0.25">
      <c r="K279" s="24">
        <f t="shared" si="14"/>
        <v>170</v>
      </c>
      <c r="L279" s="46">
        <f t="shared" si="15"/>
        <v>44730</v>
      </c>
      <c r="M279">
        <f>HLOOKUP($M$1,meanT!$A$2:$D$368,K279,FALSE)</f>
        <v>11.2603448275862</v>
      </c>
    </row>
    <row r="280" spans="11:13" x14ac:dyDescent="0.25">
      <c r="K280" s="24">
        <f t="shared" si="14"/>
        <v>171</v>
      </c>
      <c r="L280" s="46">
        <f t="shared" si="15"/>
        <v>44731</v>
      </c>
      <c r="M280">
        <f>HLOOKUP($M$1,meanT!$A$2:$D$368,K280,FALSE)</f>
        <v>10.906896551724101</v>
      </c>
    </row>
    <row r="281" spans="11:13" x14ac:dyDescent="0.25">
      <c r="K281" s="24">
        <f t="shared" si="14"/>
        <v>172</v>
      </c>
      <c r="L281" s="46">
        <f t="shared" si="15"/>
        <v>44732</v>
      </c>
      <c r="M281">
        <f>HLOOKUP($M$1,meanT!$A$2:$D$368,K281,FALSE)</f>
        <v>11.072413793103401</v>
      </c>
    </row>
    <row r="282" spans="11:13" x14ac:dyDescent="0.25">
      <c r="K282" s="24">
        <f t="shared" si="14"/>
        <v>173</v>
      </c>
      <c r="L282" s="46">
        <f t="shared" si="15"/>
        <v>44733</v>
      </c>
      <c r="M282">
        <f>HLOOKUP($M$1,meanT!$A$2:$D$368,K282,FALSE)</f>
        <v>11.1844827586206</v>
      </c>
    </row>
    <row r="283" spans="11:13" x14ac:dyDescent="0.25">
      <c r="K283" s="24">
        <f t="shared" si="14"/>
        <v>174</v>
      </c>
      <c r="L283" s="46">
        <f t="shared" si="15"/>
        <v>44734</v>
      </c>
      <c r="M283">
        <f>HLOOKUP($M$1,meanT!$A$2:$D$368,K283,FALSE)</f>
        <v>10.84</v>
      </c>
    </row>
    <row r="284" spans="11:13" x14ac:dyDescent="0.25">
      <c r="K284" s="24">
        <f t="shared" si="14"/>
        <v>175</v>
      </c>
      <c r="L284" s="46">
        <f t="shared" si="15"/>
        <v>44735</v>
      </c>
      <c r="M284">
        <f>HLOOKUP($M$1,meanT!$A$2:$D$368,K284,FALSE)</f>
        <v>10.578333333333299</v>
      </c>
    </row>
    <row r="285" spans="11:13" x14ac:dyDescent="0.25">
      <c r="K285" s="24">
        <f t="shared" si="14"/>
        <v>176</v>
      </c>
      <c r="L285" s="46">
        <f t="shared" si="15"/>
        <v>44736</v>
      </c>
      <c r="M285">
        <f>HLOOKUP($M$1,meanT!$A$2:$D$368,K285,FALSE)</f>
        <v>10.6928571428571</v>
      </c>
    </row>
    <row r="286" spans="11:13" x14ac:dyDescent="0.25">
      <c r="K286" s="24">
        <f t="shared" si="14"/>
        <v>177</v>
      </c>
      <c r="L286" s="46">
        <f t="shared" si="15"/>
        <v>44737</v>
      </c>
      <c r="M286">
        <f>HLOOKUP($M$1,meanT!$A$2:$D$368,K286,FALSE)</f>
        <v>10.8642857142857</v>
      </c>
    </row>
    <row r="287" spans="11:13" x14ac:dyDescent="0.25">
      <c r="K287" s="24">
        <f t="shared" si="14"/>
        <v>178</v>
      </c>
      <c r="L287" s="46">
        <f t="shared" si="15"/>
        <v>44738</v>
      </c>
      <c r="M287">
        <f>HLOOKUP($M$1,meanT!$A$2:$D$368,K287,FALSE)</f>
        <v>10.492857142857099</v>
      </c>
    </row>
    <row r="288" spans="11:13" x14ac:dyDescent="0.25">
      <c r="K288" s="24">
        <f t="shared" si="14"/>
        <v>179</v>
      </c>
      <c r="L288" s="46">
        <f t="shared" si="15"/>
        <v>44739</v>
      </c>
      <c r="M288">
        <f>HLOOKUP($M$1,meanT!$A$2:$D$368,K288,FALSE)</f>
        <v>10.592857142857101</v>
      </c>
    </row>
    <row r="289" spans="11:13" x14ac:dyDescent="0.25">
      <c r="K289" s="24">
        <f t="shared" si="14"/>
        <v>180</v>
      </c>
      <c r="L289" s="46">
        <f t="shared" si="15"/>
        <v>44740</v>
      </c>
      <c r="M289">
        <f>HLOOKUP($M$1,meanT!$A$2:$D$368,K289,FALSE)</f>
        <v>10.465517241379301</v>
      </c>
    </row>
    <row r="290" spans="11:13" x14ac:dyDescent="0.25">
      <c r="K290" s="24">
        <f t="shared" si="14"/>
        <v>181</v>
      </c>
      <c r="L290" s="46">
        <f t="shared" si="15"/>
        <v>44741</v>
      </c>
      <c r="M290">
        <f>HLOOKUP($M$1,meanT!$A$2:$D$368,K290,FALSE)</f>
        <v>10.572413793103401</v>
      </c>
    </row>
    <row r="291" spans="11:13" x14ac:dyDescent="0.25">
      <c r="K291" s="24">
        <f t="shared" si="14"/>
        <v>182</v>
      </c>
      <c r="L291" s="46">
        <f t="shared" si="15"/>
        <v>44742</v>
      </c>
      <c r="M291">
        <f>HLOOKUP($M$1,meanT!$A$2:$D$368,K291,FALSE)</f>
        <v>10.655357142857101</v>
      </c>
    </row>
    <row r="292" spans="11:13" x14ac:dyDescent="0.25">
      <c r="K292" s="24">
        <f t="shared" si="14"/>
        <v>183</v>
      </c>
      <c r="L292" s="46">
        <f t="shared" si="15"/>
        <v>44743</v>
      </c>
      <c r="M292">
        <f>HLOOKUP($M$1,meanT!$A$2:$D$368,K292,FALSE)</f>
        <v>10.0517857142857</v>
      </c>
    </row>
    <row r="293" spans="11:13" x14ac:dyDescent="0.25">
      <c r="K293" s="24">
        <f t="shared" si="14"/>
        <v>184</v>
      </c>
      <c r="L293" s="46">
        <f t="shared" si="15"/>
        <v>44744</v>
      </c>
      <c r="M293">
        <f>HLOOKUP($M$1,meanT!$A$2:$D$368,K293,FALSE)</f>
        <v>9.5678571428571395</v>
      </c>
    </row>
    <row r="294" spans="11:13" x14ac:dyDescent="0.25">
      <c r="K294" s="24">
        <f t="shared" si="14"/>
        <v>185</v>
      </c>
      <c r="L294" s="46">
        <f t="shared" si="15"/>
        <v>44745</v>
      </c>
      <c r="M294">
        <f>HLOOKUP($M$1,meanT!$A$2:$D$368,K294,FALSE)</f>
        <v>9.7035714285714292</v>
      </c>
    </row>
    <row r="295" spans="11:13" x14ac:dyDescent="0.25">
      <c r="K295" s="24">
        <f t="shared" si="14"/>
        <v>186</v>
      </c>
      <c r="L295" s="46">
        <f t="shared" si="15"/>
        <v>44746</v>
      </c>
      <c r="M295">
        <f>HLOOKUP($M$1,meanT!$A$2:$D$368,K295,FALSE)</f>
        <v>10.1785714285714</v>
      </c>
    </row>
    <row r="296" spans="11:13" x14ac:dyDescent="0.25">
      <c r="K296" s="24">
        <f t="shared" si="14"/>
        <v>187</v>
      </c>
      <c r="L296" s="46">
        <f t="shared" si="15"/>
        <v>44747</v>
      </c>
      <c r="M296">
        <f>HLOOKUP($M$1,meanT!$A$2:$D$368,K296,FALSE)</f>
        <v>10.675000000000001</v>
      </c>
    </row>
    <row r="297" spans="11:13" x14ac:dyDescent="0.25">
      <c r="K297" s="24">
        <f t="shared" si="14"/>
        <v>188</v>
      </c>
      <c r="L297" s="46">
        <f t="shared" si="15"/>
        <v>44748</v>
      </c>
      <c r="M297">
        <f>HLOOKUP($M$1,meanT!$A$2:$D$368,K297,FALSE)</f>
        <v>10.6303571428571</v>
      </c>
    </row>
    <row r="298" spans="11:13" x14ac:dyDescent="0.25">
      <c r="K298" s="24">
        <f t="shared" si="14"/>
        <v>189</v>
      </c>
      <c r="L298" s="46">
        <f t="shared" si="15"/>
        <v>44749</v>
      </c>
      <c r="M298">
        <f>HLOOKUP($M$1,meanT!$A$2:$D$368,K298,FALSE)</f>
        <v>10.5714285714285</v>
      </c>
    </row>
    <row r="299" spans="11:13" x14ac:dyDescent="0.25">
      <c r="K299" s="24">
        <f t="shared" si="14"/>
        <v>190</v>
      </c>
      <c r="L299" s="46">
        <f t="shared" si="15"/>
        <v>44750</v>
      </c>
      <c r="M299">
        <f>HLOOKUP($M$1,meanT!$A$2:$D$368,K299,FALSE)</f>
        <v>10.2685185185185</v>
      </c>
    </row>
    <row r="300" spans="11:13" x14ac:dyDescent="0.25">
      <c r="K300" s="24">
        <f t="shared" si="14"/>
        <v>191</v>
      </c>
      <c r="L300" s="46">
        <f t="shared" si="15"/>
        <v>44751</v>
      </c>
      <c r="M300">
        <f>HLOOKUP($M$1,meanT!$A$2:$D$368,K300,FALSE)</f>
        <v>10.4166666666666</v>
      </c>
    </row>
    <row r="301" spans="11:13" x14ac:dyDescent="0.25">
      <c r="K301" s="24">
        <f t="shared" si="14"/>
        <v>192</v>
      </c>
      <c r="L301" s="46">
        <f t="shared" si="15"/>
        <v>44752</v>
      </c>
      <c r="M301">
        <f>HLOOKUP($M$1,meanT!$A$2:$D$368,K301,FALSE)</f>
        <v>9.7703703703703706</v>
      </c>
    </row>
    <row r="302" spans="11:13" x14ac:dyDescent="0.25">
      <c r="K302" s="24">
        <f t="shared" si="14"/>
        <v>193</v>
      </c>
      <c r="L302" s="46">
        <f t="shared" si="15"/>
        <v>44753</v>
      </c>
      <c r="M302">
        <f>HLOOKUP($M$1,meanT!$A$2:$D$368,K302,FALSE)</f>
        <v>9.4057692307692307</v>
      </c>
    </row>
    <row r="303" spans="11:13" x14ac:dyDescent="0.25">
      <c r="K303" s="24">
        <f t="shared" si="14"/>
        <v>194</v>
      </c>
      <c r="L303" s="46">
        <f t="shared" si="15"/>
        <v>44754</v>
      </c>
      <c r="M303">
        <f>HLOOKUP($M$1,meanT!$A$2:$D$368,K303,FALSE)</f>
        <v>9.7037037037037006</v>
      </c>
    </row>
    <row r="304" spans="11:13" x14ac:dyDescent="0.25">
      <c r="K304" s="24">
        <f t="shared" si="14"/>
        <v>195</v>
      </c>
      <c r="L304" s="46">
        <f t="shared" si="15"/>
        <v>44755</v>
      </c>
      <c r="M304">
        <f>HLOOKUP($M$1,meanT!$A$2:$D$368,K304,FALSE)</f>
        <v>9.875</v>
      </c>
    </row>
    <row r="305" spans="11:13" x14ac:dyDescent="0.25">
      <c r="K305" s="24">
        <f t="shared" si="14"/>
        <v>196</v>
      </c>
      <c r="L305" s="46">
        <f t="shared" si="15"/>
        <v>44756</v>
      </c>
      <c r="M305">
        <f>HLOOKUP($M$1,meanT!$A$2:$D$368,K305,FALSE)</f>
        <v>9.4732142857142794</v>
      </c>
    </row>
    <row r="306" spans="11:13" x14ac:dyDescent="0.25">
      <c r="K306" s="24">
        <f t="shared" si="14"/>
        <v>197</v>
      </c>
      <c r="L306" s="46">
        <f t="shared" si="15"/>
        <v>44757</v>
      </c>
      <c r="M306">
        <f>HLOOKUP($M$1,meanT!$A$2:$D$368,K306,FALSE)</f>
        <v>10.3732142857142</v>
      </c>
    </row>
    <row r="307" spans="11:13" x14ac:dyDescent="0.25">
      <c r="K307" s="24">
        <f t="shared" si="14"/>
        <v>198</v>
      </c>
      <c r="L307" s="46">
        <f t="shared" si="15"/>
        <v>44758</v>
      </c>
      <c r="M307">
        <f>HLOOKUP($M$1,meanT!$A$2:$D$368,K307,FALSE)</f>
        <v>10.9428571428571</v>
      </c>
    </row>
    <row r="308" spans="11:13" x14ac:dyDescent="0.25">
      <c r="K308" s="24">
        <f t="shared" si="14"/>
        <v>199</v>
      </c>
      <c r="L308" s="46">
        <f t="shared" si="15"/>
        <v>44759</v>
      </c>
      <c r="M308">
        <f>HLOOKUP($M$1,meanT!$A$2:$D$368,K308,FALSE)</f>
        <v>10.689655172413699</v>
      </c>
    </row>
    <row r="309" spans="11:13" x14ac:dyDescent="0.25">
      <c r="K309" s="24">
        <f t="shared" si="14"/>
        <v>200</v>
      </c>
      <c r="L309" s="46">
        <f t="shared" si="15"/>
        <v>44760</v>
      </c>
      <c r="M309">
        <f>HLOOKUP($M$1,meanT!$A$2:$D$368,K309,FALSE)</f>
        <v>10.322413793103401</v>
      </c>
    </row>
    <row r="310" spans="11:13" x14ac:dyDescent="0.25">
      <c r="K310" s="24">
        <f t="shared" si="14"/>
        <v>201</v>
      </c>
      <c r="L310" s="46">
        <f t="shared" si="15"/>
        <v>44761</v>
      </c>
      <c r="M310">
        <f>HLOOKUP($M$1,meanT!$A$2:$D$368,K310,FALSE)</f>
        <v>10.189655172413699</v>
      </c>
    </row>
    <row r="311" spans="11:13" x14ac:dyDescent="0.25">
      <c r="K311" s="24">
        <f t="shared" si="14"/>
        <v>202</v>
      </c>
      <c r="L311" s="46">
        <f t="shared" si="15"/>
        <v>44762</v>
      </c>
      <c r="M311">
        <f>HLOOKUP($M$1,meanT!$A$2:$D$368,K311,FALSE)</f>
        <v>10.668333333333299</v>
      </c>
    </row>
    <row r="312" spans="11:13" x14ac:dyDescent="0.25">
      <c r="K312" s="24">
        <f t="shared" si="14"/>
        <v>203</v>
      </c>
      <c r="L312" s="46">
        <f t="shared" si="15"/>
        <v>44763</v>
      </c>
      <c r="M312">
        <f>HLOOKUP($M$1,meanT!$A$2:$D$368,K312,FALSE)</f>
        <v>10.181666666666599</v>
      </c>
    </row>
    <row r="313" spans="11:13" x14ac:dyDescent="0.25">
      <c r="K313" s="24">
        <f t="shared" si="14"/>
        <v>204</v>
      </c>
      <c r="L313" s="46">
        <f t="shared" si="15"/>
        <v>44764</v>
      </c>
      <c r="M313">
        <f>HLOOKUP($M$1,meanT!$A$2:$D$368,K313,FALSE)</f>
        <v>10.761666666666599</v>
      </c>
    </row>
    <row r="314" spans="11:13" x14ac:dyDescent="0.25">
      <c r="K314" s="24">
        <f t="shared" si="14"/>
        <v>205</v>
      </c>
      <c r="L314" s="46">
        <f t="shared" si="15"/>
        <v>44765</v>
      </c>
      <c r="M314">
        <f>HLOOKUP($M$1,meanT!$A$2:$D$368,K314,FALSE)</f>
        <v>10.623333333333299</v>
      </c>
    </row>
    <row r="315" spans="11:13" x14ac:dyDescent="0.25">
      <c r="K315" s="24">
        <f t="shared" si="14"/>
        <v>206</v>
      </c>
      <c r="L315" s="46">
        <f t="shared" si="15"/>
        <v>44766</v>
      </c>
      <c r="M315">
        <f>HLOOKUP($M$1,meanT!$A$2:$D$368,K315,FALSE)</f>
        <v>10.654999999999999</v>
      </c>
    </row>
    <row r="316" spans="11:13" x14ac:dyDescent="0.25">
      <c r="K316" s="24">
        <f t="shared" si="14"/>
        <v>207</v>
      </c>
      <c r="L316" s="46">
        <f t="shared" si="15"/>
        <v>44767</v>
      </c>
      <c r="M316">
        <f>HLOOKUP($M$1,meanT!$A$2:$D$368,K316,FALSE)</f>
        <v>10.085000000000001</v>
      </c>
    </row>
    <row r="317" spans="11:13" x14ac:dyDescent="0.25">
      <c r="K317" s="24">
        <f t="shared" si="14"/>
        <v>208</v>
      </c>
      <c r="L317" s="46">
        <f t="shared" si="15"/>
        <v>44768</v>
      </c>
      <c r="M317">
        <f>HLOOKUP($M$1,meanT!$A$2:$D$368,K317,FALSE)</f>
        <v>9.99</v>
      </c>
    </row>
    <row r="318" spans="11:13" x14ac:dyDescent="0.25">
      <c r="K318" s="24">
        <f t="shared" si="14"/>
        <v>209</v>
      </c>
      <c r="L318" s="46">
        <f t="shared" si="15"/>
        <v>44769</v>
      </c>
      <c r="M318">
        <f>HLOOKUP($M$1,meanT!$A$2:$D$368,K318,FALSE)</f>
        <v>10.4116666666666</v>
      </c>
    </row>
    <row r="319" spans="11:13" x14ac:dyDescent="0.25">
      <c r="K319" s="24">
        <f t="shared" si="14"/>
        <v>210</v>
      </c>
      <c r="L319" s="46">
        <f t="shared" si="15"/>
        <v>44770</v>
      </c>
      <c r="M319">
        <f>HLOOKUP($M$1,meanT!$A$2:$D$368,K319,FALSE)</f>
        <v>10.494999999999999</v>
      </c>
    </row>
    <row r="320" spans="11:13" x14ac:dyDescent="0.25">
      <c r="K320" s="24">
        <f t="shared" si="14"/>
        <v>211</v>
      </c>
      <c r="L320" s="46">
        <f t="shared" si="15"/>
        <v>44771</v>
      </c>
      <c r="M320">
        <f>HLOOKUP($M$1,meanT!$A$2:$D$368,K320,FALSE)</f>
        <v>10.685</v>
      </c>
    </row>
    <row r="321" spans="11:13" x14ac:dyDescent="0.25">
      <c r="K321" s="24">
        <f t="shared" si="14"/>
        <v>212</v>
      </c>
      <c r="L321" s="46">
        <f t="shared" si="15"/>
        <v>44772</v>
      </c>
      <c r="M321">
        <f>HLOOKUP($M$1,meanT!$A$2:$D$368,K321,FALSE)</f>
        <v>10.678333333333301</v>
      </c>
    </row>
    <row r="322" spans="11:13" x14ac:dyDescent="0.25">
      <c r="K322" s="24">
        <f t="shared" si="14"/>
        <v>213</v>
      </c>
      <c r="L322" s="46">
        <f t="shared" si="15"/>
        <v>44773</v>
      </c>
      <c r="M322">
        <f>HLOOKUP($M$1,meanT!$A$2:$D$368,K322,FALSE)</f>
        <v>10.767241379310301</v>
      </c>
    </row>
    <row r="323" spans="11:13" x14ac:dyDescent="0.25">
      <c r="K323" s="24">
        <f t="shared" si="14"/>
        <v>214</v>
      </c>
      <c r="L323" s="46">
        <f t="shared" si="15"/>
        <v>44774</v>
      </c>
      <c r="M323">
        <f>HLOOKUP($M$1,meanT!$A$2:$D$368,K323,FALSE)</f>
        <v>10.815</v>
      </c>
    </row>
    <row r="324" spans="11:13" x14ac:dyDescent="0.25">
      <c r="K324" s="24">
        <f t="shared" ref="K324:K387" si="16">L324-DATE(YEAR(L324),1,0)+1</f>
        <v>215</v>
      </c>
      <c r="L324" s="46">
        <f t="shared" si="15"/>
        <v>44775</v>
      </c>
      <c r="M324">
        <f>HLOOKUP($M$1,meanT!$A$2:$D$368,K324,FALSE)</f>
        <v>11.156666666666601</v>
      </c>
    </row>
    <row r="325" spans="11:13" x14ac:dyDescent="0.25">
      <c r="K325" s="24">
        <f t="shared" si="16"/>
        <v>216</v>
      </c>
      <c r="L325" s="46">
        <f t="shared" ref="L325:L388" si="17">L324+1</f>
        <v>44776</v>
      </c>
      <c r="M325">
        <f>HLOOKUP($M$1,meanT!$A$2:$D$368,K325,FALSE)</f>
        <v>11.0879310344827</v>
      </c>
    </row>
    <row r="326" spans="11:13" x14ac:dyDescent="0.25">
      <c r="K326" s="24">
        <f t="shared" si="16"/>
        <v>217</v>
      </c>
      <c r="L326" s="46">
        <f t="shared" si="17"/>
        <v>44777</v>
      </c>
      <c r="M326">
        <f>HLOOKUP($M$1,meanT!$A$2:$D$368,K326,FALSE)</f>
        <v>10.9965517241379</v>
      </c>
    </row>
    <row r="327" spans="11:13" x14ac:dyDescent="0.25">
      <c r="K327" s="24">
        <f t="shared" si="16"/>
        <v>218</v>
      </c>
      <c r="L327" s="46">
        <f t="shared" si="17"/>
        <v>44778</v>
      </c>
      <c r="M327">
        <f>HLOOKUP($M$1,meanT!$A$2:$D$368,K327,FALSE)</f>
        <v>10.706395995550601</v>
      </c>
    </row>
    <row r="328" spans="11:13" x14ac:dyDescent="0.25">
      <c r="K328" s="24">
        <f t="shared" si="16"/>
        <v>219</v>
      </c>
      <c r="L328" s="46">
        <f t="shared" si="17"/>
        <v>44779</v>
      </c>
      <c r="M328">
        <f>HLOOKUP($M$1,meanT!$A$2:$D$368,K328,FALSE)</f>
        <v>10.6327586206896</v>
      </c>
    </row>
    <row r="329" spans="11:13" x14ac:dyDescent="0.25">
      <c r="K329" s="24">
        <f t="shared" si="16"/>
        <v>220</v>
      </c>
      <c r="L329" s="46">
        <f t="shared" si="17"/>
        <v>44780</v>
      </c>
      <c r="M329">
        <f>HLOOKUP($M$1,meanT!$A$2:$D$368,K329,FALSE)</f>
        <v>10.7362068965517</v>
      </c>
    </row>
    <row r="330" spans="11:13" x14ac:dyDescent="0.25">
      <c r="K330" s="24">
        <f t="shared" si="16"/>
        <v>221</v>
      </c>
      <c r="L330" s="46">
        <f t="shared" si="17"/>
        <v>44781</v>
      </c>
      <c r="M330">
        <f>HLOOKUP($M$1,meanT!$A$2:$D$368,K330,FALSE)</f>
        <v>10.733333333333301</v>
      </c>
    </row>
    <row r="331" spans="11:13" x14ac:dyDescent="0.25">
      <c r="K331" s="24">
        <f t="shared" si="16"/>
        <v>222</v>
      </c>
      <c r="L331" s="46">
        <f t="shared" si="17"/>
        <v>44782</v>
      </c>
      <c r="M331">
        <f>HLOOKUP($M$1,meanT!$A$2:$D$368,K331,FALSE)</f>
        <v>10.86</v>
      </c>
    </row>
    <row r="332" spans="11:13" x14ac:dyDescent="0.25">
      <c r="K332" s="24">
        <f t="shared" si="16"/>
        <v>223</v>
      </c>
      <c r="L332" s="46">
        <f t="shared" si="17"/>
        <v>44783</v>
      </c>
      <c r="M332">
        <f>HLOOKUP($M$1,meanT!$A$2:$D$368,K332,FALSE)</f>
        <v>10.6416666666666</v>
      </c>
    </row>
    <row r="333" spans="11:13" x14ac:dyDescent="0.25">
      <c r="K333" s="24">
        <f t="shared" si="16"/>
        <v>224</v>
      </c>
      <c r="L333" s="46">
        <f t="shared" si="17"/>
        <v>44784</v>
      </c>
      <c r="M333">
        <f>HLOOKUP($M$1,meanT!$A$2:$D$368,K333,FALSE)</f>
        <v>10.8983333333333</v>
      </c>
    </row>
    <row r="334" spans="11:13" x14ac:dyDescent="0.25">
      <c r="K334" s="24">
        <f t="shared" si="16"/>
        <v>225</v>
      </c>
      <c r="L334" s="46">
        <f t="shared" si="17"/>
        <v>44785</v>
      </c>
      <c r="M334">
        <f>HLOOKUP($M$1,meanT!$A$2:$D$368,K334,FALSE)</f>
        <v>10.62</v>
      </c>
    </row>
    <row r="335" spans="11:13" x14ac:dyDescent="0.25">
      <c r="K335" s="24">
        <f t="shared" si="16"/>
        <v>226</v>
      </c>
      <c r="L335" s="46">
        <f t="shared" si="17"/>
        <v>44786</v>
      </c>
      <c r="M335">
        <f>HLOOKUP($M$1,meanT!$A$2:$D$368,K335,FALSE)</f>
        <v>10.851666666666601</v>
      </c>
    </row>
    <row r="336" spans="11:13" x14ac:dyDescent="0.25">
      <c r="K336" s="24">
        <f t="shared" si="16"/>
        <v>227</v>
      </c>
      <c r="L336" s="46">
        <f t="shared" si="17"/>
        <v>44787</v>
      </c>
      <c r="M336">
        <f>HLOOKUP($M$1,meanT!$A$2:$D$368,K336,FALSE)</f>
        <v>10.715517241379301</v>
      </c>
    </row>
    <row r="337" spans="11:13" x14ac:dyDescent="0.25">
      <c r="K337" s="24">
        <f t="shared" si="16"/>
        <v>228</v>
      </c>
      <c r="L337" s="46">
        <f t="shared" si="17"/>
        <v>44788</v>
      </c>
      <c r="M337">
        <f>HLOOKUP($M$1,meanT!$A$2:$D$368,K337,FALSE)</f>
        <v>10.171666666666599</v>
      </c>
    </row>
    <row r="338" spans="11:13" x14ac:dyDescent="0.25">
      <c r="K338" s="24">
        <f t="shared" si="16"/>
        <v>229</v>
      </c>
      <c r="L338" s="46">
        <f t="shared" si="17"/>
        <v>44789</v>
      </c>
      <c r="M338">
        <f>HLOOKUP($M$1,meanT!$A$2:$D$368,K338,FALSE)</f>
        <v>10.203333333333299</v>
      </c>
    </row>
    <row r="339" spans="11:13" x14ac:dyDescent="0.25">
      <c r="K339" s="24">
        <f t="shared" si="16"/>
        <v>230</v>
      </c>
      <c r="L339" s="46">
        <f t="shared" si="17"/>
        <v>44790</v>
      </c>
      <c r="M339">
        <f>HLOOKUP($M$1,meanT!$A$2:$D$368,K339,FALSE)</f>
        <v>10.0833333333333</v>
      </c>
    </row>
    <row r="340" spans="11:13" x14ac:dyDescent="0.25">
      <c r="K340" s="24">
        <f t="shared" si="16"/>
        <v>231</v>
      </c>
      <c r="L340" s="46">
        <f t="shared" si="17"/>
        <v>44791</v>
      </c>
      <c r="M340">
        <f>HLOOKUP($M$1,meanT!$A$2:$D$368,K340,FALSE)</f>
        <v>10.0833333333333</v>
      </c>
    </row>
    <row r="341" spans="11:13" x14ac:dyDescent="0.25">
      <c r="K341" s="24">
        <f t="shared" si="16"/>
        <v>232</v>
      </c>
      <c r="L341" s="46">
        <f t="shared" si="17"/>
        <v>44792</v>
      </c>
      <c r="M341">
        <f>HLOOKUP($M$1,meanT!$A$2:$D$368,K341,FALSE)</f>
        <v>10.1383333333333</v>
      </c>
    </row>
    <row r="342" spans="11:13" x14ac:dyDescent="0.25">
      <c r="K342" s="24">
        <f t="shared" si="16"/>
        <v>233</v>
      </c>
      <c r="L342" s="46">
        <f t="shared" si="17"/>
        <v>44793</v>
      </c>
      <c r="M342">
        <f>HLOOKUP($M$1,meanT!$A$2:$D$368,K342,FALSE)</f>
        <v>10.421666666666599</v>
      </c>
    </row>
    <row r="343" spans="11:13" x14ac:dyDescent="0.25">
      <c r="K343" s="24">
        <f t="shared" si="16"/>
        <v>234</v>
      </c>
      <c r="L343" s="46">
        <f t="shared" si="17"/>
        <v>44794</v>
      </c>
      <c r="M343">
        <f>HLOOKUP($M$1,meanT!$A$2:$D$368,K343,FALSE)</f>
        <v>10.703333333333299</v>
      </c>
    </row>
    <row r="344" spans="11:13" x14ac:dyDescent="0.25">
      <c r="K344" s="24">
        <f t="shared" si="16"/>
        <v>235</v>
      </c>
      <c r="L344" s="46">
        <f t="shared" si="17"/>
        <v>44795</v>
      </c>
      <c r="M344">
        <f>HLOOKUP($M$1,meanT!$A$2:$D$368,K344,FALSE)</f>
        <v>10.8266666666666</v>
      </c>
    </row>
    <row r="345" spans="11:13" x14ac:dyDescent="0.25">
      <c r="K345" s="24">
        <f t="shared" si="16"/>
        <v>236</v>
      </c>
      <c r="L345" s="46">
        <f t="shared" si="17"/>
        <v>44796</v>
      </c>
      <c r="M345">
        <f>HLOOKUP($M$1,meanT!$A$2:$D$368,K345,FALSE)</f>
        <v>11.0766666666666</v>
      </c>
    </row>
    <row r="346" spans="11:13" x14ac:dyDescent="0.25">
      <c r="K346" s="24">
        <f t="shared" si="16"/>
        <v>237</v>
      </c>
      <c r="L346" s="46">
        <f t="shared" si="17"/>
        <v>44797</v>
      </c>
      <c r="M346">
        <f>HLOOKUP($M$1,meanT!$A$2:$D$368,K346,FALSE)</f>
        <v>11.088333333333299</v>
      </c>
    </row>
    <row r="347" spans="11:13" x14ac:dyDescent="0.25">
      <c r="K347" s="24">
        <f t="shared" si="16"/>
        <v>238</v>
      </c>
      <c r="L347" s="46">
        <f t="shared" si="17"/>
        <v>44798</v>
      </c>
      <c r="M347">
        <f>HLOOKUP($M$1,meanT!$A$2:$D$368,K347,FALSE)</f>
        <v>11.283333333333299</v>
      </c>
    </row>
    <row r="348" spans="11:13" x14ac:dyDescent="0.25">
      <c r="K348" s="24">
        <f t="shared" si="16"/>
        <v>239</v>
      </c>
      <c r="L348" s="46">
        <f t="shared" si="17"/>
        <v>44799</v>
      </c>
      <c r="M348">
        <f>HLOOKUP($M$1,meanT!$A$2:$D$368,K348,FALSE)</f>
        <v>11.1383333333333</v>
      </c>
    </row>
    <row r="349" spans="11:13" x14ac:dyDescent="0.25">
      <c r="K349" s="24">
        <f t="shared" si="16"/>
        <v>240</v>
      </c>
      <c r="L349" s="46">
        <f t="shared" si="17"/>
        <v>44800</v>
      </c>
      <c r="M349">
        <f>HLOOKUP($M$1,meanT!$A$2:$D$368,K349,FALSE)</f>
        <v>11.1133333333333</v>
      </c>
    </row>
    <row r="350" spans="11:13" x14ac:dyDescent="0.25">
      <c r="K350" s="24">
        <f t="shared" si="16"/>
        <v>241</v>
      </c>
      <c r="L350" s="46">
        <f t="shared" si="17"/>
        <v>44801</v>
      </c>
      <c r="M350">
        <f>HLOOKUP($M$1,meanT!$A$2:$D$368,K350,FALSE)</f>
        <v>10.7724137931034</v>
      </c>
    </row>
    <row r="351" spans="11:13" x14ac:dyDescent="0.25">
      <c r="K351" s="24">
        <f t="shared" si="16"/>
        <v>242</v>
      </c>
      <c r="L351" s="46">
        <f t="shared" si="17"/>
        <v>44802</v>
      </c>
      <c r="M351">
        <f>HLOOKUP($M$1,meanT!$A$2:$D$368,K351,FALSE)</f>
        <v>10.753448275862</v>
      </c>
    </row>
    <row r="352" spans="11:13" x14ac:dyDescent="0.25">
      <c r="K352" s="24">
        <f t="shared" si="16"/>
        <v>243</v>
      </c>
      <c r="L352" s="46">
        <f t="shared" si="17"/>
        <v>44803</v>
      </c>
      <c r="M352">
        <f>HLOOKUP($M$1,meanT!$A$2:$D$368,K352,FALSE)</f>
        <v>10.891379310344799</v>
      </c>
    </row>
    <row r="353" spans="11:13" x14ac:dyDescent="0.25">
      <c r="K353" s="24">
        <f t="shared" si="16"/>
        <v>244</v>
      </c>
      <c r="L353" s="46">
        <f t="shared" si="17"/>
        <v>44804</v>
      </c>
      <c r="M353">
        <f>HLOOKUP($M$1,meanT!$A$2:$D$368,K353,FALSE)</f>
        <v>10.953448275862</v>
      </c>
    </row>
    <row r="354" spans="11:13" x14ac:dyDescent="0.25">
      <c r="K354" s="24">
        <f t="shared" si="16"/>
        <v>245</v>
      </c>
      <c r="L354" s="46">
        <f t="shared" si="17"/>
        <v>44805</v>
      </c>
      <c r="M354">
        <f>HLOOKUP($M$1,meanT!$A$2:$D$368,K354,FALSE)</f>
        <v>10.803333333333301</v>
      </c>
    </row>
    <row r="355" spans="11:13" x14ac:dyDescent="0.25">
      <c r="K355" s="24">
        <f t="shared" si="16"/>
        <v>246</v>
      </c>
      <c r="L355" s="46">
        <f t="shared" si="17"/>
        <v>44806</v>
      </c>
      <c r="M355">
        <f>HLOOKUP($M$1,meanT!$A$2:$D$368,K355,FALSE)</f>
        <v>10.862068965517199</v>
      </c>
    </row>
    <row r="356" spans="11:13" x14ac:dyDescent="0.25">
      <c r="K356" s="24">
        <f t="shared" si="16"/>
        <v>247</v>
      </c>
      <c r="L356" s="46">
        <f t="shared" si="17"/>
        <v>44807</v>
      </c>
      <c r="M356">
        <f>HLOOKUP($M$1,meanT!$A$2:$D$368,K356,FALSE)</f>
        <v>11.4379310344827</v>
      </c>
    </row>
    <row r="357" spans="11:13" x14ac:dyDescent="0.25">
      <c r="K357" s="24">
        <f t="shared" si="16"/>
        <v>248</v>
      </c>
      <c r="L357" s="46">
        <f t="shared" si="17"/>
        <v>44808</v>
      </c>
      <c r="M357">
        <f>HLOOKUP($M$1,meanT!$A$2:$D$368,K357,FALSE)</f>
        <v>11.5448275862068</v>
      </c>
    </row>
    <row r="358" spans="11:13" x14ac:dyDescent="0.25">
      <c r="K358" s="24">
        <f t="shared" si="16"/>
        <v>249</v>
      </c>
      <c r="L358" s="46">
        <f t="shared" si="17"/>
        <v>44809</v>
      </c>
      <c r="M358">
        <f>HLOOKUP($M$1,meanT!$A$2:$D$368,K358,FALSE)</f>
        <v>11.734482758620601</v>
      </c>
    </row>
    <row r="359" spans="11:13" x14ac:dyDescent="0.25">
      <c r="K359" s="24">
        <f t="shared" si="16"/>
        <v>250</v>
      </c>
      <c r="L359" s="46">
        <f t="shared" si="17"/>
        <v>44810</v>
      </c>
      <c r="M359">
        <f>HLOOKUP($M$1,meanT!$A$2:$D$368,K359,FALSE)</f>
        <v>11.682758620689601</v>
      </c>
    </row>
    <row r="360" spans="11:13" x14ac:dyDescent="0.25">
      <c r="K360" s="24">
        <f t="shared" si="16"/>
        <v>251</v>
      </c>
      <c r="L360" s="46">
        <f t="shared" si="17"/>
        <v>44811</v>
      </c>
      <c r="M360">
        <f>HLOOKUP($M$1,meanT!$A$2:$D$368,K360,FALSE)</f>
        <v>11.389655172413701</v>
      </c>
    </row>
    <row r="361" spans="11:13" x14ac:dyDescent="0.25">
      <c r="K361" s="24">
        <f t="shared" si="16"/>
        <v>252</v>
      </c>
      <c r="L361" s="46">
        <f t="shared" si="17"/>
        <v>44812</v>
      </c>
      <c r="M361">
        <f>HLOOKUP($M$1,meanT!$A$2:$D$368,K361,FALSE)</f>
        <v>11.834482758620601</v>
      </c>
    </row>
    <row r="362" spans="11:13" x14ac:dyDescent="0.25">
      <c r="K362" s="24">
        <f t="shared" si="16"/>
        <v>253</v>
      </c>
      <c r="L362" s="46">
        <f t="shared" si="17"/>
        <v>44813</v>
      </c>
      <c r="M362">
        <f>HLOOKUP($M$1,meanT!$A$2:$D$368,K362,FALSE)</f>
        <v>11.465</v>
      </c>
    </row>
    <row r="363" spans="11:13" x14ac:dyDescent="0.25">
      <c r="K363" s="24">
        <f t="shared" si="16"/>
        <v>254</v>
      </c>
      <c r="L363" s="46">
        <f t="shared" si="17"/>
        <v>44814</v>
      </c>
      <c r="M363">
        <f>HLOOKUP($M$1,meanT!$A$2:$D$368,K363,FALSE)</f>
        <v>11.62</v>
      </c>
    </row>
    <row r="364" spans="11:13" x14ac:dyDescent="0.25">
      <c r="K364" s="24">
        <f t="shared" si="16"/>
        <v>255</v>
      </c>
      <c r="L364" s="46">
        <f t="shared" si="17"/>
        <v>44815</v>
      </c>
      <c r="M364">
        <f>HLOOKUP($M$1,meanT!$A$2:$D$368,K364,FALSE)</f>
        <v>11.7633333333333</v>
      </c>
    </row>
    <row r="365" spans="11:13" x14ac:dyDescent="0.25">
      <c r="K365" s="24">
        <f t="shared" si="16"/>
        <v>256</v>
      </c>
      <c r="L365" s="46">
        <f t="shared" si="17"/>
        <v>44816</v>
      </c>
      <c r="M365">
        <f>HLOOKUP($M$1,meanT!$A$2:$D$368,K365,FALSE)</f>
        <v>12.158333333333299</v>
      </c>
    </row>
    <row r="366" spans="11:13" x14ac:dyDescent="0.25">
      <c r="K366" s="24">
        <f t="shared" si="16"/>
        <v>257</v>
      </c>
      <c r="L366" s="46">
        <f t="shared" si="17"/>
        <v>44817</v>
      </c>
      <c r="M366">
        <f>HLOOKUP($M$1,meanT!$A$2:$D$368,K366,FALSE)</f>
        <v>11.908333333333299</v>
      </c>
    </row>
    <row r="367" spans="11:13" x14ac:dyDescent="0.25">
      <c r="K367" s="24">
        <f t="shared" si="16"/>
        <v>258</v>
      </c>
      <c r="L367" s="46">
        <f t="shared" si="17"/>
        <v>44818</v>
      </c>
      <c r="M367">
        <f>HLOOKUP($M$1,meanT!$A$2:$D$368,K367,FALSE)</f>
        <v>12.074999999999999</v>
      </c>
    </row>
    <row r="368" spans="11:13" x14ac:dyDescent="0.25">
      <c r="K368" s="24">
        <f t="shared" si="16"/>
        <v>259</v>
      </c>
      <c r="L368" s="46">
        <f t="shared" si="17"/>
        <v>44819</v>
      </c>
      <c r="M368">
        <f>HLOOKUP($M$1,meanT!$A$2:$D$368,K368,FALSE)</f>
        <v>12.3883333333333</v>
      </c>
    </row>
    <row r="369" spans="11:13" x14ac:dyDescent="0.25">
      <c r="K369" s="24">
        <f t="shared" si="16"/>
        <v>260</v>
      </c>
      <c r="L369" s="46">
        <f t="shared" si="17"/>
        <v>44820</v>
      </c>
      <c r="M369">
        <f>HLOOKUP($M$1,meanT!$A$2:$D$368,K369,FALSE)</f>
        <v>12.5766666666666</v>
      </c>
    </row>
    <row r="370" spans="11:13" x14ac:dyDescent="0.25">
      <c r="K370" s="24">
        <f t="shared" si="16"/>
        <v>261</v>
      </c>
      <c r="L370" s="46">
        <f t="shared" si="17"/>
        <v>44821</v>
      </c>
      <c r="M370">
        <f>HLOOKUP($M$1,meanT!$A$2:$D$368,K370,FALSE)</f>
        <v>12.482258064516101</v>
      </c>
    </row>
    <row r="371" spans="11:13" x14ac:dyDescent="0.25">
      <c r="K371" s="24">
        <f t="shared" si="16"/>
        <v>262</v>
      </c>
      <c r="L371" s="46">
        <f t="shared" si="17"/>
        <v>44822</v>
      </c>
      <c r="M371">
        <f>HLOOKUP($M$1,meanT!$A$2:$D$368,K371,FALSE)</f>
        <v>12.261290322580599</v>
      </c>
    </row>
    <row r="372" spans="11:13" x14ac:dyDescent="0.25">
      <c r="K372" s="24">
        <f t="shared" si="16"/>
        <v>263</v>
      </c>
      <c r="L372" s="46">
        <f t="shared" si="17"/>
        <v>44823</v>
      </c>
      <c r="M372">
        <f>HLOOKUP($M$1,meanT!$A$2:$D$368,K372,FALSE)</f>
        <v>12.1677419354838</v>
      </c>
    </row>
    <row r="373" spans="11:13" x14ac:dyDescent="0.25">
      <c r="K373" s="24">
        <f t="shared" si="16"/>
        <v>264</v>
      </c>
      <c r="L373" s="46">
        <f t="shared" si="17"/>
        <v>44824</v>
      </c>
      <c r="M373">
        <f>HLOOKUP($M$1,meanT!$A$2:$D$368,K373,FALSE)</f>
        <v>12.1064516129032</v>
      </c>
    </row>
    <row r="374" spans="11:13" x14ac:dyDescent="0.25">
      <c r="K374" s="24">
        <f t="shared" si="16"/>
        <v>265</v>
      </c>
      <c r="L374" s="46">
        <f t="shared" si="17"/>
        <v>44825</v>
      </c>
      <c r="M374">
        <f>HLOOKUP($M$1,meanT!$A$2:$D$368,K374,FALSE)</f>
        <v>12.012903225806401</v>
      </c>
    </row>
    <row r="375" spans="11:13" x14ac:dyDescent="0.25">
      <c r="K375" s="24">
        <f t="shared" si="16"/>
        <v>266</v>
      </c>
      <c r="L375" s="46">
        <f t="shared" si="17"/>
        <v>44826</v>
      </c>
      <c r="M375">
        <f>HLOOKUP($M$1,meanT!$A$2:$D$368,K375,FALSE)</f>
        <v>12.1612903225806</v>
      </c>
    </row>
    <row r="376" spans="11:13" x14ac:dyDescent="0.25">
      <c r="K376" s="24">
        <f t="shared" si="16"/>
        <v>267</v>
      </c>
      <c r="L376" s="46">
        <f t="shared" si="17"/>
        <v>44827</v>
      </c>
      <c r="M376">
        <f>HLOOKUP($M$1,meanT!$A$2:$D$368,K376,FALSE)</f>
        <v>12.285483870967701</v>
      </c>
    </row>
    <row r="377" spans="11:13" x14ac:dyDescent="0.25">
      <c r="K377" s="24">
        <f t="shared" si="16"/>
        <v>268</v>
      </c>
      <c r="L377" s="46">
        <f t="shared" si="17"/>
        <v>44828</v>
      </c>
      <c r="M377">
        <f>HLOOKUP($M$1,meanT!$A$2:$D$368,K377,FALSE)</f>
        <v>12.7274193548387</v>
      </c>
    </row>
    <row r="378" spans="11:13" x14ac:dyDescent="0.25">
      <c r="K378" s="24">
        <f t="shared" si="16"/>
        <v>269</v>
      </c>
      <c r="L378" s="46">
        <f t="shared" si="17"/>
        <v>44829</v>
      </c>
      <c r="M378">
        <f>HLOOKUP($M$1,meanT!$A$2:$D$368,K378,FALSE)</f>
        <v>12.4338709677419</v>
      </c>
    </row>
    <row r="379" spans="11:13" x14ac:dyDescent="0.25">
      <c r="K379" s="24">
        <f t="shared" si="16"/>
        <v>270</v>
      </c>
      <c r="L379" s="46">
        <f t="shared" si="17"/>
        <v>44830</v>
      </c>
      <c r="M379">
        <f>HLOOKUP($M$1,meanT!$A$2:$D$368,K379,FALSE)</f>
        <v>12.341666666666599</v>
      </c>
    </row>
    <row r="380" spans="11:13" x14ac:dyDescent="0.25">
      <c r="K380" s="24">
        <f t="shared" si="16"/>
        <v>271</v>
      </c>
      <c r="L380" s="46">
        <f t="shared" si="17"/>
        <v>44831</v>
      </c>
      <c r="M380">
        <f>HLOOKUP($M$1,meanT!$A$2:$D$368,K380,FALSE)</f>
        <v>12.7183333333333</v>
      </c>
    </row>
    <row r="381" spans="11:13" x14ac:dyDescent="0.25">
      <c r="K381" s="24">
        <f t="shared" si="16"/>
        <v>272</v>
      </c>
      <c r="L381" s="46">
        <f t="shared" si="17"/>
        <v>44832</v>
      </c>
      <c r="M381">
        <f>HLOOKUP($M$1,meanT!$A$2:$D$368,K381,FALSE)</f>
        <v>13.04</v>
      </c>
    </row>
    <row r="382" spans="11:13" x14ac:dyDescent="0.25">
      <c r="K382" s="24">
        <f t="shared" si="16"/>
        <v>273</v>
      </c>
      <c r="L382" s="46">
        <f t="shared" si="17"/>
        <v>44833</v>
      </c>
      <c r="M382">
        <f>HLOOKUP($M$1,meanT!$A$2:$D$368,K382,FALSE)</f>
        <v>13.381034482758601</v>
      </c>
    </row>
    <row r="383" spans="11:13" x14ac:dyDescent="0.25">
      <c r="K383" s="24">
        <f t="shared" si="16"/>
        <v>274</v>
      </c>
      <c r="L383" s="46">
        <f t="shared" si="17"/>
        <v>44834</v>
      </c>
      <c r="M383">
        <f>HLOOKUP($M$1,meanT!$A$2:$D$368,K383,FALSE)</f>
        <v>13.274137931034399</v>
      </c>
    </row>
    <row r="384" spans="11:13" x14ac:dyDescent="0.25">
      <c r="K384" s="24">
        <f t="shared" si="16"/>
        <v>275</v>
      </c>
      <c r="L384" s="46">
        <f t="shared" si="17"/>
        <v>44835</v>
      </c>
      <c r="M384">
        <f>HLOOKUP($M$1,meanT!$A$2:$D$368,K384,FALSE)</f>
        <v>13.0233333333333</v>
      </c>
    </row>
    <row r="385" spans="11:13" x14ac:dyDescent="0.25">
      <c r="K385" s="24">
        <f t="shared" si="16"/>
        <v>276</v>
      </c>
      <c r="L385" s="46">
        <f t="shared" si="17"/>
        <v>44836</v>
      </c>
      <c r="M385">
        <f>HLOOKUP($M$1,meanT!$A$2:$D$368,K385,FALSE)</f>
        <v>12.938333333333301</v>
      </c>
    </row>
    <row r="386" spans="11:13" x14ac:dyDescent="0.25">
      <c r="K386" s="24">
        <f t="shared" si="16"/>
        <v>277</v>
      </c>
      <c r="L386" s="46">
        <f t="shared" si="17"/>
        <v>44837</v>
      </c>
      <c r="M386">
        <f>HLOOKUP($M$1,meanT!$A$2:$D$368,K386,FALSE)</f>
        <v>13.2433333333333</v>
      </c>
    </row>
    <row r="387" spans="11:13" x14ac:dyDescent="0.25">
      <c r="K387" s="24">
        <f t="shared" si="16"/>
        <v>278</v>
      </c>
      <c r="L387" s="46">
        <f t="shared" si="17"/>
        <v>44838</v>
      </c>
      <c r="M387">
        <f>HLOOKUP($M$1,meanT!$A$2:$D$368,K387,FALSE)</f>
        <v>12.85</v>
      </c>
    </row>
    <row r="388" spans="11:13" x14ac:dyDescent="0.25">
      <c r="K388" s="24">
        <f t="shared" ref="K388:K451" si="18">L388-DATE(YEAR(L388),1,0)+1</f>
        <v>279</v>
      </c>
      <c r="L388" s="46">
        <f t="shared" si="17"/>
        <v>44839</v>
      </c>
      <c r="M388">
        <f>HLOOKUP($M$1,meanT!$A$2:$D$368,K388,FALSE)</f>
        <v>12.875806451612901</v>
      </c>
    </row>
    <row r="389" spans="11:13" x14ac:dyDescent="0.25">
      <c r="K389" s="24">
        <f t="shared" si="18"/>
        <v>280</v>
      </c>
      <c r="L389" s="46">
        <f t="shared" ref="L389:L452" si="19">L388+1</f>
        <v>44840</v>
      </c>
      <c r="M389">
        <f>HLOOKUP($M$1,meanT!$A$2:$D$368,K389,FALSE)</f>
        <v>12.9966666666666</v>
      </c>
    </row>
    <row r="390" spans="11:13" x14ac:dyDescent="0.25">
      <c r="K390" s="24">
        <f t="shared" si="18"/>
        <v>281</v>
      </c>
      <c r="L390" s="46">
        <f t="shared" si="19"/>
        <v>44841</v>
      </c>
      <c r="M390">
        <f>HLOOKUP($M$1,meanT!$A$2:$D$368,K390,FALSE)</f>
        <v>12.7633333333333</v>
      </c>
    </row>
    <row r="391" spans="11:13" x14ac:dyDescent="0.25">
      <c r="K391" s="24">
        <f t="shared" si="18"/>
        <v>282</v>
      </c>
      <c r="L391" s="46">
        <f t="shared" si="19"/>
        <v>44842</v>
      </c>
      <c r="M391">
        <f>HLOOKUP($M$1,meanT!$A$2:$D$368,K391,FALSE)</f>
        <v>13.4816666666666</v>
      </c>
    </row>
    <row r="392" spans="11:13" x14ac:dyDescent="0.25">
      <c r="K392" s="24">
        <f t="shared" si="18"/>
        <v>283</v>
      </c>
      <c r="L392" s="46">
        <f t="shared" si="19"/>
        <v>44843</v>
      </c>
      <c r="M392">
        <f>HLOOKUP($M$1,meanT!$A$2:$D$368,K392,FALSE)</f>
        <v>13.6933333333333</v>
      </c>
    </row>
    <row r="393" spans="11:13" x14ac:dyDescent="0.25">
      <c r="K393" s="24">
        <f t="shared" si="18"/>
        <v>284</v>
      </c>
      <c r="L393" s="46">
        <f t="shared" si="19"/>
        <v>44844</v>
      </c>
      <c r="M393">
        <f>HLOOKUP($M$1,meanT!$A$2:$D$368,K393,FALSE)</f>
        <v>12.9568965517241</v>
      </c>
    </row>
    <row r="394" spans="11:13" x14ac:dyDescent="0.25">
      <c r="K394" s="24">
        <f t="shared" si="18"/>
        <v>285</v>
      </c>
      <c r="L394" s="46">
        <f t="shared" si="19"/>
        <v>44845</v>
      </c>
      <c r="M394">
        <f>HLOOKUP($M$1,meanT!$A$2:$D$368,K394,FALSE)</f>
        <v>13.2293103448275</v>
      </c>
    </row>
    <row r="395" spans="11:13" x14ac:dyDescent="0.25">
      <c r="K395" s="24">
        <f t="shared" si="18"/>
        <v>286</v>
      </c>
      <c r="L395" s="46">
        <f t="shared" si="19"/>
        <v>44846</v>
      </c>
      <c r="M395">
        <f>HLOOKUP($M$1,meanT!$A$2:$D$368,K395,FALSE)</f>
        <v>13.7431034482758</v>
      </c>
    </row>
    <row r="396" spans="11:13" x14ac:dyDescent="0.25">
      <c r="K396" s="24">
        <f t="shared" si="18"/>
        <v>287</v>
      </c>
      <c r="L396" s="46">
        <f t="shared" si="19"/>
        <v>44847</v>
      </c>
      <c r="M396">
        <f>HLOOKUP($M$1,meanT!$A$2:$D$368,K396,FALSE)</f>
        <v>13.6551724137931</v>
      </c>
    </row>
    <row r="397" spans="11:13" x14ac:dyDescent="0.25">
      <c r="K397" s="24">
        <f t="shared" si="18"/>
        <v>288</v>
      </c>
      <c r="L397" s="46">
        <f t="shared" si="19"/>
        <v>44848</v>
      </c>
      <c r="M397">
        <f>HLOOKUP($M$1,meanT!$A$2:$D$368,K397,FALSE)</f>
        <v>13.334482758620601</v>
      </c>
    </row>
    <row r="398" spans="11:13" x14ac:dyDescent="0.25">
      <c r="K398" s="24">
        <f t="shared" si="18"/>
        <v>289</v>
      </c>
      <c r="L398" s="46">
        <f t="shared" si="19"/>
        <v>44849</v>
      </c>
      <c r="M398">
        <f>HLOOKUP($M$1,meanT!$A$2:$D$368,K398,FALSE)</f>
        <v>13.0379310344827</v>
      </c>
    </row>
    <row r="399" spans="11:13" x14ac:dyDescent="0.25">
      <c r="K399" s="24">
        <f t="shared" si="18"/>
        <v>290</v>
      </c>
      <c r="L399" s="46">
        <f t="shared" si="19"/>
        <v>44850</v>
      </c>
      <c r="M399">
        <f>HLOOKUP($M$1,meanT!$A$2:$D$368,K399,FALSE)</f>
        <v>13.094827586206801</v>
      </c>
    </row>
    <row r="400" spans="11:13" x14ac:dyDescent="0.25">
      <c r="K400" s="24">
        <f t="shared" si="18"/>
        <v>291</v>
      </c>
      <c r="L400" s="46">
        <f t="shared" si="19"/>
        <v>44851</v>
      </c>
      <c r="M400">
        <f>HLOOKUP($M$1,meanT!$A$2:$D$368,K400,FALSE)</f>
        <v>13.6775862068965</v>
      </c>
    </row>
    <row r="401" spans="11:13" x14ac:dyDescent="0.25">
      <c r="K401" s="24">
        <f t="shared" si="18"/>
        <v>292</v>
      </c>
      <c r="L401" s="46">
        <f t="shared" si="19"/>
        <v>44852</v>
      </c>
      <c r="M401">
        <f>HLOOKUP($M$1,meanT!$A$2:$D$368,K401,FALSE)</f>
        <v>13.189655172413699</v>
      </c>
    </row>
    <row r="402" spans="11:13" x14ac:dyDescent="0.25">
      <c r="K402" s="24">
        <f t="shared" si="18"/>
        <v>293</v>
      </c>
      <c r="L402" s="46">
        <f t="shared" si="19"/>
        <v>44853</v>
      </c>
      <c r="M402">
        <f>HLOOKUP($M$1,meanT!$A$2:$D$368,K402,FALSE)</f>
        <v>12.9428571428571</v>
      </c>
    </row>
    <row r="403" spans="11:13" x14ac:dyDescent="0.25">
      <c r="K403" s="24">
        <f t="shared" si="18"/>
        <v>294</v>
      </c>
      <c r="L403" s="46">
        <f t="shared" si="19"/>
        <v>44854</v>
      </c>
      <c r="M403">
        <f>HLOOKUP($M$1,meanT!$A$2:$D$368,K403,FALSE)</f>
        <v>12.819642857142799</v>
      </c>
    </row>
    <row r="404" spans="11:13" x14ac:dyDescent="0.25">
      <c r="K404" s="24">
        <f t="shared" si="18"/>
        <v>295</v>
      </c>
      <c r="L404" s="46">
        <f t="shared" si="19"/>
        <v>44855</v>
      </c>
      <c r="M404">
        <f>HLOOKUP($M$1,meanT!$A$2:$D$368,K404,FALSE)</f>
        <v>13.2785714285714</v>
      </c>
    </row>
    <row r="405" spans="11:13" x14ac:dyDescent="0.25">
      <c r="K405" s="24">
        <f t="shared" si="18"/>
        <v>296</v>
      </c>
      <c r="L405" s="46">
        <f t="shared" si="19"/>
        <v>44856</v>
      </c>
      <c r="M405">
        <f>HLOOKUP($M$1,meanT!$A$2:$D$368,K405,FALSE)</f>
        <v>13.5625</v>
      </c>
    </row>
    <row r="406" spans="11:13" x14ac:dyDescent="0.25">
      <c r="K406" s="24">
        <f t="shared" si="18"/>
        <v>297</v>
      </c>
      <c r="L406" s="46">
        <f t="shared" si="19"/>
        <v>44857</v>
      </c>
      <c r="M406">
        <f>HLOOKUP($M$1,meanT!$A$2:$D$368,K406,FALSE)</f>
        <v>13.9310344827586</v>
      </c>
    </row>
    <row r="407" spans="11:13" x14ac:dyDescent="0.25">
      <c r="K407" s="24">
        <f t="shared" si="18"/>
        <v>298</v>
      </c>
      <c r="L407" s="46">
        <f t="shared" si="19"/>
        <v>44858</v>
      </c>
      <c r="M407">
        <f>HLOOKUP($M$1,meanT!$A$2:$D$368,K407,FALSE)</f>
        <v>13.336206896551699</v>
      </c>
    </row>
    <row r="408" spans="11:13" x14ac:dyDescent="0.25">
      <c r="K408" s="24">
        <f t="shared" si="18"/>
        <v>299</v>
      </c>
      <c r="L408" s="46">
        <f t="shared" si="19"/>
        <v>44859</v>
      </c>
      <c r="M408">
        <f>HLOOKUP($M$1,meanT!$A$2:$D$368,K408,FALSE)</f>
        <v>13.789655172413701</v>
      </c>
    </row>
    <row r="409" spans="11:13" x14ac:dyDescent="0.25">
      <c r="K409" s="24">
        <f t="shared" si="18"/>
        <v>300</v>
      </c>
      <c r="L409" s="46">
        <f t="shared" si="19"/>
        <v>44860</v>
      </c>
      <c r="M409">
        <f>HLOOKUP($M$1,meanT!$A$2:$D$368,K409,FALSE)</f>
        <v>14.0810344827586</v>
      </c>
    </row>
    <row r="410" spans="11:13" x14ac:dyDescent="0.25">
      <c r="K410" s="24">
        <f t="shared" si="18"/>
        <v>301</v>
      </c>
      <c r="L410" s="46">
        <f t="shared" si="19"/>
        <v>44861</v>
      </c>
      <c r="M410">
        <f>HLOOKUP($M$1,meanT!$A$2:$D$368,K410,FALSE)</f>
        <v>14.8396551724137</v>
      </c>
    </row>
    <row r="411" spans="11:13" x14ac:dyDescent="0.25">
      <c r="K411" s="24">
        <f t="shared" si="18"/>
        <v>302</v>
      </c>
      <c r="L411" s="46">
        <f t="shared" si="19"/>
        <v>44862</v>
      </c>
      <c r="M411">
        <f>HLOOKUP($M$1,meanT!$A$2:$D$368,K411,FALSE)</f>
        <v>14.274137931034399</v>
      </c>
    </row>
    <row r="412" spans="11:13" x14ac:dyDescent="0.25">
      <c r="K412" s="24">
        <f t="shared" si="18"/>
        <v>303</v>
      </c>
      <c r="L412" s="46">
        <f t="shared" si="19"/>
        <v>44863</v>
      </c>
      <c r="M412">
        <f>HLOOKUP($M$1,meanT!$A$2:$D$368,K412,FALSE)</f>
        <v>14.29</v>
      </c>
    </row>
    <row r="413" spans="11:13" x14ac:dyDescent="0.25">
      <c r="K413" s="24">
        <f t="shared" si="18"/>
        <v>304</v>
      </c>
      <c r="L413" s="46">
        <f t="shared" si="19"/>
        <v>44864</v>
      </c>
      <c r="M413">
        <f>HLOOKUP($M$1,meanT!$A$2:$D$368,K413,FALSE)</f>
        <v>14.715</v>
      </c>
    </row>
    <row r="414" spans="11:13" x14ac:dyDescent="0.25">
      <c r="K414" s="24">
        <f t="shared" si="18"/>
        <v>305</v>
      </c>
      <c r="L414" s="46">
        <f t="shared" si="19"/>
        <v>44865</v>
      </c>
      <c r="M414">
        <f>HLOOKUP($M$1,meanT!$A$2:$D$368,K414,FALSE)</f>
        <v>14.5266666666666</v>
      </c>
    </row>
    <row r="415" spans="11:13" x14ac:dyDescent="0.25">
      <c r="K415" s="24">
        <f t="shared" si="18"/>
        <v>306</v>
      </c>
      <c r="L415" s="46">
        <f t="shared" si="19"/>
        <v>44866</v>
      </c>
      <c r="M415">
        <f>HLOOKUP($M$1,meanT!$A$2:$D$368,K415,FALSE)</f>
        <v>14.0416666666666</v>
      </c>
    </row>
    <row r="416" spans="11:13" x14ac:dyDescent="0.25">
      <c r="K416" s="24">
        <f t="shared" si="18"/>
        <v>307</v>
      </c>
      <c r="L416" s="46">
        <f t="shared" si="19"/>
        <v>44867</v>
      </c>
      <c r="M416">
        <f>HLOOKUP($M$1,meanT!$A$2:$D$368,K416,FALSE)</f>
        <v>14.098333333333301</v>
      </c>
    </row>
    <row r="417" spans="11:13" x14ac:dyDescent="0.25">
      <c r="K417" s="24">
        <f t="shared" si="18"/>
        <v>308</v>
      </c>
      <c r="L417" s="46">
        <f t="shared" si="19"/>
        <v>44868</v>
      </c>
      <c r="M417">
        <f>HLOOKUP($M$1,meanT!$A$2:$D$368,K417,FALSE)</f>
        <v>13.9933333333333</v>
      </c>
    </row>
    <row r="418" spans="11:13" x14ac:dyDescent="0.25">
      <c r="K418" s="24">
        <f t="shared" si="18"/>
        <v>309</v>
      </c>
      <c r="L418" s="46">
        <f t="shared" si="19"/>
        <v>44869</v>
      </c>
      <c r="M418">
        <f>HLOOKUP($M$1,meanT!$A$2:$D$368,K418,FALSE)</f>
        <v>14.2016666666666</v>
      </c>
    </row>
    <row r="419" spans="11:13" x14ac:dyDescent="0.25">
      <c r="K419" s="24">
        <f t="shared" si="18"/>
        <v>310</v>
      </c>
      <c r="L419" s="46">
        <f t="shared" si="19"/>
        <v>44870</v>
      </c>
      <c r="M419">
        <f>HLOOKUP($M$1,meanT!$A$2:$D$368,K419,FALSE)</f>
        <v>14.5483333333333</v>
      </c>
    </row>
    <row r="420" spans="11:13" x14ac:dyDescent="0.25">
      <c r="K420" s="24">
        <f t="shared" si="18"/>
        <v>311</v>
      </c>
      <c r="L420" s="46">
        <f t="shared" si="19"/>
        <v>44871</v>
      </c>
      <c r="M420">
        <f>HLOOKUP($M$1,meanT!$A$2:$D$368,K420,FALSE)</f>
        <v>14.156666666666601</v>
      </c>
    </row>
    <row r="421" spans="11:13" x14ac:dyDescent="0.25">
      <c r="K421" s="24">
        <f t="shared" si="18"/>
        <v>312</v>
      </c>
      <c r="L421" s="46">
        <f t="shared" si="19"/>
        <v>44872</v>
      </c>
      <c r="M421">
        <f>HLOOKUP($M$1,meanT!$A$2:$D$368,K421,FALSE)</f>
        <v>14.466666666666599</v>
      </c>
    </row>
    <row r="422" spans="11:13" x14ac:dyDescent="0.25">
      <c r="K422" s="24">
        <f t="shared" si="18"/>
        <v>313</v>
      </c>
      <c r="L422" s="46">
        <f t="shared" si="19"/>
        <v>44873</v>
      </c>
      <c r="M422">
        <f>HLOOKUP($M$1,meanT!$A$2:$D$368,K422,FALSE)</f>
        <v>14.7283333333333</v>
      </c>
    </row>
    <row r="423" spans="11:13" x14ac:dyDescent="0.25">
      <c r="K423" s="24">
        <f t="shared" si="18"/>
        <v>314</v>
      </c>
      <c r="L423" s="46">
        <f t="shared" si="19"/>
        <v>44874</v>
      </c>
      <c r="M423">
        <f>HLOOKUP($M$1,meanT!$A$2:$D$368,K423,FALSE)</f>
        <v>14.37</v>
      </c>
    </row>
    <row r="424" spans="11:13" x14ac:dyDescent="0.25">
      <c r="K424" s="24">
        <f t="shared" si="18"/>
        <v>315</v>
      </c>
      <c r="L424" s="46">
        <f t="shared" si="19"/>
        <v>44875</v>
      </c>
      <c r="M424">
        <f>HLOOKUP($M$1,meanT!$A$2:$D$368,K424,FALSE)</f>
        <v>14.7216666666666</v>
      </c>
    </row>
    <row r="425" spans="11:13" x14ac:dyDescent="0.25">
      <c r="K425" s="24">
        <f t="shared" si="18"/>
        <v>316</v>
      </c>
      <c r="L425" s="46">
        <f t="shared" si="19"/>
        <v>44876</v>
      </c>
      <c r="M425">
        <f>HLOOKUP($M$1,meanT!$A$2:$D$368,K425,FALSE)</f>
        <v>14.816666666666601</v>
      </c>
    </row>
    <row r="426" spans="11:13" x14ac:dyDescent="0.25">
      <c r="K426" s="24">
        <f t="shared" si="18"/>
        <v>317</v>
      </c>
      <c r="L426" s="46">
        <f t="shared" si="19"/>
        <v>44877</v>
      </c>
      <c r="M426">
        <f>HLOOKUP($M$1,meanT!$A$2:$D$368,K426,FALSE)</f>
        <v>14.7883333333333</v>
      </c>
    </row>
    <row r="427" spans="11:13" x14ac:dyDescent="0.25">
      <c r="K427" s="24">
        <f t="shared" si="18"/>
        <v>318</v>
      </c>
      <c r="L427" s="46">
        <f t="shared" si="19"/>
        <v>44878</v>
      </c>
      <c r="M427">
        <f>HLOOKUP($M$1,meanT!$A$2:$D$368,K427,FALSE)</f>
        <v>14.5583333333333</v>
      </c>
    </row>
    <row r="428" spans="11:13" x14ac:dyDescent="0.25">
      <c r="K428" s="24">
        <f t="shared" si="18"/>
        <v>319</v>
      </c>
      <c r="L428" s="46">
        <f t="shared" si="19"/>
        <v>44879</v>
      </c>
      <c r="M428">
        <f>HLOOKUP($M$1,meanT!$A$2:$D$368,K428,FALSE)</f>
        <v>14.5066666666666</v>
      </c>
    </row>
    <row r="429" spans="11:13" x14ac:dyDescent="0.25">
      <c r="K429" s="24">
        <f t="shared" si="18"/>
        <v>320</v>
      </c>
      <c r="L429" s="46">
        <f t="shared" si="19"/>
        <v>44880</v>
      </c>
      <c r="M429">
        <f>HLOOKUP($M$1,meanT!$A$2:$D$368,K429,FALSE)</f>
        <v>14.8633333333333</v>
      </c>
    </row>
    <row r="430" spans="11:13" x14ac:dyDescent="0.25">
      <c r="K430" s="24">
        <f t="shared" si="18"/>
        <v>321</v>
      </c>
      <c r="L430" s="46">
        <f t="shared" si="19"/>
        <v>44881</v>
      </c>
      <c r="M430">
        <f>HLOOKUP($M$1,meanT!$A$2:$D$368,K430,FALSE)</f>
        <v>15.191666666666601</v>
      </c>
    </row>
    <row r="431" spans="11:13" x14ac:dyDescent="0.25">
      <c r="K431" s="24">
        <f t="shared" si="18"/>
        <v>322</v>
      </c>
      <c r="L431" s="46">
        <f t="shared" si="19"/>
        <v>44882</v>
      </c>
      <c r="M431">
        <f>HLOOKUP($M$1,meanT!$A$2:$D$368,K431,FALSE)</f>
        <v>14.805</v>
      </c>
    </row>
    <row r="432" spans="11:13" x14ac:dyDescent="0.25">
      <c r="K432" s="24">
        <f t="shared" si="18"/>
        <v>323</v>
      </c>
      <c r="L432" s="46">
        <f t="shared" si="19"/>
        <v>44883</v>
      </c>
      <c r="M432">
        <f>HLOOKUP($M$1,meanT!$A$2:$D$368,K432,FALSE)</f>
        <v>14.4366666666666</v>
      </c>
    </row>
    <row r="433" spans="11:13" x14ac:dyDescent="0.25">
      <c r="K433" s="24">
        <f t="shared" si="18"/>
        <v>324</v>
      </c>
      <c r="L433" s="46">
        <f t="shared" si="19"/>
        <v>44884</v>
      </c>
      <c r="M433">
        <f>HLOOKUP($M$1,meanT!$A$2:$D$368,K433,FALSE)</f>
        <v>14.4133333333333</v>
      </c>
    </row>
    <row r="434" spans="11:13" x14ac:dyDescent="0.25">
      <c r="K434" s="24">
        <f t="shared" si="18"/>
        <v>325</v>
      </c>
      <c r="L434" s="46">
        <f t="shared" si="19"/>
        <v>44885</v>
      </c>
      <c r="M434">
        <f>HLOOKUP($M$1,meanT!$A$2:$D$368,K434,FALSE)</f>
        <v>14.8266666666666</v>
      </c>
    </row>
    <row r="435" spans="11:13" x14ac:dyDescent="0.25">
      <c r="K435" s="24">
        <f t="shared" si="18"/>
        <v>326</v>
      </c>
      <c r="L435" s="46">
        <f t="shared" si="19"/>
        <v>44886</v>
      </c>
      <c r="M435">
        <f>HLOOKUP($M$1,meanT!$A$2:$D$368,K435,FALSE)</f>
        <v>14.899999999999901</v>
      </c>
    </row>
    <row r="436" spans="11:13" x14ac:dyDescent="0.25">
      <c r="K436" s="24">
        <f t="shared" si="18"/>
        <v>327</v>
      </c>
      <c r="L436" s="46">
        <f t="shared" si="19"/>
        <v>44887</v>
      </c>
      <c r="M436">
        <f>HLOOKUP($M$1,meanT!$A$2:$D$368,K436,FALSE)</f>
        <v>15.125</v>
      </c>
    </row>
    <row r="437" spans="11:13" x14ac:dyDescent="0.25">
      <c r="K437" s="24">
        <f t="shared" si="18"/>
        <v>328</v>
      </c>
      <c r="L437" s="46">
        <f t="shared" si="19"/>
        <v>44888</v>
      </c>
      <c r="M437">
        <f>HLOOKUP($M$1,meanT!$A$2:$D$368,K437,FALSE)</f>
        <v>15.358333333333301</v>
      </c>
    </row>
    <row r="438" spans="11:13" x14ac:dyDescent="0.25">
      <c r="K438" s="24">
        <f t="shared" si="18"/>
        <v>329</v>
      </c>
      <c r="L438" s="46">
        <f t="shared" si="19"/>
        <v>44889</v>
      </c>
      <c r="M438">
        <f>HLOOKUP($M$1,meanT!$A$2:$D$368,K438,FALSE)</f>
        <v>15.2051724137931</v>
      </c>
    </row>
    <row r="439" spans="11:13" x14ac:dyDescent="0.25">
      <c r="K439" s="24">
        <f t="shared" si="18"/>
        <v>330</v>
      </c>
      <c r="L439" s="46">
        <f t="shared" si="19"/>
        <v>44890</v>
      </c>
      <c r="M439">
        <f>HLOOKUP($M$1,meanT!$A$2:$D$368,K439,FALSE)</f>
        <v>15.834482758620601</v>
      </c>
    </row>
    <row r="440" spans="11:13" x14ac:dyDescent="0.25">
      <c r="K440" s="24">
        <f t="shared" si="18"/>
        <v>331</v>
      </c>
      <c r="L440" s="46">
        <f t="shared" si="19"/>
        <v>44891</v>
      </c>
      <c r="M440">
        <f>HLOOKUP($M$1,meanT!$A$2:$D$368,K440,FALSE)</f>
        <v>15.876666666666599</v>
      </c>
    </row>
    <row r="441" spans="11:13" x14ac:dyDescent="0.25">
      <c r="K441" s="24">
        <f t="shared" si="18"/>
        <v>332</v>
      </c>
      <c r="L441" s="46">
        <f t="shared" si="19"/>
        <v>44892</v>
      </c>
      <c r="M441">
        <f>HLOOKUP($M$1,meanT!$A$2:$D$368,K441,FALSE)</f>
        <v>15.52</v>
      </c>
    </row>
    <row r="442" spans="11:13" x14ac:dyDescent="0.25">
      <c r="K442" s="24">
        <f t="shared" si="18"/>
        <v>333</v>
      </c>
      <c r="L442" s="46">
        <f t="shared" si="19"/>
        <v>44893</v>
      </c>
      <c r="M442">
        <f>HLOOKUP($M$1,meanT!$A$2:$D$368,K442,FALSE)</f>
        <v>15.438333333333301</v>
      </c>
    </row>
    <row r="443" spans="11:13" x14ac:dyDescent="0.25">
      <c r="K443" s="24">
        <f t="shared" si="18"/>
        <v>334</v>
      </c>
      <c r="L443" s="46">
        <f t="shared" si="19"/>
        <v>44894</v>
      </c>
      <c r="M443">
        <f>HLOOKUP($M$1,meanT!$A$2:$D$368,K443,FALSE)</f>
        <v>15.551724137931</v>
      </c>
    </row>
    <row r="444" spans="11:13" x14ac:dyDescent="0.25">
      <c r="K444" s="24">
        <f t="shared" si="18"/>
        <v>335</v>
      </c>
      <c r="L444" s="46">
        <f t="shared" si="19"/>
        <v>44895</v>
      </c>
      <c r="M444">
        <f>HLOOKUP($M$1,meanT!$A$2:$D$368,K444,FALSE)</f>
        <v>15.832758620689599</v>
      </c>
    </row>
    <row r="445" spans="11:13" x14ac:dyDescent="0.25">
      <c r="K445" s="24">
        <f t="shared" si="18"/>
        <v>336</v>
      </c>
      <c r="L445" s="46">
        <f t="shared" si="19"/>
        <v>44896</v>
      </c>
      <c r="M445">
        <f>HLOOKUP($M$1,meanT!$A$2:$D$368,K445,FALSE)</f>
        <v>16.082758620689599</v>
      </c>
    </row>
    <row r="446" spans="11:13" x14ac:dyDescent="0.25">
      <c r="K446" s="24">
        <f t="shared" si="18"/>
        <v>337</v>
      </c>
      <c r="L446" s="46">
        <f t="shared" si="19"/>
        <v>44897</v>
      </c>
      <c r="M446">
        <f>HLOOKUP($M$1,meanT!$A$2:$D$368,K446,FALSE)</f>
        <v>16.4931034482758</v>
      </c>
    </row>
    <row r="447" spans="11:13" x14ac:dyDescent="0.25">
      <c r="K447" s="24">
        <f t="shared" si="18"/>
        <v>338</v>
      </c>
      <c r="L447" s="46">
        <f t="shared" si="19"/>
        <v>44898</v>
      </c>
      <c r="M447">
        <f>HLOOKUP($M$1,meanT!$A$2:$D$368,K447,FALSE)</f>
        <v>16.78</v>
      </c>
    </row>
    <row r="448" spans="11:13" x14ac:dyDescent="0.25">
      <c r="K448" s="24">
        <f t="shared" si="18"/>
        <v>339</v>
      </c>
      <c r="L448" s="46">
        <f t="shared" si="19"/>
        <v>44899</v>
      </c>
      <c r="M448">
        <f>HLOOKUP($M$1,meanT!$A$2:$D$368,K448,FALSE)</f>
        <v>16.8266666666666</v>
      </c>
    </row>
    <row r="449" spans="11:13" x14ac:dyDescent="0.25">
      <c r="K449" s="24">
        <f t="shared" si="18"/>
        <v>340</v>
      </c>
      <c r="L449" s="46">
        <f t="shared" si="19"/>
        <v>44900</v>
      </c>
      <c r="M449">
        <f>HLOOKUP($M$1,meanT!$A$2:$D$368,K449,FALSE)</f>
        <v>16.6516666666666</v>
      </c>
    </row>
    <row r="450" spans="11:13" x14ac:dyDescent="0.25">
      <c r="K450" s="24">
        <f t="shared" si="18"/>
        <v>341</v>
      </c>
      <c r="L450" s="46">
        <f t="shared" si="19"/>
        <v>44901</v>
      </c>
      <c r="M450">
        <f>HLOOKUP($M$1,meanT!$A$2:$D$368,K450,FALSE)</f>
        <v>16.68</v>
      </c>
    </row>
    <row r="451" spans="11:13" x14ac:dyDescent="0.25">
      <c r="K451" s="24">
        <f t="shared" si="18"/>
        <v>342</v>
      </c>
      <c r="L451" s="46">
        <f t="shared" si="19"/>
        <v>44902</v>
      </c>
      <c r="M451">
        <f>HLOOKUP($M$1,meanT!$A$2:$D$368,K451,FALSE)</f>
        <v>16.158333333333299</v>
      </c>
    </row>
    <row r="452" spans="11:13" x14ac:dyDescent="0.25">
      <c r="K452" s="24">
        <f t="shared" ref="K452:K492" si="20">L452-DATE(YEAR(L452),1,0)+1</f>
        <v>343</v>
      </c>
      <c r="L452" s="46">
        <f t="shared" si="19"/>
        <v>44903</v>
      </c>
      <c r="M452">
        <f>HLOOKUP($M$1,meanT!$A$2:$D$368,K452,FALSE)</f>
        <v>16.105</v>
      </c>
    </row>
    <row r="453" spans="11:13" x14ac:dyDescent="0.25">
      <c r="K453" s="24">
        <f t="shared" si="20"/>
        <v>344</v>
      </c>
      <c r="L453" s="46">
        <f t="shared" ref="L453:L492" si="21">L452+1</f>
        <v>44904</v>
      </c>
      <c r="M453">
        <f>HLOOKUP($M$1,meanT!$A$2:$D$368,K453,FALSE)</f>
        <v>16.565000000000001</v>
      </c>
    </row>
    <row r="454" spans="11:13" x14ac:dyDescent="0.25">
      <c r="K454" s="24">
        <f t="shared" si="20"/>
        <v>345</v>
      </c>
      <c r="L454" s="46">
        <f t="shared" si="21"/>
        <v>44905</v>
      </c>
      <c r="M454">
        <f>HLOOKUP($M$1,meanT!$A$2:$D$368,K454,FALSE)</f>
        <v>16.483333333333299</v>
      </c>
    </row>
    <row r="455" spans="11:13" x14ac:dyDescent="0.25">
      <c r="K455" s="24">
        <f t="shared" si="20"/>
        <v>346</v>
      </c>
      <c r="L455" s="46">
        <f t="shared" si="21"/>
        <v>44906</v>
      </c>
      <c r="M455">
        <f>HLOOKUP($M$1,meanT!$A$2:$D$368,K455,FALSE)</f>
        <v>17.015000000000001</v>
      </c>
    </row>
    <row r="456" spans="11:13" x14ac:dyDescent="0.25">
      <c r="K456" s="24">
        <f t="shared" si="20"/>
        <v>347</v>
      </c>
      <c r="L456" s="46">
        <f t="shared" si="21"/>
        <v>44907</v>
      </c>
      <c r="M456">
        <f>HLOOKUP($M$1,meanT!$A$2:$D$368,K456,FALSE)</f>
        <v>17.483333333333299</v>
      </c>
    </row>
    <row r="457" spans="11:13" x14ac:dyDescent="0.25">
      <c r="K457" s="24">
        <f t="shared" si="20"/>
        <v>348</v>
      </c>
      <c r="L457" s="46">
        <f t="shared" si="21"/>
        <v>44908</v>
      </c>
      <c r="M457">
        <f>HLOOKUP($M$1,meanT!$A$2:$D$368,K457,FALSE)</f>
        <v>17.251666666666601</v>
      </c>
    </row>
    <row r="458" spans="11:13" x14ac:dyDescent="0.25">
      <c r="K458" s="24">
        <f t="shared" si="20"/>
        <v>349</v>
      </c>
      <c r="L458" s="46">
        <f t="shared" si="21"/>
        <v>44909</v>
      </c>
      <c r="M458">
        <f>HLOOKUP($M$1,meanT!$A$2:$D$368,K458,FALSE)</f>
        <v>17.1733333333333</v>
      </c>
    </row>
    <row r="459" spans="11:13" x14ac:dyDescent="0.25">
      <c r="K459" s="24">
        <f t="shared" si="20"/>
        <v>350</v>
      </c>
      <c r="L459" s="46">
        <f t="shared" si="21"/>
        <v>44910</v>
      </c>
      <c r="M459">
        <f>HLOOKUP($M$1,meanT!$A$2:$D$368,K459,FALSE)</f>
        <v>17.0068965517241</v>
      </c>
    </row>
    <row r="460" spans="11:13" x14ac:dyDescent="0.25">
      <c r="K460" s="24">
        <f t="shared" si="20"/>
        <v>351</v>
      </c>
      <c r="L460" s="46">
        <f t="shared" si="21"/>
        <v>44911</v>
      </c>
      <c r="M460">
        <f>HLOOKUP($M$1,meanT!$A$2:$D$368,K460,FALSE)</f>
        <v>17.105172413793099</v>
      </c>
    </row>
    <row r="461" spans="11:13" x14ac:dyDescent="0.25">
      <c r="K461" s="24">
        <f t="shared" si="20"/>
        <v>352</v>
      </c>
      <c r="L461" s="46">
        <f t="shared" si="21"/>
        <v>44912</v>
      </c>
      <c r="M461">
        <f>HLOOKUP($M$1,meanT!$A$2:$D$368,K461,FALSE)</f>
        <v>17.153448275862001</v>
      </c>
    </row>
    <row r="462" spans="11:13" x14ac:dyDescent="0.25">
      <c r="K462" s="24">
        <f t="shared" si="20"/>
        <v>353</v>
      </c>
      <c r="L462" s="46">
        <f t="shared" si="21"/>
        <v>44913</v>
      </c>
      <c r="M462">
        <f>HLOOKUP($M$1,meanT!$A$2:$D$368,K462,FALSE)</f>
        <v>16.853448275862</v>
      </c>
    </row>
    <row r="463" spans="11:13" x14ac:dyDescent="0.25">
      <c r="K463" s="24">
        <f t="shared" si="20"/>
        <v>354</v>
      </c>
      <c r="L463" s="46">
        <f t="shared" si="21"/>
        <v>44914</v>
      </c>
      <c r="M463">
        <f>HLOOKUP($M$1,meanT!$A$2:$D$368,K463,FALSE)</f>
        <v>17.030357142857099</v>
      </c>
    </row>
    <row r="464" spans="11:13" x14ac:dyDescent="0.25">
      <c r="K464" s="24">
        <f t="shared" si="20"/>
        <v>355</v>
      </c>
      <c r="L464" s="46">
        <f t="shared" si="21"/>
        <v>44915</v>
      </c>
      <c r="M464">
        <f>HLOOKUP($M$1,meanT!$A$2:$D$368,K464,FALSE)</f>
        <v>17.3086206896551</v>
      </c>
    </row>
    <row r="465" spans="11:13" x14ac:dyDescent="0.25">
      <c r="K465" s="24">
        <f t="shared" si="20"/>
        <v>356</v>
      </c>
      <c r="L465" s="46">
        <f t="shared" si="21"/>
        <v>44916</v>
      </c>
      <c r="M465">
        <f>HLOOKUP($M$1,meanT!$A$2:$D$368,K465,FALSE)</f>
        <v>17.3086206896551</v>
      </c>
    </row>
    <row r="466" spans="11:13" x14ac:dyDescent="0.25">
      <c r="K466" s="24">
        <f t="shared" si="20"/>
        <v>357</v>
      </c>
      <c r="L466" s="46">
        <f t="shared" si="21"/>
        <v>44917</v>
      </c>
      <c r="M466">
        <f>HLOOKUP($M$1,meanT!$A$2:$D$368,K466,FALSE)</f>
        <v>17.474137931034399</v>
      </c>
    </row>
    <row r="467" spans="11:13" x14ac:dyDescent="0.25">
      <c r="K467" s="24">
        <f t="shared" si="20"/>
        <v>358</v>
      </c>
      <c r="L467" s="46">
        <f t="shared" si="21"/>
        <v>44918</v>
      </c>
      <c r="M467">
        <f>HLOOKUP($M$1,meanT!$A$2:$D$368,K467,FALSE)</f>
        <v>17.091379310344799</v>
      </c>
    </row>
    <row r="468" spans="11:13" x14ac:dyDescent="0.25">
      <c r="K468" s="24">
        <f t="shared" si="20"/>
        <v>359</v>
      </c>
      <c r="L468" s="46">
        <f t="shared" si="21"/>
        <v>44919</v>
      </c>
      <c r="M468">
        <f>HLOOKUP($M$1,meanT!$A$2:$D$368,K468,FALSE)</f>
        <v>17.2275862068965</v>
      </c>
    </row>
    <row r="469" spans="11:13" x14ac:dyDescent="0.25">
      <c r="K469" s="24">
        <f t="shared" si="20"/>
        <v>360</v>
      </c>
      <c r="L469" s="46">
        <f t="shared" si="21"/>
        <v>44920</v>
      </c>
      <c r="M469">
        <f>HLOOKUP($M$1,meanT!$A$2:$D$368,K469,FALSE)</f>
        <v>17.475862068965501</v>
      </c>
    </row>
    <row r="470" spans="11:13" x14ac:dyDescent="0.25">
      <c r="K470" s="24">
        <f t="shared" si="20"/>
        <v>361</v>
      </c>
      <c r="L470" s="46">
        <f t="shared" si="21"/>
        <v>44921</v>
      </c>
      <c r="M470">
        <f>HLOOKUP($M$1,meanT!$A$2:$D$368,K470,FALSE)</f>
        <v>17.193103448275799</v>
      </c>
    </row>
    <row r="471" spans="11:13" x14ac:dyDescent="0.25">
      <c r="K471" s="24">
        <f t="shared" si="20"/>
        <v>362</v>
      </c>
      <c r="L471" s="46">
        <f t="shared" si="21"/>
        <v>44922</v>
      </c>
      <c r="M471">
        <f>HLOOKUP($M$1,meanT!$A$2:$D$368,K471,FALSE)</f>
        <v>17.263793103448201</v>
      </c>
    </row>
    <row r="472" spans="11:13" x14ac:dyDescent="0.25">
      <c r="K472" s="24">
        <f t="shared" si="20"/>
        <v>363</v>
      </c>
      <c r="L472" s="46">
        <f t="shared" si="21"/>
        <v>44923</v>
      </c>
      <c r="M472">
        <f>HLOOKUP($M$1,meanT!$A$2:$D$368,K472,FALSE)</f>
        <v>18.060344827586199</v>
      </c>
    </row>
    <row r="473" spans="11:13" x14ac:dyDescent="0.25">
      <c r="K473" s="24">
        <f t="shared" si="20"/>
        <v>364</v>
      </c>
      <c r="L473" s="46">
        <f t="shared" si="21"/>
        <v>44924</v>
      </c>
      <c r="M473">
        <f>HLOOKUP($M$1,meanT!$A$2:$D$368,K473,FALSE)</f>
        <v>18.386206896551698</v>
      </c>
    </row>
    <row r="474" spans="11:13" x14ac:dyDescent="0.25">
      <c r="K474" s="24">
        <f t="shared" si="20"/>
        <v>365</v>
      </c>
      <c r="L474" s="46">
        <f t="shared" si="21"/>
        <v>44925</v>
      </c>
      <c r="M474">
        <f>HLOOKUP($M$1,meanT!$A$2:$D$368,K474,FALSE)</f>
        <v>18.156896551724099</v>
      </c>
    </row>
    <row r="475" spans="11:13" x14ac:dyDescent="0.25">
      <c r="K475" s="24">
        <f t="shared" si="20"/>
        <v>366</v>
      </c>
      <c r="L475" s="46">
        <f t="shared" si="21"/>
        <v>44926</v>
      </c>
      <c r="M475">
        <f>HLOOKUP($M$1,meanT!$A$2:$D$368,K475,FALSE)</f>
        <v>17.8086206896551</v>
      </c>
    </row>
    <row r="476" spans="11:13" x14ac:dyDescent="0.25">
      <c r="K476" s="24">
        <f t="shared" si="20"/>
        <v>2</v>
      </c>
      <c r="L476" s="46">
        <f t="shared" si="21"/>
        <v>44927</v>
      </c>
      <c r="M476">
        <f>HLOOKUP($M$1,meanT!$A$2:$D$368,K476,FALSE)</f>
        <v>17.639655172413701</v>
      </c>
    </row>
    <row r="477" spans="11:13" x14ac:dyDescent="0.25">
      <c r="K477" s="24">
        <f t="shared" si="20"/>
        <v>3</v>
      </c>
      <c r="L477" s="46">
        <f t="shared" si="21"/>
        <v>44928</v>
      </c>
      <c r="M477">
        <f>HLOOKUP($M$1,meanT!$A$2:$D$368,K477,FALSE)</f>
        <v>18.013793103448201</v>
      </c>
    </row>
    <row r="478" spans="11:13" x14ac:dyDescent="0.25">
      <c r="K478" s="24">
        <f t="shared" si="20"/>
        <v>4</v>
      </c>
      <c r="L478" s="46">
        <f t="shared" si="21"/>
        <v>44929</v>
      </c>
      <c r="M478">
        <f>HLOOKUP($M$1,meanT!$A$2:$D$368,K478,FALSE)</f>
        <v>17.827586206896498</v>
      </c>
    </row>
    <row r="479" spans="11:13" x14ac:dyDescent="0.25">
      <c r="K479" s="24">
        <f t="shared" si="20"/>
        <v>5</v>
      </c>
      <c r="L479" s="46">
        <f t="shared" si="21"/>
        <v>44930</v>
      </c>
      <c r="M479">
        <f>HLOOKUP($M$1,meanT!$A$2:$D$368,K479,FALSE)</f>
        <v>18.068965517241299</v>
      </c>
    </row>
    <row r="480" spans="11:13" x14ac:dyDescent="0.25">
      <c r="K480" s="24">
        <f t="shared" si="20"/>
        <v>6</v>
      </c>
      <c r="L480" s="46">
        <f t="shared" si="21"/>
        <v>44931</v>
      </c>
      <c r="M480">
        <f>HLOOKUP($M$1,meanT!$A$2:$D$368,K480,FALSE)</f>
        <v>17.658620689655098</v>
      </c>
    </row>
    <row r="481" spans="11:13" x14ac:dyDescent="0.25">
      <c r="K481" s="24">
        <f t="shared" si="20"/>
        <v>7</v>
      </c>
      <c r="L481" s="46">
        <f t="shared" si="21"/>
        <v>44932</v>
      </c>
      <c r="M481">
        <f>HLOOKUP($M$1,meanT!$A$2:$D$368,K481,FALSE)</f>
        <v>17.7431034482758</v>
      </c>
    </row>
    <row r="482" spans="11:13" x14ac:dyDescent="0.25">
      <c r="K482" s="24">
        <f t="shared" si="20"/>
        <v>8</v>
      </c>
      <c r="L482" s="46">
        <f t="shared" si="21"/>
        <v>44933</v>
      </c>
      <c r="M482">
        <f>HLOOKUP($M$1,meanT!$A$2:$D$368,K482,FALSE)</f>
        <v>18.181034482758601</v>
      </c>
    </row>
    <row r="483" spans="11:13" x14ac:dyDescent="0.25">
      <c r="K483" s="24">
        <f t="shared" si="20"/>
        <v>9</v>
      </c>
      <c r="L483" s="46">
        <f t="shared" si="21"/>
        <v>44934</v>
      </c>
      <c r="M483">
        <f>HLOOKUP($M$1,meanT!$A$2:$D$368,K483,FALSE)</f>
        <v>18.393103448275799</v>
      </c>
    </row>
    <row r="484" spans="11:13" x14ac:dyDescent="0.25">
      <c r="K484" s="24">
        <f t="shared" si="20"/>
        <v>10</v>
      </c>
      <c r="L484" s="46">
        <f t="shared" si="21"/>
        <v>44935</v>
      </c>
      <c r="M484">
        <f>HLOOKUP($M$1,meanT!$A$2:$D$368,K484,FALSE)</f>
        <v>18.6103448275862</v>
      </c>
    </row>
    <row r="485" spans="11:13" x14ac:dyDescent="0.25">
      <c r="K485" s="24">
        <f t="shared" si="20"/>
        <v>11</v>
      </c>
      <c r="L485" s="46">
        <f t="shared" si="21"/>
        <v>44936</v>
      </c>
      <c r="M485">
        <f>HLOOKUP($M$1,meanT!$A$2:$D$368,K485,FALSE)</f>
        <v>18.453448275862002</v>
      </c>
    </row>
    <row r="486" spans="11:13" x14ac:dyDescent="0.25">
      <c r="K486" s="24">
        <f t="shared" si="20"/>
        <v>12</v>
      </c>
      <c r="L486" s="46">
        <f t="shared" si="21"/>
        <v>44937</v>
      </c>
      <c r="M486">
        <f>HLOOKUP($M$1,meanT!$A$2:$D$368,K486,FALSE)</f>
        <v>18.186206896551699</v>
      </c>
    </row>
    <row r="487" spans="11:13" x14ac:dyDescent="0.25">
      <c r="K487" s="24">
        <f t="shared" si="20"/>
        <v>13</v>
      </c>
      <c r="L487" s="46">
        <f t="shared" si="21"/>
        <v>44938</v>
      </c>
      <c r="M487">
        <f>HLOOKUP($M$1,meanT!$A$2:$D$368,K487,FALSE)</f>
        <v>18.314999999999898</v>
      </c>
    </row>
    <row r="488" spans="11:13" x14ac:dyDescent="0.25">
      <c r="K488" s="24">
        <f t="shared" si="20"/>
        <v>14</v>
      </c>
      <c r="L488" s="46">
        <f t="shared" si="21"/>
        <v>44939</v>
      </c>
      <c r="M488">
        <f>HLOOKUP($M$1,meanT!$A$2:$D$368,K488,FALSE)</f>
        <v>18.473333333333301</v>
      </c>
    </row>
    <row r="489" spans="11:13" x14ac:dyDescent="0.25">
      <c r="K489" s="24">
        <f t="shared" si="20"/>
        <v>15</v>
      </c>
      <c r="L489" s="46">
        <f t="shared" si="21"/>
        <v>44940</v>
      </c>
      <c r="M489">
        <f>HLOOKUP($M$1,meanT!$A$2:$D$368,K489,FALSE)</f>
        <v>18.684999999999999</v>
      </c>
    </row>
    <row r="490" spans="11:13" x14ac:dyDescent="0.25">
      <c r="K490" s="24">
        <f t="shared" si="20"/>
        <v>16</v>
      </c>
      <c r="L490" s="46">
        <f t="shared" si="21"/>
        <v>44941</v>
      </c>
      <c r="M490">
        <f>HLOOKUP($M$1,meanT!$A$2:$D$368,K490,FALSE)</f>
        <v>18.661666666666601</v>
      </c>
    </row>
    <row r="491" spans="11:13" x14ac:dyDescent="0.25">
      <c r="K491" s="24">
        <f t="shared" si="20"/>
        <v>17</v>
      </c>
      <c r="L491" s="46">
        <f t="shared" si="21"/>
        <v>44942</v>
      </c>
      <c r="M491">
        <f>HLOOKUP($M$1,meanT!$A$2:$D$368,K491,FALSE)</f>
        <v>18.636666666666599</v>
      </c>
    </row>
    <row r="492" spans="11:13" x14ac:dyDescent="0.25">
      <c r="K492" s="24">
        <f t="shared" si="20"/>
        <v>18</v>
      </c>
      <c r="L492" s="46">
        <f t="shared" si="21"/>
        <v>44943</v>
      </c>
      <c r="M492">
        <f>HLOOKUP($M$1,meanT!$A$2:$D$368,K492,FALSE)</f>
        <v>18.4233333333333</v>
      </c>
    </row>
  </sheetData>
  <mergeCells count="1">
    <mergeCell ref="H3:I3"/>
  </mergeCells>
  <dataValidations count="5">
    <dataValidation type="whole" operator="lessThanOrEqual" allowBlank="1" showInputMessage="1" showErrorMessage="1" sqref="F31:F33 F7:F9 F19:F21" xr:uid="{2C336DD5-0882-4727-930E-8087D716C380}">
      <formula1>100</formula1>
    </dataValidation>
    <dataValidation type="list" allowBlank="1" showInputMessage="1" showErrorMessage="1" sqref="F6 F18 F30" xr:uid="{FD770DBD-0E38-43FA-BD8A-2DE7CFB7E68E}">
      <formula1>$E$54:$E$56</formula1>
    </dataValidation>
    <dataValidation type="list" allowBlank="1" showInputMessage="1" showErrorMessage="1" sqref="F11 F23 F35" xr:uid="{E3978647-28E8-4EB7-8589-5D9A1970A986}">
      <formula1>$B$54:$B$55</formula1>
    </dataValidation>
    <dataValidation type="list" allowBlank="1" showInputMessage="1" showErrorMessage="1" sqref="F13 F25 F37" xr:uid="{39C48E9C-EA87-4AE4-99C2-887F20C12DFC}">
      <formula1>$C$54:$C$59</formula1>
    </dataValidation>
    <dataValidation type="list" allowBlank="1" showInputMessage="1" showErrorMessage="1" sqref="E14:F14 E26:F26 E38:F38" xr:uid="{E4BF8169-58B9-40F0-90DE-1E782804F4E0}">
      <formula1>$D$54:$D$58</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1431F-E1EC-4DD2-8B94-BF609778D009}">
  <dimension ref="A1:BA38"/>
  <sheetViews>
    <sheetView workbookViewId="0">
      <selection activeCell="A7" sqref="A7:G38"/>
    </sheetView>
  </sheetViews>
  <sheetFormatPr defaultRowHeight="15" x14ac:dyDescent="0.25"/>
  <cols>
    <col min="1" max="1" width="15.140625" bestFit="1" customWidth="1"/>
    <col min="2" max="2" width="18.85546875" bestFit="1" customWidth="1"/>
    <col min="3" max="3" width="16.28515625" bestFit="1" customWidth="1"/>
    <col min="4" max="4" width="5.5703125" bestFit="1" customWidth="1"/>
    <col min="5" max="5" width="7.28515625" bestFit="1" customWidth="1"/>
    <col min="6" max="6" width="5.85546875" bestFit="1" customWidth="1"/>
    <col min="7" max="7" width="14" bestFit="1" customWidth="1"/>
    <col min="8" max="8" width="5.42578125" bestFit="1" customWidth="1"/>
    <col min="9" max="9" width="10.140625" bestFit="1" customWidth="1"/>
    <col min="10" max="10" width="7.28515625" bestFit="1" customWidth="1"/>
    <col min="11" max="11" width="11.28515625" bestFit="1" customWidth="1"/>
    <col min="12" max="12" width="15.5703125" bestFit="1" customWidth="1"/>
    <col min="20" max="20" width="13.85546875" bestFit="1" customWidth="1"/>
  </cols>
  <sheetData>
    <row r="1" spans="1:53" x14ac:dyDescent="0.25">
      <c r="A1" s="6" t="s">
        <v>282</v>
      </c>
      <c r="B1" s="6" t="s">
        <v>278</v>
      </c>
      <c r="C1" s="6" t="s">
        <v>317</v>
      </c>
      <c r="D1" s="6" t="s">
        <v>426</v>
      </c>
      <c r="E1" s="6" t="s">
        <v>384</v>
      </c>
      <c r="F1" s="6" t="s">
        <v>382</v>
      </c>
      <c r="G1" s="6" t="s">
        <v>380</v>
      </c>
      <c r="H1" s="6" t="s">
        <v>299</v>
      </c>
      <c r="I1" s="6" t="s">
        <v>347</v>
      </c>
      <c r="J1" s="6" t="s">
        <v>58</v>
      </c>
      <c r="K1" s="6" t="s">
        <v>375</v>
      </c>
      <c r="L1" s="6" t="s">
        <v>304</v>
      </c>
      <c r="M1" s="6" t="s">
        <v>389</v>
      </c>
      <c r="N1" s="6" t="s">
        <v>343</v>
      </c>
      <c r="O1" s="6" t="s">
        <v>393</v>
      </c>
      <c r="P1" s="6" t="s">
        <v>258</v>
      </c>
      <c r="Q1" s="6" t="s">
        <v>371</v>
      </c>
      <c r="R1" s="6" t="s">
        <v>241</v>
      </c>
      <c r="S1" s="6" t="s">
        <v>269</v>
      </c>
      <c r="T1" s="6" t="s">
        <v>410</v>
      </c>
      <c r="U1" s="6" t="s">
        <v>362</v>
      </c>
      <c r="V1" s="6" t="s">
        <v>311</v>
      </c>
      <c r="W1" s="6" t="s">
        <v>28</v>
      </c>
      <c r="X1" s="6" t="s">
        <v>315</v>
      </c>
      <c r="Y1" s="6" t="s">
        <v>326</v>
      </c>
      <c r="Z1" s="6" t="s">
        <v>295</v>
      </c>
      <c r="AA1" s="6" t="s">
        <v>332</v>
      </c>
      <c r="AB1" s="6" t="s">
        <v>249</v>
      </c>
      <c r="AC1" s="6" t="s">
        <v>29</v>
      </c>
      <c r="AD1" s="6" t="s">
        <v>339</v>
      </c>
      <c r="AE1" s="6" t="s">
        <v>415</v>
      </c>
      <c r="AF1" s="6" t="s">
        <v>320</v>
      </c>
      <c r="AG1" s="6" t="s">
        <v>328</v>
      </c>
      <c r="AH1" s="6" t="s">
        <v>30</v>
      </c>
      <c r="AI1" s="6" t="s">
        <v>405</v>
      </c>
      <c r="AJ1" s="6" t="s">
        <v>352</v>
      </c>
      <c r="AK1" s="6" t="s">
        <v>265</v>
      </c>
      <c r="AL1" s="6" t="s">
        <v>335</v>
      </c>
      <c r="AM1" s="6" t="s">
        <v>400</v>
      </c>
      <c r="AN1" s="6" t="s">
        <v>286</v>
      </c>
      <c r="AO1" s="6" t="s">
        <v>349</v>
      </c>
      <c r="AP1" s="6" t="s">
        <v>377</v>
      </c>
      <c r="AQ1" s="6" t="s">
        <v>423</v>
      </c>
      <c r="AR1" s="6" t="s">
        <v>370</v>
      </c>
      <c r="AS1" s="6" t="s">
        <v>403</v>
      </c>
      <c r="AT1" s="6" t="s">
        <v>308</v>
      </c>
      <c r="AU1" s="6" t="s">
        <v>263</v>
      </c>
      <c r="AV1" s="6" t="s">
        <v>427</v>
      </c>
      <c r="AW1" s="6" t="s">
        <v>419</v>
      </c>
      <c r="AX1" s="6" t="s">
        <v>292</v>
      </c>
      <c r="AY1" s="6" t="s">
        <v>232</v>
      </c>
      <c r="AZ1" s="6" t="s">
        <v>271</v>
      </c>
      <c r="BA1" s="6"/>
    </row>
    <row r="2" spans="1:53" x14ac:dyDescent="0.25">
      <c r="A2" t="s">
        <v>233</v>
      </c>
      <c r="B2" t="s">
        <v>233</v>
      </c>
      <c r="C2" t="s">
        <v>233</v>
      </c>
      <c r="D2" t="s">
        <v>233</v>
      </c>
      <c r="E2" t="s">
        <v>385</v>
      </c>
      <c r="F2" t="s">
        <v>233</v>
      </c>
      <c r="G2" t="s">
        <v>233</v>
      </c>
      <c r="H2" t="s">
        <v>233</v>
      </c>
      <c r="I2" t="s">
        <v>233</v>
      </c>
      <c r="J2" t="s">
        <v>233</v>
      </c>
      <c r="K2" t="s">
        <v>233</v>
      </c>
      <c r="L2" t="s">
        <v>233</v>
      </c>
      <c r="M2" t="s">
        <v>233</v>
      </c>
      <c r="N2" t="s">
        <v>233</v>
      </c>
      <c r="O2" t="s">
        <v>233</v>
      </c>
      <c r="P2" t="s">
        <v>233</v>
      </c>
      <c r="Q2" t="s">
        <v>233</v>
      </c>
      <c r="R2" t="s">
        <v>233</v>
      </c>
      <c r="S2" t="s">
        <v>233</v>
      </c>
      <c r="T2" t="s">
        <v>233</v>
      </c>
      <c r="U2" t="s">
        <v>233</v>
      </c>
      <c r="V2" t="s">
        <v>233</v>
      </c>
      <c r="W2" t="s">
        <v>412</v>
      </c>
      <c r="X2" t="s">
        <v>233</v>
      </c>
      <c r="Y2" t="s">
        <v>233</v>
      </c>
      <c r="Z2" t="s">
        <v>233</v>
      </c>
      <c r="AA2" t="s">
        <v>233</v>
      </c>
      <c r="AB2" t="s">
        <v>233</v>
      </c>
      <c r="AC2" t="s">
        <v>366</v>
      </c>
      <c r="AD2" t="s">
        <v>233</v>
      </c>
      <c r="AE2" t="s">
        <v>233</v>
      </c>
      <c r="AF2" t="s">
        <v>233</v>
      </c>
      <c r="AG2" t="s">
        <v>233</v>
      </c>
      <c r="AH2" t="s">
        <v>233</v>
      </c>
      <c r="AI2" t="s">
        <v>233</v>
      </c>
      <c r="AJ2" t="s">
        <v>353</v>
      </c>
      <c r="AK2" t="s">
        <v>233</v>
      </c>
      <c r="AL2" t="s">
        <v>233</v>
      </c>
      <c r="AM2" t="s">
        <v>233</v>
      </c>
      <c r="AN2" t="s">
        <v>233</v>
      </c>
      <c r="AO2" t="s">
        <v>233</v>
      </c>
      <c r="AP2" t="s">
        <v>233</v>
      </c>
      <c r="AQ2" t="s">
        <v>233</v>
      </c>
      <c r="AR2" t="s">
        <v>233</v>
      </c>
      <c r="AS2" t="s">
        <v>233</v>
      </c>
      <c r="AT2" t="s">
        <v>233</v>
      </c>
      <c r="AU2" t="s">
        <v>233</v>
      </c>
      <c r="AV2" t="s">
        <v>233</v>
      </c>
      <c r="AW2" t="s">
        <v>233</v>
      </c>
      <c r="AX2" t="s">
        <v>233</v>
      </c>
      <c r="AY2" t="s">
        <v>233</v>
      </c>
      <c r="AZ2" t="s">
        <v>230</v>
      </c>
    </row>
    <row r="3" spans="1:53" x14ac:dyDescent="0.25">
      <c r="E3" t="s">
        <v>386</v>
      </c>
      <c r="W3" t="s">
        <v>413</v>
      </c>
      <c r="AC3" t="s">
        <v>367</v>
      </c>
      <c r="AZ3" t="s">
        <v>274</v>
      </c>
    </row>
    <row r="4" spans="1:53" x14ac:dyDescent="0.25">
      <c r="AC4" t="s">
        <v>368</v>
      </c>
    </row>
    <row r="7" spans="1:53" x14ac:dyDescent="0.25">
      <c r="A7" s="125" t="s">
        <v>230</v>
      </c>
      <c r="B7" s="125" t="s">
        <v>240</v>
      </c>
      <c r="C7" s="125" t="s">
        <v>247</v>
      </c>
      <c r="D7" s="125" t="s">
        <v>296</v>
      </c>
      <c r="E7" s="125" t="s">
        <v>323</v>
      </c>
      <c r="F7" s="125" t="s">
        <v>167</v>
      </c>
      <c r="G7" s="125" t="s">
        <v>360</v>
      </c>
    </row>
    <row r="8" spans="1:53" x14ac:dyDescent="0.25">
      <c r="A8" s="85" t="s">
        <v>232</v>
      </c>
      <c r="B8" s="85" t="s">
        <v>241</v>
      </c>
      <c r="C8" s="85" t="s">
        <v>282</v>
      </c>
      <c r="D8" s="85" t="s">
        <v>278</v>
      </c>
      <c r="E8" s="85" t="s">
        <v>326</v>
      </c>
      <c r="F8" s="85" t="s">
        <v>347</v>
      </c>
      <c r="G8" s="85" t="s">
        <v>317</v>
      </c>
    </row>
    <row r="9" spans="1:53" x14ac:dyDescent="0.25">
      <c r="C9" s="85" t="s">
        <v>278</v>
      </c>
      <c r="D9" s="85" t="s">
        <v>317</v>
      </c>
      <c r="E9" s="85" t="s">
        <v>332</v>
      </c>
      <c r="F9" s="85" t="s">
        <v>343</v>
      </c>
      <c r="G9" s="85" t="s">
        <v>426</v>
      </c>
    </row>
    <row r="10" spans="1:53" x14ac:dyDescent="0.25">
      <c r="C10" s="85" t="s">
        <v>258</v>
      </c>
      <c r="D10" s="85" t="s">
        <v>299</v>
      </c>
      <c r="E10" s="85" t="s">
        <v>328</v>
      </c>
      <c r="F10" s="85" t="s">
        <v>339</v>
      </c>
      <c r="G10" s="85" t="s">
        <v>384</v>
      </c>
    </row>
    <row r="11" spans="1:53" x14ac:dyDescent="0.25">
      <c r="C11" s="85" t="s">
        <v>269</v>
      </c>
      <c r="D11" s="85" t="s">
        <v>304</v>
      </c>
      <c r="E11" s="85" t="s">
        <v>265</v>
      </c>
      <c r="F11" s="85" t="s">
        <v>352</v>
      </c>
      <c r="G11" s="85" t="s">
        <v>382</v>
      </c>
    </row>
    <row r="12" spans="1:53" x14ac:dyDescent="0.25">
      <c r="C12" s="85" t="s">
        <v>295</v>
      </c>
      <c r="D12" s="85" t="s">
        <v>241</v>
      </c>
      <c r="E12" s="85" t="s">
        <v>271</v>
      </c>
      <c r="F12" s="85" t="s">
        <v>265</v>
      </c>
      <c r="G12" s="85" t="s">
        <v>380</v>
      </c>
    </row>
    <row r="13" spans="1:53" x14ac:dyDescent="0.25">
      <c r="C13" s="85" t="s">
        <v>249</v>
      </c>
      <c r="D13" s="85" t="s">
        <v>311</v>
      </c>
      <c r="F13" s="85" t="s">
        <v>335</v>
      </c>
      <c r="G13" s="85" t="s">
        <v>347</v>
      </c>
    </row>
    <row r="14" spans="1:53" x14ac:dyDescent="0.25">
      <c r="C14" s="85" t="s">
        <v>265</v>
      </c>
      <c r="D14" s="85" t="s">
        <v>315</v>
      </c>
      <c r="F14" s="85" t="s">
        <v>349</v>
      </c>
      <c r="G14" s="85" t="s">
        <v>58</v>
      </c>
    </row>
    <row r="15" spans="1:53" x14ac:dyDescent="0.25">
      <c r="C15" s="85" t="s">
        <v>286</v>
      </c>
      <c r="D15" s="85" t="s">
        <v>295</v>
      </c>
      <c r="F15" s="85" t="s">
        <v>356</v>
      </c>
      <c r="G15" s="85" t="s">
        <v>375</v>
      </c>
    </row>
    <row r="16" spans="1:53" x14ac:dyDescent="0.25">
      <c r="C16" s="85" t="s">
        <v>263</v>
      </c>
      <c r="D16" s="85" t="s">
        <v>249</v>
      </c>
      <c r="G16" s="85" t="s">
        <v>389</v>
      </c>
    </row>
    <row r="17" spans="3:7" x14ac:dyDescent="0.25">
      <c r="C17" s="85" t="s">
        <v>292</v>
      </c>
      <c r="D17" s="85" t="s">
        <v>320</v>
      </c>
      <c r="G17" s="85" t="s">
        <v>393</v>
      </c>
    </row>
    <row r="18" spans="3:7" x14ac:dyDescent="0.25">
      <c r="C18" s="85" t="s">
        <v>271</v>
      </c>
      <c r="D18" s="85" t="s">
        <v>308</v>
      </c>
      <c r="G18" s="85" t="s">
        <v>371</v>
      </c>
    </row>
    <row r="19" spans="3:7" x14ac:dyDescent="0.25">
      <c r="C19" s="85" t="s">
        <v>290</v>
      </c>
      <c r="D19" s="85" t="s">
        <v>290</v>
      </c>
      <c r="G19" s="85" t="s">
        <v>410</v>
      </c>
    </row>
    <row r="20" spans="3:7" x14ac:dyDescent="0.25">
      <c r="G20" s="85" t="s">
        <v>362</v>
      </c>
    </row>
    <row r="21" spans="3:7" x14ac:dyDescent="0.25">
      <c r="G21" s="85" t="s">
        <v>28</v>
      </c>
    </row>
    <row r="22" spans="3:7" x14ac:dyDescent="0.25">
      <c r="G22" s="85" t="s">
        <v>29</v>
      </c>
    </row>
    <row r="23" spans="3:7" x14ac:dyDescent="0.25">
      <c r="G23" s="85" t="s">
        <v>339</v>
      </c>
    </row>
    <row r="24" spans="3:7" x14ac:dyDescent="0.25">
      <c r="G24" s="85" t="s">
        <v>415</v>
      </c>
    </row>
    <row r="25" spans="3:7" x14ac:dyDescent="0.25">
      <c r="G25" s="85" t="s">
        <v>320</v>
      </c>
    </row>
    <row r="26" spans="3:7" x14ac:dyDescent="0.25">
      <c r="G26" s="85" t="s">
        <v>30</v>
      </c>
    </row>
    <row r="27" spans="3:7" x14ac:dyDescent="0.25">
      <c r="G27" s="85" t="s">
        <v>405</v>
      </c>
    </row>
    <row r="28" spans="3:7" x14ac:dyDescent="0.25">
      <c r="G28" s="85" t="s">
        <v>335</v>
      </c>
    </row>
    <row r="29" spans="3:7" x14ac:dyDescent="0.25">
      <c r="G29" s="85" t="s">
        <v>400</v>
      </c>
    </row>
    <row r="30" spans="3:7" x14ac:dyDescent="0.25">
      <c r="G30" s="85" t="s">
        <v>377</v>
      </c>
    </row>
    <row r="31" spans="3:7" x14ac:dyDescent="0.25">
      <c r="G31" s="85" t="s">
        <v>423</v>
      </c>
    </row>
    <row r="32" spans="3:7" x14ac:dyDescent="0.25">
      <c r="G32" s="85" t="s">
        <v>370</v>
      </c>
    </row>
    <row r="33" spans="7:7" x14ac:dyDescent="0.25">
      <c r="G33" s="85" t="s">
        <v>403</v>
      </c>
    </row>
    <row r="34" spans="7:7" x14ac:dyDescent="0.25">
      <c r="G34" s="85" t="s">
        <v>427</v>
      </c>
    </row>
    <row r="35" spans="7:7" x14ac:dyDescent="0.25">
      <c r="G35" s="85" t="s">
        <v>419</v>
      </c>
    </row>
    <row r="36" spans="7:7" x14ac:dyDescent="0.25">
      <c r="G36" s="85" t="s">
        <v>398</v>
      </c>
    </row>
    <row r="37" spans="7:7" x14ac:dyDescent="0.25">
      <c r="G37" s="85" t="s">
        <v>391</v>
      </c>
    </row>
    <row r="38" spans="7:7" x14ac:dyDescent="0.25">
      <c r="G38" s="85" t="s">
        <v>406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97D6-ED1D-48D1-831B-D2769340664D}">
  <dimension ref="A1:AF78"/>
  <sheetViews>
    <sheetView workbookViewId="0">
      <selection activeCell="G1" sqref="G1:I1048576"/>
    </sheetView>
  </sheetViews>
  <sheetFormatPr defaultRowHeight="15" x14ac:dyDescent="0.25"/>
  <sheetData>
    <row r="1" spans="1:32" x14ac:dyDescent="0.25">
      <c r="A1" s="75" t="s">
        <v>194</v>
      </c>
      <c r="B1" s="75" t="s">
        <v>195</v>
      </c>
      <c r="C1" s="75" t="s">
        <v>196</v>
      </c>
      <c r="D1" s="75" t="s">
        <v>197</v>
      </c>
      <c r="E1" s="76" t="s">
        <v>198</v>
      </c>
      <c r="F1" s="76" t="s">
        <v>199</v>
      </c>
      <c r="G1" s="75" t="s">
        <v>200</v>
      </c>
      <c r="H1" s="75" t="s">
        <v>201</v>
      </c>
      <c r="I1" s="75" t="s">
        <v>202</v>
      </c>
      <c r="J1" s="77" t="s">
        <v>203</v>
      </c>
      <c r="K1" s="76" t="s">
        <v>204</v>
      </c>
      <c r="L1" s="76" t="s">
        <v>205</v>
      </c>
      <c r="M1" s="75" t="s">
        <v>206</v>
      </c>
      <c r="N1" s="75" t="s">
        <v>207</v>
      </c>
      <c r="O1" s="75" t="s">
        <v>208</v>
      </c>
      <c r="P1" s="77" t="s">
        <v>209</v>
      </c>
      <c r="Q1" s="78" t="s">
        <v>210</v>
      </c>
      <c r="R1" s="75" t="s">
        <v>211</v>
      </c>
      <c r="S1" s="75" t="s">
        <v>212</v>
      </c>
      <c r="T1" s="75" t="s">
        <v>213</v>
      </c>
      <c r="U1" s="75" t="s">
        <v>214</v>
      </c>
      <c r="V1" s="77" t="s">
        <v>215</v>
      </c>
      <c r="W1" s="75" t="s">
        <v>216</v>
      </c>
      <c r="X1" s="75" t="s">
        <v>217</v>
      </c>
      <c r="Y1" s="75" t="s">
        <v>218</v>
      </c>
      <c r="Z1" s="78" t="s">
        <v>219</v>
      </c>
      <c r="AA1" s="77" t="s">
        <v>220</v>
      </c>
      <c r="AB1" s="78" t="s">
        <v>221</v>
      </c>
      <c r="AC1" s="77" t="s">
        <v>222</v>
      </c>
      <c r="AD1" s="75" t="s">
        <v>223</v>
      </c>
      <c r="AE1" s="75" t="s">
        <v>224</v>
      </c>
      <c r="AF1" s="77" t="s">
        <v>225</v>
      </c>
    </row>
    <row r="2" spans="1:32" ht="15.75" thickBot="1" x14ac:dyDescent="0.3">
      <c r="A2" s="75"/>
      <c r="B2" s="75"/>
      <c r="C2" s="75"/>
      <c r="D2" s="75"/>
      <c r="E2" s="76"/>
      <c r="F2" s="76"/>
      <c r="G2" s="75"/>
      <c r="H2" s="75"/>
      <c r="I2" s="75"/>
      <c r="J2" s="77"/>
      <c r="K2" s="76">
        <v>1</v>
      </c>
      <c r="L2" s="76">
        <v>2</v>
      </c>
      <c r="M2" s="76">
        <v>3</v>
      </c>
      <c r="N2" s="76">
        <v>4</v>
      </c>
      <c r="O2" s="76">
        <v>5</v>
      </c>
      <c r="P2" s="76">
        <v>6</v>
      </c>
      <c r="Q2" s="76">
        <v>7</v>
      </c>
      <c r="R2" s="76">
        <v>8</v>
      </c>
      <c r="S2" s="76">
        <v>9</v>
      </c>
      <c r="T2" s="76">
        <v>10</v>
      </c>
      <c r="U2" s="76">
        <v>11</v>
      </c>
      <c r="V2" s="76">
        <v>12</v>
      </c>
      <c r="W2" s="76">
        <v>13</v>
      </c>
      <c r="X2" s="76">
        <v>14</v>
      </c>
      <c r="Y2" s="76">
        <v>15</v>
      </c>
      <c r="Z2" s="76">
        <v>16</v>
      </c>
      <c r="AA2" s="76">
        <v>17</v>
      </c>
      <c r="AB2" s="76">
        <v>18</v>
      </c>
      <c r="AC2" s="76">
        <v>19</v>
      </c>
      <c r="AD2" s="76">
        <v>20</v>
      </c>
      <c r="AE2" s="76">
        <v>21</v>
      </c>
      <c r="AF2" s="76">
        <v>22</v>
      </c>
    </row>
    <row r="3" spans="1:32" ht="15.75" thickBot="1" x14ac:dyDescent="0.3">
      <c r="A3" s="75" t="s">
        <v>226</v>
      </c>
      <c r="B3" s="75" t="s">
        <v>227</v>
      </c>
      <c r="C3" s="75" t="s">
        <v>228</v>
      </c>
      <c r="D3" s="79" t="s">
        <v>229</v>
      </c>
      <c r="E3" s="80" t="str">
        <f t="shared" ref="E3:E66" si="0">B3&amp;" "&amp;C3&amp;" "&amp;D3</f>
        <v xml:space="preserve">Tulipa x </v>
      </c>
      <c r="F3" s="80" t="str">
        <f t="shared" ref="F3:F66" si="1">C3&amp;" "&amp;D3</f>
        <v xml:space="preserve">x </v>
      </c>
      <c r="G3" s="75" t="s">
        <v>230</v>
      </c>
      <c r="H3" s="81" t="s">
        <v>231</v>
      </c>
      <c r="I3" s="75" t="s">
        <v>232</v>
      </c>
      <c r="J3" s="82" t="s">
        <v>233</v>
      </c>
      <c r="K3" s="80" t="str">
        <f t="shared" ref="K3:K66" si="2">I3&amp;" "&amp;G3&amp;" "&amp;J3</f>
        <v>Tulip Bulb General</v>
      </c>
      <c r="L3" s="75">
        <v>2</v>
      </c>
      <c r="M3" s="75" t="s">
        <v>167</v>
      </c>
      <c r="N3" s="75" t="s">
        <v>234</v>
      </c>
      <c r="O3" s="75" t="s">
        <v>178</v>
      </c>
      <c r="P3" s="77" t="s">
        <v>235</v>
      </c>
      <c r="Q3" s="78">
        <v>30</v>
      </c>
      <c r="R3" s="75" t="s">
        <v>5</v>
      </c>
      <c r="S3" s="79" t="s">
        <v>236</v>
      </c>
      <c r="T3" s="79" t="s">
        <v>237</v>
      </c>
      <c r="U3" s="75">
        <v>0</v>
      </c>
      <c r="V3" s="77">
        <v>0</v>
      </c>
      <c r="W3" s="75">
        <v>0.9</v>
      </c>
      <c r="X3" s="79">
        <v>0.04</v>
      </c>
      <c r="Y3" s="75">
        <v>55</v>
      </c>
      <c r="Z3" s="60">
        <v>0.1</v>
      </c>
      <c r="AA3" s="61">
        <v>0.6</v>
      </c>
      <c r="AB3" s="60">
        <v>0.9</v>
      </c>
      <c r="AC3" s="61">
        <v>1</v>
      </c>
      <c r="AD3" s="75">
        <v>1</v>
      </c>
      <c r="AE3" s="75">
        <v>0.5</v>
      </c>
      <c r="AF3" s="77">
        <v>1.2</v>
      </c>
    </row>
    <row r="4" spans="1:32" ht="15.75" thickBot="1" x14ac:dyDescent="0.3">
      <c r="A4" s="75" t="s">
        <v>238</v>
      </c>
      <c r="B4" s="75" t="s">
        <v>239</v>
      </c>
      <c r="C4" s="75" t="s">
        <v>228</v>
      </c>
      <c r="D4" s="75" t="s">
        <v>229</v>
      </c>
      <c r="E4" s="80" t="str">
        <f t="shared" si="0"/>
        <v xml:space="preserve">Cannabis x </v>
      </c>
      <c r="F4" s="80" t="str">
        <f t="shared" si="1"/>
        <v xml:space="preserve">x </v>
      </c>
      <c r="G4" s="75" t="s">
        <v>240</v>
      </c>
      <c r="H4" s="80" t="s">
        <v>240</v>
      </c>
      <c r="I4" s="75" t="s">
        <v>241</v>
      </c>
      <c r="J4" s="82" t="s">
        <v>233</v>
      </c>
      <c r="K4" s="80" t="str">
        <f t="shared" si="2"/>
        <v>Hemp Fibre General</v>
      </c>
      <c r="L4" s="75">
        <v>3</v>
      </c>
      <c r="M4" s="75" t="s">
        <v>167</v>
      </c>
      <c r="N4" s="75" t="s">
        <v>242</v>
      </c>
      <c r="O4" s="75" t="s">
        <v>175</v>
      </c>
      <c r="P4" s="77" t="s">
        <v>235</v>
      </c>
      <c r="Q4" s="78">
        <v>6</v>
      </c>
      <c r="R4" s="75" t="s">
        <v>5</v>
      </c>
      <c r="S4" s="75" t="s">
        <v>243</v>
      </c>
      <c r="T4" s="79" t="s">
        <v>237</v>
      </c>
      <c r="U4" s="75">
        <v>0</v>
      </c>
      <c r="V4" s="77">
        <v>0</v>
      </c>
      <c r="W4" s="75">
        <v>0.6</v>
      </c>
      <c r="X4" s="75">
        <v>0.1</v>
      </c>
      <c r="Y4" s="75">
        <v>12</v>
      </c>
      <c r="Z4" s="60">
        <v>0.1</v>
      </c>
      <c r="AA4" s="61">
        <v>1.5</v>
      </c>
      <c r="AB4" s="60">
        <v>1</v>
      </c>
      <c r="AC4" s="61">
        <v>1</v>
      </c>
      <c r="AD4" s="75">
        <v>1</v>
      </c>
      <c r="AE4" s="75">
        <v>2.5</v>
      </c>
      <c r="AF4" s="77">
        <v>1.5</v>
      </c>
    </row>
    <row r="5" spans="1:32" ht="15.75" thickBot="1" x14ac:dyDescent="0.3">
      <c r="A5" s="75" t="s">
        <v>244</v>
      </c>
      <c r="B5" s="75" t="s">
        <v>245</v>
      </c>
      <c r="C5" s="75" t="s">
        <v>246</v>
      </c>
      <c r="D5" s="75" t="s">
        <v>229</v>
      </c>
      <c r="E5" s="80" t="str">
        <f t="shared" si="0"/>
        <v xml:space="preserve">Avena sativa </v>
      </c>
      <c r="F5" s="80" t="str">
        <f t="shared" si="1"/>
        <v xml:space="preserve">sativa </v>
      </c>
      <c r="G5" s="75" t="s">
        <v>247</v>
      </c>
      <c r="H5" s="75" t="s">
        <v>248</v>
      </c>
      <c r="I5" s="75" t="s">
        <v>249</v>
      </c>
      <c r="J5" s="82" t="s">
        <v>233</v>
      </c>
      <c r="K5" s="80" t="str">
        <f t="shared" si="2"/>
        <v>Oat Fodder General</v>
      </c>
      <c r="L5" s="75">
        <v>4</v>
      </c>
      <c r="M5" s="75" t="s">
        <v>167</v>
      </c>
      <c r="N5" s="75" t="s">
        <v>250</v>
      </c>
      <c r="O5" s="75" t="s">
        <v>173</v>
      </c>
      <c r="P5" s="77" t="s">
        <v>251</v>
      </c>
      <c r="Q5" s="78">
        <v>10</v>
      </c>
      <c r="R5" s="75" t="s">
        <v>5</v>
      </c>
      <c r="S5" s="79" t="s">
        <v>252</v>
      </c>
      <c r="T5" s="79" t="s">
        <v>253</v>
      </c>
      <c r="U5" s="75">
        <v>0</v>
      </c>
      <c r="V5" s="77">
        <v>0</v>
      </c>
      <c r="W5" s="75">
        <v>0.95</v>
      </c>
      <c r="X5" s="75">
        <v>0</v>
      </c>
      <c r="Y5" s="77">
        <v>80</v>
      </c>
      <c r="Z5" s="60">
        <v>0.1</v>
      </c>
      <c r="AA5" s="61">
        <v>1.5</v>
      </c>
      <c r="AB5" s="60">
        <v>1</v>
      </c>
      <c r="AC5" s="61">
        <v>1</v>
      </c>
      <c r="AD5" s="75">
        <v>0.9</v>
      </c>
      <c r="AE5" s="75">
        <v>0.5</v>
      </c>
      <c r="AF5" s="77">
        <v>1.3</v>
      </c>
    </row>
    <row r="6" spans="1:32" ht="15.75" thickBot="1" x14ac:dyDescent="0.3">
      <c r="A6" s="75" t="s">
        <v>254</v>
      </c>
      <c r="B6" s="75" t="s">
        <v>255</v>
      </c>
      <c r="C6" s="75" t="s">
        <v>256</v>
      </c>
      <c r="D6" s="75" t="s">
        <v>257</v>
      </c>
      <c r="E6" s="80" t="str">
        <f t="shared" si="0"/>
        <v>Beta vulgaris crassa</v>
      </c>
      <c r="F6" s="80" t="str">
        <f t="shared" si="1"/>
        <v>vulgaris crassa</v>
      </c>
      <c r="G6" s="75" t="s">
        <v>247</v>
      </c>
      <c r="H6" s="75" t="s">
        <v>230</v>
      </c>
      <c r="I6" s="75" t="s">
        <v>258</v>
      </c>
      <c r="J6" s="82" t="s">
        <v>233</v>
      </c>
      <c r="K6" s="80" t="str">
        <f t="shared" si="2"/>
        <v>Fodder beet Fodder General</v>
      </c>
      <c r="L6" s="75">
        <v>5</v>
      </c>
      <c r="M6" s="75" t="s">
        <v>167</v>
      </c>
      <c r="N6" s="75" t="s">
        <v>251</v>
      </c>
      <c r="O6" s="75" t="s">
        <v>173</v>
      </c>
      <c r="P6" s="77" t="s">
        <v>250</v>
      </c>
      <c r="Q6" s="78">
        <v>20</v>
      </c>
      <c r="R6" s="75" t="s">
        <v>5</v>
      </c>
      <c r="S6" s="79" t="s">
        <v>252</v>
      </c>
      <c r="T6" s="79" t="s">
        <v>253</v>
      </c>
      <c r="U6" s="75">
        <v>0</v>
      </c>
      <c r="V6" s="77">
        <v>0</v>
      </c>
      <c r="W6" s="75">
        <v>0.88949999999999996</v>
      </c>
      <c r="X6" s="75">
        <v>-0.11049999999999993</v>
      </c>
      <c r="Y6" s="77">
        <v>17</v>
      </c>
      <c r="Z6" s="60">
        <v>0.1</v>
      </c>
      <c r="AA6" s="61">
        <v>1.5</v>
      </c>
      <c r="AB6" s="60">
        <v>1</v>
      </c>
      <c r="AC6" s="61">
        <v>1</v>
      </c>
      <c r="AD6" s="75">
        <v>0.8</v>
      </c>
      <c r="AE6" s="75">
        <v>1.5</v>
      </c>
      <c r="AF6" s="77">
        <v>1</v>
      </c>
    </row>
    <row r="7" spans="1:32" ht="15.75" thickBot="1" x14ac:dyDescent="0.3">
      <c r="A7" s="75" t="s">
        <v>259</v>
      </c>
      <c r="B7" s="75" t="s">
        <v>260</v>
      </c>
      <c r="C7" s="75" t="s">
        <v>261</v>
      </c>
      <c r="D7" s="75" t="s">
        <v>262</v>
      </c>
      <c r="E7" s="80" t="str">
        <f t="shared" si="0"/>
        <v>Brassica napus napobrassica</v>
      </c>
      <c r="F7" s="80" t="str">
        <f t="shared" si="1"/>
        <v>napus napobrassica</v>
      </c>
      <c r="G7" s="75" t="s">
        <v>247</v>
      </c>
      <c r="H7" s="75" t="s">
        <v>230</v>
      </c>
      <c r="I7" s="75" t="s">
        <v>263</v>
      </c>
      <c r="J7" s="82" t="s">
        <v>233</v>
      </c>
      <c r="K7" s="80" t="str">
        <f t="shared" si="2"/>
        <v>Swede Fodder General</v>
      </c>
      <c r="L7" s="75">
        <v>6</v>
      </c>
      <c r="M7" s="75" t="s">
        <v>167</v>
      </c>
      <c r="N7" s="75" t="s">
        <v>251</v>
      </c>
      <c r="O7" s="75" t="s">
        <v>176</v>
      </c>
      <c r="P7" s="77" t="s">
        <v>250</v>
      </c>
      <c r="Q7" s="78">
        <v>12</v>
      </c>
      <c r="R7" s="75" t="s">
        <v>5</v>
      </c>
      <c r="S7" s="79" t="s">
        <v>252</v>
      </c>
      <c r="T7" s="79" t="s">
        <v>253</v>
      </c>
      <c r="U7" s="75">
        <v>0</v>
      </c>
      <c r="V7" s="77">
        <v>0</v>
      </c>
      <c r="W7" s="75">
        <v>0.83399999999999996</v>
      </c>
      <c r="X7" s="75">
        <v>-0.15600000000000003</v>
      </c>
      <c r="Y7" s="77">
        <v>12</v>
      </c>
      <c r="Z7" s="60">
        <v>0.1</v>
      </c>
      <c r="AA7" s="61">
        <v>1.2</v>
      </c>
      <c r="AB7" s="60">
        <v>1</v>
      </c>
      <c r="AC7" s="61">
        <v>2</v>
      </c>
      <c r="AD7" s="75">
        <v>0.8</v>
      </c>
      <c r="AE7" s="75">
        <v>0.6</v>
      </c>
      <c r="AF7" s="77">
        <v>2.5</v>
      </c>
    </row>
    <row r="8" spans="1:32" ht="15.75" thickBot="1" x14ac:dyDescent="0.3">
      <c r="A8" s="75" t="s">
        <v>259</v>
      </c>
      <c r="B8" s="75" t="s">
        <v>260</v>
      </c>
      <c r="C8" s="75" t="s">
        <v>261</v>
      </c>
      <c r="D8" s="75" t="s">
        <v>261</v>
      </c>
      <c r="E8" s="80" t="str">
        <f t="shared" si="0"/>
        <v>Brassica napus napus</v>
      </c>
      <c r="F8" s="80" t="str">
        <f t="shared" si="1"/>
        <v>napus napus</v>
      </c>
      <c r="G8" s="75" t="s">
        <v>247</v>
      </c>
      <c r="H8" s="75" t="s">
        <v>264</v>
      </c>
      <c r="I8" s="75" t="s">
        <v>265</v>
      </c>
      <c r="J8" s="82" t="s">
        <v>233</v>
      </c>
      <c r="K8" s="80" t="str">
        <f t="shared" si="2"/>
        <v>Rape Fodder General</v>
      </c>
      <c r="L8" s="75">
        <v>7</v>
      </c>
      <c r="M8" s="75" t="s">
        <v>167</v>
      </c>
      <c r="N8" s="75" t="s">
        <v>242</v>
      </c>
      <c r="O8" s="75" t="s">
        <v>173</v>
      </c>
      <c r="P8" s="77" t="s">
        <v>266</v>
      </c>
      <c r="Q8" s="78">
        <v>6</v>
      </c>
      <c r="R8" s="75" t="s">
        <v>5</v>
      </c>
      <c r="S8" s="79" t="s">
        <v>252</v>
      </c>
      <c r="T8" s="79" t="s">
        <v>253</v>
      </c>
      <c r="U8" s="75">
        <v>0</v>
      </c>
      <c r="V8" s="77">
        <v>0</v>
      </c>
      <c r="W8" s="75">
        <v>0.77800000000000002</v>
      </c>
      <c r="X8" s="75">
        <v>-0.122</v>
      </c>
      <c r="Y8" s="77">
        <v>10</v>
      </c>
      <c r="Z8" s="60">
        <v>0.1</v>
      </c>
      <c r="AA8" s="61">
        <v>1.2</v>
      </c>
      <c r="AB8" s="60">
        <v>1</v>
      </c>
      <c r="AC8" s="61">
        <v>2</v>
      </c>
      <c r="AD8" s="75">
        <v>0.8</v>
      </c>
      <c r="AE8" s="75">
        <v>1</v>
      </c>
      <c r="AF8" s="77">
        <v>3</v>
      </c>
    </row>
    <row r="9" spans="1:32" ht="15.75" thickBot="1" x14ac:dyDescent="0.3">
      <c r="A9" s="75" t="s">
        <v>259</v>
      </c>
      <c r="B9" s="75" t="s">
        <v>260</v>
      </c>
      <c r="C9" s="75" t="s">
        <v>267</v>
      </c>
      <c r="D9" s="75" t="s">
        <v>268</v>
      </c>
      <c r="E9" s="80" t="str">
        <f t="shared" si="0"/>
        <v>Brassica oleracea acephala</v>
      </c>
      <c r="F9" s="80" t="str">
        <f t="shared" si="1"/>
        <v>oleracea acephala</v>
      </c>
      <c r="G9" s="75" t="s">
        <v>247</v>
      </c>
      <c r="H9" s="75" t="s">
        <v>264</v>
      </c>
      <c r="I9" s="75" t="s">
        <v>269</v>
      </c>
      <c r="J9" s="82" t="s">
        <v>233</v>
      </c>
      <c r="K9" s="80" t="str">
        <f t="shared" si="2"/>
        <v>Kale Fodder General</v>
      </c>
      <c r="L9" s="75">
        <v>8</v>
      </c>
      <c r="M9" s="75" t="s">
        <v>167</v>
      </c>
      <c r="N9" s="75" t="s">
        <v>242</v>
      </c>
      <c r="O9" s="75" t="s">
        <v>176</v>
      </c>
      <c r="P9" s="77" t="s">
        <v>250</v>
      </c>
      <c r="Q9" s="78">
        <v>12</v>
      </c>
      <c r="R9" s="75" t="s">
        <v>5</v>
      </c>
      <c r="S9" s="79" t="s">
        <v>252</v>
      </c>
      <c r="T9" s="79" t="s">
        <v>253</v>
      </c>
      <c r="U9" s="75">
        <v>0</v>
      </c>
      <c r="V9" s="77">
        <v>0</v>
      </c>
      <c r="W9" s="75">
        <v>0.57999999999999985</v>
      </c>
      <c r="X9" s="75">
        <v>-0.32</v>
      </c>
      <c r="Y9" s="77">
        <v>13</v>
      </c>
      <c r="Z9" s="60">
        <v>0.1</v>
      </c>
      <c r="AA9" s="61">
        <v>1.2</v>
      </c>
      <c r="AB9" s="60">
        <v>1</v>
      </c>
      <c r="AC9" s="61">
        <v>2</v>
      </c>
      <c r="AD9" s="75">
        <v>0.8</v>
      </c>
      <c r="AE9" s="75">
        <v>1</v>
      </c>
      <c r="AF9" s="77">
        <v>3</v>
      </c>
    </row>
    <row r="10" spans="1:32" ht="15.75" thickBot="1" x14ac:dyDescent="0.3">
      <c r="A10" s="75" t="s">
        <v>259</v>
      </c>
      <c r="B10" s="75" t="s">
        <v>260</v>
      </c>
      <c r="C10" s="75" t="s">
        <v>270</v>
      </c>
      <c r="D10" s="75" t="s">
        <v>270</v>
      </c>
      <c r="E10" s="80" t="str">
        <f t="shared" si="0"/>
        <v>Brassica rapa rapa</v>
      </c>
      <c r="F10" s="80" t="str">
        <f t="shared" si="1"/>
        <v>rapa rapa</v>
      </c>
      <c r="G10" s="75" t="s">
        <v>247</v>
      </c>
      <c r="H10" s="75" t="s">
        <v>230</v>
      </c>
      <c r="I10" s="75" t="s">
        <v>271</v>
      </c>
      <c r="J10" s="82" t="s">
        <v>230</v>
      </c>
      <c r="K10" s="80" t="str">
        <f t="shared" si="2"/>
        <v>Turnip Fodder Bulb</v>
      </c>
      <c r="L10" s="75">
        <v>9</v>
      </c>
      <c r="M10" s="75" t="s">
        <v>167</v>
      </c>
      <c r="N10" s="75" t="s">
        <v>272</v>
      </c>
      <c r="O10" s="75" t="s">
        <v>173</v>
      </c>
      <c r="P10" s="77" t="s">
        <v>250</v>
      </c>
      <c r="Q10" s="78">
        <v>8</v>
      </c>
      <c r="R10" s="75" t="s">
        <v>5</v>
      </c>
      <c r="S10" s="79" t="s">
        <v>252</v>
      </c>
      <c r="T10" s="79" t="s">
        <v>253</v>
      </c>
      <c r="U10" s="75">
        <v>0</v>
      </c>
      <c r="V10" s="77">
        <v>0</v>
      </c>
      <c r="W10" s="75">
        <v>0.872</v>
      </c>
      <c r="X10" s="75">
        <v>-0.128</v>
      </c>
      <c r="Y10" s="77">
        <v>10</v>
      </c>
      <c r="Z10" s="60">
        <v>0.1</v>
      </c>
      <c r="AA10" s="61">
        <v>1.2</v>
      </c>
      <c r="AB10" s="60">
        <v>1</v>
      </c>
      <c r="AC10" s="61">
        <v>2</v>
      </c>
      <c r="AD10" s="75">
        <v>0.8</v>
      </c>
      <c r="AE10" s="75">
        <v>0.6</v>
      </c>
      <c r="AF10" s="77">
        <v>2.5</v>
      </c>
    </row>
    <row r="11" spans="1:32" ht="15.75" thickBot="1" x14ac:dyDescent="0.3">
      <c r="A11" s="75" t="s">
        <v>259</v>
      </c>
      <c r="B11" s="75" t="s">
        <v>260</v>
      </c>
      <c r="C11" s="75" t="s">
        <v>273</v>
      </c>
      <c r="D11" s="75" t="s">
        <v>229</v>
      </c>
      <c r="E11" s="80" t="str">
        <f t="shared" si="0"/>
        <v xml:space="preserve">Brassica rapa x napus </v>
      </c>
      <c r="F11" s="80" t="str">
        <f t="shared" si="1"/>
        <v xml:space="preserve">rapa x napus </v>
      </c>
      <c r="G11" s="75" t="s">
        <v>247</v>
      </c>
      <c r="H11" s="75" t="s">
        <v>264</v>
      </c>
      <c r="I11" s="75" t="s">
        <v>271</v>
      </c>
      <c r="J11" s="82" t="s">
        <v>274</v>
      </c>
      <c r="K11" s="80" t="str">
        <f t="shared" si="2"/>
        <v>Turnip Fodder Leafy</v>
      </c>
      <c r="L11" s="75">
        <v>10</v>
      </c>
      <c r="M11" s="75" t="s">
        <v>167</v>
      </c>
      <c r="N11" s="75" t="s">
        <v>242</v>
      </c>
      <c r="O11" s="75" t="s">
        <v>168</v>
      </c>
      <c r="P11" s="77" t="s">
        <v>275</v>
      </c>
      <c r="Q11" s="78">
        <v>6</v>
      </c>
      <c r="R11" s="75" t="s">
        <v>5</v>
      </c>
      <c r="S11" s="79" t="s">
        <v>252</v>
      </c>
      <c r="T11" s="79" t="s">
        <v>253</v>
      </c>
      <c r="U11" s="75">
        <v>0</v>
      </c>
      <c r="V11" s="77">
        <v>0</v>
      </c>
      <c r="W11" s="75">
        <v>0.49</v>
      </c>
      <c r="X11" s="75">
        <v>-0.21</v>
      </c>
      <c r="Y11" s="77">
        <v>17</v>
      </c>
      <c r="Z11" s="60">
        <v>0.1</v>
      </c>
      <c r="AA11" s="61">
        <v>1.2</v>
      </c>
      <c r="AB11" s="60">
        <v>1</v>
      </c>
      <c r="AC11" s="61">
        <v>2</v>
      </c>
      <c r="AD11" s="75">
        <v>0.8</v>
      </c>
      <c r="AE11" s="75">
        <v>1.5</v>
      </c>
      <c r="AF11" s="77">
        <v>3.5</v>
      </c>
    </row>
    <row r="12" spans="1:32" ht="15.75" thickBot="1" x14ac:dyDescent="0.3">
      <c r="A12" s="75" t="s">
        <v>244</v>
      </c>
      <c r="B12" s="75" t="s">
        <v>276</v>
      </c>
      <c r="C12" s="75" t="s">
        <v>277</v>
      </c>
      <c r="D12" s="75" t="s">
        <v>229</v>
      </c>
      <c r="E12" s="80" t="str">
        <f t="shared" si="0"/>
        <v xml:space="preserve">Hordeum vulgure </v>
      </c>
      <c r="F12" s="80" t="str">
        <f t="shared" si="1"/>
        <v xml:space="preserve">vulgure </v>
      </c>
      <c r="G12" s="75" t="s">
        <v>247</v>
      </c>
      <c r="H12" s="75" t="s">
        <v>248</v>
      </c>
      <c r="I12" s="75" t="s">
        <v>278</v>
      </c>
      <c r="J12" s="82" t="s">
        <v>233</v>
      </c>
      <c r="K12" s="80" t="str">
        <f t="shared" si="2"/>
        <v>Barley Fodder General</v>
      </c>
      <c r="L12" s="75">
        <v>11</v>
      </c>
      <c r="M12" s="75" t="s">
        <v>167</v>
      </c>
      <c r="N12" s="75" t="s">
        <v>250</v>
      </c>
      <c r="O12" s="75" t="s">
        <v>173</v>
      </c>
      <c r="P12" s="77" t="s">
        <v>251</v>
      </c>
      <c r="Q12" s="78">
        <v>8</v>
      </c>
      <c r="R12" s="75" t="s">
        <v>5</v>
      </c>
      <c r="S12" s="79" t="s">
        <v>252</v>
      </c>
      <c r="T12" s="79" t="s">
        <v>253</v>
      </c>
      <c r="U12" s="75">
        <v>0</v>
      </c>
      <c r="V12" s="77">
        <v>0</v>
      </c>
      <c r="W12" s="75">
        <v>0.95</v>
      </c>
      <c r="X12" s="75">
        <v>0</v>
      </c>
      <c r="Y12" s="75">
        <v>80</v>
      </c>
      <c r="Z12" s="60">
        <v>0.1</v>
      </c>
      <c r="AA12" s="61">
        <v>1.2</v>
      </c>
      <c r="AB12" s="60">
        <v>1</v>
      </c>
      <c r="AC12" s="61">
        <v>1</v>
      </c>
      <c r="AD12" s="75">
        <v>0.9</v>
      </c>
      <c r="AE12" s="75">
        <v>0.5</v>
      </c>
      <c r="AF12" s="77">
        <v>1.3</v>
      </c>
    </row>
    <row r="13" spans="1:32" ht="15.75" thickBot="1" x14ac:dyDescent="0.3">
      <c r="A13" s="75" t="s">
        <v>244</v>
      </c>
      <c r="B13" s="75" t="s">
        <v>279</v>
      </c>
      <c r="C13" s="75" t="s">
        <v>280</v>
      </c>
      <c r="D13" s="75" t="s">
        <v>229</v>
      </c>
      <c r="E13" s="80" t="str">
        <f t="shared" si="0"/>
        <v xml:space="preserve">Lolium multiflorum </v>
      </c>
      <c r="F13" s="80" t="str">
        <f t="shared" si="1"/>
        <v xml:space="preserve">multiflorum </v>
      </c>
      <c r="G13" s="75" t="s">
        <v>247</v>
      </c>
      <c r="H13" s="75" t="s">
        <v>281</v>
      </c>
      <c r="I13" s="75" t="s">
        <v>282</v>
      </c>
      <c r="J13" s="82" t="s">
        <v>233</v>
      </c>
      <c r="K13" s="80" t="str">
        <f t="shared" si="2"/>
        <v>Annual ryegrass Fodder General</v>
      </c>
      <c r="L13" s="75">
        <v>12</v>
      </c>
      <c r="M13" s="75" t="s">
        <v>167</v>
      </c>
      <c r="N13" s="75" t="s">
        <v>283</v>
      </c>
      <c r="O13" s="75" t="s">
        <v>173</v>
      </c>
      <c r="P13" s="77" t="s">
        <v>272</v>
      </c>
      <c r="Q13" s="78">
        <v>5</v>
      </c>
      <c r="R13" s="75" t="s">
        <v>5</v>
      </c>
      <c r="S13" s="79" t="s">
        <v>252</v>
      </c>
      <c r="T13" s="79" t="s">
        <v>253</v>
      </c>
      <c r="U13" s="75">
        <v>0</v>
      </c>
      <c r="V13" s="77">
        <v>0</v>
      </c>
      <c r="W13" s="75">
        <v>0.95</v>
      </c>
      <c r="X13" s="75">
        <v>0</v>
      </c>
      <c r="Y13" s="75">
        <v>80</v>
      </c>
      <c r="Z13" s="60">
        <v>0.1</v>
      </c>
      <c r="AA13" s="61">
        <v>0.9</v>
      </c>
      <c r="AB13" s="60">
        <v>1</v>
      </c>
      <c r="AC13" s="61">
        <v>1.5</v>
      </c>
      <c r="AD13" s="75">
        <v>0.9</v>
      </c>
      <c r="AE13" s="75">
        <v>1</v>
      </c>
      <c r="AF13" s="77">
        <v>2.5</v>
      </c>
    </row>
    <row r="14" spans="1:32" ht="15.75" thickBot="1" x14ac:dyDescent="0.3">
      <c r="A14" s="75" t="s">
        <v>244</v>
      </c>
      <c r="B14" s="75" t="s">
        <v>284</v>
      </c>
      <c r="C14" s="75" t="s">
        <v>285</v>
      </c>
      <c r="D14" s="75" t="s">
        <v>229</v>
      </c>
      <c r="E14" s="80" t="str">
        <f t="shared" si="0"/>
        <v xml:space="preserve">Secale cereale </v>
      </c>
      <c r="F14" s="80" t="str">
        <f t="shared" si="1"/>
        <v xml:space="preserve">cereale </v>
      </c>
      <c r="G14" s="75" t="s">
        <v>247</v>
      </c>
      <c r="H14" s="75" t="s">
        <v>248</v>
      </c>
      <c r="I14" s="75" t="s">
        <v>286</v>
      </c>
      <c r="J14" s="82" t="s">
        <v>233</v>
      </c>
      <c r="K14" s="80" t="str">
        <f t="shared" si="2"/>
        <v>Rye corn Fodder General</v>
      </c>
      <c r="L14" s="75">
        <v>13</v>
      </c>
      <c r="M14" s="75" t="s">
        <v>167</v>
      </c>
      <c r="N14" s="75" t="s">
        <v>235</v>
      </c>
      <c r="O14" s="75" t="s">
        <v>173</v>
      </c>
      <c r="P14" s="77" t="s">
        <v>287</v>
      </c>
      <c r="Q14" s="78">
        <v>8</v>
      </c>
      <c r="R14" s="75" t="s">
        <v>5</v>
      </c>
      <c r="S14" s="79" t="s">
        <v>252</v>
      </c>
      <c r="T14" s="79" t="s">
        <v>253</v>
      </c>
      <c r="U14" s="75">
        <v>0</v>
      </c>
      <c r="V14" s="77">
        <v>0</v>
      </c>
      <c r="W14" s="75">
        <v>0.95</v>
      </c>
      <c r="X14" s="75">
        <v>0</v>
      </c>
      <c r="Y14" s="75">
        <v>80</v>
      </c>
      <c r="Z14" s="60">
        <v>0.1</v>
      </c>
      <c r="AA14" s="61">
        <v>1.5</v>
      </c>
      <c r="AB14" s="60">
        <v>1</v>
      </c>
      <c r="AC14" s="61">
        <v>1</v>
      </c>
      <c r="AD14" s="75">
        <v>0.9</v>
      </c>
      <c r="AE14" s="75">
        <v>0.5</v>
      </c>
      <c r="AF14" s="77">
        <v>1.3</v>
      </c>
    </row>
    <row r="15" spans="1:32" ht="15.75" thickBot="1" x14ac:dyDescent="0.3">
      <c r="A15" s="75" t="s">
        <v>244</v>
      </c>
      <c r="B15" s="75" t="s">
        <v>288</v>
      </c>
      <c r="C15" s="75" t="s">
        <v>289</v>
      </c>
      <c r="D15" s="75" t="s">
        <v>229</v>
      </c>
      <c r="E15" s="80" t="str">
        <f t="shared" si="0"/>
        <v xml:space="preserve">Triticum astevium </v>
      </c>
      <c r="F15" s="80" t="str">
        <f t="shared" si="1"/>
        <v xml:space="preserve">astevium </v>
      </c>
      <c r="G15" s="75" t="s">
        <v>247</v>
      </c>
      <c r="H15" s="75" t="s">
        <v>248</v>
      </c>
      <c r="I15" s="75" t="s">
        <v>290</v>
      </c>
      <c r="J15" s="82" t="s">
        <v>233</v>
      </c>
      <c r="K15" s="80" t="str">
        <f t="shared" si="2"/>
        <v>Wheat Fodder General</v>
      </c>
      <c r="L15" s="75">
        <v>14</v>
      </c>
      <c r="M15" s="75" t="s">
        <v>167</v>
      </c>
      <c r="N15" s="75" t="s">
        <v>250</v>
      </c>
      <c r="O15" s="75" t="s">
        <v>173</v>
      </c>
      <c r="P15" s="77" t="s">
        <v>251</v>
      </c>
      <c r="Q15" s="78">
        <v>8</v>
      </c>
      <c r="R15" s="75" t="s">
        <v>5</v>
      </c>
      <c r="S15" s="79" t="s">
        <v>252</v>
      </c>
      <c r="T15" s="79" t="s">
        <v>253</v>
      </c>
      <c r="U15" s="75">
        <v>0</v>
      </c>
      <c r="V15" s="77">
        <v>0</v>
      </c>
      <c r="W15" s="75">
        <v>0.95</v>
      </c>
      <c r="X15" s="75">
        <v>0</v>
      </c>
      <c r="Y15" s="75">
        <v>80</v>
      </c>
      <c r="Z15" s="60">
        <v>0.1</v>
      </c>
      <c r="AA15" s="61">
        <v>1.5</v>
      </c>
      <c r="AB15" s="60">
        <v>1</v>
      </c>
      <c r="AC15" s="61">
        <v>1</v>
      </c>
      <c r="AD15" s="75">
        <v>0.9</v>
      </c>
      <c r="AE15" s="75">
        <v>0.5</v>
      </c>
      <c r="AF15" s="77">
        <v>1.3</v>
      </c>
    </row>
    <row r="16" spans="1:32" ht="15.75" thickBot="1" x14ac:dyDescent="0.3">
      <c r="A16" s="75" t="s">
        <v>244</v>
      </c>
      <c r="B16" s="75" t="s">
        <v>291</v>
      </c>
      <c r="C16" s="75"/>
      <c r="D16" s="75" t="s">
        <v>229</v>
      </c>
      <c r="E16" s="80" t="str">
        <f t="shared" si="0"/>
        <v xml:space="preserve">Triticum x Secale  </v>
      </c>
      <c r="F16" s="80" t="str">
        <f t="shared" si="1"/>
        <v xml:space="preserve"> </v>
      </c>
      <c r="G16" s="75" t="s">
        <v>247</v>
      </c>
      <c r="H16" s="75" t="s">
        <v>248</v>
      </c>
      <c r="I16" s="75" t="s">
        <v>292</v>
      </c>
      <c r="J16" s="82" t="s">
        <v>233</v>
      </c>
      <c r="K16" s="80" t="str">
        <f t="shared" si="2"/>
        <v>Triticale Fodder General</v>
      </c>
      <c r="L16" s="75">
        <v>15</v>
      </c>
      <c r="M16" s="75" t="s">
        <v>167</v>
      </c>
      <c r="N16" s="75" t="s">
        <v>250</v>
      </c>
      <c r="O16" s="75" t="s">
        <v>173</v>
      </c>
      <c r="P16" s="77" t="s">
        <v>251</v>
      </c>
      <c r="Q16" s="78">
        <v>12</v>
      </c>
      <c r="R16" s="75" t="s">
        <v>5</v>
      </c>
      <c r="S16" s="79" t="s">
        <v>252</v>
      </c>
      <c r="T16" s="79" t="s">
        <v>253</v>
      </c>
      <c r="U16" s="75">
        <v>0</v>
      </c>
      <c r="V16" s="77">
        <v>0</v>
      </c>
      <c r="W16" s="75">
        <v>0.95</v>
      </c>
      <c r="X16" s="75">
        <v>0</v>
      </c>
      <c r="Y16" s="75">
        <v>80</v>
      </c>
      <c r="Z16" s="60">
        <v>0.1</v>
      </c>
      <c r="AA16" s="61">
        <v>1.5</v>
      </c>
      <c r="AB16" s="60">
        <v>1</v>
      </c>
      <c r="AC16" s="61">
        <v>1</v>
      </c>
      <c r="AD16" s="75">
        <v>0.9</v>
      </c>
      <c r="AE16" s="75">
        <v>0.5</v>
      </c>
      <c r="AF16" s="77">
        <v>1.3</v>
      </c>
    </row>
    <row r="17" spans="1:32" ht="15.75" thickBot="1" x14ac:dyDescent="0.3">
      <c r="A17" s="75" t="s">
        <v>244</v>
      </c>
      <c r="B17" s="75" t="s">
        <v>293</v>
      </c>
      <c r="C17" s="75" t="s">
        <v>294</v>
      </c>
      <c r="D17" s="75" t="s">
        <v>229</v>
      </c>
      <c r="E17" s="80" t="str">
        <f t="shared" si="0"/>
        <v xml:space="preserve">Zea mays </v>
      </c>
      <c r="F17" s="80" t="str">
        <f t="shared" si="1"/>
        <v xml:space="preserve">mays </v>
      </c>
      <c r="G17" s="75" t="s">
        <v>247</v>
      </c>
      <c r="H17" s="75" t="s">
        <v>248</v>
      </c>
      <c r="I17" s="75" t="s">
        <v>295</v>
      </c>
      <c r="J17" s="82" t="s">
        <v>233</v>
      </c>
      <c r="K17" s="80" t="str">
        <f t="shared" si="2"/>
        <v>Maize Fodder General</v>
      </c>
      <c r="L17" s="75">
        <v>16</v>
      </c>
      <c r="M17" s="75" t="s">
        <v>167</v>
      </c>
      <c r="N17" s="75" t="s">
        <v>251</v>
      </c>
      <c r="O17" s="75" t="s">
        <v>173</v>
      </c>
      <c r="P17" s="77" t="s">
        <v>235</v>
      </c>
      <c r="Q17" s="78">
        <v>17.5</v>
      </c>
      <c r="R17" s="75" t="s">
        <v>5</v>
      </c>
      <c r="S17" s="79" t="s">
        <v>252</v>
      </c>
      <c r="T17" s="79" t="s">
        <v>253</v>
      </c>
      <c r="U17" s="75">
        <v>0</v>
      </c>
      <c r="V17" s="77">
        <v>0</v>
      </c>
      <c r="W17" s="75">
        <v>0.95</v>
      </c>
      <c r="X17" s="75">
        <v>0</v>
      </c>
      <c r="Y17" s="75">
        <v>33</v>
      </c>
      <c r="Z17" s="60">
        <v>0.1</v>
      </c>
      <c r="AA17" s="61">
        <v>1.5</v>
      </c>
      <c r="AB17" s="60">
        <v>0.85</v>
      </c>
      <c r="AC17" s="61">
        <v>1</v>
      </c>
      <c r="AD17" s="75">
        <v>0.9</v>
      </c>
      <c r="AE17" s="75">
        <v>0.7</v>
      </c>
      <c r="AF17" s="77">
        <v>1.4</v>
      </c>
    </row>
    <row r="18" spans="1:32" ht="15.75" thickBot="1" x14ac:dyDescent="0.3">
      <c r="A18" s="75" t="s">
        <v>244</v>
      </c>
      <c r="B18" s="75" t="s">
        <v>245</v>
      </c>
      <c r="C18" s="75" t="s">
        <v>246</v>
      </c>
      <c r="D18" s="75" t="s">
        <v>229</v>
      </c>
      <c r="E18" s="80" t="str">
        <f t="shared" si="0"/>
        <v xml:space="preserve">Avena sativa </v>
      </c>
      <c r="F18" s="80" t="str">
        <f t="shared" si="1"/>
        <v xml:space="preserve">sativa </v>
      </c>
      <c r="G18" s="75" t="s">
        <v>296</v>
      </c>
      <c r="H18" s="75" t="s">
        <v>248</v>
      </c>
      <c r="I18" s="75" t="s">
        <v>249</v>
      </c>
      <c r="J18" s="82" t="s">
        <v>233</v>
      </c>
      <c r="K18" s="80" t="str">
        <f t="shared" si="2"/>
        <v>Oat Grain General</v>
      </c>
      <c r="L18" s="75">
        <v>17</v>
      </c>
      <c r="M18" s="75" t="s">
        <v>167</v>
      </c>
      <c r="N18" s="75" t="s">
        <v>234</v>
      </c>
      <c r="O18" s="75" t="s">
        <v>178</v>
      </c>
      <c r="P18" s="77" t="s">
        <v>235</v>
      </c>
      <c r="Q18" s="78">
        <v>6</v>
      </c>
      <c r="R18" s="75" t="s">
        <v>5</v>
      </c>
      <c r="S18" s="79" t="s">
        <v>297</v>
      </c>
      <c r="T18" s="79" t="s">
        <v>237</v>
      </c>
      <c r="U18" s="75">
        <v>0</v>
      </c>
      <c r="V18" s="77">
        <v>0</v>
      </c>
      <c r="W18" s="75">
        <v>0.4</v>
      </c>
      <c r="X18" s="75">
        <v>0.1</v>
      </c>
      <c r="Y18" s="75">
        <v>13</v>
      </c>
      <c r="Z18" s="60">
        <v>0.1</v>
      </c>
      <c r="AA18" s="61">
        <v>1.5</v>
      </c>
      <c r="AB18" s="60">
        <v>1</v>
      </c>
      <c r="AC18" s="61">
        <v>1</v>
      </c>
      <c r="AD18" s="75">
        <v>0.9</v>
      </c>
      <c r="AE18" s="75">
        <v>0.5</v>
      </c>
      <c r="AF18" s="77">
        <v>1.3</v>
      </c>
    </row>
    <row r="19" spans="1:32" ht="15.75" thickBot="1" x14ac:dyDescent="0.3">
      <c r="A19" s="75" t="s">
        <v>259</v>
      </c>
      <c r="B19" s="75" t="s">
        <v>260</v>
      </c>
      <c r="C19" s="75" t="s">
        <v>261</v>
      </c>
      <c r="D19" s="75" t="s">
        <v>261</v>
      </c>
      <c r="E19" s="80" t="str">
        <f t="shared" si="0"/>
        <v>Brassica napus napus</v>
      </c>
      <c r="F19" s="80" t="str">
        <f t="shared" si="1"/>
        <v>napus napus</v>
      </c>
      <c r="G19" s="75" t="s">
        <v>296</v>
      </c>
      <c r="H19" s="75" t="s">
        <v>298</v>
      </c>
      <c r="I19" s="75" t="s">
        <v>299</v>
      </c>
      <c r="J19" s="82" t="s">
        <v>233</v>
      </c>
      <c r="K19" s="80" t="str">
        <f t="shared" si="2"/>
        <v>Canola Grain General</v>
      </c>
      <c r="L19" s="75">
        <v>18</v>
      </c>
      <c r="M19" s="75" t="s">
        <v>167</v>
      </c>
      <c r="N19" s="75" t="s">
        <v>283</v>
      </c>
      <c r="O19" s="75" t="s">
        <v>176</v>
      </c>
      <c r="P19" s="77" t="s">
        <v>266</v>
      </c>
      <c r="Q19" s="78">
        <v>4</v>
      </c>
      <c r="R19" s="75" t="s">
        <v>5</v>
      </c>
      <c r="S19" s="79" t="s">
        <v>297</v>
      </c>
      <c r="T19" s="79" t="s">
        <v>237</v>
      </c>
      <c r="U19" s="75">
        <v>0</v>
      </c>
      <c r="V19" s="77">
        <v>0</v>
      </c>
      <c r="W19" s="75">
        <v>0.27</v>
      </c>
      <c r="X19" s="75">
        <v>1.2999999999999999E-2</v>
      </c>
      <c r="Y19" s="75">
        <v>8.9999999999999964</v>
      </c>
      <c r="Z19" s="60">
        <v>0.1</v>
      </c>
      <c r="AA19" s="61">
        <v>1.2</v>
      </c>
      <c r="AB19" s="60">
        <v>1</v>
      </c>
      <c r="AC19" s="61">
        <v>2</v>
      </c>
      <c r="AD19" s="75">
        <v>0.8</v>
      </c>
      <c r="AE19" s="75">
        <v>1.1499999999999999</v>
      </c>
      <c r="AF19" s="77">
        <v>3.22</v>
      </c>
    </row>
    <row r="20" spans="1:32" ht="15.75" thickBot="1" x14ac:dyDescent="0.3">
      <c r="A20" s="75" t="s">
        <v>238</v>
      </c>
      <c r="B20" s="75" t="s">
        <v>239</v>
      </c>
      <c r="C20" s="75" t="s">
        <v>228</v>
      </c>
      <c r="D20" s="75" t="s">
        <v>229</v>
      </c>
      <c r="E20" s="80" t="str">
        <f t="shared" si="0"/>
        <v xml:space="preserve">Cannabis x </v>
      </c>
      <c r="F20" s="80" t="str">
        <f t="shared" si="1"/>
        <v xml:space="preserve">x </v>
      </c>
      <c r="G20" s="75" t="s">
        <v>296</v>
      </c>
      <c r="H20" s="75" t="s">
        <v>298</v>
      </c>
      <c r="I20" s="75" t="s">
        <v>241</v>
      </c>
      <c r="J20" s="82" t="s">
        <v>233</v>
      </c>
      <c r="K20" s="80" t="str">
        <f t="shared" si="2"/>
        <v>Hemp Grain General</v>
      </c>
      <c r="L20" s="75">
        <v>19</v>
      </c>
      <c r="M20" s="75" t="s">
        <v>167</v>
      </c>
      <c r="N20" s="75" t="s">
        <v>251</v>
      </c>
      <c r="O20" s="75" t="s">
        <v>178</v>
      </c>
      <c r="P20" s="77" t="s">
        <v>275</v>
      </c>
      <c r="Q20" s="78">
        <v>1.1499999999999999</v>
      </c>
      <c r="R20" s="75" t="s">
        <v>5</v>
      </c>
      <c r="S20" s="79" t="s">
        <v>297</v>
      </c>
      <c r="T20" s="79" t="s">
        <v>237</v>
      </c>
      <c r="U20" s="75">
        <v>0</v>
      </c>
      <c r="V20" s="77">
        <v>0</v>
      </c>
      <c r="W20" s="75">
        <v>0.1</v>
      </c>
      <c r="X20" s="75">
        <v>0.05</v>
      </c>
      <c r="Y20" s="75">
        <v>8.9999999999999964</v>
      </c>
      <c r="Z20" s="60">
        <v>0.1</v>
      </c>
      <c r="AA20" s="61">
        <v>1.5</v>
      </c>
      <c r="AB20" s="60">
        <v>1</v>
      </c>
      <c r="AC20" s="61">
        <v>1</v>
      </c>
      <c r="AD20" s="75">
        <v>1</v>
      </c>
      <c r="AE20" s="75">
        <v>1</v>
      </c>
      <c r="AF20" s="77">
        <v>4</v>
      </c>
    </row>
    <row r="21" spans="1:32" ht="15.75" thickBot="1" x14ac:dyDescent="0.3">
      <c r="A21" s="75" t="s">
        <v>300</v>
      </c>
      <c r="B21" s="75" t="s">
        <v>301</v>
      </c>
      <c r="C21" s="75" t="s">
        <v>302</v>
      </c>
      <c r="D21" s="75" t="s">
        <v>229</v>
      </c>
      <c r="E21" s="80" t="str">
        <f t="shared" si="0"/>
        <v xml:space="preserve">Cicer arietinum </v>
      </c>
      <c r="F21" s="80" t="str">
        <f t="shared" si="1"/>
        <v xml:space="preserve">arietinum </v>
      </c>
      <c r="G21" s="75" t="s">
        <v>296</v>
      </c>
      <c r="H21" s="75" t="s">
        <v>303</v>
      </c>
      <c r="I21" s="75" t="s">
        <v>304</v>
      </c>
      <c r="J21" s="82" t="s">
        <v>233</v>
      </c>
      <c r="K21" s="80" t="str">
        <f t="shared" si="2"/>
        <v>Chickpea Grain General</v>
      </c>
      <c r="L21" s="75">
        <v>21</v>
      </c>
      <c r="M21" s="75" t="s">
        <v>167</v>
      </c>
      <c r="N21" s="75" t="s">
        <v>242</v>
      </c>
      <c r="O21" s="75" t="s">
        <v>176</v>
      </c>
      <c r="P21" s="77" t="s">
        <v>275</v>
      </c>
      <c r="Q21" s="78">
        <v>4</v>
      </c>
      <c r="R21" s="75" t="s">
        <v>5</v>
      </c>
      <c r="S21" s="79" t="s">
        <v>297</v>
      </c>
      <c r="T21" s="79" t="s">
        <v>237</v>
      </c>
      <c r="U21" s="75">
        <v>0</v>
      </c>
      <c r="V21" s="77">
        <v>0</v>
      </c>
      <c r="W21" s="75">
        <v>0.3</v>
      </c>
      <c r="X21" s="75">
        <v>0</v>
      </c>
      <c r="Y21" s="75">
        <v>15</v>
      </c>
      <c r="Z21" s="60">
        <v>0.1</v>
      </c>
      <c r="AA21" s="61">
        <v>1</v>
      </c>
      <c r="AB21" s="60">
        <v>1</v>
      </c>
      <c r="AC21" s="61">
        <v>1</v>
      </c>
      <c r="AD21" s="75">
        <v>1.5</v>
      </c>
      <c r="AE21" s="75">
        <v>1.6</v>
      </c>
      <c r="AF21" s="77">
        <v>4.7</v>
      </c>
    </row>
    <row r="22" spans="1:32" ht="15.75" thickBot="1" x14ac:dyDescent="0.3">
      <c r="A22" s="75" t="s">
        <v>305</v>
      </c>
      <c r="B22" s="75" t="s">
        <v>306</v>
      </c>
      <c r="C22" s="75" t="s">
        <v>307</v>
      </c>
      <c r="D22" s="75" t="s">
        <v>229</v>
      </c>
      <c r="E22" s="80" t="str">
        <f t="shared" si="0"/>
        <v xml:space="preserve">Helianthus annus </v>
      </c>
      <c r="F22" s="80" t="str">
        <f t="shared" si="1"/>
        <v xml:space="preserve">annus </v>
      </c>
      <c r="G22" s="75" t="s">
        <v>296</v>
      </c>
      <c r="H22" s="75" t="s">
        <v>248</v>
      </c>
      <c r="I22" s="75" t="s">
        <v>308</v>
      </c>
      <c r="J22" s="82" t="s">
        <v>233</v>
      </c>
      <c r="K22" s="80" t="str">
        <f t="shared" si="2"/>
        <v>Sunflower Grain General</v>
      </c>
      <c r="L22" s="75">
        <v>22</v>
      </c>
      <c r="M22" s="75" t="s">
        <v>167</v>
      </c>
      <c r="N22" s="75" t="s">
        <v>242</v>
      </c>
      <c r="O22" s="75" t="s">
        <v>178</v>
      </c>
      <c r="P22" s="77" t="s">
        <v>275</v>
      </c>
      <c r="Q22" s="78">
        <v>3</v>
      </c>
      <c r="R22" s="75" t="s">
        <v>5</v>
      </c>
      <c r="S22" s="79" t="s">
        <v>297</v>
      </c>
      <c r="T22" s="79" t="s">
        <v>237</v>
      </c>
      <c r="U22" s="75">
        <v>0</v>
      </c>
      <c r="V22" s="77">
        <v>0</v>
      </c>
      <c r="W22" s="75">
        <v>0.3</v>
      </c>
      <c r="X22" s="75">
        <v>0.1</v>
      </c>
      <c r="Y22" s="75">
        <v>7.9999999999999964</v>
      </c>
      <c r="Z22" s="60">
        <v>0.1</v>
      </c>
      <c r="AA22" s="61">
        <v>1.5</v>
      </c>
      <c r="AB22" s="60">
        <v>1</v>
      </c>
      <c r="AC22" s="61">
        <v>1</v>
      </c>
      <c r="AD22" s="75">
        <v>0.9</v>
      </c>
      <c r="AE22" s="75">
        <v>1.3</v>
      </c>
      <c r="AF22" s="77">
        <v>2.4</v>
      </c>
    </row>
    <row r="23" spans="1:32" ht="15.75" thickBot="1" x14ac:dyDescent="0.3">
      <c r="A23" s="75" t="s">
        <v>244</v>
      </c>
      <c r="B23" s="75" t="s">
        <v>276</v>
      </c>
      <c r="C23" s="75" t="s">
        <v>277</v>
      </c>
      <c r="D23" s="75" t="s">
        <v>229</v>
      </c>
      <c r="E23" s="80" t="str">
        <f t="shared" si="0"/>
        <v xml:space="preserve">Hordeum vulgure </v>
      </c>
      <c r="F23" s="80" t="str">
        <f t="shared" si="1"/>
        <v xml:space="preserve">vulgure </v>
      </c>
      <c r="G23" s="75" t="s">
        <v>296</v>
      </c>
      <c r="H23" s="75" t="s">
        <v>248</v>
      </c>
      <c r="I23" s="75" t="s">
        <v>278</v>
      </c>
      <c r="J23" s="82" t="s">
        <v>233</v>
      </c>
      <c r="K23" s="80" t="str">
        <f t="shared" si="2"/>
        <v>Barley Grain General</v>
      </c>
      <c r="L23" s="75">
        <v>23</v>
      </c>
      <c r="M23" s="75" t="s">
        <v>167</v>
      </c>
      <c r="N23" s="75" t="s">
        <v>287</v>
      </c>
      <c r="O23" s="75" t="s">
        <v>178</v>
      </c>
      <c r="P23" s="77" t="s">
        <v>235</v>
      </c>
      <c r="Q23" s="78">
        <v>8</v>
      </c>
      <c r="R23" s="75" t="s">
        <v>5</v>
      </c>
      <c r="S23" s="79" t="s">
        <v>297</v>
      </c>
      <c r="T23" s="79" t="s">
        <v>237</v>
      </c>
      <c r="U23" s="75">
        <v>0</v>
      </c>
      <c r="V23" s="77">
        <v>0</v>
      </c>
      <c r="W23" s="75">
        <v>0.46299999999999997</v>
      </c>
      <c r="X23" s="75">
        <v>0.1</v>
      </c>
      <c r="Y23" s="75">
        <v>13</v>
      </c>
      <c r="Z23" s="60">
        <v>0.1</v>
      </c>
      <c r="AA23" s="61">
        <v>1.2</v>
      </c>
      <c r="AB23" s="60">
        <v>1</v>
      </c>
      <c r="AC23" s="61">
        <v>1</v>
      </c>
      <c r="AD23" s="75">
        <v>0.9</v>
      </c>
      <c r="AE23" s="75">
        <v>0.5</v>
      </c>
      <c r="AF23" s="77">
        <v>1.2</v>
      </c>
    </row>
    <row r="24" spans="1:32" ht="15.75" thickBot="1" x14ac:dyDescent="0.3">
      <c r="A24" s="75" t="s">
        <v>300</v>
      </c>
      <c r="B24" s="75" t="s">
        <v>309</v>
      </c>
      <c r="C24" s="75" t="s">
        <v>310</v>
      </c>
      <c r="D24" s="75" t="s">
        <v>229</v>
      </c>
      <c r="E24" s="80" t="str">
        <f t="shared" si="0"/>
        <v xml:space="preserve">Lens culinaris </v>
      </c>
      <c r="F24" s="80" t="str">
        <f t="shared" si="1"/>
        <v xml:space="preserve">culinaris </v>
      </c>
      <c r="G24" s="75" t="s">
        <v>296</v>
      </c>
      <c r="H24" s="75" t="s">
        <v>303</v>
      </c>
      <c r="I24" s="75" t="s">
        <v>311</v>
      </c>
      <c r="J24" s="82" t="s">
        <v>233</v>
      </c>
      <c r="K24" s="80" t="str">
        <f t="shared" si="2"/>
        <v>Lentil Grain General</v>
      </c>
      <c r="L24" s="75">
        <v>24</v>
      </c>
      <c r="M24" s="75" t="s">
        <v>167</v>
      </c>
      <c r="N24" s="75" t="s">
        <v>242</v>
      </c>
      <c r="O24" s="75" t="s">
        <v>178</v>
      </c>
      <c r="P24" s="77" t="s">
        <v>275</v>
      </c>
      <c r="Q24" s="78">
        <v>3.5</v>
      </c>
      <c r="R24" s="75" t="s">
        <v>5</v>
      </c>
      <c r="S24" s="79" t="s">
        <v>297</v>
      </c>
      <c r="T24" s="79" t="s">
        <v>237</v>
      </c>
      <c r="U24" s="75">
        <v>0</v>
      </c>
      <c r="V24" s="77">
        <v>0</v>
      </c>
      <c r="W24" s="75">
        <v>0.5</v>
      </c>
      <c r="X24" s="75">
        <v>0</v>
      </c>
      <c r="Y24" s="75">
        <v>14.000000000000002</v>
      </c>
      <c r="Z24" s="60">
        <v>0.1</v>
      </c>
      <c r="AA24" s="61">
        <v>1</v>
      </c>
      <c r="AB24" s="60">
        <v>1</v>
      </c>
      <c r="AC24" s="61">
        <v>1</v>
      </c>
      <c r="AD24" s="75">
        <v>1.5</v>
      </c>
      <c r="AE24" s="75">
        <v>1.6</v>
      </c>
      <c r="AF24" s="77">
        <v>3.5</v>
      </c>
    </row>
    <row r="25" spans="1:32" ht="15.75" thickBot="1" x14ac:dyDescent="0.3">
      <c r="A25" s="75" t="s">
        <v>312</v>
      </c>
      <c r="B25" s="75" t="s">
        <v>313</v>
      </c>
      <c r="C25" s="75" t="s">
        <v>314</v>
      </c>
      <c r="D25" s="75" t="s">
        <v>229</v>
      </c>
      <c r="E25" s="80" t="str">
        <f t="shared" si="0"/>
        <v xml:space="preserve">Linum usitatissimum </v>
      </c>
      <c r="F25" s="80" t="str">
        <f t="shared" si="1"/>
        <v xml:space="preserve">usitatissimum </v>
      </c>
      <c r="G25" s="75" t="s">
        <v>296</v>
      </c>
      <c r="H25" s="75" t="s">
        <v>298</v>
      </c>
      <c r="I25" s="75" t="s">
        <v>315</v>
      </c>
      <c r="J25" s="82" t="s">
        <v>233</v>
      </c>
      <c r="K25" s="80" t="str">
        <f t="shared" si="2"/>
        <v>Linseed Grain General</v>
      </c>
      <c r="L25" s="75">
        <v>25</v>
      </c>
      <c r="M25" s="75" t="s">
        <v>167</v>
      </c>
      <c r="N25" s="75" t="s">
        <v>287</v>
      </c>
      <c r="O25" s="75" t="s">
        <v>176</v>
      </c>
      <c r="P25" s="77" t="s">
        <v>275</v>
      </c>
      <c r="Q25" s="78">
        <v>2.5</v>
      </c>
      <c r="R25" s="75" t="s">
        <v>5</v>
      </c>
      <c r="S25" s="79" t="s">
        <v>297</v>
      </c>
      <c r="T25" s="79" t="s">
        <v>237</v>
      </c>
      <c r="U25" s="75">
        <v>0</v>
      </c>
      <c r="V25" s="77">
        <v>0</v>
      </c>
      <c r="W25" s="75">
        <v>0.20833333333333334</v>
      </c>
      <c r="X25" s="75">
        <v>0</v>
      </c>
      <c r="Y25" s="75">
        <v>8.9999999999999964</v>
      </c>
      <c r="Z25" s="60">
        <v>0.1</v>
      </c>
      <c r="AA25" s="61">
        <v>1</v>
      </c>
      <c r="AB25" s="60">
        <v>1</v>
      </c>
      <c r="AC25" s="61">
        <v>1</v>
      </c>
      <c r="AD25" s="75">
        <v>1</v>
      </c>
      <c r="AE25" s="75">
        <v>1</v>
      </c>
      <c r="AF25" s="77">
        <v>4.3</v>
      </c>
    </row>
    <row r="26" spans="1:32" ht="15.75" thickBot="1" x14ac:dyDescent="0.3">
      <c r="A26" s="75" t="s">
        <v>300</v>
      </c>
      <c r="B26" s="75" t="s">
        <v>316</v>
      </c>
      <c r="C26" s="75" t="s">
        <v>256</v>
      </c>
      <c r="D26" s="75" t="s">
        <v>229</v>
      </c>
      <c r="E26" s="80" t="str">
        <f t="shared" si="0"/>
        <v xml:space="preserve">Phaseolus vulgaris </v>
      </c>
      <c r="F26" s="80" t="str">
        <f t="shared" si="1"/>
        <v xml:space="preserve">vulgaris </v>
      </c>
      <c r="G26" s="75" t="s">
        <v>296</v>
      </c>
      <c r="H26" s="75" t="s">
        <v>303</v>
      </c>
      <c r="I26" s="75" t="s">
        <v>317</v>
      </c>
      <c r="J26" s="82" t="s">
        <v>233</v>
      </c>
      <c r="K26" s="80" t="str">
        <f t="shared" si="2"/>
        <v>Bean Grain General</v>
      </c>
      <c r="L26" s="75">
        <v>27</v>
      </c>
      <c r="M26" s="75" t="s">
        <v>167</v>
      </c>
      <c r="N26" s="75" t="s">
        <v>242</v>
      </c>
      <c r="O26" s="75" t="s">
        <v>178</v>
      </c>
      <c r="P26" s="77" t="s">
        <v>275</v>
      </c>
      <c r="Q26" s="78">
        <v>3.5</v>
      </c>
      <c r="R26" s="75" t="s">
        <v>5</v>
      </c>
      <c r="S26" s="79" t="s">
        <v>297</v>
      </c>
      <c r="T26" s="79" t="s">
        <v>237</v>
      </c>
      <c r="U26" s="75">
        <v>0</v>
      </c>
      <c r="V26" s="77">
        <v>0</v>
      </c>
      <c r="W26" s="75">
        <v>0.5</v>
      </c>
      <c r="X26" s="75">
        <v>0</v>
      </c>
      <c r="Y26" s="75">
        <v>14.000000000000002</v>
      </c>
      <c r="Z26" s="60">
        <v>0.1</v>
      </c>
      <c r="AA26" s="61">
        <v>1</v>
      </c>
      <c r="AB26" s="60">
        <v>1</v>
      </c>
      <c r="AC26" s="61">
        <v>1</v>
      </c>
      <c r="AD26" s="75">
        <v>1.5</v>
      </c>
      <c r="AE26" s="75">
        <v>1.6</v>
      </c>
      <c r="AF26" s="77">
        <v>3.5</v>
      </c>
    </row>
    <row r="27" spans="1:32" ht="15.75" thickBot="1" x14ac:dyDescent="0.3">
      <c r="A27" s="75" t="s">
        <v>300</v>
      </c>
      <c r="B27" s="75" t="s">
        <v>318</v>
      </c>
      <c r="C27" s="75" t="s">
        <v>319</v>
      </c>
      <c r="D27" s="75" t="s">
        <v>229</v>
      </c>
      <c r="E27" s="80" t="str">
        <f t="shared" si="0"/>
        <v xml:space="preserve">Pisum sativum </v>
      </c>
      <c r="F27" s="80" t="str">
        <f t="shared" si="1"/>
        <v xml:space="preserve">sativum </v>
      </c>
      <c r="G27" s="75" t="s">
        <v>296</v>
      </c>
      <c r="H27" s="75" t="s">
        <v>303</v>
      </c>
      <c r="I27" s="75" t="s">
        <v>320</v>
      </c>
      <c r="J27" s="82" t="s">
        <v>233</v>
      </c>
      <c r="K27" s="80" t="str">
        <f t="shared" si="2"/>
        <v>Pea Grain General</v>
      </c>
      <c r="L27" s="75">
        <v>28</v>
      </c>
      <c r="M27" s="75" t="s">
        <v>167</v>
      </c>
      <c r="N27" s="75" t="s">
        <v>242</v>
      </c>
      <c r="O27" s="75" t="s">
        <v>178</v>
      </c>
      <c r="P27" s="77" t="s">
        <v>275</v>
      </c>
      <c r="Q27" s="78">
        <v>3.5</v>
      </c>
      <c r="R27" s="75" t="s">
        <v>5</v>
      </c>
      <c r="S27" s="79" t="s">
        <v>297</v>
      </c>
      <c r="T27" s="79" t="s">
        <v>237</v>
      </c>
      <c r="U27" s="75">
        <v>0</v>
      </c>
      <c r="V27" s="77">
        <v>0</v>
      </c>
      <c r="W27" s="75">
        <v>0.3</v>
      </c>
      <c r="X27" s="75">
        <v>0</v>
      </c>
      <c r="Y27" s="75">
        <v>14.000000000000002</v>
      </c>
      <c r="Z27" s="60">
        <v>0.1</v>
      </c>
      <c r="AA27" s="61">
        <v>0.7</v>
      </c>
      <c r="AB27" s="60">
        <v>1</v>
      </c>
      <c r="AC27" s="61">
        <v>1</v>
      </c>
      <c r="AD27" s="75">
        <v>1.5</v>
      </c>
      <c r="AE27" s="75">
        <v>1.6</v>
      </c>
      <c r="AF27" s="77">
        <v>4.7</v>
      </c>
    </row>
    <row r="28" spans="1:32" ht="15.75" thickBot="1" x14ac:dyDescent="0.3">
      <c r="A28" s="75" t="s">
        <v>244</v>
      </c>
      <c r="B28" s="75" t="s">
        <v>288</v>
      </c>
      <c r="C28" s="75" t="s">
        <v>289</v>
      </c>
      <c r="D28" s="75" t="s">
        <v>229</v>
      </c>
      <c r="E28" s="80" t="str">
        <f t="shared" si="0"/>
        <v xml:space="preserve">Triticum astevium </v>
      </c>
      <c r="F28" s="80" t="str">
        <f t="shared" si="1"/>
        <v xml:space="preserve">astevium </v>
      </c>
      <c r="G28" s="75" t="s">
        <v>296</v>
      </c>
      <c r="H28" s="75" t="s">
        <v>248</v>
      </c>
      <c r="I28" s="75" t="s">
        <v>290</v>
      </c>
      <c r="J28" s="82" t="s">
        <v>321</v>
      </c>
      <c r="K28" s="80" t="str">
        <f t="shared" si="2"/>
        <v>Wheat Grain Breed</v>
      </c>
      <c r="L28" s="75">
        <v>30</v>
      </c>
      <c r="M28" s="75" t="s">
        <v>167</v>
      </c>
      <c r="N28" s="75" t="s">
        <v>283</v>
      </c>
      <c r="O28" s="75" t="s">
        <v>178</v>
      </c>
      <c r="P28" s="77" t="s">
        <v>235</v>
      </c>
      <c r="Q28" s="78">
        <v>10</v>
      </c>
      <c r="R28" s="75" t="s">
        <v>5</v>
      </c>
      <c r="S28" s="79" t="s">
        <v>297</v>
      </c>
      <c r="T28" s="79" t="s">
        <v>237</v>
      </c>
      <c r="U28" s="75">
        <v>0</v>
      </c>
      <c r="V28" s="77">
        <v>0</v>
      </c>
      <c r="W28" s="75">
        <v>0.41170000000000001</v>
      </c>
      <c r="X28" s="75">
        <v>0.1</v>
      </c>
      <c r="Y28" s="75">
        <v>13</v>
      </c>
      <c r="Z28" s="60">
        <v>0.1</v>
      </c>
      <c r="AA28" s="61">
        <v>1.5</v>
      </c>
      <c r="AB28" s="60">
        <v>1</v>
      </c>
      <c r="AC28" s="61">
        <v>1</v>
      </c>
      <c r="AD28" s="75">
        <v>0.9</v>
      </c>
      <c r="AE28" s="75">
        <v>0.5</v>
      </c>
      <c r="AF28" s="77">
        <v>1.5</v>
      </c>
    </row>
    <row r="29" spans="1:32" ht="15.75" thickBot="1" x14ac:dyDescent="0.3">
      <c r="A29" s="75" t="s">
        <v>244</v>
      </c>
      <c r="B29" s="75" t="s">
        <v>288</v>
      </c>
      <c r="C29" s="75" t="s">
        <v>289</v>
      </c>
      <c r="D29" s="75" t="s">
        <v>229</v>
      </c>
      <c r="E29" s="80" t="str">
        <f t="shared" si="0"/>
        <v xml:space="preserve">Triticum astevium </v>
      </c>
      <c r="F29" s="80" t="str">
        <f t="shared" si="1"/>
        <v xml:space="preserve">astevium </v>
      </c>
      <c r="G29" s="75" t="s">
        <v>296</v>
      </c>
      <c r="H29" s="75" t="s">
        <v>248</v>
      </c>
      <c r="I29" s="75" t="s">
        <v>290</v>
      </c>
      <c r="J29" s="82" t="s">
        <v>322</v>
      </c>
      <c r="K29" s="80" t="str">
        <f t="shared" si="2"/>
        <v>Wheat Grain Feed</v>
      </c>
      <c r="L29" s="75">
        <v>31</v>
      </c>
      <c r="M29" s="75" t="s">
        <v>167</v>
      </c>
      <c r="N29" s="75" t="s">
        <v>283</v>
      </c>
      <c r="O29" s="75" t="s">
        <v>178</v>
      </c>
      <c r="P29" s="77" t="s">
        <v>235</v>
      </c>
      <c r="Q29" s="78">
        <v>12</v>
      </c>
      <c r="R29" s="75" t="s">
        <v>5</v>
      </c>
      <c r="S29" s="79" t="s">
        <v>297</v>
      </c>
      <c r="T29" s="79" t="s">
        <v>237</v>
      </c>
      <c r="U29" s="75">
        <v>0</v>
      </c>
      <c r="V29" s="77">
        <v>0</v>
      </c>
      <c r="W29" s="75">
        <v>0.41170000000000001</v>
      </c>
      <c r="X29" s="75">
        <v>0.1</v>
      </c>
      <c r="Y29" s="75">
        <v>13</v>
      </c>
      <c r="Z29" s="60">
        <v>0.1</v>
      </c>
      <c r="AA29" s="61">
        <v>1.5</v>
      </c>
      <c r="AB29" s="60">
        <v>1</v>
      </c>
      <c r="AC29" s="61">
        <v>1</v>
      </c>
      <c r="AD29" s="75">
        <v>0.9</v>
      </c>
      <c r="AE29" s="75">
        <v>0.5</v>
      </c>
      <c r="AF29" s="77">
        <v>1.2</v>
      </c>
    </row>
    <row r="30" spans="1:32" ht="15.75" thickBot="1" x14ac:dyDescent="0.3">
      <c r="A30" s="75" t="s">
        <v>244</v>
      </c>
      <c r="B30" s="75" t="s">
        <v>293</v>
      </c>
      <c r="C30" s="75" t="s">
        <v>294</v>
      </c>
      <c r="D30" s="75" t="s">
        <v>229</v>
      </c>
      <c r="E30" s="80" t="str">
        <f t="shared" si="0"/>
        <v xml:space="preserve">Zea mays </v>
      </c>
      <c r="F30" s="80" t="str">
        <f t="shared" si="1"/>
        <v xml:space="preserve">mays </v>
      </c>
      <c r="G30" s="75" t="s">
        <v>296</v>
      </c>
      <c r="H30" s="75" t="s">
        <v>248</v>
      </c>
      <c r="I30" s="75" t="s">
        <v>295</v>
      </c>
      <c r="J30" s="82" t="s">
        <v>233</v>
      </c>
      <c r="K30" s="80" t="str">
        <f t="shared" si="2"/>
        <v>Maize Grain General</v>
      </c>
      <c r="L30" s="75">
        <v>34</v>
      </c>
      <c r="M30" s="75" t="s">
        <v>167</v>
      </c>
      <c r="N30" s="75" t="s">
        <v>242</v>
      </c>
      <c r="O30" s="75" t="s">
        <v>178</v>
      </c>
      <c r="P30" s="77" t="s">
        <v>283</v>
      </c>
      <c r="Q30" s="78">
        <v>13.3</v>
      </c>
      <c r="R30" s="75" t="s">
        <v>5</v>
      </c>
      <c r="S30" s="79" t="s">
        <v>297</v>
      </c>
      <c r="T30" s="79" t="s">
        <v>237</v>
      </c>
      <c r="U30" s="75">
        <v>0</v>
      </c>
      <c r="V30" s="77">
        <v>0</v>
      </c>
      <c r="W30" s="75">
        <v>0.5</v>
      </c>
      <c r="X30" s="75">
        <v>0</v>
      </c>
      <c r="Y30" s="75">
        <v>13</v>
      </c>
      <c r="Z30" s="60">
        <v>0.1</v>
      </c>
      <c r="AA30" s="61">
        <v>1.5</v>
      </c>
      <c r="AB30" s="60">
        <v>0.85</v>
      </c>
      <c r="AC30" s="61">
        <v>1</v>
      </c>
      <c r="AD30" s="75">
        <v>0.9</v>
      </c>
      <c r="AE30" s="77">
        <v>0.7</v>
      </c>
      <c r="AF30" s="77">
        <v>1.4</v>
      </c>
    </row>
    <row r="31" spans="1:32" ht="15.75" thickBot="1" x14ac:dyDescent="0.3">
      <c r="A31" s="75" t="s">
        <v>259</v>
      </c>
      <c r="B31" s="75" t="s">
        <v>260</v>
      </c>
      <c r="C31" s="75" t="s">
        <v>261</v>
      </c>
      <c r="D31" s="75" t="s">
        <v>261</v>
      </c>
      <c r="E31" s="80" t="str">
        <f t="shared" si="0"/>
        <v>Brassica napus napus</v>
      </c>
      <c r="F31" s="80" t="str">
        <f t="shared" si="1"/>
        <v>napus napus</v>
      </c>
      <c r="G31" s="75" t="s">
        <v>323</v>
      </c>
      <c r="H31" s="75" t="s">
        <v>323</v>
      </c>
      <c r="I31" s="75" t="s">
        <v>265</v>
      </c>
      <c r="J31" s="82" t="s">
        <v>233</v>
      </c>
      <c r="K31" s="80" t="str">
        <f t="shared" si="2"/>
        <v>Rape Green manure General</v>
      </c>
      <c r="L31" s="75">
        <v>36</v>
      </c>
      <c r="M31" s="75" t="s">
        <v>167</v>
      </c>
      <c r="N31" s="75" t="s">
        <v>283</v>
      </c>
      <c r="O31" s="75" t="s">
        <v>176</v>
      </c>
      <c r="P31" s="77" t="s">
        <v>287</v>
      </c>
      <c r="Q31" s="78">
        <v>4</v>
      </c>
      <c r="R31" s="75" t="s">
        <v>5</v>
      </c>
      <c r="S31" s="79" t="s">
        <v>252</v>
      </c>
      <c r="T31" s="79" t="s">
        <v>253</v>
      </c>
      <c r="U31" s="75">
        <v>0</v>
      </c>
      <c r="V31" s="77">
        <v>0</v>
      </c>
      <c r="W31" s="75">
        <v>1</v>
      </c>
      <c r="X31" s="75">
        <v>0</v>
      </c>
      <c r="Y31" s="75">
        <v>80</v>
      </c>
      <c r="Z31" s="60">
        <v>0.1</v>
      </c>
      <c r="AA31" s="61">
        <v>1.2</v>
      </c>
      <c r="AB31" s="60">
        <v>1</v>
      </c>
      <c r="AC31" s="61">
        <v>1.6</v>
      </c>
      <c r="AD31" s="75">
        <v>0.8</v>
      </c>
      <c r="AE31" s="77">
        <v>3</v>
      </c>
      <c r="AF31" s="77">
        <v>3</v>
      </c>
    </row>
    <row r="32" spans="1:32" ht="15.75" thickBot="1" x14ac:dyDescent="0.3">
      <c r="A32" s="75" t="s">
        <v>259</v>
      </c>
      <c r="B32" s="75" t="s">
        <v>260</v>
      </c>
      <c r="C32" s="75" t="s">
        <v>270</v>
      </c>
      <c r="D32" s="75" t="s">
        <v>270</v>
      </c>
      <c r="E32" s="80" t="str">
        <f t="shared" si="0"/>
        <v>Brassica rapa rapa</v>
      </c>
      <c r="F32" s="80" t="str">
        <f t="shared" si="1"/>
        <v>rapa rapa</v>
      </c>
      <c r="G32" s="75" t="s">
        <v>323</v>
      </c>
      <c r="H32" s="75" t="s">
        <v>323</v>
      </c>
      <c r="I32" s="75" t="s">
        <v>271</v>
      </c>
      <c r="J32" s="82" t="s">
        <v>233</v>
      </c>
      <c r="K32" s="80" t="str">
        <f t="shared" si="2"/>
        <v>Turnip Green manure General</v>
      </c>
      <c r="L32" s="75">
        <v>37</v>
      </c>
      <c r="M32" s="75" t="s">
        <v>167</v>
      </c>
      <c r="N32" s="75" t="s">
        <v>283</v>
      </c>
      <c r="O32" s="75" t="s">
        <v>173</v>
      </c>
      <c r="P32" s="77" t="s">
        <v>287</v>
      </c>
      <c r="Q32" s="78">
        <v>8</v>
      </c>
      <c r="R32" s="75" t="s">
        <v>5</v>
      </c>
      <c r="S32" s="79" t="s">
        <v>252</v>
      </c>
      <c r="T32" s="79" t="s">
        <v>253</v>
      </c>
      <c r="U32" s="75">
        <v>0</v>
      </c>
      <c r="V32" s="77">
        <v>0</v>
      </c>
      <c r="W32" s="75">
        <v>1</v>
      </c>
      <c r="X32" s="75">
        <v>0</v>
      </c>
      <c r="Y32" s="75">
        <v>80</v>
      </c>
      <c r="Z32" s="60">
        <v>0.1</v>
      </c>
      <c r="AA32" s="61">
        <v>1.2</v>
      </c>
      <c r="AB32" s="60">
        <v>1</v>
      </c>
      <c r="AC32" s="61">
        <v>2</v>
      </c>
      <c r="AD32" s="75">
        <v>0.8</v>
      </c>
      <c r="AE32" s="77">
        <v>2.5</v>
      </c>
      <c r="AF32" s="77">
        <v>2.5</v>
      </c>
    </row>
    <row r="33" spans="1:32" ht="15.75" thickBot="1" x14ac:dyDescent="0.3">
      <c r="A33" s="75" t="s">
        <v>300</v>
      </c>
      <c r="B33" s="75" t="s">
        <v>324</v>
      </c>
      <c r="C33" s="75" t="s">
        <v>325</v>
      </c>
      <c r="D33" s="75" t="s">
        <v>229</v>
      </c>
      <c r="E33" s="80" t="str">
        <f t="shared" si="0"/>
        <v xml:space="preserve">Lupinus angustifolius </v>
      </c>
      <c r="F33" s="80" t="str">
        <f t="shared" si="1"/>
        <v xml:space="preserve">angustifolius </v>
      </c>
      <c r="G33" s="75" t="s">
        <v>323</v>
      </c>
      <c r="H33" s="75" t="s">
        <v>323</v>
      </c>
      <c r="I33" s="75" t="s">
        <v>326</v>
      </c>
      <c r="J33" s="82" t="s">
        <v>233</v>
      </c>
      <c r="K33" s="80" t="str">
        <f t="shared" si="2"/>
        <v>Lupin Green manure General</v>
      </c>
      <c r="L33" s="75">
        <v>38</v>
      </c>
      <c r="M33" s="75" t="s">
        <v>167</v>
      </c>
      <c r="N33" s="75" t="s">
        <v>283</v>
      </c>
      <c r="O33" s="75" t="s">
        <v>173</v>
      </c>
      <c r="P33" s="77" t="s">
        <v>287</v>
      </c>
      <c r="Q33" s="78">
        <v>12</v>
      </c>
      <c r="R33" s="75" t="s">
        <v>5</v>
      </c>
      <c r="S33" s="79" t="s">
        <v>252</v>
      </c>
      <c r="T33" s="79" t="s">
        <v>253</v>
      </c>
      <c r="U33" s="75">
        <v>0</v>
      </c>
      <c r="V33" s="77">
        <v>0</v>
      </c>
      <c r="W33" s="75">
        <v>1</v>
      </c>
      <c r="X33" s="75">
        <v>0</v>
      </c>
      <c r="Y33" s="75">
        <v>80</v>
      </c>
      <c r="Z33" s="60">
        <v>0.1</v>
      </c>
      <c r="AA33" s="61">
        <v>1.5</v>
      </c>
      <c r="AB33" s="60">
        <v>1</v>
      </c>
      <c r="AC33" s="61">
        <v>1</v>
      </c>
      <c r="AD33" s="75">
        <v>1.5</v>
      </c>
      <c r="AE33" s="77">
        <v>3</v>
      </c>
      <c r="AF33" s="77">
        <v>3</v>
      </c>
    </row>
    <row r="34" spans="1:32" ht="15.75" thickBot="1" x14ac:dyDescent="0.3">
      <c r="A34" s="75" t="s">
        <v>327</v>
      </c>
      <c r="B34" s="75" t="s">
        <v>328</v>
      </c>
      <c r="C34" s="75" t="s">
        <v>329</v>
      </c>
      <c r="D34" s="75" t="s">
        <v>229</v>
      </c>
      <c r="E34" s="80" t="str">
        <f t="shared" si="0"/>
        <v xml:space="preserve">Phacelia tanacetifolia </v>
      </c>
      <c r="F34" s="80" t="str">
        <f t="shared" si="1"/>
        <v xml:space="preserve">tanacetifolia </v>
      </c>
      <c r="G34" s="75" t="s">
        <v>323</v>
      </c>
      <c r="H34" s="75" t="s">
        <v>323</v>
      </c>
      <c r="I34" s="75" t="s">
        <v>328</v>
      </c>
      <c r="J34" s="82" t="s">
        <v>233</v>
      </c>
      <c r="K34" s="80" t="str">
        <f t="shared" si="2"/>
        <v>Phacelia Green manure General</v>
      </c>
      <c r="L34" s="75">
        <v>39</v>
      </c>
      <c r="M34" s="75" t="s">
        <v>167</v>
      </c>
      <c r="N34" s="75" t="s">
        <v>283</v>
      </c>
      <c r="O34" s="75" t="s">
        <v>168</v>
      </c>
      <c r="P34" s="77" t="s">
        <v>287</v>
      </c>
      <c r="Q34" s="78">
        <v>5</v>
      </c>
      <c r="R34" s="75" t="s">
        <v>5</v>
      </c>
      <c r="S34" s="79" t="s">
        <v>252</v>
      </c>
      <c r="T34" s="79" t="s">
        <v>253</v>
      </c>
      <c r="U34" s="75">
        <v>0</v>
      </c>
      <c r="V34" s="77">
        <v>0</v>
      </c>
      <c r="W34" s="75">
        <v>1</v>
      </c>
      <c r="X34" s="75">
        <v>0</v>
      </c>
      <c r="Y34" s="75">
        <v>80</v>
      </c>
      <c r="Z34" s="60">
        <v>0.1</v>
      </c>
      <c r="AA34" s="61">
        <v>1</v>
      </c>
      <c r="AB34" s="60">
        <v>1</v>
      </c>
      <c r="AC34" s="61">
        <v>1</v>
      </c>
      <c r="AD34" s="75">
        <v>0.9</v>
      </c>
      <c r="AE34" s="77">
        <v>3</v>
      </c>
      <c r="AF34" s="77">
        <v>3</v>
      </c>
    </row>
    <row r="35" spans="1:32" ht="15.75" thickBot="1" x14ac:dyDescent="0.3">
      <c r="A35" s="75" t="s">
        <v>259</v>
      </c>
      <c r="B35" s="75" t="s">
        <v>330</v>
      </c>
      <c r="C35" s="75" t="s">
        <v>331</v>
      </c>
      <c r="D35" s="75" t="s">
        <v>229</v>
      </c>
      <c r="E35" s="80" t="str">
        <f t="shared" si="0"/>
        <v xml:space="preserve">Sinapis alba </v>
      </c>
      <c r="F35" s="80" t="str">
        <f t="shared" si="1"/>
        <v xml:space="preserve">alba </v>
      </c>
      <c r="G35" s="75" t="s">
        <v>323</v>
      </c>
      <c r="H35" s="75" t="s">
        <v>323</v>
      </c>
      <c r="I35" s="75" t="s">
        <v>332</v>
      </c>
      <c r="J35" s="82" t="s">
        <v>233</v>
      </c>
      <c r="K35" s="80" t="str">
        <f t="shared" si="2"/>
        <v>Mustard Green manure General</v>
      </c>
      <c r="L35" s="75">
        <v>41</v>
      </c>
      <c r="M35" s="75" t="s">
        <v>167</v>
      </c>
      <c r="N35" s="75" t="s">
        <v>283</v>
      </c>
      <c r="O35" s="75" t="s">
        <v>173</v>
      </c>
      <c r="P35" s="77" t="s">
        <v>287</v>
      </c>
      <c r="Q35" s="78">
        <v>7</v>
      </c>
      <c r="R35" s="75" t="s">
        <v>5</v>
      </c>
      <c r="S35" s="79" t="s">
        <v>252</v>
      </c>
      <c r="T35" s="79" t="s">
        <v>253</v>
      </c>
      <c r="U35" s="75">
        <v>0</v>
      </c>
      <c r="V35" s="77">
        <v>0</v>
      </c>
      <c r="W35" s="75">
        <v>1</v>
      </c>
      <c r="X35" s="75">
        <v>0</v>
      </c>
      <c r="Y35" s="75">
        <v>80</v>
      </c>
      <c r="Z35" s="60">
        <v>0.1</v>
      </c>
      <c r="AA35" s="61">
        <v>1.2</v>
      </c>
      <c r="AB35" s="60">
        <v>1</v>
      </c>
      <c r="AC35" s="61">
        <v>1.1000000000000001</v>
      </c>
      <c r="AD35" s="75">
        <v>0.8</v>
      </c>
      <c r="AE35" s="75">
        <v>3</v>
      </c>
      <c r="AF35" s="77">
        <v>3</v>
      </c>
    </row>
    <row r="36" spans="1:32" ht="15.75" thickBot="1" x14ac:dyDescent="0.3">
      <c r="A36" s="75" t="s">
        <v>254</v>
      </c>
      <c r="B36" s="75" t="s">
        <v>255</v>
      </c>
      <c r="C36" s="75" t="s">
        <v>256</v>
      </c>
      <c r="D36" s="75" t="s">
        <v>333</v>
      </c>
      <c r="E36" s="80" t="str">
        <f t="shared" si="0"/>
        <v>Beta vulgaris conditiva</v>
      </c>
      <c r="F36" s="80" t="str">
        <f t="shared" si="1"/>
        <v>vulgaris conditiva</v>
      </c>
      <c r="G36" s="75" t="s">
        <v>167</v>
      </c>
      <c r="H36" s="75" t="s">
        <v>334</v>
      </c>
      <c r="I36" s="75" t="s">
        <v>335</v>
      </c>
      <c r="J36" s="82" t="s">
        <v>233</v>
      </c>
      <c r="K36" s="80" t="str">
        <f t="shared" si="2"/>
        <v>Red beet Seed General</v>
      </c>
      <c r="L36" s="75">
        <v>52</v>
      </c>
      <c r="M36" s="75" t="s">
        <v>167</v>
      </c>
      <c r="N36" s="75" t="s">
        <v>283</v>
      </c>
      <c r="O36" s="75" t="s">
        <v>176</v>
      </c>
      <c r="P36" s="77" t="s">
        <v>275</v>
      </c>
      <c r="Q36" s="78">
        <v>1.2</v>
      </c>
      <c r="R36" s="75" t="s">
        <v>5</v>
      </c>
      <c r="S36" s="75" t="s">
        <v>336</v>
      </c>
      <c r="T36" s="75" t="s">
        <v>237</v>
      </c>
      <c r="U36" s="75">
        <v>15</v>
      </c>
      <c r="V36" s="77">
        <v>0</v>
      </c>
      <c r="W36" s="75">
        <v>0.17</v>
      </c>
      <c r="X36" s="75">
        <v>7.0000000000000007E-2</v>
      </c>
      <c r="Y36" s="75">
        <v>15.000000000000002</v>
      </c>
      <c r="Z36" s="60">
        <v>0.1</v>
      </c>
      <c r="AA36" s="61">
        <v>1.5</v>
      </c>
      <c r="AB36" s="60">
        <v>0.85</v>
      </c>
      <c r="AC36" s="61">
        <v>0.8</v>
      </c>
      <c r="AD36" s="75">
        <v>0.8</v>
      </c>
      <c r="AE36" s="75">
        <v>1.8</v>
      </c>
      <c r="AF36" s="77">
        <v>2.1</v>
      </c>
    </row>
    <row r="37" spans="1:32" ht="15.75" thickBot="1" x14ac:dyDescent="0.3">
      <c r="A37" s="75" t="s">
        <v>259</v>
      </c>
      <c r="B37" s="75" t="s">
        <v>260</v>
      </c>
      <c r="C37" s="75" t="s">
        <v>261</v>
      </c>
      <c r="D37" s="75" t="s">
        <v>261</v>
      </c>
      <c r="E37" s="80" t="str">
        <f t="shared" si="0"/>
        <v>Brassica napus napus</v>
      </c>
      <c r="F37" s="80" t="str">
        <f t="shared" si="1"/>
        <v>napus napus</v>
      </c>
      <c r="G37" s="75" t="s">
        <v>167</v>
      </c>
      <c r="H37" s="75" t="s">
        <v>247</v>
      </c>
      <c r="I37" s="75" t="s">
        <v>265</v>
      </c>
      <c r="J37" s="82" t="s">
        <v>233</v>
      </c>
      <c r="K37" s="80" t="str">
        <f t="shared" si="2"/>
        <v>Rape Seed General</v>
      </c>
      <c r="L37" s="75">
        <v>55</v>
      </c>
      <c r="M37" s="75" t="s">
        <v>167</v>
      </c>
      <c r="N37" s="75" t="s">
        <v>283</v>
      </c>
      <c r="O37" s="75" t="s">
        <v>176</v>
      </c>
      <c r="P37" s="77" t="s">
        <v>235</v>
      </c>
      <c r="Q37" s="78">
        <v>4</v>
      </c>
      <c r="R37" s="75" t="s">
        <v>5</v>
      </c>
      <c r="S37" s="75" t="s">
        <v>336</v>
      </c>
      <c r="T37" s="75" t="s">
        <v>237</v>
      </c>
      <c r="U37" s="75">
        <v>3</v>
      </c>
      <c r="V37" s="77">
        <v>0</v>
      </c>
      <c r="W37" s="75">
        <v>0.33</v>
      </c>
      <c r="X37" s="75">
        <v>0.08</v>
      </c>
      <c r="Y37" s="75">
        <v>9.9999999999999982</v>
      </c>
      <c r="Z37" s="60">
        <v>0.1</v>
      </c>
      <c r="AA37" s="61">
        <v>1.2</v>
      </c>
      <c r="AB37" s="60">
        <v>1</v>
      </c>
      <c r="AC37" s="61">
        <v>1.6</v>
      </c>
      <c r="AD37" s="75">
        <v>0.8</v>
      </c>
      <c r="AE37" s="75">
        <v>1.8</v>
      </c>
      <c r="AF37" s="77">
        <v>5</v>
      </c>
    </row>
    <row r="38" spans="1:32" ht="15.75" thickBot="1" x14ac:dyDescent="0.3">
      <c r="A38" s="75" t="s">
        <v>259</v>
      </c>
      <c r="B38" s="75" t="s">
        <v>260</v>
      </c>
      <c r="C38" s="75" t="s">
        <v>270</v>
      </c>
      <c r="D38" s="75" t="s">
        <v>337</v>
      </c>
      <c r="E38" s="80" t="str">
        <f t="shared" si="0"/>
        <v>Brassica rapa chinensis</v>
      </c>
      <c r="F38" s="80" t="str">
        <f t="shared" si="1"/>
        <v>rapa chinensis</v>
      </c>
      <c r="G38" s="75" t="s">
        <v>167</v>
      </c>
      <c r="H38" s="75" t="s">
        <v>338</v>
      </c>
      <c r="I38" s="75" t="s">
        <v>339</v>
      </c>
      <c r="J38" s="82" t="s">
        <v>233</v>
      </c>
      <c r="K38" s="80" t="str">
        <f t="shared" si="2"/>
        <v>Pak choi Seed General</v>
      </c>
      <c r="L38" s="75">
        <v>60</v>
      </c>
      <c r="M38" s="75" t="s">
        <v>167</v>
      </c>
      <c r="N38" s="75" t="s">
        <v>287</v>
      </c>
      <c r="O38" s="75" t="s">
        <v>176</v>
      </c>
      <c r="P38" s="77" t="s">
        <v>235</v>
      </c>
      <c r="Q38" s="78">
        <v>1.3</v>
      </c>
      <c r="R38" s="75" t="s">
        <v>5</v>
      </c>
      <c r="S38" s="75" t="s">
        <v>336</v>
      </c>
      <c r="T38" s="75" t="s">
        <v>237</v>
      </c>
      <c r="U38" s="75">
        <v>0</v>
      </c>
      <c r="V38" s="77">
        <v>0</v>
      </c>
      <c r="W38" s="75">
        <v>0.245</v>
      </c>
      <c r="X38" s="75">
        <v>0.14000000000000001</v>
      </c>
      <c r="Y38" s="75">
        <v>7.9999999999999964</v>
      </c>
      <c r="Z38" s="60">
        <v>0.1</v>
      </c>
      <c r="AA38" s="61">
        <v>1.2</v>
      </c>
      <c r="AB38" s="60">
        <v>0.85</v>
      </c>
      <c r="AC38" s="61">
        <v>1.5</v>
      </c>
      <c r="AD38" s="75">
        <v>0.8</v>
      </c>
      <c r="AE38" s="75">
        <v>1.1000000000000001</v>
      </c>
      <c r="AF38" s="77">
        <v>3.2</v>
      </c>
    </row>
    <row r="39" spans="1:32" ht="15.75" thickBot="1" x14ac:dyDescent="0.3">
      <c r="A39" s="75" t="s">
        <v>244</v>
      </c>
      <c r="B39" s="75" t="s">
        <v>340</v>
      </c>
      <c r="C39" s="75" t="s">
        <v>341</v>
      </c>
      <c r="D39" s="75" t="s">
        <v>229</v>
      </c>
      <c r="E39" s="80" t="str">
        <f t="shared" si="0"/>
        <v xml:space="preserve">Dactylus glomerata </v>
      </c>
      <c r="F39" s="80" t="str">
        <f t="shared" si="1"/>
        <v xml:space="preserve">glomerata </v>
      </c>
      <c r="G39" s="75" t="s">
        <v>167</v>
      </c>
      <c r="H39" s="75" t="s">
        <v>342</v>
      </c>
      <c r="I39" s="75" t="s">
        <v>343</v>
      </c>
      <c r="J39" s="82" t="s">
        <v>233</v>
      </c>
      <c r="K39" s="80" t="str">
        <f t="shared" si="2"/>
        <v>Cocksfoot Seed General</v>
      </c>
      <c r="L39" s="75">
        <v>71</v>
      </c>
      <c r="M39" s="75" t="s">
        <v>167</v>
      </c>
      <c r="N39" s="75" t="s">
        <v>235</v>
      </c>
      <c r="O39" s="75" t="s">
        <v>176</v>
      </c>
      <c r="P39" s="77" t="s">
        <v>266</v>
      </c>
      <c r="Q39" s="83">
        <v>1</v>
      </c>
      <c r="R39" s="75" t="s">
        <v>5</v>
      </c>
      <c r="S39" s="75" t="s">
        <v>336</v>
      </c>
      <c r="T39" s="75" t="s">
        <v>237</v>
      </c>
      <c r="U39" s="75">
        <v>9.9999999999999982</v>
      </c>
      <c r="V39" s="77">
        <v>0</v>
      </c>
      <c r="W39" s="75">
        <v>0.09</v>
      </c>
      <c r="X39" s="75">
        <v>0.03</v>
      </c>
      <c r="Y39" s="83">
        <v>15.000000000000002</v>
      </c>
      <c r="Z39" s="60">
        <v>0.1</v>
      </c>
      <c r="AA39" s="61">
        <v>1</v>
      </c>
      <c r="AB39" s="60">
        <v>1</v>
      </c>
      <c r="AC39" s="61">
        <v>0.8</v>
      </c>
      <c r="AD39" s="75">
        <v>0.9</v>
      </c>
      <c r="AE39" s="84">
        <v>1.2</v>
      </c>
      <c r="AF39" s="82">
        <v>2</v>
      </c>
    </row>
    <row r="40" spans="1:32" ht="15.75" thickBot="1" x14ac:dyDescent="0.3">
      <c r="A40" s="75" t="s">
        <v>344</v>
      </c>
      <c r="B40" s="75" t="s">
        <v>345</v>
      </c>
      <c r="C40" s="75" t="s">
        <v>346</v>
      </c>
      <c r="D40" s="75" t="s">
        <v>229</v>
      </c>
      <c r="E40" s="80" t="str">
        <f t="shared" si="0"/>
        <v xml:space="preserve">Daucus carota </v>
      </c>
      <c r="F40" s="80" t="str">
        <f t="shared" si="1"/>
        <v xml:space="preserve">carota </v>
      </c>
      <c r="G40" s="75" t="s">
        <v>167</v>
      </c>
      <c r="H40" s="75" t="s">
        <v>334</v>
      </c>
      <c r="I40" s="75" t="s">
        <v>347</v>
      </c>
      <c r="J40" s="82" t="s">
        <v>233</v>
      </c>
      <c r="K40" s="80" t="str">
        <f t="shared" si="2"/>
        <v>Carrot Seed General</v>
      </c>
      <c r="L40" s="75">
        <v>72</v>
      </c>
      <c r="M40" s="75" t="s">
        <v>167</v>
      </c>
      <c r="N40" s="75" t="s">
        <v>235</v>
      </c>
      <c r="O40" s="75" t="s">
        <v>176</v>
      </c>
      <c r="P40" s="77" t="s">
        <v>235</v>
      </c>
      <c r="Q40" s="83">
        <v>0.7</v>
      </c>
      <c r="R40" s="75" t="s">
        <v>5</v>
      </c>
      <c r="S40" s="75" t="s">
        <v>336</v>
      </c>
      <c r="T40" s="75" t="s">
        <v>237</v>
      </c>
      <c r="U40" s="75">
        <v>0</v>
      </c>
      <c r="V40" s="77">
        <v>0</v>
      </c>
      <c r="W40" s="75">
        <v>0.12</v>
      </c>
      <c r="X40" s="75">
        <v>0.08</v>
      </c>
      <c r="Y40" s="83">
        <v>15.000000000000002</v>
      </c>
      <c r="Z40" s="60">
        <v>0.1</v>
      </c>
      <c r="AA40" s="61">
        <v>1.2</v>
      </c>
      <c r="AB40" s="60">
        <v>0.85</v>
      </c>
      <c r="AC40" s="61">
        <v>0.7</v>
      </c>
      <c r="AD40" s="75">
        <v>0.9</v>
      </c>
      <c r="AE40" s="84">
        <v>1.2</v>
      </c>
      <c r="AF40" s="82">
        <v>3.4</v>
      </c>
    </row>
    <row r="41" spans="1:32" ht="15.75" thickBot="1" x14ac:dyDescent="0.3">
      <c r="A41" s="75" t="s">
        <v>244</v>
      </c>
      <c r="B41" s="75" t="s">
        <v>279</v>
      </c>
      <c r="C41" s="75" t="s">
        <v>348</v>
      </c>
      <c r="D41" s="75" t="s">
        <v>229</v>
      </c>
      <c r="E41" s="80" t="str">
        <f t="shared" si="0"/>
        <v xml:space="preserve">Lolium perenne </v>
      </c>
      <c r="F41" s="80" t="str">
        <f t="shared" si="1"/>
        <v xml:space="preserve">perenne </v>
      </c>
      <c r="G41" s="75" t="s">
        <v>167</v>
      </c>
      <c r="H41" s="75" t="s">
        <v>342</v>
      </c>
      <c r="I41" s="78" t="s">
        <v>349</v>
      </c>
      <c r="J41" s="82" t="s">
        <v>233</v>
      </c>
      <c r="K41" s="80" t="str">
        <f t="shared" si="2"/>
        <v>Ryegrass Seed General</v>
      </c>
      <c r="L41" s="75">
        <v>77</v>
      </c>
      <c r="M41" s="75" t="s">
        <v>167</v>
      </c>
      <c r="N41" s="75" t="s">
        <v>283</v>
      </c>
      <c r="O41" s="75" t="s">
        <v>176</v>
      </c>
      <c r="P41" s="77" t="s">
        <v>266</v>
      </c>
      <c r="Q41" s="78">
        <v>2.0699999999999998</v>
      </c>
      <c r="R41" s="75" t="s">
        <v>5</v>
      </c>
      <c r="S41" s="75" t="s">
        <v>336</v>
      </c>
      <c r="T41" s="75" t="s">
        <v>237</v>
      </c>
      <c r="U41" s="75">
        <v>15</v>
      </c>
      <c r="V41" s="77">
        <v>0</v>
      </c>
      <c r="W41" s="75">
        <v>0.20350000000000001</v>
      </c>
      <c r="X41" s="75">
        <v>0.10349999999999998</v>
      </c>
      <c r="Y41" s="75">
        <v>14.000000000000002</v>
      </c>
      <c r="Z41" s="60">
        <v>0.1</v>
      </c>
      <c r="AA41" s="61">
        <v>0.9</v>
      </c>
      <c r="AB41" s="60">
        <v>1</v>
      </c>
      <c r="AC41" s="61">
        <v>1.5</v>
      </c>
      <c r="AD41" s="75">
        <v>0.9</v>
      </c>
      <c r="AE41" s="75">
        <v>1.1000000000000001</v>
      </c>
      <c r="AF41" s="77">
        <v>2</v>
      </c>
    </row>
    <row r="42" spans="1:32" ht="15.75" thickBot="1" x14ac:dyDescent="0.3">
      <c r="A42" s="75" t="s">
        <v>259</v>
      </c>
      <c r="B42" s="75" t="s">
        <v>350</v>
      </c>
      <c r="C42" s="75" t="s">
        <v>351</v>
      </c>
      <c r="D42" s="75" t="s">
        <v>246</v>
      </c>
      <c r="E42" s="80" t="str">
        <f t="shared" si="0"/>
        <v>Raphanus raphanistrum sativa</v>
      </c>
      <c r="F42" s="80" t="str">
        <f t="shared" si="1"/>
        <v>raphanistrum sativa</v>
      </c>
      <c r="G42" s="75" t="s">
        <v>167</v>
      </c>
      <c r="H42" s="75" t="s">
        <v>334</v>
      </c>
      <c r="I42" s="75" t="s">
        <v>352</v>
      </c>
      <c r="J42" s="82" t="s">
        <v>353</v>
      </c>
      <c r="K42" s="80" t="str">
        <f t="shared" si="2"/>
        <v>Radish Seed Open pollinated</v>
      </c>
      <c r="L42" s="75">
        <v>88</v>
      </c>
      <c r="M42" s="75" t="s">
        <v>167</v>
      </c>
      <c r="N42" s="75" t="s">
        <v>287</v>
      </c>
      <c r="O42" s="75" t="s">
        <v>176</v>
      </c>
      <c r="P42" s="77" t="s">
        <v>235</v>
      </c>
      <c r="Q42" s="78">
        <v>1.8</v>
      </c>
      <c r="R42" s="75" t="s">
        <v>5</v>
      </c>
      <c r="S42" s="75" t="s">
        <v>336</v>
      </c>
      <c r="T42" s="75" t="s">
        <v>237</v>
      </c>
      <c r="U42" s="75">
        <v>30</v>
      </c>
      <c r="V42" s="77">
        <v>0</v>
      </c>
      <c r="W42" s="75">
        <v>0.17800000000000002</v>
      </c>
      <c r="X42" s="75">
        <v>0.10800000000000001</v>
      </c>
      <c r="Y42" s="75">
        <v>9.9999999999999982</v>
      </c>
      <c r="Z42" s="60">
        <v>0.1</v>
      </c>
      <c r="AA42" s="61">
        <v>1.2</v>
      </c>
      <c r="AB42" s="60">
        <v>0.85</v>
      </c>
      <c r="AC42" s="61">
        <v>1.1000000000000001</v>
      </c>
      <c r="AD42" s="75">
        <v>0.8</v>
      </c>
      <c r="AE42" s="75">
        <v>1.6</v>
      </c>
      <c r="AF42" s="77">
        <v>4.5</v>
      </c>
    </row>
    <row r="43" spans="1:32" ht="15.75" thickBot="1" x14ac:dyDescent="0.3">
      <c r="A43" s="75" t="s">
        <v>300</v>
      </c>
      <c r="B43" s="75" t="s">
        <v>354</v>
      </c>
      <c r="C43" s="75" t="s">
        <v>355</v>
      </c>
      <c r="D43" s="75" t="s">
        <v>229</v>
      </c>
      <c r="E43" s="80" t="str">
        <f t="shared" si="0"/>
        <v xml:space="preserve">Trifolium repens </v>
      </c>
      <c r="F43" s="80" t="str">
        <f t="shared" si="1"/>
        <v xml:space="preserve">repens </v>
      </c>
      <c r="G43" s="75" t="s">
        <v>167</v>
      </c>
      <c r="H43" s="75" t="s">
        <v>342</v>
      </c>
      <c r="I43" s="75" t="s">
        <v>356</v>
      </c>
      <c r="J43" s="82" t="s">
        <v>233</v>
      </c>
      <c r="K43" s="80" t="str">
        <f t="shared" si="2"/>
        <v>White clover Seed General</v>
      </c>
      <c r="L43" s="75">
        <v>93</v>
      </c>
      <c r="M43" s="75" t="s">
        <v>167</v>
      </c>
      <c r="N43" s="75" t="s">
        <v>275</v>
      </c>
      <c r="O43" s="75" t="s">
        <v>176</v>
      </c>
      <c r="P43" s="77" t="s">
        <v>235</v>
      </c>
      <c r="Q43" s="78">
        <v>0.6</v>
      </c>
      <c r="R43" s="75" t="s">
        <v>5</v>
      </c>
      <c r="S43" s="75" t="s">
        <v>336</v>
      </c>
      <c r="T43" s="75" t="s">
        <v>237</v>
      </c>
      <c r="U43" s="75">
        <v>20</v>
      </c>
      <c r="V43" s="77">
        <v>0</v>
      </c>
      <c r="W43" s="75">
        <v>0.15</v>
      </c>
      <c r="X43" s="75">
        <v>0.09</v>
      </c>
      <c r="Y43" s="75">
        <v>14.000000000000002</v>
      </c>
      <c r="Z43" s="60">
        <v>0.1</v>
      </c>
      <c r="AA43" s="61">
        <v>0.9</v>
      </c>
      <c r="AB43" s="60">
        <v>1</v>
      </c>
      <c r="AC43" s="61">
        <v>0.6</v>
      </c>
      <c r="AD43" s="75">
        <v>1.5</v>
      </c>
      <c r="AE43" s="75">
        <v>4</v>
      </c>
      <c r="AF43" s="77">
        <v>3</v>
      </c>
    </row>
    <row r="44" spans="1:32" ht="15.75" thickBot="1" x14ac:dyDescent="0.3">
      <c r="A44" s="75" t="s">
        <v>357</v>
      </c>
      <c r="B44" s="75" t="s">
        <v>358</v>
      </c>
      <c r="C44" s="75" t="s">
        <v>359</v>
      </c>
      <c r="D44" s="75" t="s">
        <v>229</v>
      </c>
      <c r="E44" s="80" t="str">
        <f t="shared" si="0"/>
        <v xml:space="preserve">Allium ampeloprasum </v>
      </c>
      <c r="F44" s="80" t="str">
        <f t="shared" si="1"/>
        <v xml:space="preserve">ampeloprasum </v>
      </c>
      <c r="G44" s="75" t="s">
        <v>360</v>
      </c>
      <c r="H44" s="75" t="s">
        <v>361</v>
      </c>
      <c r="I44" s="75" t="s">
        <v>362</v>
      </c>
      <c r="J44" s="82" t="s">
        <v>233</v>
      </c>
      <c r="K44" s="80" t="str">
        <f t="shared" si="2"/>
        <v>Leek Vegetable General</v>
      </c>
      <c r="L44" s="75">
        <v>94</v>
      </c>
      <c r="M44" s="75" t="s">
        <v>172</v>
      </c>
      <c r="N44" s="75" t="s">
        <v>251</v>
      </c>
      <c r="O44" s="75" t="s">
        <v>168</v>
      </c>
      <c r="P44" s="77" t="s">
        <v>234</v>
      </c>
      <c r="Q44" s="78">
        <v>63</v>
      </c>
      <c r="R44" s="75" t="s">
        <v>5</v>
      </c>
      <c r="S44" s="79" t="s">
        <v>363</v>
      </c>
      <c r="T44" s="75" t="s">
        <v>237</v>
      </c>
      <c r="U44" s="75">
        <v>0</v>
      </c>
      <c r="V44" s="77">
        <v>0</v>
      </c>
      <c r="W44" s="75">
        <v>0.9</v>
      </c>
      <c r="X44" s="75">
        <v>0</v>
      </c>
      <c r="Y44" s="75">
        <v>89</v>
      </c>
      <c r="Z44" s="60">
        <v>0.1</v>
      </c>
      <c r="AA44" s="61">
        <v>0.6</v>
      </c>
      <c r="AB44" s="60">
        <v>0.75</v>
      </c>
      <c r="AC44" s="61">
        <v>0.6</v>
      </c>
      <c r="AD44" s="75">
        <v>1</v>
      </c>
      <c r="AE44" s="75">
        <v>3.5</v>
      </c>
      <c r="AF44" s="77">
        <v>2</v>
      </c>
    </row>
    <row r="45" spans="1:32" ht="15.75" thickBot="1" x14ac:dyDescent="0.3">
      <c r="A45" s="75" t="s">
        <v>357</v>
      </c>
      <c r="B45" s="75" t="s">
        <v>358</v>
      </c>
      <c r="C45" s="75" t="s">
        <v>364</v>
      </c>
      <c r="D45" s="75" t="s">
        <v>229</v>
      </c>
      <c r="E45" s="80" t="str">
        <f t="shared" si="0"/>
        <v xml:space="preserve">Allium cepa </v>
      </c>
      <c r="F45" s="80" t="str">
        <f t="shared" si="1"/>
        <v xml:space="preserve">cepa </v>
      </c>
      <c r="G45" s="75" t="s">
        <v>360</v>
      </c>
      <c r="H45" s="75" t="s">
        <v>365</v>
      </c>
      <c r="I45" s="75" t="s">
        <v>29</v>
      </c>
      <c r="J45" s="82" t="s">
        <v>366</v>
      </c>
      <c r="K45" s="80" t="str">
        <f t="shared" si="2"/>
        <v>Onion Vegetable Brown</v>
      </c>
      <c r="L45" s="75">
        <v>95</v>
      </c>
      <c r="M45" s="75" t="s">
        <v>167</v>
      </c>
      <c r="N45" s="75" t="s">
        <v>234</v>
      </c>
      <c r="O45" s="75" t="s">
        <v>178</v>
      </c>
      <c r="P45" s="77" t="s">
        <v>235</v>
      </c>
      <c r="Q45" s="78">
        <v>70</v>
      </c>
      <c r="R45" s="75" t="s">
        <v>5</v>
      </c>
      <c r="S45" s="79" t="s">
        <v>363</v>
      </c>
      <c r="T45" s="75" t="s">
        <v>237</v>
      </c>
      <c r="U45" s="75">
        <v>0</v>
      </c>
      <c r="V45" s="77">
        <v>0</v>
      </c>
      <c r="W45" s="75">
        <v>0.8</v>
      </c>
      <c r="X45" s="75">
        <v>0</v>
      </c>
      <c r="Y45" s="75">
        <v>89</v>
      </c>
      <c r="Z45" s="60">
        <v>0.1</v>
      </c>
      <c r="AA45" s="61">
        <v>0.6</v>
      </c>
      <c r="AB45" s="60">
        <v>0.8</v>
      </c>
      <c r="AC45" s="61">
        <v>0.6</v>
      </c>
      <c r="AD45" s="75">
        <v>1</v>
      </c>
      <c r="AE45" s="75">
        <v>2</v>
      </c>
      <c r="AF45" s="77">
        <v>1.4</v>
      </c>
    </row>
    <row r="46" spans="1:32" ht="15.75" thickBot="1" x14ac:dyDescent="0.3">
      <c r="A46" s="75" t="s">
        <v>357</v>
      </c>
      <c r="B46" s="75" t="s">
        <v>358</v>
      </c>
      <c r="C46" s="75" t="s">
        <v>364</v>
      </c>
      <c r="D46" s="75" t="s">
        <v>229</v>
      </c>
      <c r="E46" s="80" t="str">
        <f t="shared" si="0"/>
        <v xml:space="preserve">Allium cepa </v>
      </c>
      <c r="F46" s="80" t="str">
        <f t="shared" si="1"/>
        <v xml:space="preserve">cepa </v>
      </c>
      <c r="G46" s="75" t="s">
        <v>360</v>
      </c>
      <c r="H46" s="75" t="s">
        <v>365</v>
      </c>
      <c r="I46" s="75" t="s">
        <v>29</v>
      </c>
      <c r="J46" s="82" t="s">
        <v>367</v>
      </c>
      <c r="K46" s="80" t="str">
        <f t="shared" si="2"/>
        <v>Onion Vegetable Red</v>
      </c>
      <c r="L46" s="75">
        <v>96</v>
      </c>
      <c r="M46" s="75" t="s">
        <v>167</v>
      </c>
      <c r="N46" s="75" t="s">
        <v>234</v>
      </c>
      <c r="O46" s="75" t="s">
        <v>176</v>
      </c>
      <c r="P46" s="77" t="s">
        <v>283</v>
      </c>
      <c r="Q46" s="78">
        <v>80</v>
      </c>
      <c r="R46" s="75" t="s">
        <v>5</v>
      </c>
      <c r="S46" s="79" t="s">
        <v>363</v>
      </c>
      <c r="T46" s="75" t="s">
        <v>237</v>
      </c>
      <c r="U46" s="75">
        <v>0</v>
      </c>
      <c r="V46" s="77">
        <v>0</v>
      </c>
      <c r="W46" s="75">
        <v>0.8</v>
      </c>
      <c r="X46" s="75">
        <v>0</v>
      </c>
      <c r="Y46" s="75">
        <v>90</v>
      </c>
      <c r="Z46" s="60">
        <v>0.1</v>
      </c>
      <c r="AA46" s="61">
        <v>0.6</v>
      </c>
      <c r="AB46" s="60">
        <v>0.8</v>
      </c>
      <c r="AC46" s="61">
        <v>0.6</v>
      </c>
      <c r="AD46" s="75">
        <v>1</v>
      </c>
      <c r="AE46" s="75">
        <v>2</v>
      </c>
      <c r="AF46" s="77">
        <v>1.4</v>
      </c>
    </row>
    <row r="47" spans="1:32" ht="15.75" thickBot="1" x14ac:dyDescent="0.3">
      <c r="A47" s="75" t="s">
        <v>357</v>
      </c>
      <c r="B47" s="75" t="s">
        <v>358</v>
      </c>
      <c r="C47" s="75" t="s">
        <v>364</v>
      </c>
      <c r="D47" s="75" t="s">
        <v>229</v>
      </c>
      <c r="E47" s="80" t="str">
        <f t="shared" si="0"/>
        <v xml:space="preserve">Allium cepa </v>
      </c>
      <c r="F47" s="80" t="str">
        <f t="shared" si="1"/>
        <v xml:space="preserve">cepa </v>
      </c>
      <c r="G47" s="75" t="s">
        <v>360</v>
      </c>
      <c r="H47" s="75" t="s">
        <v>365</v>
      </c>
      <c r="I47" s="75" t="s">
        <v>29</v>
      </c>
      <c r="J47" s="82" t="s">
        <v>368</v>
      </c>
      <c r="K47" s="80" t="str">
        <f t="shared" si="2"/>
        <v>Onion Vegetable Shallot</v>
      </c>
      <c r="L47" s="75">
        <v>97</v>
      </c>
      <c r="M47" s="75" t="s">
        <v>167</v>
      </c>
      <c r="N47" s="75" t="s">
        <v>283</v>
      </c>
      <c r="O47" s="75" t="s">
        <v>168</v>
      </c>
      <c r="P47" s="77" t="s">
        <v>272</v>
      </c>
      <c r="Q47" s="78">
        <v>60</v>
      </c>
      <c r="R47" s="75" t="s">
        <v>5</v>
      </c>
      <c r="S47" s="79" t="s">
        <v>363</v>
      </c>
      <c r="T47" s="75" t="s">
        <v>237</v>
      </c>
      <c r="U47" s="75">
        <v>0</v>
      </c>
      <c r="V47" s="77">
        <v>0</v>
      </c>
      <c r="W47" s="75">
        <v>0.8</v>
      </c>
      <c r="X47" s="75">
        <v>0</v>
      </c>
      <c r="Y47" s="75">
        <v>90</v>
      </c>
      <c r="Z47" s="60">
        <v>0.1</v>
      </c>
      <c r="AA47" s="61">
        <v>0.6</v>
      </c>
      <c r="AB47" s="60">
        <v>0.8</v>
      </c>
      <c r="AC47" s="61">
        <v>0.6</v>
      </c>
      <c r="AD47" s="75">
        <v>1</v>
      </c>
      <c r="AE47" s="75">
        <v>2</v>
      </c>
      <c r="AF47" s="77">
        <v>1.4</v>
      </c>
    </row>
    <row r="48" spans="1:32" ht="15.75" thickBot="1" x14ac:dyDescent="0.3">
      <c r="A48" s="75" t="s">
        <v>357</v>
      </c>
      <c r="B48" s="75" t="s">
        <v>358</v>
      </c>
      <c r="C48" s="75" t="s">
        <v>369</v>
      </c>
      <c r="D48" s="75" t="s">
        <v>229</v>
      </c>
      <c r="E48" s="80" t="str">
        <f t="shared" si="0"/>
        <v xml:space="preserve">Allium fistulosum </v>
      </c>
      <c r="F48" s="80" t="str">
        <f t="shared" si="1"/>
        <v xml:space="preserve">fistulosum </v>
      </c>
      <c r="G48" s="75" t="s">
        <v>360</v>
      </c>
      <c r="H48" s="75" t="s">
        <v>361</v>
      </c>
      <c r="I48" s="75" t="s">
        <v>370</v>
      </c>
      <c r="J48" s="82" t="s">
        <v>233</v>
      </c>
      <c r="K48" s="80" t="str">
        <f t="shared" si="2"/>
        <v>Spring onion Vegetable General</v>
      </c>
      <c r="L48" s="75">
        <v>98</v>
      </c>
      <c r="M48" s="75" t="s">
        <v>167</v>
      </c>
      <c r="N48" s="75" t="s">
        <v>235</v>
      </c>
      <c r="O48" s="75" t="s">
        <v>168</v>
      </c>
      <c r="P48" s="77" t="s">
        <v>287</v>
      </c>
      <c r="Q48" s="78">
        <v>60</v>
      </c>
      <c r="R48" s="75" t="s">
        <v>5</v>
      </c>
      <c r="S48" s="79" t="s">
        <v>363</v>
      </c>
      <c r="T48" s="75" t="s">
        <v>237</v>
      </c>
      <c r="U48" s="75">
        <v>0</v>
      </c>
      <c r="V48" s="77">
        <v>0</v>
      </c>
      <c r="W48" s="75">
        <v>1</v>
      </c>
      <c r="X48" s="75">
        <v>0</v>
      </c>
      <c r="Y48" s="75">
        <v>95</v>
      </c>
      <c r="Z48" s="60">
        <v>0.1</v>
      </c>
      <c r="AA48" s="61">
        <v>0.6</v>
      </c>
      <c r="AB48" s="60">
        <v>0.75</v>
      </c>
      <c r="AC48" s="61">
        <v>0.6</v>
      </c>
      <c r="AD48" s="75">
        <v>1</v>
      </c>
      <c r="AE48" s="75">
        <v>2.2000000000000002</v>
      </c>
      <c r="AF48" s="77">
        <v>2.2000000000000002</v>
      </c>
    </row>
    <row r="49" spans="1:32" ht="15.75" thickBot="1" x14ac:dyDescent="0.3">
      <c r="A49" s="75" t="s">
        <v>357</v>
      </c>
      <c r="B49" s="75" t="s">
        <v>358</v>
      </c>
      <c r="C49" s="75" t="s">
        <v>319</v>
      </c>
      <c r="D49" s="75" t="s">
        <v>229</v>
      </c>
      <c r="E49" s="80" t="str">
        <f t="shared" si="0"/>
        <v xml:space="preserve">Allium sativum </v>
      </c>
      <c r="F49" s="80" t="str">
        <f t="shared" si="1"/>
        <v xml:space="preserve">sativum </v>
      </c>
      <c r="G49" s="75" t="s">
        <v>360</v>
      </c>
      <c r="H49" s="75" t="s">
        <v>365</v>
      </c>
      <c r="I49" s="75" t="s">
        <v>371</v>
      </c>
      <c r="J49" s="77" t="s">
        <v>233</v>
      </c>
      <c r="K49" s="80" t="str">
        <f t="shared" si="2"/>
        <v>Garlic Vegetable General</v>
      </c>
      <c r="L49" s="75">
        <v>99</v>
      </c>
      <c r="M49" s="75" t="s">
        <v>167</v>
      </c>
      <c r="N49" s="75" t="s">
        <v>372</v>
      </c>
      <c r="O49" s="75" t="s">
        <v>168</v>
      </c>
      <c r="P49" s="77" t="s">
        <v>272</v>
      </c>
      <c r="Q49" s="78">
        <v>50</v>
      </c>
      <c r="R49" s="75" t="s">
        <v>5</v>
      </c>
      <c r="S49" s="79" t="s">
        <v>363</v>
      </c>
      <c r="T49" s="75" t="s">
        <v>237</v>
      </c>
      <c r="U49" s="75">
        <v>0</v>
      </c>
      <c r="V49" s="77">
        <v>0</v>
      </c>
      <c r="W49" s="75">
        <v>0.8</v>
      </c>
      <c r="X49" s="75">
        <v>0</v>
      </c>
      <c r="Y49" s="75">
        <v>90</v>
      </c>
      <c r="Z49" s="60">
        <v>0.1</v>
      </c>
      <c r="AA49" s="61">
        <v>0.6</v>
      </c>
      <c r="AB49" s="60">
        <v>0.7</v>
      </c>
      <c r="AC49" s="61">
        <v>0.6</v>
      </c>
      <c r="AD49" s="75">
        <v>1</v>
      </c>
      <c r="AE49" s="75">
        <v>2</v>
      </c>
      <c r="AF49" s="77">
        <v>1.4</v>
      </c>
    </row>
    <row r="50" spans="1:32" ht="15.75" thickBot="1" x14ac:dyDescent="0.3">
      <c r="A50" s="75" t="s">
        <v>344</v>
      </c>
      <c r="B50" s="75" t="s">
        <v>373</v>
      </c>
      <c r="C50" s="75" t="s">
        <v>374</v>
      </c>
      <c r="D50" s="75" t="s">
        <v>229</v>
      </c>
      <c r="E50" s="80" t="str">
        <f t="shared" si="0"/>
        <v xml:space="preserve">Apium graveolens </v>
      </c>
      <c r="F50" s="80" t="str">
        <f t="shared" si="1"/>
        <v xml:space="preserve">graveolens </v>
      </c>
      <c r="G50" s="75" t="s">
        <v>360</v>
      </c>
      <c r="H50" s="75" t="s">
        <v>361</v>
      </c>
      <c r="I50" s="75" t="s">
        <v>375</v>
      </c>
      <c r="J50" s="77" t="s">
        <v>233</v>
      </c>
      <c r="K50" s="80" t="str">
        <f t="shared" si="2"/>
        <v>Celery Vegetable General</v>
      </c>
      <c r="L50" s="75">
        <v>100</v>
      </c>
      <c r="M50" s="75" t="s">
        <v>172</v>
      </c>
      <c r="N50" s="75" t="s">
        <v>242</v>
      </c>
      <c r="O50" s="75" t="s">
        <v>168</v>
      </c>
      <c r="P50" s="77" t="s">
        <v>266</v>
      </c>
      <c r="Q50" s="78">
        <v>60</v>
      </c>
      <c r="R50" s="75" t="s">
        <v>5</v>
      </c>
      <c r="S50" s="79" t="s">
        <v>363</v>
      </c>
      <c r="T50" s="75" t="s">
        <v>237</v>
      </c>
      <c r="U50" s="75">
        <v>0</v>
      </c>
      <c r="V50" s="77">
        <v>0</v>
      </c>
      <c r="W50" s="75">
        <v>0.85</v>
      </c>
      <c r="X50" s="75">
        <v>0</v>
      </c>
      <c r="Y50" s="75">
        <v>88</v>
      </c>
      <c r="Z50" s="60">
        <v>0.1</v>
      </c>
      <c r="AA50" s="61">
        <v>1.2</v>
      </c>
      <c r="AB50" s="60">
        <v>1</v>
      </c>
      <c r="AC50" s="61">
        <v>0.8</v>
      </c>
      <c r="AD50" s="75">
        <v>0.9</v>
      </c>
      <c r="AE50" s="75">
        <v>2.5</v>
      </c>
      <c r="AF50" s="77">
        <v>2.5</v>
      </c>
    </row>
    <row r="51" spans="1:32" ht="15.75" thickBot="1" x14ac:dyDescent="0.3">
      <c r="A51" s="75" t="s">
        <v>254</v>
      </c>
      <c r="B51" s="75" t="s">
        <v>255</v>
      </c>
      <c r="C51" s="75" t="s">
        <v>256</v>
      </c>
      <c r="D51" s="75" t="s">
        <v>376</v>
      </c>
      <c r="E51" s="80" t="str">
        <f t="shared" si="0"/>
        <v>Beta vulgaris cicla</v>
      </c>
      <c r="F51" s="80" t="str">
        <f t="shared" si="1"/>
        <v>vulgaris cicla</v>
      </c>
      <c r="G51" s="75" t="s">
        <v>360</v>
      </c>
      <c r="H51" s="75" t="s">
        <v>361</v>
      </c>
      <c r="I51" s="75" t="s">
        <v>377</v>
      </c>
      <c r="J51" s="82" t="s">
        <v>233</v>
      </c>
      <c r="K51" s="80" t="str">
        <f t="shared" si="2"/>
        <v>Silver beet Vegetable General</v>
      </c>
      <c r="L51" s="75">
        <v>101</v>
      </c>
      <c r="M51" s="75" t="s">
        <v>172</v>
      </c>
      <c r="N51" s="75" t="s">
        <v>251</v>
      </c>
      <c r="O51" s="75" t="s">
        <v>168</v>
      </c>
      <c r="P51" s="77" t="s">
        <v>234</v>
      </c>
      <c r="Q51" s="78">
        <v>156</v>
      </c>
      <c r="R51" s="75" t="s">
        <v>5</v>
      </c>
      <c r="S51" s="79" t="s">
        <v>363</v>
      </c>
      <c r="T51" s="75" t="s">
        <v>237</v>
      </c>
      <c r="U51" s="75">
        <v>0</v>
      </c>
      <c r="V51" s="77">
        <v>0</v>
      </c>
      <c r="W51" s="75">
        <v>0.8</v>
      </c>
      <c r="X51" s="75">
        <v>0</v>
      </c>
      <c r="Y51" s="75">
        <v>93</v>
      </c>
      <c r="Z51" s="60">
        <v>0.1</v>
      </c>
      <c r="AA51" s="61">
        <v>1.5</v>
      </c>
      <c r="AB51" s="60">
        <f>0.95*1.2/1.5</f>
        <v>0.7599999999999999</v>
      </c>
      <c r="AC51" s="61">
        <v>1</v>
      </c>
      <c r="AD51" s="75">
        <v>0.8</v>
      </c>
      <c r="AE51" s="75">
        <v>2.5</v>
      </c>
      <c r="AF51" s="77">
        <v>3</v>
      </c>
    </row>
    <row r="52" spans="1:32" ht="15.75" thickBot="1" x14ac:dyDescent="0.3">
      <c r="A52" s="75" t="s">
        <v>254</v>
      </c>
      <c r="B52" s="75" t="s">
        <v>255</v>
      </c>
      <c r="C52" s="75" t="s">
        <v>256</v>
      </c>
      <c r="D52" s="75" t="s">
        <v>333</v>
      </c>
      <c r="E52" s="80" t="str">
        <f t="shared" si="0"/>
        <v>Beta vulgaris conditiva</v>
      </c>
      <c r="F52" s="80" t="str">
        <f t="shared" si="1"/>
        <v>vulgaris conditiva</v>
      </c>
      <c r="G52" s="75" t="s">
        <v>360</v>
      </c>
      <c r="H52" s="75" t="s">
        <v>365</v>
      </c>
      <c r="I52" s="75" t="s">
        <v>335</v>
      </c>
      <c r="J52" s="82" t="s">
        <v>233</v>
      </c>
      <c r="K52" s="80" t="str">
        <f t="shared" si="2"/>
        <v>Red beet Vegetable General</v>
      </c>
      <c r="L52" s="75">
        <v>102</v>
      </c>
      <c r="M52" s="75" t="s">
        <v>167</v>
      </c>
      <c r="N52" s="75" t="s">
        <v>287</v>
      </c>
      <c r="O52" s="75" t="s">
        <v>173</v>
      </c>
      <c r="P52" s="77" t="s">
        <v>234</v>
      </c>
      <c r="Q52" s="78">
        <v>55</v>
      </c>
      <c r="R52" s="75" t="s">
        <v>5</v>
      </c>
      <c r="S52" s="79" t="s">
        <v>363</v>
      </c>
      <c r="T52" s="75" t="s">
        <v>237</v>
      </c>
      <c r="U52" s="75">
        <v>0</v>
      </c>
      <c r="V52" s="77">
        <v>0</v>
      </c>
      <c r="W52" s="75">
        <v>0.81499999999999995</v>
      </c>
      <c r="X52" s="75">
        <v>5.5000000000000049E-2</v>
      </c>
      <c r="Y52" s="75">
        <v>86</v>
      </c>
      <c r="Z52" s="60">
        <v>0.1</v>
      </c>
      <c r="AA52" s="61">
        <v>1.5</v>
      </c>
      <c r="AB52" s="60">
        <v>0.95</v>
      </c>
      <c r="AC52" s="61">
        <v>0.8</v>
      </c>
      <c r="AD52" s="75">
        <v>0.8</v>
      </c>
      <c r="AE52" s="75">
        <v>2</v>
      </c>
      <c r="AF52" s="77">
        <v>1.5</v>
      </c>
    </row>
    <row r="53" spans="1:32" ht="15.75" thickBot="1" x14ac:dyDescent="0.3">
      <c r="A53" s="75" t="s">
        <v>259</v>
      </c>
      <c r="B53" s="75" t="s">
        <v>260</v>
      </c>
      <c r="C53" s="75" t="s">
        <v>267</v>
      </c>
      <c r="D53" s="75" t="s">
        <v>378</v>
      </c>
      <c r="E53" s="80" t="str">
        <f t="shared" si="0"/>
        <v>Brassica oleracea botrytis</v>
      </c>
      <c r="F53" s="80" t="str">
        <f t="shared" si="1"/>
        <v>oleracea botrytis</v>
      </c>
      <c r="G53" s="75" t="s">
        <v>360</v>
      </c>
      <c r="H53" s="75" t="s">
        <v>361</v>
      </c>
      <c r="I53" s="75" t="s">
        <v>58</v>
      </c>
      <c r="J53" s="82" t="s">
        <v>233</v>
      </c>
      <c r="K53" s="80" t="str">
        <f t="shared" si="2"/>
        <v>Cauliflower Vegetable General</v>
      </c>
      <c r="L53" s="75">
        <v>103</v>
      </c>
      <c r="M53" s="75" t="s">
        <v>172</v>
      </c>
      <c r="N53" s="75" t="s">
        <v>287</v>
      </c>
      <c r="O53" s="75" t="s">
        <v>173</v>
      </c>
      <c r="P53" s="77" t="s">
        <v>266</v>
      </c>
      <c r="Q53" s="78">
        <v>40</v>
      </c>
      <c r="R53" s="75" t="s">
        <v>5</v>
      </c>
      <c r="S53" s="79" t="s">
        <v>363</v>
      </c>
      <c r="T53" s="75" t="s">
        <v>237</v>
      </c>
      <c r="U53" s="75">
        <v>0</v>
      </c>
      <c r="V53" s="77">
        <v>0</v>
      </c>
      <c r="W53" s="75">
        <v>0.4</v>
      </c>
      <c r="X53" s="75">
        <v>0</v>
      </c>
      <c r="Y53" s="75">
        <v>93</v>
      </c>
      <c r="Z53" s="60">
        <v>0.1</v>
      </c>
      <c r="AA53" s="61">
        <v>1.2</v>
      </c>
      <c r="AB53" s="60">
        <v>1</v>
      </c>
      <c r="AC53" s="61">
        <v>2</v>
      </c>
      <c r="AD53" s="75">
        <v>0.8</v>
      </c>
      <c r="AE53" s="75">
        <v>3.8</v>
      </c>
      <c r="AF53" s="77">
        <v>3.5</v>
      </c>
    </row>
    <row r="54" spans="1:32" ht="15.75" thickBot="1" x14ac:dyDescent="0.3">
      <c r="A54" s="75" t="s">
        <v>259</v>
      </c>
      <c r="B54" s="75" t="s">
        <v>260</v>
      </c>
      <c r="C54" s="75" t="s">
        <v>267</v>
      </c>
      <c r="D54" s="75" t="s">
        <v>379</v>
      </c>
      <c r="E54" s="80" t="str">
        <f t="shared" si="0"/>
        <v>Brassica oleracea capitata</v>
      </c>
      <c r="F54" s="80" t="str">
        <f t="shared" si="1"/>
        <v>oleracea capitata</v>
      </c>
      <c r="G54" s="75" t="s">
        <v>360</v>
      </c>
      <c r="H54" s="75" t="s">
        <v>361</v>
      </c>
      <c r="I54" s="75" t="s">
        <v>380</v>
      </c>
      <c r="J54" s="82" t="s">
        <v>233</v>
      </c>
      <c r="K54" s="80" t="str">
        <f t="shared" si="2"/>
        <v>Cabbage Vegetable General</v>
      </c>
      <c r="L54" s="75">
        <v>104</v>
      </c>
      <c r="M54" s="75" t="s">
        <v>172</v>
      </c>
      <c r="N54" s="75" t="s">
        <v>287</v>
      </c>
      <c r="O54" s="75" t="s">
        <v>168</v>
      </c>
      <c r="P54" s="77" t="s">
        <v>266</v>
      </c>
      <c r="Q54" s="78">
        <v>60</v>
      </c>
      <c r="R54" s="75" t="s">
        <v>5</v>
      </c>
      <c r="S54" s="79" t="s">
        <v>363</v>
      </c>
      <c r="T54" s="75" t="s">
        <v>237</v>
      </c>
      <c r="U54" s="75">
        <v>0</v>
      </c>
      <c r="V54" s="77">
        <v>0</v>
      </c>
      <c r="W54" s="75">
        <v>0.7</v>
      </c>
      <c r="X54" s="75">
        <v>0</v>
      </c>
      <c r="Y54" s="75">
        <v>90</v>
      </c>
      <c r="Z54" s="60">
        <v>0.1</v>
      </c>
      <c r="AA54" s="61">
        <v>1.2</v>
      </c>
      <c r="AB54" s="60">
        <v>1</v>
      </c>
      <c r="AC54" s="61">
        <v>2</v>
      </c>
      <c r="AD54" s="75">
        <v>0.8</v>
      </c>
      <c r="AE54" s="75">
        <v>3</v>
      </c>
      <c r="AF54" s="77">
        <v>2.6</v>
      </c>
    </row>
    <row r="55" spans="1:32" ht="15.75" thickBot="1" x14ac:dyDescent="0.3">
      <c r="A55" s="75" t="s">
        <v>259</v>
      </c>
      <c r="B55" s="75" t="s">
        <v>260</v>
      </c>
      <c r="C55" s="75" t="s">
        <v>267</v>
      </c>
      <c r="D55" s="75" t="s">
        <v>381</v>
      </c>
      <c r="E55" s="80" t="str">
        <f t="shared" si="0"/>
        <v>Brassica oleracea gemmifera</v>
      </c>
      <c r="F55" s="80" t="str">
        <f t="shared" si="1"/>
        <v>oleracea gemmifera</v>
      </c>
      <c r="G55" s="75" t="s">
        <v>360</v>
      </c>
      <c r="H55" s="75" t="s">
        <v>361</v>
      </c>
      <c r="I55" s="75" t="s">
        <v>382</v>
      </c>
      <c r="J55" s="82" t="s">
        <v>233</v>
      </c>
      <c r="K55" s="80" t="str">
        <f t="shared" si="2"/>
        <v>Brussel sprout  Vegetable General</v>
      </c>
      <c r="L55" s="75">
        <v>105</v>
      </c>
      <c r="M55" s="75" t="s">
        <v>172</v>
      </c>
      <c r="N55" s="75" t="s">
        <v>251</v>
      </c>
      <c r="O55" s="75" t="s">
        <v>173</v>
      </c>
      <c r="P55" s="77" t="s">
        <v>372</v>
      </c>
      <c r="Q55" s="78">
        <v>15</v>
      </c>
      <c r="R55" s="75" t="s">
        <v>5</v>
      </c>
      <c r="S55" s="79" t="s">
        <v>363</v>
      </c>
      <c r="T55" s="75" t="s">
        <v>237</v>
      </c>
      <c r="U55" s="75">
        <v>0</v>
      </c>
      <c r="V55" s="77">
        <v>0</v>
      </c>
      <c r="W55" s="75">
        <v>0.4</v>
      </c>
      <c r="X55" s="75">
        <v>0</v>
      </c>
      <c r="Y55" s="75">
        <v>80</v>
      </c>
      <c r="Z55" s="60">
        <v>0.1</v>
      </c>
      <c r="AA55" s="61">
        <v>1.2</v>
      </c>
      <c r="AB55" s="60">
        <v>1</v>
      </c>
      <c r="AC55" s="61">
        <v>2</v>
      </c>
      <c r="AD55" s="75">
        <v>0.8</v>
      </c>
      <c r="AE55" s="75">
        <v>3.8</v>
      </c>
      <c r="AF55" s="77">
        <v>3.5</v>
      </c>
    </row>
    <row r="56" spans="1:32" ht="15.75" thickBot="1" x14ac:dyDescent="0.3">
      <c r="A56" s="75" t="s">
        <v>259</v>
      </c>
      <c r="B56" s="75" t="s">
        <v>260</v>
      </c>
      <c r="C56" s="75" t="s">
        <v>267</v>
      </c>
      <c r="D56" s="75" t="s">
        <v>383</v>
      </c>
      <c r="E56" s="80" t="str">
        <f t="shared" si="0"/>
        <v>Brassica oleracea italica</v>
      </c>
      <c r="F56" s="80" t="str">
        <f t="shared" si="1"/>
        <v>oleracea italica</v>
      </c>
      <c r="G56" s="75" t="s">
        <v>360</v>
      </c>
      <c r="H56" s="75" t="s">
        <v>361</v>
      </c>
      <c r="I56" s="75" t="s">
        <v>384</v>
      </c>
      <c r="J56" s="82" t="s">
        <v>385</v>
      </c>
      <c r="K56" s="80" t="str">
        <f t="shared" si="2"/>
        <v>Broccoli Vegetable Head only</v>
      </c>
      <c r="L56" s="75">
        <v>106</v>
      </c>
      <c r="M56" s="75" t="s">
        <v>172</v>
      </c>
      <c r="N56" s="75" t="s">
        <v>234</v>
      </c>
      <c r="O56" s="75" t="s">
        <v>173</v>
      </c>
      <c r="P56" s="77" t="s">
        <v>287</v>
      </c>
      <c r="Q56" s="78">
        <v>10</v>
      </c>
      <c r="R56" s="75" t="s">
        <v>5</v>
      </c>
      <c r="S56" s="79" t="s">
        <v>363</v>
      </c>
      <c r="T56" s="75" t="s">
        <v>237</v>
      </c>
      <c r="U56" s="75">
        <v>0</v>
      </c>
      <c r="V56" s="77">
        <v>0</v>
      </c>
      <c r="W56" s="75">
        <v>0.13</v>
      </c>
      <c r="X56" s="75">
        <v>0</v>
      </c>
      <c r="Y56" s="75">
        <v>89</v>
      </c>
      <c r="Z56" s="60">
        <v>0.1</v>
      </c>
      <c r="AA56" s="61">
        <v>1.2</v>
      </c>
      <c r="AB56" s="60">
        <v>1</v>
      </c>
      <c r="AC56" s="61">
        <v>2</v>
      </c>
      <c r="AD56" s="75">
        <v>0.8</v>
      </c>
      <c r="AE56" s="75">
        <v>3.8</v>
      </c>
      <c r="AF56" s="77">
        <v>3.5</v>
      </c>
    </row>
    <row r="57" spans="1:32" ht="15.75" thickBot="1" x14ac:dyDescent="0.3">
      <c r="A57" s="75" t="s">
        <v>259</v>
      </c>
      <c r="B57" s="75" t="s">
        <v>260</v>
      </c>
      <c r="C57" s="75" t="s">
        <v>267</v>
      </c>
      <c r="D57" s="75" t="s">
        <v>383</v>
      </c>
      <c r="E57" s="80" t="str">
        <f t="shared" si="0"/>
        <v>Brassica oleracea italica</v>
      </c>
      <c r="F57" s="80" t="str">
        <f t="shared" si="1"/>
        <v>oleracea italica</v>
      </c>
      <c r="G57" s="75" t="s">
        <v>360</v>
      </c>
      <c r="H57" s="75" t="s">
        <v>361</v>
      </c>
      <c r="I57" s="75" t="s">
        <v>384</v>
      </c>
      <c r="J57" s="82" t="s">
        <v>386</v>
      </c>
      <c r="K57" s="80" t="str">
        <f t="shared" si="2"/>
        <v>Broccoli Vegetable Chinese cut</v>
      </c>
      <c r="L57" s="75">
        <v>107</v>
      </c>
      <c r="M57" s="75" t="s">
        <v>172</v>
      </c>
      <c r="N57" s="75" t="s">
        <v>234</v>
      </c>
      <c r="O57" s="75" t="s">
        <v>173</v>
      </c>
      <c r="P57" s="77" t="s">
        <v>287</v>
      </c>
      <c r="Q57" s="78">
        <v>20</v>
      </c>
      <c r="R57" s="75" t="s">
        <v>5</v>
      </c>
      <c r="S57" s="79" t="s">
        <v>363</v>
      </c>
      <c r="T57" s="75" t="s">
        <v>237</v>
      </c>
      <c r="U57" s="75">
        <v>0</v>
      </c>
      <c r="V57" s="77">
        <v>0</v>
      </c>
      <c r="W57" s="75">
        <v>0.26</v>
      </c>
      <c r="X57" s="75">
        <v>0</v>
      </c>
      <c r="Y57" s="75">
        <v>89</v>
      </c>
      <c r="Z57" s="60">
        <v>0.1</v>
      </c>
      <c r="AA57" s="61">
        <v>1.2</v>
      </c>
      <c r="AB57" s="60">
        <v>1</v>
      </c>
      <c r="AC57" s="61">
        <v>2</v>
      </c>
      <c r="AD57" s="75">
        <v>0.8</v>
      </c>
      <c r="AE57" s="75">
        <v>3.6</v>
      </c>
      <c r="AF57" s="77">
        <v>3.6</v>
      </c>
    </row>
    <row r="58" spans="1:32" ht="15.75" thickBot="1" x14ac:dyDescent="0.3">
      <c r="A58" s="75" t="s">
        <v>259</v>
      </c>
      <c r="B58" s="75" t="s">
        <v>260</v>
      </c>
      <c r="C58" s="75" t="s">
        <v>270</v>
      </c>
      <c r="D58" s="75" t="s">
        <v>337</v>
      </c>
      <c r="E58" s="80" t="str">
        <f t="shared" si="0"/>
        <v>Brassica rapa chinensis</v>
      </c>
      <c r="F58" s="80" t="str">
        <f t="shared" si="1"/>
        <v>rapa chinensis</v>
      </c>
      <c r="G58" s="75" t="s">
        <v>360</v>
      </c>
      <c r="H58" s="75" t="s">
        <v>361</v>
      </c>
      <c r="I58" s="75" t="s">
        <v>339</v>
      </c>
      <c r="J58" s="82" t="s">
        <v>233</v>
      </c>
      <c r="K58" s="80" t="str">
        <f t="shared" si="2"/>
        <v>Pak choi Vegetable General</v>
      </c>
      <c r="L58" s="75">
        <v>108</v>
      </c>
      <c r="M58" s="75" t="s">
        <v>172</v>
      </c>
      <c r="N58" s="75" t="s">
        <v>234</v>
      </c>
      <c r="O58" s="75" t="s">
        <v>168</v>
      </c>
      <c r="P58" s="77" t="s">
        <v>387</v>
      </c>
      <c r="Q58" s="78">
        <v>45</v>
      </c>
      <c r="R58" s="75" t="s">
        <v>5</v>
      </c>
      <c r="S58" s="79" t="s">
        <v>363</v>
      </c>
      <c r="T58" s="75" t="s">
        <v>237</v>
      </c>
      <c r="U58" s="75">
        <v>0</v>
      </c>
      <c r="V58" s="77">
        <v>0</v>
      </c>
      <c r="W58" s="75">
        <v>0.63</v>
      </c>
      <c r="X58" s="75">
        <v>0</v>
      </c>
      <c r="Y58" s="75">
        <v>96</v>
      </c>
      <c r="Z58" s="60">
        <v>0.1</v>
      </c>
      <c r="AA58" s="61">
        <v>1.2</v>
      </c>
      <c r="AB58" s="60">
        <v>0.8</v>
      </c>
      <c r="AC58" s="61">
        <v>1.5</v>
      </c>
      <c r="AD58" s="75">
        <v>0.8</v>
      </c>
      <c r="AE58" s="75">
        <v>4.5</v>
      </c>
      <c r="AF58" s="77">
        <v>4.8</v>
      </c>
    </row>
    <row r="59" spans="1:32" ht="15.75" thickBot="1" x14ac:dyDescent="0.3">
      <c r="A59" s="75" t="s">
        <v>259</v>
      </c>
      <c r="B59" s="75" t="s">
        <v>260</v>
      </c>
      <c r="C59" s="75" t="s">
        <v>270</v>
      </c>
      <c r="D59" s="75" t="s">
        <v>388</v>
      </c>
      <c r="E59" s="80" t="str">
        <f t="shared" si="0"/>
        <v>Brassica rapa parachinensis</v>
      </c>
      <c r="F59" s="80" t="str">
        <f t="shared" si="1"/>
        <v>rapa parachinensis</v>
      </c>
      <c r="G59" s="75" t="s">
        <v>360</v>
      </c>
      <c r="H59" s="75" t="s">
        <v>361</v>
      </c>
      <c r="I59" s="75" t="s">
        <v>389</v>
      </c>
      <c r="J59" s="82" t="s">
        <v>233</v>
      </c>
      <c r="K59" s="80" t="str">
        <f t="shared" si="2"/>
        <v>Choy sum Vegetable General</v>
      </c>
      <c r="L59" s="75">
        <v>109</v>
      </c>
      <c r="M59" s="75" t="s">
        <v>172</v>
      </c>
      <c r="N59" s="75" t="s">
        <v>234</v>
      </c>
      <c r="O59" s="75" t="s">
        <v>168</v>
      </c>
      <c r="P59" s="77" t="s">
        <v>287</v>
      </c>
      <c r="Q59" s="78">
        <v>40</v>
      </c>
      <c r="R59" s="75" t="s">
        <v>5</v>
      </c>
      <c r="S59" s="79" t="s">
        <v>363</v>
      </c>
      <c r="T59" s="75" t="s">
        <v>237</v>
      </c>
      <c r="U59" s="75">
        <v>0</v>
      </c>
      <c r="V59" s="77">
        <v>0</v>
      </c>
      <c r="W59" s="75">
        <v>0.85</v>
      </c>
      <c r="X59" s="75">
        <v>0</v>
      </c>
      <c r="Y59" s="75">
        <v>90</v>
      </c>
      <c r="Z59" s="60">
        <v>0.1</v>
      </c>
      <c r="AA59" s="61">
        <v>1.2</v>
      </c>
      <c r="AB59" s="60">
        <v>0.9</v>
      </c>
      <c r="AC59" s="61">
        <v>2</v>
      </c>
      <c r="AD59" s="75">
        <v>0.8</v>
      </c>
      <c r="AE59" s="75">
        <v>4.5</v>
      </c>
      <c r="AF59" s="77">
        <v>4.8</v>
      </c>
    </row>
    <row r="60" spans="1:32" ht="15.75" thickBot="1" x14ac:dyDescent="0.3">
      <c r="A60" s="75" t="s">
        <v>259</v>
      </c>
      <c r="B60" s="75" t="s">
        <v>260</v>
      </c>
      <c r="C60" s="75" t="s">
        <v>270</v>
      </c>
      <c r="D60" s="75" t="s">
        <v>390</v>
      </c>
      <c r="E60" s="80" t="str">
        <f t="shared" si="0"/>
        <v>Brassica rapa pekinensis</v>
      </c>
      <c r="F60" s="80" t="str">
        <f t="shared" si="1"/>
        <v>rapa pekinensis</v>
      </c>
      <c r="G60" s="75" t="s">
        <v>360</v>
      </c>
      <c r="H60" s="75" t="s">
        <v>361</v>
      </c>
      <c r="I60" s="75" t="s">
        <v>391</v>
      </c>
      <c r="J60" s="82" t="s">
        <v>233</v>
      </c>
      <c r="K60" s="80" t="str">
        <f t="shared" si="2"/>
        <v>Wong bok Vegetable General</v>
      </c>
      <c r="L60" s="75">
        <v>110</v>
      </c>
      <c r="M60" s="75" t="s">
        <v>172</v>
      </c>
      <c r="N60" s="75" t="s">
        <v>272</v>
      </c>
      <c r="O60" s="75" t="s">
        <v>168</v>
      </c>
      <c r="P60" s="77" t="s">
        <v>372</v>
      </c>
      <c r="Q60" s="78">
        <v>53</v>
      </c>
      <c r="R60" s="75" t="s">
        <v>5</v>
      </c>
      <c r="S60" s="79" t="s">
        <v>363</v>
      </c>
      <c r="T60" s="75" t="s">
        <v>237</v>
      </c>
      <c r="U60" s="75">
        <v>0</v>
      </c>
      <c r="V60" s="77">
        <v>0</v>
      </c>
      <c r="W60" s="75">
        <v>0.8</v>
      </c>
      <c r="X60" s="75">
        <v>0</v>
      </c>
      <c r="Y60" s="75">
        <v>90</v>
      </c>
      <c r="Z60" s="60">
        <v>0.1</v>
      </c>
      <c r="AA60" s="61">
        <v>1.2</v>
      </c>
      <c r="AB60" s="60">
        <v>0.9</v>
      </c>
      <c r="AC60" s="61">
        <v>2</v>
      </c>
      <c r="AD60" s="75">
        <v>0.8</v>
      </c>
      <c r="AE60" s="75">
        <v>3</v>
      </c>
      <c r="AF60" s="77">
        <v>3</v>
      </c>
    </row>
    <row r="61" spans="1:32" ht="15.75" thickBot="1" x14ac:dyDescent="0.3">
      <c r="A61" s="75" t="s">
        <v>344</v>
      </c>
      <c r="B61" s="75" t="s">
        <v>392</v>
      </c>
      <c r="C61" s="75" t="s">
        <v>319</v>
      </c>
      <c r="D61" s="75" t="s">
        <v>229</v>
      </c>
      <c r="E61" s="80" t="str">
        <f t="shared" si="0"/>
        <v xml:space="preserve">Coriandrum sativum </v>
      </c>
      <c r="F61" s="80" t="str">
        <f t="shared" si="1"/>
        <v xml:space="preserve">sativum </v>
      </c>
      <c r="G61" s="75" t="s">
        <v>360</v>
      </c>
      <c r="H61" s="75" t="s">
        <v>361</v>
      </c>
      <c r="I61" s="75" t="s">
        <v>393</v>
      </c>
      <c r="J61" s="82" t="s">
        <v>233</v>
      </c>
      <c r="K61" s="80" t="str">
        <f t="shared" si="2"/>
        <v>Coriander Vegetable General</v>
      </c>
      <c r="L61" s="75">
        <v>111</v>
      </c>
      <c r="M61" s="75" t="s">
        <v>167</v>
      </c>
      <c r="N61" s="75" t="s">
        <v>234</v>
      </c>
      <c r="O61" s="75" t="s">
        <v>168</v>
      </c>
      <c r="P61" s="77" t="s">
        <v>287</v>
      </c>
      <c r="Q61" s="78">
        <v>20</v>
      </c>
      <c r="R61" s="75" t="s">
        <v>5</v>
      </c>
      <c r="S61" s="79" t="s">
        <v>363</v>
      </c>
      <c r="T61" s="75" t="s">
        <v>237</v>
      </c>
      <c r="U61" s="75">
        <v>0</v>
      </c>
      <c r="V61" s="77">
        <v>0</v>
      </c>
      <c r="W61" s="75">
        <v>1</v>
      </c>
      <c r="X61" s="75">
        <v>0</v>
      </c>
      <c r="Y61" s="75">
        <v>95</v>
      </c>
      <c r="Z61" s="60">
        <v>0.1</v>
      </c>
      <c r="AA61" s="61">
        <v>1.2</v>
      </c>
      <c r="AB61" s="60">
        <v>0.9</v>
      </c>
      <c r="AC61" s="61">
        <v>0.8</v>
      </c>
      <c r="AD61" s="75">
        <v>0.9</v>
      </c>
      <c r="AE61" s="75">
        <v>4.7</v>
      </c>
      <c r="AF61" s="77">
        <v>4.7</v>
      </c>
    </row>
    <row r="62" spans="1:32" ht="15.75" thickBot="1" x14ac:dyDescent="0.3">
      <c r="A62" s="75" t="s">
        <v>394</v>
      </c>
      <c r="B62" s="75" t="s">
        <v>395</v>
      </c>
      <c r="C62" s="75" t="s">
        <v>396</v>
      </c>
      <c r="D62" s="75" t="s">
        <v>229</v>
      </c>
      <c r="E62" s="80" t="str">
        <f t="shared" si="0"/>
        <v xml:space="preserve">Cucumis lanatus </v>
      </c>
      <c r="F62" s="80" t="str">
        <f t="shared" si="1"/>
        <v xml:space="preserve">lanatus </v>
      </c>
      <c r="G62" s="75" t="s">
        <v>360</v>
      </c>
      <c r="H62" s="75" t="s">
        <v>397</v>
      </c>
      <c r="I62" s="75" t="s">
        <v>398</v>
      </c>
      <c r="J62" s="82" t="s">
        <v>233</v>
      </c>
      <c r="K62" s="80" t="str">
        <f t="shared" si="2"/>
        <v>Water melon Vegetable General</v>
      </c>
      <c r="L62" s="75">
        <v>112</v>
      </c>
      <c r="M62" s="75" t="s">
        <v>172</v>
      </c>
      <c r="N62" s="75" t="s">
        <v>242</v>
      </c>
      <c r="O62" s="75" t="s">
        <v>176</v>
      </c>
      <c r="P62" s="77" t="s">
        <v>235</v>
      </c>
      <c r="Q62" s="78">
        <v>180</v>
      </c>
      <c r="R62" s="75" t="s">
        <v>5</v>
      </c>
      <c r="S62" s="79" t="s">
        <v>363</v>
      </c>
      <c r="T62" s="75" t="s">
        <v>237</v>
      </c>
      <c r="U62" s="75">
        <v>0</v>
      </c>
      <c r="V62" s="77">
        <v>0</v>
      </c>
      <c r="W62" s="75">
        <v>0.85</v>
      </c>
      <c r="X62" s="75">
        <v>0</v>
      </c>
      <c r="Y62" s="75">
        <v>95</v>
      </c>
      <c r="Z62" s="60">
        <v>0.1</v>
      </c>
      <c r="AA62" s="61">
        <v>0.8</v>
      </c>
      <c r="AB62" s="60">
        <v>1</v>
      </c>
      <c r="AC62" s="61">
        <v>1</v>
      </c>
      <c r="AD62" s="75">
        <v>1</v>
      </c>
      <c r="AE62" s="75">
        <v>2</v>
      </c>
      <c r="AF62" s="77">
        <v>2</v>
      </c>
    </row>
    <row r="63" spans="1:32" ht="15.75" thickBot="1" x14ac:dyDescent="0.3">
      <c r="A63" s="75" t="s">
        <v>394</v>
      </c>
      <c r="B63" s="75" t="s">
        <v>395</v>
      </c>
      <c r="C63" s="75" t="s">
        <v>399</v>
      </c>
      <c r="D63" s="75" t="s">
        <v>229</v>
      </c>
      <c r="E63" s="80" t="str">
        <f t="shared" si="0"/>
        <v xml:space="preserve">Cucumis melo </v>
      </c>
      <c r="F63" s="80" t="str">
        <f t="shared" si="1"/>
        <v xml:space="preserve">melo </v>
      </c>
      <c r="G63" s="75" t="s">
        <v>360</v>
      </c>
      <c r="H63" s="75" t="s">
        <v>397</v>
      </c>
      <c r="I63" s="75" t="s">
        <v>400</v>
      </c>
      <c r="J63" s="82" t="s">
        <v>233</v>
      </c>
      <c r="K63" s="80" t="str">
        <f t="shared" si="2"/>
        <v>Rock melon Vegetable General</v>
      </c>
      <c r="L63" s="75">
        <v>113</v>
      </c>
      <c r="M63" s="75" t="s">
        <v>172</v>
      </c>
      <c r="N63" s="75" t="s">
        <v>242</v>
      </c>
      <c r="O63" s="75" t="s">
        <v>176</v>
      </c>
      <c r="P63" s="77" t="s">
        <v>235</v>
      </c>
      <c r="Q63" s="78">
        <v>80</v>
      </c>
      <c r="R63" s="75" t="s">
        <v>5</v>
      </c>
      <c r="S63" s="79" t="s">
        <v>363</v>
      </c>
      <c r="T63" s="75" t="s">
        <v>237</v>
      </c>
      <c r="U63" s="75">
        <v>0</v>
      </c>
      <c r="V63" s="77">
        <v>0</v>
      </c>
      <c r="W63" s="75">
        <v>0.7</v>
      </c>
      <c r="X63" s="75">
        <v>0</v>
      </c>
      <c r="Y63" s="75">
        <v>95</v>
      </c>
      <c r="Z63" s="60">
        <v>0.1</v>
      </c>
      <c r="AA63" s="61">
        <v>0.8</v>
      </c>
      <c r="AB63" s="60">
        <v>1</v>
      </c>
      <c r="AC63" s="61">
        <v>1</v>
      </c>
      <c r="AD63" s="75">
        <v>1</v>
      </c>
      <c r="AE63" s="75">
        <v>2</v>
      </c>
      <c r="AF63" s="77">
        <v>2</v>
      </c>
    </row>
    <row r="64" spans="1:32" ht="15.75" thickBot="1" x14ac:dyDescent="0.3">
      <c r="A64" s="75" t="s">
        <v>394</v>
      </c>
      <c r="B64" s="75" t="s">
        <v>401</v>
      </c>
      <c r="C64" s="75" t="s">
        <v>402</v>
      </c>
      <c r="D64" s="75" t="s">
        <v>229</v>
      </c>
      <c r="E64" s="80" t="str">
        <f t="shared" si="0"/>
        <v xml:space="preserve">Cucurbita argyrosperma </v>
      </c>
      <c r="F64" s="80" t="str">
        <f t="shared" si="1"/>
        <v xml:space="preserve">argyrosperma </v>
      </c>
      <c r="G64" s="75" t="s">
        <v>360</v>
      </c>
      <c r="H64" s="75" t="s">
        <v>397</v>
      </c>
      <c r="I64" s="75" t="s">
        <v>403</v>
      </c>
      <c r="J64" s="82" t="s">
        <v>233</v>
      </c>
      <c r="K64" s="80" t="str">
        <f t="shared" si="2"/>
        <v>Squash Vegetable General</v>
      </c>
      <c r="L64" s="75">
        <v>114</v>
      </c>
      <c r="M64" s="75" t="s">
        <v>172</v>
      </c>
      <c r="N64" s="75" t="s">
        <v>242</v>
      </c>
      <c r="O64" s="75" t="s">
        <v>178</v>
      </c>
      <c r="P64" s="77" t="s">
        <v>275</v>
      </c>
      <c r="Q64" s="78">
        <v>25</v>
      </c>
      <c r="R64" s="75" t="s">
        <v>5</v>
      </c>
      <c r="S64" s="79" t="s">
        <v>363</v>
      </c>
      <c r="T64" s="75" t="s">
        <v>237</v>
      </c>
      <c r="U64" s="75">
        <v>0</v>
      </c>
      <c r="V64" s="77">
        <v>0</v>
      </c>
      <c r="W64" s="75">
        <v>0.8</v>
      </c>
      <c r="X64" s="75">
        <v>0</v>
      </c>
      <c r="Y64" s="75">
        <v>80</v>
      </c>
      <c r="Z64" s="60">
        <v>0.1</v>
      </c>
      <c r="AA64" s="61">
        <v>0.8</v>
      </c>
      <c r="AB64" s="60">
        <v>0.94</v>
      </c>
      <c r="AC64" s="61">
        <v>1</v>
      </c>
      <c r="AD64" s="75">
        <v>1</v>
      </c>
      <c r="AE64" s="75">
        <v>2</v>
      </c>
      <c r="AF64" s="77">
        <v>2</v>
      </c>
    </row>
    <row r="65" spans="1:32" ht="15.75" thickBot="1" x14ac:dyDescent="0.3">
      <c r="A65" s="75" t="s">
        <v>394</v>
      </c>
      <c r="B65" s="75" t="s">
        <v>401</v>
      </c>
      <c r="C65" s="75" t="s">
        <v>404</v>
      </c>
      <c r="D65" s="75" t="s">
        <v>229</v>
      </c>
      <c r="E65" s="80" t="str">
        <f t="shared" si="0"/>
        <v xml:space="preserve">Cucurbita pepo </v>
      </c>
      <c r="F65" s="80" t="str">
        <f t="shared" si="1"/>
        <v xml:space="preserve">pepo </v>
      </c>
      <c r="G65" s="75" t="s">
        <v>360</v>
      </c>
      <c r="H65" s="75" t="s">
        <v>397</v>
      </c>
      <c r="I65" s="75" t="s">
        <v>405</v>
      </c>
      <c r="J65" s="82" t="s">
        <v>233</v>
      </c>
      <c r="K65" s="80" t="str">
        <f t="shared" si="2"/>
        <v>Pumpkin Vegetable General</v>
      </c>
      <c r="L65" s="75">
        <v>115</v>
      </c>
      <c r="M65" s="75" t="s">
        <v>167</v>
      </c>
      <c r="N65" s="75" t="s">
        <v>242</v>
      </c>
      <c r="O65" s="75" t="s">
        <v>176</v>
      </c>
      <c r="P65" s="77" t="s">
        <v>275</v>
      </c>
      <c r="Q65" s="78">
        <v>40</v>
      </c>
      <c r="R65" s="75" t="s">
        <v>5</v>
      </c>
      <c r="S65" s="79" t="s">
        <v>363</v>
      </c>
      <c r="T65" s="75" t="s">
        <v>237</v>
      </c>
      <c r="U65" s="75">
        <v>0</v>
      </c>
      <c r="V65" s="77">
        <v>0</v>
      </c>
      <c r="W65" s="75">
        <v>0.8</v>
      </c>
      <c r="X65" s="75">
        <v>0</v>
      </c>
      <c r="Y65" s="75">
        <v>88</v>
      </c>
      <c r="Z65" s="60">
        <v>0.1</v>
      </c>
      <c r="AA65" s="61">
        <v>0.8</v>
      </c>
      <c r="AB65" s="60">
        <v>1</v>
      </c>
      <c r="AC65" s="61">
        <v>1</v>
      </c>
      <c r="AD65" s="75">
        <v>1</v>
      </c>
      <c r="AE65" s="75">
        <v>1.4</v>
      </c>
      <c r="AF65" s="77">
        <v>2</v>
      </c>
    </row>
    <row r="66" spans="1:32" ht="15.75" thickBot="1" x14ac:dyDescent="0.3">
      <c r="A66" s="75" t="s">
        <v>394</v>
      </c>
      <c r="B66" s="75" t="s">
        <v>401</v>
      </c>
      <c r="C66" s="75" t="s">
        <v>404</v>
      </c>
      <c r="D66" s="75" t="s">
        <v>229</v>
      </c>
      <c r="E66" s="80" t="str">
        <f t="shared" si="0"/>
        <v xml:space="preserve">Cucurbita pepo </v>
      </c>
      <c r="F66" s="80" t="str">
        <f t="shared" si="1"/>
        <v xml:space="preserve">pepo </v>
      </c>
      <c r="G66" s="75" t="s">
        <v>360</v>
      </c>
      <c r="H66" s="75" t="s">
        <v>397</v>
      </c>
      <c r="I66" s="75" t="s">
        <v>406</v>
      </c>
      <c r="J66" s="82" t="s">
        <v>233</v>
      </c>
      <c r="K66" s="80" t="str">
        <f t="shared" si="2"/>
        <v>Zucchini Vegetable General</v>
      </c>
      <c r="L66" s="75">
        <v>116</v>
      </c>
      <c r="M66" s="75" t="s">
        <v>167</v>
      </c>
      <c r="N66" s="75" t="s">
        <v>242</v>
      </c>
      <c r="O66" s="75" t="s">
        <v>173</v>
      </c>
      <c r="P66" s="77" t="s">
        <v>266</v>
      </c>
      <c r="Q66" s="78">
        <v>40</v>
      </c>
      <c r="R66" s="75" t="s">
        <v>5</v>
      </c>
      <c r="S66" s="79" t="s">
        <v>363</v>
      </c>
      <c r="T66" s="75" t="s">
        <v>237</v>
      </c>
      <c r="U66" s="75">
        <v>0</v>
      </c>
      <c r="V66" s="77">
        <v>0</v>
      </c>
      <c r="W66" s="75">
        <v>0.4</v>
      </c>
      <c r="X66" s="75">
        <v>0</v>
      </c>
      <c r="Y66" s="75">
        <v>95</v>
      </c>
      <c r="Z66" s="60">
        <v>0.1</v>
      </c>
      <c r="AA66" s="61">
        <v>0.8</v>
      </c>
      <c r="AB66" s="60">
        <v>0.85</v>
      </c>
      <c r="AC66" s="61">
        <v>1</v>
      </c>
      <c r="AD66" s="75">
        <v>1</v>
      </c>
      <c r="AE66" s="75">
        <v>3.8</v>
      </c>
      <c r="AF66" s="77">
        <v>3.2</v>
      </c>
    </row>
    <row r="67" spans="1:32" ht="15.75" thickBot="1" x14ac:dyDescent="0.3">
      <c r="A67" s="75" t="s">
        <v>344</v>
      </c>
      <c r="B67" s="75" t="s">
        <v>345</v>
      </c>
      <c r="C67" s="75" t="s">
        <v>346</v>
      </c>
      <c r="D67" s="75" t="s">
        <v>229</v>
      </c>
      <c r="E67" s="80" t="str">
        <f t="shared" ref="E67:E78" si="3">B67&amp;" "&amp;C67&amp;" "&amp;D67</f>
        <v xml:space="preserve">Daucus carota </v>
      </c>
      <c r="F67" s="80" t="str">
        <f t="shared" ref="F67:F78" si="4">C67&amp;" "&amp;D67</f>
        <v xml:space="preserve">carota </v>
      </c>
      <c r="G67" s="75" t="s">
        <v>360</v>
      </c>
      <c r="H67" s="75" t="s">
        <v>365</v>
      </c>
      <c r="I67" s="75" t="s">
        <v>347</v>
      </c>
      <c r="J67" s="82" t="s">
        <v>233</v>
      </c>
      <c r="K67" s="80" t="str">
        <f t="shared" ref="K67:K78" si="5">I67&amp;" "&amp;G67&amp;" "&amp;J67</f>
        <v>Carrot Vegetable General</v>
      </c>
      <c r="L67" s="75">
        <v>117</v>
      </c>
      <c r="M67" s="75" t="s">
        <v>167</v>
      </c>
      <c r="N67" s="75" t="s">
        <v>242</v>
      </c>
      <c r="O67" s="75" t="s">
        <v>173</v>
      </c>
      <c r="P67" s="77" t="s">
        <v>372</v>
      </c>
      <c r="Q67" s="78">
        <v>70</v>
      </c>
      <c r="R67" s="75" t="s">
        <v>5</v>
      </c>
      <c r="S67" s="79" t="s">
        <v>363</v>
      </c>
      <c r="T67" s="75" t="s">
        <v>237</v>
      </c>
      <c r="U67" s="75">
        <v>0</v>
      </c>
      <c r="V67" s="77">
        <v>0</v>
      </c>
      <c r="W67" s="75">
        <v>0.9</v>
      </c>
      <c r="X67" s="75">
        <v>7.0000000000000007E-2</v>
      </c>
      <c r="Y67" s="75">
        <v>88</v>
      </c>
      <c r="Z67" s="60">
        <v>0.1</v>
      </c>
      <c r="AA67" s="61">
        <v>1.2</v>
      </c>
      <c r="AB67" s="60">
        <v>0.9</v>
      </c>
      <c r="AC67" s="61">
        <v>0.7</v>
      </c>
      <c r="AD67" s="75">
        <v>0.9</v>
      </c>
      <c r="AE67" s="75">
        <v>2</v>
      </c>
      <c r="AF67" s="77">
        <v>1</v>
      </c>
    </row>
    <row r="68" spans="1:32" ht="15.75" thickBot="1" x14ac:dyDescent="0.3">
      <c r="A68" s="75" t="s">
        <v>407</v>
      </c>
      <c r="B68" s="75" t="s">
        <v>408</v>
      </c>
      <c r="C68" s="75" t="s">
        <v>409</v>
      </c>
      <c r="D68" s="75" t="s">
        <v>229</v>
      </c>
      <c r="E68" s="80" t="str">
        <f t="shared" si="3"/>
        <v xml:space="preserve">Ipomoea batatas </v>
      </c>
      <c r="F68" s="80" t="str">
        <f t="shared" si="4"/>
        <v xml:space="preserve">batatas </v>
      </c>
      <c r="G68" s="75" t="s">
        <v>360</v>
      </c>
      <c r="H68" s="75" t="s">
        <v>365</v>
      </c>
      <c r="I68" s="75" t="s">
        <v>410</v>
      </c>
      <c r="J68" s="82" t="s">
        <v>233</v>
      </c>
      <c r="K68" s="80" t="str">
        <f t="shared" si="5"/>
        <v>Kumara Vegetable General</v>
      </c>
      <c r="L68" s="75">
        <v>118</v>
      </c>
      <c r="M68" s="75" t="s">
        <v>167</v>
      </c>
      <c r="N68" s="75" t="s">
        <v>242</v>
      </c>
      <c r="O68" s="75" t="s">
        <v>178</v>
      </c>
      <c r="P68" s="77" t="s">
        <v>234</v>
      </c>
      <c r="Q68" s="78">
        <v>50</v>
      </c>
      <c r="R68" s="75" t="s">
        <v>5</v>
      </c>
      <c r="S68" s="79" t="s">
        <v>363</v>
      </c>
      <c r="T68" s="75" t="s">
        <v>237</v>
      </c>
      <c r="U68" s="75">
        <v>0</v>
      </c>
      <c r="V68" s="77">
        <v>0</v>
      </c>
      <c r="W68" s="75">
        <v>0.89</v>
      </c>
      <c r="X68" s="75">
        <v>0</v>
      </c>
      <c r="Y68" s="75">
        <v>77.400000000000006</v>
      </c>
      <c r="Z68" s="60">
        <v>0.1</v>
      </c>
      <c r="AA68" s="61">
        <v>0.9</v>
      </c>
      <c r="AB68" s="60">
        <v>1</v>
      </c>
      <c r="AC68" s="61">
        <v>1</v>
      </c>
      <c r="AD68" s="75">
        <v>1</v>
      </c>
      <c r="AE68" s="75">
        <v>2</v>
      </c>
      <c r="AF68" s="77">
        <v>1.8</v>
      </c>
    </row>
    <row r="69" spans="1:32" ht="15.75" thickBot="1" x14ac:dyDescent="0.3">
      <c r="A69" s="75" t="s">
        <v>305</v>
      </c>
      <c r="B69" s="75" t="s">
        <v>411</v>
      </c>
      <c r="C69" s="75" t="s">
        <v>246</v>
      </c>
      <c r="D69" s="75" t="s">
        <v>229</v>
      </c>
      <c r="E69" s="80" t="str">
        <f t="shared" si="3"/>
        <v xml:space="preserve">Lactuca sativa </v>
      </c>
      <c r="F69" s="80" t="str">
        <f t="shared" si="4"/>
        <v xml:space="preserve">sativa </v>
      </c>
      <c r="G69" s="75" t="s">
        <v>360</v>
      </c>
      <c r="H69" s="75" t="s">
        <v>361</v>
      </c>
      <c r="I69" s="75" t="s">
        <v>28</v>
      </c>
      <c r="J69" s="82" t="s">
        <v>412</v>
      </c>
      <c r="K69" s="80" t="str">
        <f t="shared" si="5"/>
        <v>Lettuce Vegetable Ice berg</v>
      </c>
      <c r="L69" s="75">
        <v>119</v>
      </c>
      <c r="M69" s="75" t="s">
        <v>172</v>
      </c>
      <c r="N69" s="75" t="s">
        <v>287</v>
      </c>
      <c r="O69" s="75" t="s">
        <v>168</v>
      </c>
      <c r="P69" s="77" t="s">
        <v>272</v>
      </c>
      <c r="Q69" s="78">
        <v>50</v>
      </c>
      <c r="R69" s="75" t="s">
        <v>5</v>
      </c>
      <c r="S69" s="79" t="s">
        <v>363</v>
      </c>
      <c r="T69" s="75" t="s">
        <v>237</v>
      </c>
      <c r="U69" s="75">
        <v>0</v>
      </c>
      <c r="V69" s="77">
        <v>0</v>
      </c>
      <c r="W69" s="75">
        <v>0.7</v>
      </c>
      <c r="X69" s="75">
        <v>0</v>
      </c>
      <c r="Y69" s="75">
        <v>95</v>
      </c>
      <c r="Z69" s="60">
        <v>0.1</v>
      </c>
      <c r="AA69" s="61">
        <v>1</v>
      </c>
      <c r="AB69" s="60">
        <v>0.95</v>
      </c>
      <c r="AC69" s="61">
        <v>1</v>
      </c>
      <c r="AD69" s="75">
        <v>0.9</v>
      </c>
      <c r="AE69" s="75">
        <v>3</v>
      </c>
      <c r="AF69" s="77">
        <v>2.6</v>
      </c>
    </row>
    <row r="70" spans="1:32" ht="15.75" thickBot="1" x14ac:dyDescent="0.3">
      <c r="A70" s="75" t="s">
        <v>305</v>
      </c>
      <c r="B70" s="75" t="s">
        <v>411</v>
      </c>
      <c r="C70" s="75" t="s">
        <v>246</v>
      </c>
      <c r="D70" s="75" t="s">
        <v>229</v>
      </c>
      <c r="E70" s="80" t="str">
        <f t="shared" si="3"/>
        <v xml:space="preserve">Lactuca sativa </v>
      </c>
      <c r="F70" s="80" t="str">
        <f t="shared" si="4"/>
        <v xml:space="preserve">sativa </v>
      </c>
      <c r="G70" s="75" t="s">
        <v>360</v>
      </c>
      <c r="H70" s="75" t="s">
        <v>361</v>
      </c>
      <c r="I70" s="75" t="s">
        <v>28</v>
      </c>
      <c r="J70" s="82" t="s">
        <v>413</v>
      </c>
      <c r="K70" s="80" t="str">
        <f t="shared" si="5"/>
        <v>Lettuce Vegetable Leafy-salad</v>
      </c>
      <c r="L70" s="75">
        <v>120</v>
      </c>
      <c r="M70" s="75" t="s">
        <v>172</v>
      </c>
      <c r="N70" s="75" t="s">
        <v>287</v>
      </c>
      <c r="O70" s="75" t="s">
        <v>168</v>
      </c>
      <c r="P70" s="77" t="s">
        <v>272</v>
      </c>
      <c r="Q70" s="78">
        <v>40</v>
      </c>
      <c r="R70" s="75" t="s">
        <v>5</v>
      </c>
      <c r="S70" s="79" t="s">
        <v>363</v>
      </c>
      <c r="T70" s="75" t="s">
        <v>237</v>
      </c>
      <c r="U70" s="75">
        <v>0</v>
      </c>
      <c r="V70" s="77">
        <v>0</v>
      </c>
      <c r="W70" s="75">
        <v>0.8</v>
      </c>
      <c r="X70" s="75">
        <v>0</v>
      </c>
      <c r="Y70" s="75">
        <v>95</v>
      </c>
      <c r="Z70" s="60">
        <v>0.1</v>
      </c>
      <c r="AA70" s="61">
        <v>1</v>
      </c>
      <c r="AB70" s="60">
        <v>0.9</v>
      </c>
      <c r="AC70" s="61">
        <v>1</v>
      </c>
      <c r="AD70" s="75">
        <v>0.9</v>
      </c>
      <c r="AE70" s="75">
        <v>3</v>
      </c>
      <c r="AF70" s="77">
        <v>3.5</v>
      </c>
    </row>
    <row r="71" spans="1:32" ht="15.75" thickBot="1" x14ac:dyDescent="0.3">
      <c r="A71" s="75" t="s">
        <v>344</v>
      </c>
      <c r="B71" s="75" t="s">
        <v>414</v>
      </c>
      <c r="C71" s="75" t="s">
        <v>246</v>
      </c>
      <c r="D71" s="75" t="s">
        <v>229</v>
      </c>
      <c r="E71" s="80" t="str">
        <f t="shared" si="3"/>
        <v xml:space="preserve">Pastinaca sativa </v>
      </c>
      <c r="F71" s="80" t="str">
        <f t="shared" si="4"/>
        <v xml:space="preserve">sativa </v>
      </c>
      <c r="G71" s="75" t="s">
        <v>360</v>
      </c>
      <c r="H71" s="75" t="s">
        <v>365</v>
      </c>
      <c r="I71" s="75" t="s">
        <v>415</v>
      </c>
      <c r="J71" s="82" t="s">
        <v>233</v>
      </c>
      <c r="K71" s="80" t="str">
        <f t="shared" si="5"/>
        <v>Parsnip Vegetable General</v>
      </c>
      <c r="L71" s="75">
        <v>121</v>
      </c>
      <c r="M71" s="75" t="s">
        <v>167</v>
      </c>
      <c r="N71" s="75" t="s">
        <v>287</v>
      </c>
      <c r="O71" s="75" t="s">
        <v>173</v>
      </c>
      <c r="P71" s="77" t="s">
        <v>234</v>
      </c>
      <c r="Q71" s="78">
        <v>44</v>
      </c>
      <c r="R71" s="75" t="s">
        <v>5</v>
      </c>
      <c r="S71" s="79" t="s">
        <v>363</v>
      </c>
      <c r="T71" s="75" t="s">
        <v>237</v>
      </c>
      <c r="U71" s="75">
        <v>0</v>
      </c>
      <c r="V71" s="77">
        <v>0</v>
      </c>
      <c r="W71" s="75">
        <v>0.95</v>
      </c>
      <c r="X71" s="75">
        <v>0</v>
      </c>
      <c r="Y71" s="75">
        <v>83</v>
      </c>
      <c r="Z71" s="60">
        <v>0.1</v>
      </c>
      <c r="AA71" s="61">
        <v>1.2</v>
      </c>
      <c r="AB71" s="60">
        <v>0.95</v>
      </c>
      <c r="AC71" s="61">
        <v>0.8</v>
      </c>
      <c r="AD71" s="75">
        <v>0.9</v>
      </c>
      <c r="AE71" s="75">
        <v>2</v>
      </c>
      <c r="AF71" s="77">
        <v>1.35</v>
      </c>
    </row>
    <row r="72" spans="1:32" ht="15.75" thickBot="1" x14ac:dyDescent="0.3">
      <c r="A72" s="75" t="s">
        <v>300</v>
      </c>
      <c r="B72" s="75" t="s">
        <v>316</v>
      </c>
      <c r="C72" s="75" t="s">
        <v>256</v>
      </c>
      <c r="D72" s="75" t="s">
        <v>229</v>
      </c>
      <c r="E72" s="80" t="str">
        <f t="shared" si="3"/>
        <v xml:space="preserve">Phaseolus vulgaris </v>
      </c>
      <c r="F72" s="80" t="str">
        <f t="shared" si="4"/>
        <v xml:space="preserve">vulgaris </v>
      </c>
      <c r="G72" s="75" t="s">
        <v>360</v>
      </c>
      <c r="H72" s="75" t="s">
        <v>303</v>
      </c>
      <c r="I72" s="75" t="s">
        <v>317</v>
      </c>
      <c r="J72" s="82" t="s">
        <v>233</v>
      </c>
      <c r="K72" s="80" t="str">
        <f t="shared" si="5"/>
        <v>Bean Vegetable General</v>
      </c>
      <c r="L72" s="75">
        <v>122</v>
      </c>
      <c r="M72" s="75" t="s">
        <v>167</v>
      </c>
      <c r="N72" s="75" t="s">
        <v>251</v>
      </c>
      <c r="O72" s="75" t="s">
        <v>173</v>
      </c>
      <c r="P72" s="77" t="s">
        <v>275</v>
      </c>
      <c r="Q72" s="78">
        <v>18</v>
      </c>
      <c r="R72" s="75" t="s">
        <v>5</v>
      </c>
      <c r="S72" s="79" t="s">
        <v>363</v>
      </c>
      <c r="T72" s="75" t="s">
        <v>237</v>
      </c>
      <c r="U72" s="75">
        <v>0</v>
      </c>
      <c r="V72" s="77">
        <v>0</v>
      </c>
      <c r="W72" s="75">
        <v>0.44</v>
      </c>
      <c r="X72" s="75">
        <v>7.0000000000000007E-2</v>
      </c>
      <c r="Y72" s="75">
        <v>89</v>
      </c>
      <c r="Z72" s="60">
        <v>0.1</v>
      </c>
      <c r="AA72" s="61">
        <v>1</v>
      </c>
      <c r="AB72" s="60">
        <v>0.9</v>
      </c>
      <c r="AC72" s="61">
        <v>1</v>
      </c>
      <c r="AD72" s="75">
        <v>1.5</v>
      </c>
      <c r="AE72" s="75">
        <v>2.5</v>
      </c>
      <c r="AF72" s="77">
        <v>2.8</v>
      </c>
    </row>
    <row r="73" spans="1:32" ht="15.75" thickBot="1" x14ac:dyDescent="0.3">
      <c r="A73" s="75" t="s">
        <v>300</v>
      </c>
      <c r="B73" s="75" t="s">
        <v>318</v>
      </c>
      <c r="C73" s="75" t="s">
        <v>319</v>
      </c>
      <c r="D73" s="75" t="s">
        <v>229</v>
      </c>
      <c r="E73" s="80" t="str">
        <f t="shared" si="3"/>
        <v xml:space="preserve">Pisum sativum </v>
      </c>
      <c r="F73" s="80" t="str">
        <f t="shared" si="4"/>
        <v xml:space="preserve">sativum </v>
      </c>
      <c r="G73" s="75" t="s">
        <v>360</v>
      </c>
      <c r="H73" s="75" t="s">
        <v>303</v>
      </c>
      <c r="I73" s="75" t="s">
        <v>320</v>
      </c>
      <c r="J73" s="82" t="s">
        <v>233</v>
      </c>
      <c r="K73" s="80" t="str">
        <f t="shared" si="5"/>
        <v>Pea Vegetable General</v>
      </c>
      <c r="L73" s="75">
        <v>123</v>
      </c>
      <c r="M73" s="75" t="s">
        <v>167</v>
      </c>
      <c r="N73" s="75" t="s">
        <v>387</v>
      </c>
      <c r="O73" s="75" t="s">
        <v>173</v>
      </c>
      <c r="P73" s="77" t="s">
        <v>266</v>
      </c>
      <c r="Q73" s="78">
        <v>9.5</v>
      </c>
      <c r="R73" s="75" t="s">
        <v>5</v>
      </c>
      <c r="S73" s="79" t="s">
        <v>363</v>
      </c>
      <c r="T73" s="75" t="s">
        <v>237</v>
      </c>
      <c r="U73" s="75">
        <v>0</v>
      </c>
      <c r="V73" s="77">
        <v>0</v>
      </c>
      <c r="W73" s="75">
        <v>0.34</v>
      </c>
      <c r="X73" s="75">
        <v>0.08</v>
      </c>
      <c r="Y73" s="75">
        <v>73</v>
      </c>
      <c r="Z73" s="60">
        <v>0.1</v>
      </c>
      <c r="AA73" s="61">
        <v>0.7</v>
      </c>
      <c r="AB73" s="60">
        <v>1</v>
      </c>
      <c r="AC73" s="61">
        <v>1</v>
      </c>
      <c r="AD73" s="75">
        <v>1.5</v>
      </c>
      <c r="AE73" s="75">
        <v>2.1</v>
      </c>
      <c r="AF73" s="77">
        <v>4</v>
      </c>
    </row>
    <row r="74" spans="1:32" ht="15.75" thickBot="1" x14ac:dyDescent="0.3">
      <c r="A74" s="75" t="s">
        <v>416</v>
      </c>
      <c r="B74" s="75" t="s">
        <v>417</v>
      </c>
      <c r="C74" s="75" t="s">
        <v>418</v>
      </c>
      <c r="D74" s="75" t="s">
        <v>229</v>
      </c>
      <c r="E74" s="80" t="str">
        <f t="shared" si="3"/>
        <v xml:space="preserve">Solanum  lycopersicum </v>
      </c>
      <c r="F74" s="80" t="str">
        <f t="shared" si="4"/>
        <v xml:space="preserve">lycopersicum </v>
      </c>
      <c r="G74" s="75" t="s">
        <v>360</v>
      </c>
      <c r="H74" s="75" t="s">
        <v>397</v>
      </c>
      <c r="I74" s="75" t="s">
        <v>419</v>
      </c>
      <c r="J74" s="82" t="s">
        <v>233</v>
      </c>
      <c r="K74" s="80" t="str">
        <f t="shared" si="5"/>
        <v>Tomato Vegetable General</v>
      </c>
      <c r="L74" s="75">
        <v>124</v>
      </c>
      <c r="M74" s="75" t="s">
        <v>172</v>
      </c>
      <c r="N74" s="75" t="s">
        <v>242</v>
      </c>
      <c r="O74" s="75" t="s">
        <v>176</v>
      </c>
      <c r="P74" s="77" t="s">
        <v>283</v>
      </c>
      <c r="Q74" s="78">
        <v>100</v>
      </c>
      <c r="R74" s="75" t="s">
        <v>5</v>
      </c>
      <c r="S74" s="79" t="s">
        <v>363</v>
      </c>
      <c r="T74" s="75" t="s">
        <v>237</v>
      </c>
      <c r="U74" s="75">
        <v>0</v>
      </c>
      <c r="V74" s="77">
        <v>0</v>
      </c>
      <c r="W74" s="75">
        <v>0.5</v>
      </c>
      <c r="X74" s="75">
        <v>0</v>
      </c>
      <c r="Y74" s="75">
        <v>95</v>
      </c>
      <c r="Z74" s="60">
        <v>0.1</v>
      </c>
      <c r="AA74" s="61">
        <v>0.6</v>
      </c>
      <c r="AB74" s="60">
        <v>1</v>
      </c>
      <c r="AC74" s="61">
        <v>1.2</v>
      </c>
      <c r="AD74" s="75">
        <v>0.9</v>
      </c>
      <c r="AE74" s="75">
        <v>2</v>
      </c>
      <c r="AF74" s="77">
        <v>2</v>
      </c>
    </row>
    <row r="75" spans="1:32" ht="15.75" thickBot="1" x14ac:dyDescent="0.3">
      <c r="A75" s="75" t="s">
        <v>416</v>
      </c>
      <c r="B75" s="75" t="s">
        <v>417</v>
      </c>
      <c r="C75" s="75" t="s">
        <v>420</v>
      </c>
      <c r="D75" s="75" t="s">
        <v>229</v>
      </c>
      <c r="E75" s="80" t="str">
        <f t="shared" si="3"/>
        <v xml:space="preserve">Solanum  tuberosum </v>
      </c>
      <c r="F75" s="80" t="str">
        <f t="shared" si="4"/>
        <v xml:space="preserve">tuberosum </v>
      </c>
      <c r="G75" s="75" t="s">
        <v>360</v>
      </c>
      <c r="H75" s="75" t="s">
        <v>365</v>
      </c>
      <c r="I75" s="75" t="s">
        <v>30</v>
      </c>
      <c r="J75" s="82" t="s">
        <v>233</v>
      </c>
      <c r="K75" s="80" t="str">
        <f t="shared" si="5"/>
        <v>Potato Vegetable General</v>
      </c>
      <c r="L75" s="75">
        <v>125</v>
      </c>
      <c r="M75" s="75" t="s">
        <v>167</v>
      </c>
      <c r="N75" s="75" t="s">
        <v>242</v>
      </c>
      <c r="O75" s="75" t="s">
        <v>176</v>
      </c>
      <c r="P75" s="77" t="s">
        <v>234</v>
      </c>
      <c r="Q75" s="78">
        <v>64</v>
      </c>
      <c r="R75" s="75" t="s">
        <v>5</v>
      </c>
      <c r="S75" s="79" t="s">
        <v>363</v>
      </c>
      <c r="T75" s="75" t="s">
        <v>237</v>
      </c>
      <c r="U75" s="75">
        <v>0</v>
      </c>
      <c r="V75" s="77">
        <v>0</v>
      </c>
      <c r="W75" s="75">
        <v>0.9</v>
      </c>
      <c r="X75" s="75">
        <v>0.06</v>
      </c>
      <c r="Y75" s="75">
        <v>77.7</v>
      </c>
      <c r="Z75" s="60">
        <v>0.1</v>
      </c>
      <c r="AA75" s="61">
        <v>0.6</v>
      </c>
      <c r="AB75" s="60">
        <v>1</v>
      </c>
      <c r="AC75" s="61">
        <v>1.2</v>
      </c>
      <c r="AD75" s="75">
        <v>0.9</v>
      </c>
      <c r="AE75" s="75">
        <v>2</v>
      </c>
      <c r="AF75" s="77">
        <v>1.8</v>
      </c>
    </row>
    <row r="76" spans="1:32" ht="15.75" thickBot="1" x14ac:dyDescent="0.3">
      <c r="A76" s="75" t="s">
        <v>254</v>
      </c>
      <c r="B76" s="75" t="s">
        <v>421</v>
      </c>
      <c r="C76" s="75" t="s">
        <v>422</v>
      </c>
      <c r="D76" s="75" t="s">
        <v>229</v>
      </c>
      <c r="E76" s="80" t="str">
        <f t="shared" si="3"/>
        <v xml:space="preserve">Spinacia loeracea </v>
      </c>
      <c r="F76" s="80" t="str">
        <f t="shared" si="4"/>
        <v xml:space="preserve">loeracea </v>
      </c>
      <c r="G76" s="75" t="s">
        <v>360</v>
      </c>
      <c r="H76" s="75" t="s">
        <v>361</v>
      </c>
      <c r="I76" s="75" t="s">
        <v>423</v>
      </c>
      <c r="J76" s="82" t="s">
        <v>233</v>
      </c>
      <c r="K76" s="80" t="str">
        <f t="shared" si="5"/>
        <v>Spinach Vegetable General</v>
      </c>
      <c r="L76" s="75">
        <v>126</v>
      </c>
      <c r="M76" s="75" t="s">
        <v>167</v>
      </c>
      <c r="N76" s="75" t="s">
        <v>234</v>
      </c>
      <c r="O76" s="75" t="s">
        <v>168</v>
      </c>
      <c r="P76" s="77" t="s">
        <v>287</v>
      </c>
      <c r="Q76" s="78">
        <v>22</v>
      </c>
      <c r="R76" s="75" t="s">
        <v>5</v>
      </c>
      <c r="S76" s="79" t="s">
        <v>363</v>
      </c>
      <c r="T76" s="75" t="s">
        <v>237</v>
      </c>
      <c r="U76" s="75">
        <v>0</v>
      </c>
      <c r="V76" s="77">
        <v>0</v>
      </c>
      <c r="W76" s="75">
        <v>0.7</v>
      </c>
      <c r="X76" s="75">
        <v>0</v>
      </c>
      <c r="Y76" s="75">
        <v>92</v>
      </c>
      <c r="Z76" s="60">
        <v>0.1</v>
      </c>
      <c r="AA76" s="61">
        <v>1.5</v>
      </c>
      <c r="AB76" s="60">
        <v>0.8</v>
      </c>
      <c r="AC76" s="61">
        <v>1</v>
      </c>
      <c r="AD76" s="75">
        <v>0.8</v>
      </c>
      <c r="AE76" s="75">
        <v>4</v>
      </c>
      <c r="AF76" s="77">
        <v>4.5</v>
      </c>
    </row>
    <row r="77" spans="1:32" ht="15.75" thickBot="1" x14ac:dyDescent="0.3">
      <c r="A77" s="75" t="s">
        <v>300</v>
      </c>
      <c r="B77" s="75" t="s">
        <v>424</v>
      </c>
      <c r="C77" s="75" t="s">
        <v>425</v>
      </c>
      <c r="D77" s="75" t="s">
        <v>229</v>
      </c>
      <c r="E77" s="80" t="str">
        <f t="shared" si="3"/>
        <v xml:space="preserve">Vicia faba </v>
      </c>
      <c r="F77" s="80" t="str">
        <f t="shared" si="4"/>
        <v xml:space="preserve">faba </v>
      </c>
      <c r="G77" s="75" t="s">
        <v>360</v>
      </c>
      <c r="H77" s="75" t="s">
        <v>303</v>
      </c>
      <c r="I77" s="75" t="s">
        <v>426</v>
      </c>
      <c r="J77" s="82" t="s">
        <v>233</v>
      </c>
      <c r="K77" s="80" t="str">
        <f t="shared" si="5"/>
        <v>Broad bean Vegetable General</v>
      </c>
      <c r="L77" s="75">
        <v>127</v>
      </c>
      <c r="M77" s="75" t="s">
        <v>167</v>
      </c>
      <c r="N77" s="75" t="s">
        <v>234</v>
      </c>
      <c r="O77" s="75" t="s">
        <v>173</v>
      </c>
      <c r="P77" s="77" t="s">
        <v>251</v>
      </c>
      <c r="Q77" s="78">
        <v>11</v>
      </c>
      <c r="R77" s="75" t="s">
        <v>5</v>
      </c>
      <c r="S77" s="79" t="s">
        <v>363</v>
      </c>
      <c r="T77" s="75" t="s">
        <v>237</v>
      </c>
      <c r="U77" s="75">
        <v>0</v>
      </c>
      <c r="V77" s="77">
        <v>0</v>
      </c>
      <c r="W77" s="75">
        <v>0.3</v>
      </c>
      <c r="X77" s="75">
        <v>0.05</v>
      </c>
      <c r="Y77" s="75">
        <v>76</v>
      </c>
      <c r="Z77" s="60">
        <v>0.1</v>
      </c>
      <c r="AA77" s="61">
        <v>1</v>
      </c>
      <c r="AB77" s="60">
        <v>0.9</v>
      </c>
      <c r="AC77" s="61">
        <v>1</v>
      </c>
      <c r="AD77" s="75">
        <v>1.5</v>
      </c>
      <c r="AE77" s="75">
        <v>1.7</v>
      </c>
      <c r="AF77" s="77">
        <v>4.4000000000000004</v>
      </c>
    </row>
    <row r="78" spans="1:32" ht="15.75" thickBot="1" x14ac:dyDescent="0.3">
      <c r="A78" s="75" t="s">
        <v>244</v>
      </c>
      <c r="B78" s="75" t="s">
        <v>293</v>
      </c>
      <c r="C78" s="75" t="s">
        <v>294</v>
      </c>
      <c r="D78" s="75" t="s">
        <v>229</v>
      </c>
      <c r="E78" s="80" t="str">
        <f t="shared" si="3"/>
        <v xml:space="preserve">Zea mays </v>
      </c>
      <c r="F78" s="80" t="str">
        <f t="shared" si="4"/>
        <v xml:space="preserve">mays </v>
      </c>
      <c r="G78" s="75" t="s">
        <v>360</v>
      </c>
      <c r="H78" s="75" t="s">
        <v>397</v>
      </c>
      <c r="I78" s="75" t="s">
        <v>427</v>
      </c>
      <c r="J78" s="82" t="s">
        <v>233</v>
      </c>
      <c r="K78" s="80" t="str">
        <f t="shared" si="5"/>
        <v>Sweetcorn Vegetable General</v>
      </c>
      <c r="L78" s="75">
        <v>128</v>
      </c>
      <c r="M78" s="75" t="s">
        <v>167</v>
      </c>
      <c r="N78" s="75" t="s">
        <v>242</v>
      </c>
      <c r="O78" s="75" t="s">
        <v>175</v>
      </c>
      <c r="P78" s="77" t="s">
        <v>235</v>
      </c>
      <c r="Q78" s="78">
        <v>22</v>
      </c>
      <c r="R78" s="75" t="s">
        <v>5</v>
      </c>
      <c r="S78" s="79" t="s">
        <v>363</v>
      </c>
      <c r="T78" s="75" t="s">
        <v>237</v>
      </c>
      <c r="U78" s="75">
        <v>0</v>
      </c>
      <c r="V78" s="77">
        <v>0</v>
      </c>
      <c r="W78" s="75">
        <v>0.48</v>
      </c>
      <c r="X78" s="75">
        <v>0.02</v>
      </c>
      <c r="Y78" s="75">
        <v>78</v>
      </c>
      <c r="Z78" s="60">
        <v>0.1</v>
      </c>
      <c r="AA78" s="61">
        <v>1.5</v>
      </c>
      <c r="AB78" s="63">
        <v>0.75</v>
      </c>
      <c r="AC78" s="64">
        <v>1</v>
      </c>
      <c r="AD78" s="75">
        <v>0.9</v>
      </c>
      <c r="AE78" s="75">
        <v>0.9</v>
      </c>
      <c r="AF78" s="77">
        <v>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69FD5-B6F7-43A0-BD7B-DF0C0AF54E64}">
  <dimension ref="A2:D368"/>
  <sheetViews>
    <sheetView workbookViewId="0">
      <selection activeCell="E13" sqref="E13"/>
    </sheetView>
  </sheetViews>
  <sheetFormatPr defaultRowHeight="15" x14ac:dyDescent="0.25"/>
  <cols>
    <col min="3" max="3" width="12" bestFit="1" customWidth="1"/>
  </cols>
  <sheetData>
    <row r="2" spans="1:4" x14ac:dyDescent="0.25">
      <c r="A2" t="s">
        <v>430</v>
      </c>
      <c r="B2" t="s">
        <v>431</v>
      </c>
      <c r="C2" t="s">
        <v>32</v>
      </c>
      <c r="D2" t="s">
        <v>432</v>
      </c>
    </row>
    <row r="3" spans="1:4" x14ac:dyDescent="0.25">
      <c r="A3">
        <v>1</v>
      </c>
      <c r="B3">
        <v>16.179411764705801</v>
      </c>
      <c r="C3">
        <v>17.639655172413701</v>
      </c>
      <c r="D3">
        <v>17.1568181818181</v>
      </c>
    </row>
    <row r="4" spans="1:4" x14ac:dyDescent="0.25">
      <c r="A4">
        <v>2</v>
      </c>
      <c r="B4">
        <v>17.160294117646998</v>
      </c>
      <c r="C4">
        <v>18.013793103448201</v>
      </c>
      <c r="D4">
        <v>17.6204545454545</v>
      </c>
    </row>
    <row r="5" spans="1:4" x14ac:dyDescent="0.25">
      <c r="A5">
        <v>3</v>
      </c>
      <c r="B5">
        <v>16.8117647058823</v>
      </c>
      <c r="C5">
        <v>17.827586206896498</v>
      </c>
      <c r="D5">
        <v>18.015909090908998</v>
      </c>
    </row>
    <row r="6" spans="1:4" x14ac:dyDescent="0.25">
      <c r="A6">
        <v>4</v>
      </c>
      <c r="B6">
        <v>15.772058823529401</v>
      </c>
      <c r="C6">
        <v>18.068965517241299</v>
      </c>
      <c r="D6">
        <v>16.890909090908998</v>
      </c>
    </row>
    <row r="7" spans="1:4" x14ac:dyDescent="0.25">
      <c r="A7">
        <v>5</v>
      </c>
      <c r="B7">
        <v>16.045588235294101</v>
      </c>
      <c r="C7">
        <v>17.658620689655098</v>
      </c>
      <c r="D7">
        <v>16.95</v>
      </c>
    </row>
    <row r="8" spans="1:4" x14ac:dyDescent="0.25">
      <c r="A8">
        <v>6</v>
      </c>
      <c r="B8">
        <v>16.1955882352941</v>
      </c>
      <c r="C8">
        <v>17.7431034482758</v>
      </c>
      <c r="D8">
        <v>17.2431818181818</v>
      </c>
    </row>
    <row r="9" spans="1:4" x14ac:dyDescent="0.25">
      <c r="A9">
        <v>7</v>
      </c>
      <c r="B9">
        <v>17.395588235294099</v>
      </c>
      <c r="C9">
        <v>18.181034482758601</v>
      </c>
      <c r="D9">
        <v>18.231818181818099</v>
      </c>
    </row>
    <row r="10" spans="1:4" x14ac:dyDescent="0.25">
      <c r="A10">
        <v>8</v>
      </c>
      <c r="B10">
        <v>17.102249134948</v>
      </c>
      <c r="C10">
        <v>18.393103448275799</v>
      </c>
      <c r="D10">
        <v>18.6272727272727</v>
      </c>
    </row>
    <row r="11" spans="1:4" x14ac:dyDescent="0.25">
      <c r="A11">
        <v>9</v>
      </c>
      <c r="B11">
        <v>16.213235294117599</v>
      </c>
      <c r="C11">
        <v>18.6103448275862</v>
      </c>
      <c r="D11">
        <v>17.629545454545401</v>
      </c>
    </row>
    <row r="12" spans="1:4" x14ac:dyDescent="0.25">
      <c r="A12">
        <v>10</v>
      </c>
      <c r="B12">
        <v>15.8947058823529</v>
      </c>
      <c r="C12">
        <v>18.453448275862002</v>
      </c>
      <c r="D12">
        <v>17.947727272727199</v>
      </c>
    </row>
    <row r="13" spans="1:4" x14ac:dyDescent="0.25">
      <c r="A13">
        <v>11</v>
      </c>
      <c r="B13">
        <v>16.250588235294099</v>
      </c>
      <c r="C13">
        <v>18.186206896551699</v>
      </c>
      <c r="D13">
        <v>17.4590909090909</v>
      </c>
    </row>
    <row r="14" spans="1:4" x14ac:dyDescent="0.25">
      <c r="A14">
        <v>12</v>
      </c>
      <c r="B14">
        <v>16.662352941176401</v>
      </c>
      <c r="C14">
        <v>18.314999999999898</v>
      </c>
      <c r="D14">
        <v>17.804545454545401</v>
      </c>
    </row>
    <row r="15" spans="1:4" x14ac:dyDescent="0.25">
      <c r="A15">
        <v>13</v>
      </c>
      <c r="B15">
        <v>16.830882352941099</v>
      </c>
      <c r="C15">
        <v>18.473333333333301</v>
      </c>
      <c r="D15">
        <v>17.6613636363636</v>
      </c>
    </row>
    <row r="16" spans="1:4" x14ac:dyDescent="0.25">
      <c r="A16">
        <v>14</v>
      </c>
      <c r="B16">
        <v>16.835294117646999</v>
      </c>
      <c r="C16">
        <v>18.684999999999999</v>
      </c>
      <c r="D16">
        <v>17.6272727272727</v>
      </c>
    </row>
    <row r="17" spans="1:4" x14ac:dyDescent="0.25">
      <c r="A17">
        <v>15</v>
      </c>
      <c r="B17">
        <v>17.335294117646999</v>
      </c>
      <c r="C17">
        <v>18.661666666666601</v>
      </c>
      <c r="D17">
        <v>18.465909090909001</v>
      </c>
    </row>
    <row r="18" spans="1:4" x14ac:dyDescent="0.25">
      <c r="A18">
        <v>16</v>
      </c>
      <c r="B18">
        <v>16.8279411764705</v>
      </c>
      <c r="C18">
        <v>18.636666666666599</v>
      </c>
      <c r="D18">
        <v>18.047727272727201</v>
      </c>
    </row>
    <row r="19" spans="1:4" x14ac:dyDescent="0.25">
      <c r="A19">
        <v>17</v>
      </c>
      <c r="B19">
        <v>16.722058823529402</v>
      </c>
      <c r="C19">
        <v>18.4233333333333</v>
      </c>
      <c r="D19">
        <v>17.588636363636301</v>
      </c>
    </row>
    <row r="20" spans="1:4" x14ac:dyDescent="0.25">
      <c r="A20">
        <v>18</v>
      </c>
      <c r="B20">
        <v>17.301470588235201</v>
      </c>
      <c r="C20">
        <v>18.466666666666601</v>
      </c>
      <c r="D20">
        <v>17.822727272727199</v>
      </c>
    </row>
    <row r="21" spans="1:4" x14ac:dyDescent="0.25">
      <c r="A21">
        <v>19</v>
      </c>
      <c r="B21">
        <v>17.052941176470501</v>
      </c>
      <c r="C21">
        <v>18.754999999999999</v>
      </c>
      <c r="D21">
        <v>18.402272727272699</v>
      </c>
    </row>
    <row r="22" spans="1:4" x14ac:dyDescent="0.25">
      <c r="A22">
        <v>20</v>
      </c>
      <c r="B22">
        <v>15.9367647058823</v>
      </c>
      <c r="C22">
        <v>18.6933333333333</v>
      </c>
      <c r="D22">
        <v>17.295454545454501</v>
      </c>
    </row>
    <row r="23" spans="1:4" x14ac:dyDescent="0.25">
      <c r="A23">
        <v>21</v>
      </c>
      <c r="B23">
        <v>17.475000000000001</v>
      </c>
      <c r="C23">
        <v>18.914999999999999</v>
      </c>
      <c r="D23">
        <v>17.945454545454499</v>
      </c>
    </row>
    <row r="24" spans="1:4" x14ac:dyDescent="0.25">
      <c r="A24">
        <v>22</v>
      </c>
      <c r="B24">
        <v>18.2514705882352</v>
      </c>
      <c r="C24">
        <v>19.0133333333333</v>
      </c>
      <c r="D24">
        <v>18.527272727272699</v>
      </c>
    </row>
    <row r="25" spans="1:4" x14ac:dyDescent="0.25">
      <c r="A25">
        <v>23</v>
      </c>
      <c r="B25">
        <v>17.176470588235201</v>
      </c>
      <c r="C25">
        <v>19.03</v>
      </c>
      <c r="D25">
        <v>18.188636363636299</v>
      </c>
    </row>
    <row r="26" spans="1:4" x14ac:dyDescent="0.25">
      <c r="A26">
        <v>24</v>
      </c>
      <c r="B26">
        <v>16.835294117646999</v>
      </c>
      <c r="C26">
        <v>19.07</v>
      </c>
      <c r="D26">
        <v>18.277272727272699</v>
      </c>
    </row>
    <row r="27" spans="1:4" x14ac:dyDescent="0.25">
      <c r="A27">
        <v>25</v>
      </c>
      <c r="B27">
        <v>16.6941176470588</v>
      </c>
      <c r="C27">
        <v>19.3</v>
      </c>
      <c r="D27">
        <v>18.572727272727199</v>
      </c>
    </row>
    <row r="28" spans="1:4" x14ac:dyDescent="0.25">
      <c r="A28">
        <v>26</v>
      </c>
      <c r="B28">
        <v>16.433823529411701</v>
      </c>
      <c r="C28">
        <v>19.418333333333301</v>
      </c>
      <c r="D28">
        <v>17.813636363636299</v>
      </c>
    </row>
    <row r="29" spans="1:4" x14ac:dyDescent="0.25">
      <c r="A29">
        <v>27</v>
      </c>
      <c r="B29">
        <v>16.332352941176399</v>
      </c>
      <c r="C29">
        <v>19.086666666666599</v>
      </c>
      <c r="D29">
        <v>17.5386363636363</v>
      </c>
    </row>
    <row r="30" spans="1:4" x14ac:dyDescent="0.25">
      <c r="A30">
        <v>28</v>
      </c>
      <c r="B30">
        <v>17.044117647058801</v>
      </c>
      <c r="C30">
        <v>19.248333333333299</v>
      </c>
      <c r="D30">
        <v>17.2931818181818</v>
      </c>
    </row>
    <row r="31" spans="1:4" x14ac:dyDescent="0.25">
      <c r="A31">
        <v>29</v>
      </c>
      <c r="B31">
        <v>17.480882352941101</v>
      </c>
      <c r="C31">
        <v>19.486666666666601</v>
      </c>
      <c r="D31">
        <v>18.397727272727199</v>
      </c>
    </row>
    <row r="32" spans="1:4" x14ac:dyDescent="0.25">
      <c r="A32">
        <v>30</v>
      </c>
      <c r="B32">
        <v>18.010294117647</v>
      </c>
      <c r="C32">
        <v>19.725000000000001</v>
      </c>
      <c r="D32">
        <v>18.840909090909001</v>
      </c>
    </row>
    <row r="33" spans="1:4" x14ac:dyDescent="0.25">
      <c r="A33">
        <v>31</v>
      </c>
      <c r="B33">
        <v>18.1264705882352</v>
      </c>
      <c r="C33">
        <v>19.670000000000002</v>
      </c>
      <c r="D33">
        <v>19.3363636363636</v>
      </c>
    </row>
    <row r="34" spans="1:4" x14ac:dyDescent="0.25">
      <c r="A34">
        <v>32</v>
      </c>
      <c r="B34">
        <v>17.5632352941176</v>
      </c>
      <c r="C34">
        <v>19.770689655172401</v>
      </c>
      <c r="D34">
        <v>19.163223140495798</v>
      </c>
    </row>
    <row r="35" spans="1:4" x14ac:dyDescent="0.25">
      <c r="A35">
        <v>33</v>
      </c>
      <c r="B35">
        <v>16.530882352941099</v>
      </c>
      <c r="C35">
        <v>19.548275862068898</v>
      </c>
      <c r="D35">
        <v>18.263636363636301</v>
      </c>
    </row>
    <row r="36" spans="1:4" x14ac:dyDescent="0.25">
      <c r="A36">
        <v>34</v>
      </c>
      <c r="B36">
        <v>16.339705882352899</v>
      </c>
      <c r="C36">
        <v>19.325862068965499</v>
      </c>
      <c r="D36">
        <v>18.302272727272701</v>
      </c>
    </row>
    <row r="37" spans="1:4" x14ac:dyDescent="0.25">
      <c r="A37">
        <v>35</v>
      </c>
      <c r="B37">
        <v>17.920588235294101</v>
      </c>
      <c r="C37">
        <v>18.712068965517201</v>
      </c>
      <c r="D37">
        <v>17.9113636363636</v>
      </c>
    </row>
    <row r="38" spans="1:4" x14ac:dyDescent="0.25">
      <c r="A38">
        <v>36</v>
      </c>
      <c r="B38">
        <v>16.083823529411699</v>
      </c>
      <c r="C38">
        <v>19.178333333333299</v>
      </c>
      <c r="D38">
        <v>18.540909090909</v>
      </c>
    </row>
    <row r="39" spans="1:4" x14ac:dyDescent="0.25">
      <c r="A39">
        <v>37</v>
      </c>
      <c r="B39">
        <v>16.539705882352902</v>
      </c>
      <c r="C39">
        <v>19.063333333333301</v>
      </c>
      <c r="D39">
        <v>18.007142857142799</v>
      </c>
    </row>
    <row r="40" spans="1:4" x14ac:dyDescent="0.25">
      <c r="A40">
        <v>38</v>
      </c>
      <c r="B40">
        <v>16.527941176470499</v>
      </c>
      <c r="C40">
        <v>19.164999999999999</v>
      </c>
      <c r="D40">
        <v>17.852380952380901</v>
      </c>
    </row>
    <row r="41" spans="1:4" x14ac:dyDescent="0.25">
      <c r="A41">
        <v>39</v>
      </c>
      <c r="B41">
        <v>16.855882352941101</v>
      </c>
      <c r="C41">
        <v>19.145</v>
      </c>
      <c r="D41">
        <v>17.657142857142802</v>
      </c>
    </row>
    <row r="42" spans="1:4" x14ac:dyDescent="0.25">
      <c r="A42">
        <v>40</v>
      </c>
      <c r="B42">
        <v>16.957352941176399</v>
      </c>
      <c r="C42">
        <v>19.28</v>
      </c>
      <c r="D42">
        <v>17.938095238095201</v>
      </c>
    </row>
    <row r="43" spans="1:4" x14ac:dyDescent="0.25">
      <c r="A43">
        <v>41</v>
      </c>
      <c r="B43">
        <v>16.866176470588201</v>
      </c>
      <c r="C43">
        <v>19.6533333333333</v>
      </c>
      <c r="D43">
        <v>18.578571428571401</v>
      </c>
    </row>
    <row r="44" spans="1:4" x14ac:dyDescent="0.25">
      <c r="A44">
        <v>42</v>
      </c>
      <c r="B44">
        <v>17.485294117647001</v>
      </c>
      <c r="C44">
        <v>19.843333333333302</v>
      </c>
      <c r="D44">
        <v>18.902380952380899</v>
      </c>
    </row>
    <row r="45" spans="1:4" x14ac:dyDescent="0.25">
      <c r="A45">
        <v>43</v>
      </c>
      <c r="B45">
        <v>17.980882352941101</v>
      </c>
      <c r="C45">
        <v>19.767241379310299</v>
      </c>
      <c r="D45">
        <v>19.242857142857101</v>
      </c>
    </row>
    <row r="46" spans="1:4" x14ac:dyDescent="0.25">
      <c r="A46">
        <v>44</v>
      </c>
      <c r="B46">
        <v>16.401470588235199</v>
      </c>
      <c r="C46">
        <v>19.5672413793103</v>
      </c>
      <c r="D46">
        <v>18.5023809523809</v>
      </c>
    </row>
    <row r="47" spans="1:4" x14ac:dyDescent="0.25">
      <c r="A47">
        <v>45</v>
      </c>
      <c r="B47">
        <v>15.8867647058823</v>
      </c>
      <c r="C47">
        <v>19.5910714285714</v>
      </c>
      <c r="D47">
        <v>19.173809523809499</v>
      </c>
    </row>
    <row r="48" spans="1:4" x14ac:dyDescent="0.25">
      <c r="A48">
        <v>46</v>
      </c>
      <c r="B48">
        <v>15.4705882352941</v>
      </c>
      <c r="C48">
        <v>19.355357142857098</v>
      </c>
      <c r="D48">
        <v>17.711904761904702</v>
      </c>
    </row>
    <row r="49" spans="1:4" x14ac:dyDescent="0.25">
      <c r="A49">
        <v>47</v>
      </c>
      <c r="B49">
        <v>16.035294117646998</v>
      </c>
      <c r="C49">
        <v>19.258928571428498</v>
      </c>
      <c r="D49">
        <v>17.540476190476099</v>
      </c>
    </row>
    <row r="50" spans="1:4" x14ac:dyDescent="0.25">
      <c r="A50">
        <v>48</v>
      </c>
      <c r="B50">
        <v>17.155882352941099</v>
      </c>
      <c r="C50">
        <v>19.284482758620602</v>
      </c>
      <c r="D50">
        <v>17.480952380952299</v>
      </c>
    </row>
    <row r="51" spans="1:4" x14ac:dyDescent="0.25">
      <c r="A51">
        <v>49</v>
      </c>
      <c r="B51">
        <v>17.5720588235294</v>
      </c>
      <c r="C51">
        <v>19.415517241379298</v>
      </c>
      <c r="D51">
        <v>18.180952380952299</v>
      </c>
    </row>
    <row r="52" spans="1:4" x14ac:dyDescent="0.25">
      <c r="A52">
        <v>50</v>
      </c>
      <c r="B52">
        <v>16.991176470588201</v>
      </c>
      <c r="C52">
        <v>19.4189655172413</v>
      </c>
      <c r="D52">
        <v>18.052499999999998</v>
      </c>
    </row>
    <row r="53" spans="1:4" x14ac:dyDescent="0.25">
      <c r="A53">
        <v>51</v>
      </c>
      <c r="B53">
        <v>16.655882352941099</v>
      </c>
      <c r="C53">
        <v>19.5068965517241</v>
      </c>
      <c r="D53">
        <v>18.1325</v>
      </c>
    </row>
    <row r="54" spans="1:4" x14ac:dyDescent="0.25">
      <c r="A54">
        <v>52</v>
      </c>
      <c r="B54">
        <v>16.6955882352941</v>
      </c>
      <c r="C54">
        <v>19.441666666666599</v>
      </c>
      <c r="D54">
        <v>18.647619047618999</v>
      </c>
    </row>
    <row r="55" spans="1:4" x14ac:dyDescent="0.25">
      <c r="A55">
        <v>53</v>
      </c>
      <c r="B55">
        <v>16.394117647058799</v>
      </c>
      <c r="C55">
        <v>19.231666666666602</v>
      </c>
      <c r="D55">
        <v>17.936363636363598</v>
      </c>
    </row>
    <row r="56" spans="1:4" x14ac:dyDescent="0.25">
      <c r="A56">
        <v>54</v>
      </c>
      <c r="B56">
        <v>16.088235294117599</v>
      </c>
      <c r="C56">
        <v>19.22</v>
      </c>
      <c r="D56">
        <v>17.645454545454498</v>
      </c>
    </row>
    <row r="57" spans="1:4" x14ac:dyDescent="0.25">
      <c r="A57">
        <v>55</v>
      </c>
      <c r="B57">
        <v>16.782352941176399</v>
      </c>
      <c r="C57">
        <v>18.793333333333301</v>
      </c>
      <c r="D57">
        <v>16.713636363636301</v>
      </c>
    </row>
    <row r="58" spans="1:4" x14ac:dyDescent="0.25">
      <c r="A58">
        <v>56</v>
      </c>
      <c r="B58">
        <v>16.1897058823529</v>
      </c>
      <c r="C58">
        <v>18.3</v>
      </c>
      <c r="D58">
        <v>16.613636363636299</v>
      </c>
    </row>
    <row r="59" spans="1:4" x14ac:dyDescent="0.25">
      <c r="A59">
        <v>57</v>
      </c>
      <c r="B59">
        <v>16.1941176470588</v>
      </c>
      <c r="C59">
        <v>18.41</v>
      </c>
      <c r="D59">
        <v>17.136363636363601</v>
      </c>
    </row>
    <row r="60" spans="1:4" x14ac:dyDescent="0.25">
      <c r="A60">
        <v>58</v>
      </c>
      <c r="B60">
        <v>16.208823529411699</v>
      </c>
      <c r="C60">
        <v>18.516666666666602</v>
      </c>
      <c r="D60">
        <v>17.429545454545401</v>
      </c>
    </row>
    <row r="61" spans="1:4" x14ac:dyDescent="0.25">
      <c r="A61">
        <v>59</v>
      </c>
      <c r="B61">
        <v>16.074999999999999</v>
      </c>
      <c r="C61">
        <v>18.253571428571401</v>
      </c>
      <c r="D61">
        <v>17.274999999999999</v>
      </c>
    </row>
    <row r="62" spans="1:4" x14ac:dyDescent="0.25">
      <c r="A62">
        <v>60</v>
      </c>
      <c r="B62">
        <v>16.264705882352899</v>
      </c>
      <c r="C62">
        <v>18.313793103448202</v>
      </c>
      <c r="D62">
        <v>17.365909090909</v>
      </c>
    </row>
    <row r="63" spans="1:4" x14ac:dyDescent="0.25">
      <c r="A63">
        <v>61</v>
      </c>
      <c r="B63">
        <v>15.9727272727272</v>
      </c>
      <c r="C63">
        <v>18.701724137930999</v>
      </c>
      <c r="D63">
        <v>17.965909090909001</v>
      </c>
    </row>
    <row r="64" spans="1:4" x14ac:dyDescent="0.25">
      <c r="A64">
        <v>62</v>
      </c>
      <c r="B64">
        <v>15.216666666666599</v>
      </c>
      <c r="C64">
        <v>18.759999999999899</v>
      </c>
      <c r="D64">
        <v>17.652272727272699</v>
      </c>
    </row>
    <row r="65" spans="1:4" x14ac:dyDescent="0.25">
      <c r="A65">
        <v>63</v>
      </c>
      <c r="B65">
        <v>14.612121212121201</v>
      </c>
      <c r="C65">
        <v>18.0322580645161</v>
      </c>
      <c r="D65">
        <v>16.143181818181802</v>
      </c>
    </row>
    <row r="66" spans="1:4" x14ac:dyDescent="0.25">
      <c r="A66">
        <v>64</v>
      </c>
      <c r="B66">
        <v>15.7681818181818</v>
      </c>
      <c r="C66">
        <v>17.95</v>
      </c>
      <c r="D66">
        <v>15.940909090909001</v>
      </c>
    </row>
    <row r="67" spans="1:4" x14ac:dyDescent="0.25">
      <c r="A67">
        <v>65</v>
      </c>
      <c r="B67">
        <v>15.9954545454545</v>
      </c>
      <c r="C67">
        <v>18.361290322580601</v>
      </c>
      <c r="D67">
        <v>17.093181818181801</v>
      </c>
    </row>
    <row r="68" spans="1:4" x14ac:dyDescent="0.25">
      <c r="A68">
        <v>66</v>
      </c>
      <c r="B68">
        <v>15.0166666666666</v>
      </c>
      <c r="C68">
        <v>17.7903225806451</v>
      </c>
      <c r="D68">
        <v>17.238636363636299</v>
      </c>
    </row>
    <row r="69" spans="1:4" x14ac:dyDescent="0.25">
      <c r="A69">
        <v>67</v>
      </c>
      <c r="B69">
        <v>15.3257575757575</v>
      </c>
      <c r="C69">
        <v>18.141379310344799</v>
      </c>
      <c r="D69">
        <v>17.193181818181799</v>
      </c>
    </row>
    <row r="70" spans="1:4" x14ac:dyDescent="0.25">
      <c r="A70">
        <v>68</v>
      </c>
      <c r="B70">
        <v>14.630303030303001</v>
      </c>
      <c r="C70">
        <v>18.3816666666666</v>
      </c>
      <c r="D70">
        <v>16.588636363636301</v>
      </c>
    </row>
    <row r="71" spans="1:4" x14ac:dyDescent="0.25">
      <c r="A71">
        <v>69</v>
      </c>
      <c r="B71">
        <v>15.7924242424242</v>
      </c>
      <c r="C71">
        <v>18.100000000000001</v>
      </c>
      <c r="D71">
        <v>16.607142857142801</v>
      </c>
    </row>
    <row r="72" spans="1:4" x14ac:dyDescent="0.25">
      <c r="A72">
        <v>70</v>
      </c>
      <c r="B72">
        <v>15.055882352941101</v>
      </c>
      <c r="C72">
        <v>17.931666666666601</v>
      </c>
      <c r="D72">
        <v>16.871428571428499</v>
      </c>
    </row>
    <row r="73" spans="1:4" x14ac:dyDescent="0.25">
      <c r="A73">
        <v>71</v>
      </c>
      <c r="B73">
        <v>14.958823529411699</v>
      </c>
      <c r="C73">
        <v>18.11</v>
      </c>
      <c r="D73">
        <v>16.204761904761899</v>
      </c>
    </row>
    <row r="74" spans="1:4" x14ac:dyDescent="0.25">
      <c r="A74">
        <v>72</v>
      </c>
      <c r="B74">
        <v>15.205882352941099</v>
      </c>
      <c r="C74">
        <v>17.7392857142857</v>
      </c>
      <c r="D74">
        <v>16.140692640692599</v>
      </c>
    </row>
    <row r="75" spans="1:4" x14ac:dyDescent="0.25">
      <c r="A75">
        <v>73</v>
      </c>
      <c r="B75">
        <v>14.888235294117599</v>
      </c>
      <c r="C75">
        <v>17.7431034482758</v>
      </c>
      <c r="D75">
        <v>15.6681818181818</v>
      </c>
    </row>
    <row r="76" spans="1:4" x14ac:dyDescent="0.25">
      <c r="A76">
        <v>74</v>
      </c>
      <c r="B76">
        <v>14.9794117647058</v>
      </c>
      <c r="C76">
        <v>17.582758620689599</v>
      </c>
      <c r="D76">
        <v>15.9727272727272</v>
      </c>
    </row>
    <row r="77" spans="1:4" x14ac:dyDescent="0.25">
      <c r="A77">
        <v>75</v>
      </c>
      <c r="B77">
        <v>15</v>
      </c>
      <c r="C77">
        <v>17.724137931034399</v>
      </c>
      <c r="D77">
        <v>17.070454545454499</v>
      </c>
    </row>
    <row r="78" spans="1:4" x14ac:dyDescent="0.25">
      <c r="A78">
        <v>76</v>
      </c>
      <c r="B78">
        <v>14.8191176470588</v>
      </c>
      <c r="C78">
        <v>17.698333333333299</v>
      </c>
      <c r="D78">
        <v>16.222727272727202</v>
      </c>
    </row>
    <row r="79" spans="1:4" x14ac:dyDescent="0.25">
      <c r="A79">
        <v>77</v>
      </c>
      <c r="B79">
        <v>13.742647058823501</v>
      </c>
      <c r="C79">
        <v>17.62</v>
      </c>
      <c r="D79">
        <v>16.545454545454501</v>
      </c>
    </row>
    <row r="80" spans="1:4" x14ac:dyDescent="0.25">
      <c r="A80">
        <v>78</v>
      </c>
      <c r="B80">
        <v>14.5911764705882</v>
      </c>
      <c r="C80">
        <v>17.170000000000002</v>
      </c>
      <c r="D80">
        <v>15.986363636363601</v>
      </c>
    </row>
    <row r="81" spans="1:4" x14ac:dyDescent="0.25">
      <c r="A81">
        <v>79</v>
      </c>
      <c r="B81">
        <v>15.358823529411699</v>
      </c>
      <c r="C81">
        <v>17.223333333333301</v>
      </c>
      <c r="D81">
        <v>15.9792207792207</v>
      </c>
    </row>
    <row r="82" spans="1:4" x14ac:dyDescent="0.25">
      <c r="A82">
        <v>80</v>
      </c>
      <c r="B82">
        <v>14.954411764705799</v>
      </c>
      <c r="C82">
        <v>17.498333333333299</v>
      </c>
      <c r="D82">
        <v>16.5023809523809</v>
      </c>
    </row>
    <row r="83" spans="1:4" x14ac:dyDescent="0.25">
      <c r="A83">
        <v>81</v>
      </c>
      <c r="B83">
        <v>14.5426470588235</v>
      </c>
      <c r="C83">
        <v>17.390322580645101</v>
      </c>
      <c r="D83">
        <v>16.8</v>
      </c>
    </row>
    <row r="84" spans="1:4" x14ac:dyDescent="0.25">
      <c r="A84">
        <v>82</v>
      </c>
      <c r="B84">
        <v>13.9808823529411</v>
      </c>
      <c r="C84">
        <v>17.053333333333299</v>
      </c>
      <c r="D84">
        <v>16.269047619047601</v>
      </c>
    </row>
    <row r="85" spans="1:4" x14ac:dyDescent="0.25">
      <c r="A85">
        <v>83</v>
      </c>
      <c r="B85">
        <v>14.1040998217468</v>
      </c>
      <c r="C85">
        <v>16.973333333333301</v>
      </c>
      <c r="D85">
        <v>15.6261904761904</v>
      </c>
    </row>
    <row r="86" spans="1:4" x14ac:dyDescent="0.25">
      <c r="A86">
        <v>84</v>
      </c>
      <c r="B86">
        <v>14.397058823529401</v>
      </c>
      <c r="C86">
        <v>16.984999999999999</v>
      </c>
      <c r="D86">
        <v>16.123809523809499</v>
      </c>
    </row>
    <row r="87" spans="1:4" x14ac:dyDescent="0.25">
      <c r="A87">
        <v>85</v>
      </c>
      <c r="B87">
        <v>13.613235294117599</v>
      </c>
      <c r="C87">
        <v>17.064516129032199</v>
      </c>
      <c r="D87">
        <v>15.8095238095238</v>
      </c>
    </row>
    <row r="88" spans="1:4" x14ac:dyDescent="0.25">
      <c r="A88">
        <v>86</v>
      </c>
      <c r="B88">
        <v>14.4676470588235</v>
      </c>
      <c r="C88">
        <v>17.208064516128999</v>
      </c>
      <c r="D88">
        <v>16.542857142857098</v>
      </c>
    </row>
    <row r="89" spans="1:4" x14ac:dyDescent="0.25">
      <c r="A89">
        <v>87</v>
      </c>
      <c r="B89">
        <v>14.926470588235199</v>
      </c>
      <c r="C89">
        <v>17.141666666666602</v>
      </c>
      <c r="D89">
        <v>16.4522727272727</v>
      </c>
    </row>
    <row r="90" spans="1:4" x14ac:dyDescent="0.25">
      <c r="A90">
        <v>88</v>
      </c>
      <c r="B90">
        <v>14.8691176470588</v>
      </c>
      <c r="C90">
        <v>17.338333333333299</v>
      </c>
      <c r="D90">
        <v>16.672727272727201</v>
      </c>
    </row>
    <row r="91" spans="1:4" x14ac:dyDescent="0.25">
      <c r="A91">
        <v>89</v>
      </c>
      <c r="B91">
        <v>14.9382352941176</v>
      </c>
      <c r="C91">
        <v>17.136206896551698</v>
      </c>
      <c r="D91">
        <v>16.197727272727199</v>
      </c>
    </row>
    <row r="92" spans="1:4" x14ac:dyDescent="0.25">
      <c r="A92">
        <v>90</v>
      </c>
      <c r="B92">
        <v>14.0308823529411</v>
      </c>
      <c r="C92">
        <v>16.922413793103399</v>
      </c>
      <c r="D92">
        <v>15.659090909090899</v>
      </c>
    </row>
    <row r="93" spans="1:4" x14ac:dyDescent="0.25">
      <c r="A93">
        <v>91</v>
      </c>
      <c r="B93">
        <v>13.4647058823529</v>
      </c>
      <c r="C93">
        <v>16.63</v>
      </c>
      <c r="D93">
        <v>15.4340909090909</v>
      </c>
    </row>
    <row r="94" spans="1:4" x14ac:dyDescent="0.25">
      <c r="A94">
        <v>92</v>
      </c>
      <c r="B94">
        <v>14.017647058823499</v>
      </c>
      <c r="C94">
        <v>16.5379310344827</v>
      </c>
      <c r="D94">
        <v>14.9068181818181</v>
      </c>
    </row>
    <row r="95" spans="1:4" x14ac:dyDescent="0.25">
      <c r="A95">
        <v>93</v>
      </c>
      <c r="B95">
        <v>13.6090909090909</v>
      </c>
      <c r="C95">
        <v>16.693103448275799</v>
      </c>
      <c r="D95">
        <v>15.745238095237999</v>
      </c>
    </row>
    <row r="96" spans="1:4" x14ac:dyDescent="0.25">
      <c r="A96">
        <v>94</v>
      </c>
      <c r="B96">
        <v>13.085294117647001</v>
      </c>
      <c r="C96">
        <v>16.29</v>
      </c>
      <c r="D96">
        <v>15.7068181818181</v>
      </c>
    </row>
    <row r="97" spans="1:4" x14ac:dyDescent="0.25">
      <c r="A97">
        <v>95</v>
      </c>
      <c r="B97">
        <v>12.85</v>
      </c>
      <c r="C97">
        <v>16.28</v>
      </c>
      <c r="D97">
        <v>14.572727272727199</v>
      </c>
    </row>
    <row r="98" spans="1:4" x14ac:dyDescent="0.25">
      <c r="A98">
        <v>96</v>
      </c>
      <c r="B98">
        <v>12.9941176470588</v>
      </c>
      <c r="C98">
        <v>16.288333333333298</v>
      </c>
      <c r="D98">
        <v>14.770238095238</v>
      </c>
    </row>
    <row r="99" spans="1:4" x14ac:dyDescent="0.25">
      <c r="A99">
        <v>97</v>
      </c>
      <c r="B99">
        <v>12.891176470588199</v>
      </c>
      <c r="C99">
        <v>16.247502601456802</v>
      </c>
      <c r="D99">
        <v>14.7797619047619</v>
      </c>
    </row>
    <row r="100" spans="1:4" x14ac:dyDescent="0.25">
      <c r="A100">
        <v>98</v>
      </c>
      <c r="B100">
        <v>12.924999999999899</v>
      </c>
      <c r="C100">
        <v>15.9919354838709</v>
      </c>
      <c r="D100">
        <v>14.023809523809501</v>
      </c>
    </row>
    <row r="101" spans="1:4" x14ac:dyDescent="0.25">
      <c r="A101">
        <v>99</v>
      </c>
      <c r="B101">
        <v>12.363235294117599</v>
      </c>
      <c r="C101">
        <v>15.7</v>
      </c>
      <c r="D101">
        <v>13.889502164502099</v>
      </c>
    </row>
    <row r="102" spans="1:4" x14ac:dyDescent="0.25">
      <c r="A102">
        <v>100</v>
      </c>
      <c r="B102">
        <v>11.3573529411764</v>
      </c>
      <c r="C102">
        <v>15.6066666666666</v>
      </c>
      <c r="D102">
        <v>13.756818181818099</v>
      </c>
    </row>
    <row r="103" spans="1:4" x14ac:dyDescent="0.25">
      <c r="A103">
        <v>101</v>
      </c>
      <c r="B103">
        <v>11.6044117647058</v>
      </c>
      <c r="C103">
        <v>15.335000000000001</v>
      </c>
      <c r="D103">
        <v>13.3296536796536</v>
      </c>
    </row>
    <row r="104" spans="1:4" x14ac:dyDescent="0.25">
      <c r="A104">
        <v>102</v>
      </c>
      <c r="B104">
        <v>11.445454545454499</v>
      </c>
      <c r="C104">
        <v>15.3916666666666</v>
      </c>
      <c r="D104">
        <v>13.866785714285699</v>
      </c>
    </row>
    <row r="105" spans="1:4" x14ac:dyDescent="0.25">
      <c r="A105">
        <v>103</v>
      </c>
      <c r="B105">
        <v>11.897058823529401</v>
      </c>
      <c r="C105">
        <v>15.6451612903225</v>
      </c>
      <c r="D105">
        <v>13.820454545454499</v>
      </c>
    </row>
    <row r="106" spans="1:4" x14ac:dyDescent="0.25">
      <c r="A106">
        <v>104</v>
      </c>
      <c r="B106">
        <v>11.5014705882352</v>
      </c>
      <c r="C106">
        <v>15.3435483870967</v>
      </c>
      <c r="D106">
        <v>13.2340909090909</v>
      </c>
    </row>
    <row r="107" spans="1:4" x14ac:dyDescent="0.25">
      <c r="A107">
        <v>105</v>
      </c>
      <c r="B107">
        <v>12.461764705882301</v>
      </c>
      <c r="C107">
        <v>15.1612903225806</v>
      </c>
      <c r="D107">
        <v>13.206601731601699</v>
      </c>
    </row>
    <row r="108" spans="1:4" x14ac:dyDescent="0.25">
      <c r="A108">
        <v>106</v>
      </c>
      <c r="B108">
        <v>12.083823529411699</v>
      </c>
      <c r="C108">
        <v>15.658064516129</v>
      </c>
      <c r="D108">
        <v>13.5619047619047</v>
      </c>
    </row>
    <row r="109" spans="1:4" x14ac:dyDescent="0.25">
      <c r="A109">
        <v>107</v>
      </c>
      <c r="B109">
        <v>12.307352941176401</v>
      </c>
      <c r="C109">
        <v>15.408064516129</v>
      </c>
      <c r="D109">
        <v>13.6272727272727</v>
      </c>
    </row>
    <row r="110" spans="1:4" x14ac:dyDescent="0.25">
      <c r="A110">
        <v>108</v>
      </c>
      <c r="B110">
        <v>11.5970588235294</v>
      </c>
      <c r="C110">
        <v>15.420967741935399</v>
      </c>
      <c r="D110">
        <v>13.259090909090901</v>
      </c>
    </row>
    <row r="111" spans="1:4" x14ac:dyDescent="0.25">
      <c r="A111">
        <v>109</v>
      </c>
      <c r="B111">
        <v>11.710294117647001</v>
      </c>
      <c r="C111">
        <v>15.193548387096699</v>
      </c>
      <c r="D111">
        <v>12.815909090909001</v>
      </c>
    </row>
    <row r="112" spans="1:4" x14ac:dyDescent="0.25">
      <c r="A112">
        <v>110</v>
      </c>
      <c r="B112">
        <v>12.0897058823529</v>
      </c>
      <c r="C112">
        <v>15.4096774193548</v>
      </c>
      <c r="D112">
        <v>12.6386363636363</v>
      </c>
    </row>
    <row r="113" spans="1:4" x14ac:dyDescent="0.25">
      <c r="A113">
        <v>111</v>
      </c>
      <c r="B113">
        <v>11.1882352941176</v>
      </c>
      <c r="C113">
        <v>15.261666666666599</v>
      </c>
      <c r="D113">
        <v>13.093181818181799</v>
      </c>
    </row>
    <row r="114" spans="1:4" x14ac:dyDescent="0.25">
      <c r="A114">
        <v>112</v>
      </c>
      <c r="B114">
        <v>11.0044117647058</v>
      </c>
      <c r="C114">
        <v>14.5283333333333</v>
      </c>
      <c r="D114">
        <v>12.938095238095199</v>
      </c>
    </row>
    <row r="115" spans="1:4" x14ac:dyDescent="0.25">
      <c r="A115">
        <v>113</v>
      </c>
      <c r="B115">
        <v>11.586764705882301</v>
      </c>
      <c r="C115">
        <v>14.68</v>
      </c>
      <c r="D115">
        <v>12.8654761904761</v>
      </c>
    </row>
    <row r="116" spans="1:4" x14ac:dyDescent="0.25">
      <c r="A116">
        <v>114</v>
      </c>
      <c r="B116">
        <v>10.9985294117647</v>
      </c>
      <c r="C116">
        <v>14.4933333333333</v>
      </c>
      <c r="D116">
        <v>13.697727272727199</v>
      </c>
    </row>
    <row r="117" spans="1:4" x14ac:dyDescent="0.25">
      <c r="A117">
        <v>115</v>
      </c>
      <c r="B117">
        <v>11.547058823529399</v>
      </c>
      <c r="C117">
        <v>14.7733333333333</v>
      </c>
      <c r="D117">
        <v>13.3666666666666</v>
      </c>
    </row>
    <row r="118" spans="1:4" x14ac:dyDescent="0.25">
      <c r="A118">
        <v>116</v>
      </c>
      <c r="B118">
        <v>11.6955882352941</v>
      </c>
      <c r="C118">
        <v>14.998333333333299</v>
      </c>
      <c r="D118">
        <v>12.558549783549701</v>
      </c>
    </row>
    <row r="119" spans="1:4" x14ac:dyDescent="0.25">
      <c r="A119">
        <v>117</v>
      </c>
      <c r="B119">
        <v>11.833823529411699</v>
      </c>
      <c r="C119">
        <v>15.395</v>
      </c>
      <c r="D119">
        <v>13.529545454545399</v>
      </c>
    </row>
    <row r="120" spans="1:4" x14ac:dyDescent="0.25">
      <c r="A120">
        <v>118</v>
      </c>
      <c r="B120">
        <v>12.1279411764705</v>
      </c>
      <c r="C120">
        <v>15.641379310344799</v>
      </c>
      <c r="D120">
        <v>14.0386363636363</v>
      </c>
    </row>
    <row r="121" spans="1:4" x14ac:dyDescent="0.25">
      <c r="A121">
        <v>119</v>
      </c>
      <c r="B121">
        <v>10.824999999999999</v>
      </c>
      <c r="C121">
        <v>14.7327586206896</v>
      </c>
      <c r="D121">
        <v>13.595454545454499</v>
      </c>
    </row>
    <row r="122" spans="1:4" x14ac:dyDescent="0.25">
      <c r="A122">
        <v>120</v>
      </c>
      <c r="B122">
        <v>10.554411764705799</v>
      </c>
      <c r="C122">
        <v>14.332758620689599</v>
      </c>
      <c r="D122">
        <v>13.049999999999899</v>
      </c>
    </row>
    <row r="123" spans="1:4" x14ac:dyDescent="0.25">
      <c r="A123">
        <v>121</v>
      </c>
      <c r="B123">
        <v>10.2014705882352</v>
      </c>
      <c r="C123">
        <v>14.3982758620689</v>
      </c>
      <c r="D123">
        <v>12.733333333333301</v>
      </c>
    </row>
    <row r="124" spans="1:4" x14ac:dyDescent="0.25">
      <c r="A124">
        <v>122</v>
      </c>
      <c r="B124">
        <v>10.3191176470588</v>
      </c>
      <c r="C124">
        <v>14.296666666666599</v>
      </c>
      <c r="D124">
        <v>12.1863636363636</v>
      </c>
    </row>
    <row r="125" spans="1:4" x14ac:dyDescent="0.25">
      <c r="A125">
        <v>123</v>
      </c>
      <c r="B125">
        <v>10.267647058823499</v>
      </c>
      <c r="C125">
        <v>14.1866666666666</v>
      </c>
      <c r="D125">
        <v>12.2068181818181</v>
      </c>
    </row>
    <row r="126" spans="1:4" x14ac:dyDescent="0.25">
      <c r="A126">
        <v>124</v>
      </c>
      <c r="B126">
        <v>10.807352941176401</v>
      </c>
      <c r="C126">
        <v>13.9112903225806</v>
      </c>
      <c r="D126">
        <v>12.772727272727201</v>
      </c>
    </row>
    <row r="127" spans="1:4" x14ac:dyDescent="0.25">
      <c r="A127">
        <v>125</v>
      </c>
      <c r="B127">
        <v>10.7742424242424</v>
      </c>
      <c r="C127">
        <v>13.9966666666666</v>
      </c>
      <c r="D127">
        <v>11.6095238095238</v>
      </c>
    </row>
    <row r="128" spans="1:4" x14ac:dyDescent="0.25">
      <c r="A128">
        <v>126</v>
      </c>
      <c r="B128">
        <v>11.583823529411699</v>
      </c>
      <c r="C128">
        <v>14.1596774193548</v>
      </c>
      <c r="D128">
        <v>12.3136363636363</v>
      </c>
    </row>
    <row r="129" spans="1:4" x14ac:dyDescent="0.25">
      <c r="A129">
        <v>127</v>
      </c>
      <c r="B129">
        <v>11.138235294117599</v>
      </c>
      <c r="C129">
        <v>13.8403225806451</v>
      </c>
      <c r="D129">
        <v>12.261363636363599</v>
      </c>
    </row>
    <row r="130" spans="1:4" x14ac:dyDescent="0.25">
      <c r="A130">
        <v>128</v>
      </c>
      <c r="B130">
        <v>10.079411764705799</v>
      </c>
      <c r="C130">
        <v>13.5774193548387</v>
      </c>
      <c r="D130">
        <v>11.9340909090909</v>
      </c>
    </row>
    <row r="131" spans="1:4" x14ac:dyDescent="0.25">
      <c r="A131">
        <v>129</v>
      </c>
      <c r="B131">
        <v>10.2279411764705</v>
      </c>
      <c r="C131">
        <v>13.1612903225806</v>
      </c>
      <c r="D131">
        <v>11.540909090909</v>
      </c>
    </row>
    <row r="132" spans="1:4" x14ac:dyDescent="0.25">
      <c r="A132">
        <v>130</v>
      </c>
      <c r="B132">
        <v>10.1044117647058</v>
      </c>
      <c r="C132">
        <v>13.291935483870899</v>
      </c>
      <c r="D132">
        <v>11.902272727272701</v>
      </c>
    </row>
    <row r="133" spans="1:4" x14ac:dyDescent="0.25">
      <c r="A133">
        <v>131</v>
      </c>
      <c r="B133">
        <v>10.4441176470588</v>
      </c>
      <c r="C133">
        <v>13.5774193548387</v>
      </c>
      <c r="D133">
        <v>12.381818181818099</v>
      </c>
    </row>
    <row r="134" spans="1:4" x14ac:dyDescent="0.25">
      <c r="A134">
        <v>132</v>
      </c>
      <c r="B134">
        <v>10.801470588235199</v>
      </c>
      <c r="C134">
        <v>13.898387096774099</v>
      </c>
      <c r="D134">
        <v>12.35</v>
      </c>
    </row>
    <row r="135" spans="1:4" x14ac:dyDescent="0.25">
      <c r="A135">
        <v>133</v>
      </c>
      <c r="B135">
        <v>10.149999999999901</v>
      </c>
      <c r="C135">
        <v>13.8193548387096</v>
      </c>
      <c r="D135">
        <v>11.884090909090901</v>
      </c>
    </row>
    <row r="136" spans="1:4" x14ac:dyDescent="0.25">
      <c r="A136">
        <v>134</v>
      </c>
      <c r="B136">
        <v>10.029411764705801</v>
      </c>
      <c r="C136">
        <v>13.49</v>
      </c>
      <c r="D136">
        <v>11.861363636363601</v>
      </c>
    </row>
    <row r="137" spans="1:4" x14ac:dyDescent="0.25">
      <c r="A137">
        <v>135</v>
      </c>
      <c r="B137">
        <v>9.6235294117647001</v>
      </c>
      <c r="C137">
        <v>13.408064516129</v>
      </c>
      <c r="D137">
        <v>12.3318181818181</v>
      </c>
    </row>
    <row r="138" spans="1:4" x14ac:dyDescent="0.25">
      <c r="A138">
        <v>136</v>
      </c>
      <c r="B138">
        <v>10.177941176470499</v>
      </c>
      <c r="C138">
        <v>13.4193548387096</v>
      </c>
      <c r="D138">
        <v>12.0795454545454</v>
      </c>
    </row>
    <row r="139" spans="1:4" x14ac:dyDescent="0.25">
      <c r="A139">
        <v>137</v>
      </c>
      <c r="B139">
        <v>9.2779411764705806</v>
      </c>
      <c r="C139">
        <v>13.0177419354838</v>
      </c>
      <c r="D139">
        <v>11.25</v>
      </c>
    </row>
    <row r="140" spans="1:4" x14ac:dyDescent="0.25">
      <c r="A140">
        <v>138</v>
      </c>
      <c r="B140">
        <v>9.0485294117647008</v>
      </c>
      <c r="C140">
        <v>12.8774193548387</v>
      </c>
      <c r="D140">
        <v>9.9250000000000007</v>
      </c>
    </row>
    <row r="141" spans="1:4" x14ac:dyDescent="0.25">
      <c r="A141">
        <v>139</v>
      </c>
      <c r="B141">
        <v>9.3647058823529399</v>
      </c>
      <c r="C141">
        <v>13.3629032258064</v>
      </c>
      <c r="D141">
        <v>10.8318181818181</v>
      </c>
    </row>
    <row r="142" spans="1:4" x14ac:dyDescent="0.25">
      <c r="A142">
        <v>140</v>
      </c>
      <c r="B142">
        <v>9.4352941176470502</v>
      </c>
      <c r="C142">
        <v>13.314516129032199</v>
      </c>
      <c r="D142">
        <v>10.945454545454499</v>
      </c>
    </row>
    <row r="143" spans="1:4" x14ac:dyDescent="0.25">
      <c r="A143">
        <v>141</v>
      </c>
      <c r="B143">
        <v>9.1705882352941099</v>
      </c>
      <c r="C143">
        <v>13.598387096774101</v>
      </c>
      <c r="D143">
        <v>11.1818181818181</v>
      </c>
    </row>
    <row r="144" spans="1:4" x14ac:dyDescent="0.25">
      <c r="A144">
        <v>142</v>
      </c>
      <c r="B144">
        <v>8.3529411764705799</v>
      </c>
      <c r="C144">
        <v>13.074193548387001</v>
      </c>
      <c r="D144">
        <v>10.756818181818099</v>
      </c>
    </row>
    <row r="145" spans="1:4" x14ac:dyDescent="0.25">
      <c r="A145">
        <v>143</v>
      </c>
      <c r="B145">
        <v>9.0132352941176404</v>
      </c>
      <c r="C145">
        <v>12.8338709677419</v>
      </c>
      <c r="D145">
        <v>10.147727272727201</v>
      </c>
    </row>
    <row r="146" spans="1:4" x14ac:dyDescent="0.25">
      <c r="A146">
        <v>144</v>
      </c>
      <c r="B146">
        <v>8.7911764705882298</v>
      </c>
      <c r="C146">
        <v>12.761290322580599</v>
      </c>
      <c r="D146">
        <v>10.890909090909</v>
      </c>
    </row>
    <row r="147" spans="1:4" x14ac:dyDescent="0.25">
      <c r="A147">
        <v>145</v>
      </c>
      <c r="B147">
        <v>8.3720588235294109</v>
      </c>
      <c r="C147">
        <v>13.04</v>
      </c>
      <c r="D147">
        <v>10.35</v>
      </c>
    </row>
    <row r="148" spans="1:4" x14ac:dyDescent="0.25">
      <c r="A148">
        <v>146</v>
      </c>
      <c r="B148">
        <v>8.5632352941176393</v>
      </c>
      <c r="C148">
        <v>13.44</v>
      </c>
      <c r="D148">
        <v>10.795454545454501</v>
      </c>
    </row>
    <row r="149" spans="1:4" x14ac:dyDescent="0.25">
      <c r="A149">
        <v>147</v>
      </c>
      <c r="B149">
        <v>8.4573529411764703</v>
      </c>
      <c r="C149">
        <v>12.8183333333333</v>
      </c>
      <c r="D149">
        <v>10.8363636363636</v>
      </c>
    </row>
    <row r="150" spans="1:4" x14ac:dyDescent="0.25">
      <c r="A150">
        <v>148</v>
      </c>
      <c r="B150">
        <v>8.1897058823529392</v>
      </c>
      <c r="C150">
        <v>12.088333333333299</v>
      </c>
      <c r="D150">
        <v>9.9977272727272695</v>
      </c>
    </row>
    <row r="151" spans="1:4" x14ac:dyDescent="0.25">
      <c r="A151">
        <v>149</v>
      </c>
      <c r="B151">
        <v>8.3764705882352892</v>
      </c>
      <c r="C151">
        <v>11.7193548387096</v>
      </c>
      <c r="D151">
        <v>10.025</v>
      </c>
    </row>
    <row r="152" spans="1:4" x14ac:dyDescent="0.25">
      <c r="A152">
        <v>150</v>
      </c>
      <c r="B152">
        <v>7.9235294117646999</v>
      </c>
      <c r="C152">
        <v>12.024193548387</v>
      </c>
      <c r="D152">
        <v>9.4727272727272709</v>
      </c>
    </row>
    <row r="153" spans="1:4" x14ac:dyDescent="0.25">
      <c r="A153">
        <v>151</v>
      </c>
      <c r="B153">
        <v>7.9742424242424201</v>
      </c>
      <c r="C153">
        <v>11.7258064516129</v>
      </c>
      <c r="D153">
        <v>9.3613636363636292</v>
      </c>
    </row>
    <row r="154" spans="1:4" x14ac:dyDescent="0.25">
      <c r="A154">
        <v>152</v>
      </c>
      <c r="B154">
        <v>8.0696969696969596</v>
      </c>
      <c r="C154">
        <v>11.7564516129032</v>
      </c>
      <c r="D154">
        <v>8.8113636363636303</v>
      </c>
    </row>
    <row r="155" spans="1:4" x14ac:dyDescent="0.25">
      <c r="A155">
        <v>153</v>
      </c>
      <c r="B155">
        <v>7.75</v>
      </c>
      <c r="C155">
        <v>11.6033333333333</v>
      </c>
      <c r="D155">
        <v>10.022727272727201</v>
      </c>
    </row>
    <row r="156" spans="1:4" x14ac:dyDescent="0.25">
      <c r="A156">
        <v>154</v>
      </c>
      <c r="B156">
        <v>7.4484848484848403</v>
      </c>
      <c r="C156">
        <v>11.056666666666599</v>
      </c>
      <c r="D156">
        <v>9.2272727272727195</v>
      </c>
    </row>
    <row r="157" spans="1:4" x14ac:dyDescent="0.25">
      <c r="A157">
        <v>155</v>
      </c>
      <c r="B157">
        <v>7.27424242424242</v>
      </c>
      <c r="C157">
        <v>11.1733333333333</v>
      </c>
      <c r="D157">
        <v>9.1909090909090896</v>
      </c>
    </row>
    <row r="158" spans="1:4" x14ac:dyDescent="0.25">
      <c r="A158">
        <v>156</v>
      </c>
      <c r="B158">
        <v>7.1969696969696901</v>
      </c>
      <c r="C158">
        <v>11.3016666666666</v>
      </c>
      <c r="D158">
        <v>8.9022727272727202</v>
      </c>
    </row>
    <row r="159" spans="1:4" x14ac:dyDescent="0.25">
      <c r="A159">
        <v>157</v>
      </c>
      <c r="B159">
        <v>6.8636363636363598</v>
      </c>
      <c r="C159">
        <v>11.2416666666666</v>
      </c>
      <c r="D159">
        <v>9.3249999999999993</v>
      </c>
    </row>
    <row r="160" spans="1:4" x14ac:dyDescent="0.25">
      <c r="A160">
        <v>158</v>
      </c>
      <c r="B160">
        <v>7.0772727272727201</v>
      </c>
      <c r="C160">
        <v>11.3533333333333</v>
      </c>
      <c r="D160">
        <v>8.8249999999999993</v>
      </c>
    </row>
    <row r="161" spans="1:4" x14ac:dyDescent="0.25">
      <c r="A161">
        <v>159</v>
      </c>
      <c r="B161">
        <v>7.6151515151515099</v>
      </c>
      <c r="C161">
        <v>11.6383333333333</v>
      </c>
      <c r="D161">
        <v>8.7545454545454504</v>
      </c>
    </row>
    <row r="162" spans="1:4" x14ac:dyDescent="0.25">
      <c r="A162">
        <v>160</v>
      </c>
      <c r="B162">
        <v>7.8272727272727201</v>
      </c>
      <c r="C162">
        <v>12.033333333333299</v>
      </c>
      <c r="D162">
        <v>8.4977272727272695</v>
      </c>
    </row>
    <row r="163" spans="1:4" x14ac:dyDescent="0.25">
      <c r="A163">
        <v>161</v>
      </c>
      <c r="B163">
        <v>7.8272727272727201</v>
      </c>
      <c r="C163">
        <v>12.0483333333333</v>
      </c>
      <c r="D163">
        <v>9.8119047619047599</v>
      </c>
    </row>
    <row r="164" spans="1:4" x14ac:dyDescent="0.25">
      <c r="A164">
        <v>162</v>
      </c>
      <c r="B164">
        <v>7.6075757575757503</v>
      </c>
      <c r="C164">
        <v>12.105</v>
      </c>
      <c r="D164">
        <v>10.1785714285714</v>
      </c>
    </row>
    <row r="165" spans="1:4" x14ac:dyDescent="0.25">
      <c r="A165">
        <v>163</v>
      </c>
      <c r="B165">
        <v>7.7030303030302996</v>
      </c>
      <c r="C165">
        <v>11.93</v>
      </c>
      <c r="D165">
        <v>10.6</v>
      </c>
    </row>
    <row r="166" spans="1:4" x14ac:dyDescent="0.25">
      <c r="A166">
        <v>164</v>
      </c>
      <c r="B166">
        <v>6.8681818181818102</v>
      </c>
      <c r="C166">
        <v>11.734999999999999</v>
      </c>
      <c r="D166">
        <v>9.9095238095238098</v>
      </c>
    </row>
    <row r="167" spans="1:4" x14ac:dyDescent="0.25">
      <c r="A167">
        <v>165</v>
      </c>
      <c r="B167">
        <v>7.2318181818181797</v>
      </c>
      <c r="C167">
        <v>11.1666666666666</v>
      </c>
      <c r="D167">
        <v>9.4833333333333307</v>
      </c>
    </row>
    <row r="168" spans="1:4" x14ac:dyDescent="0.25">
      <c r="A168">
        <v>166</v>
      </c>
      <c r="B168">
        <v>7.3390624999999998</v>
      </c>
      <c r="C168">
        <v>11.2283333333333</v>
      </c>
      <c r="D168">
        <v>8.9738095238095195</v>
      </c>
    </row>
    <row r="169" spans="1:4" x14ac:dyDescent="0.25">
      <c r="A169">
        <v>167</v>
      </c>
      <c r="B169">
        <v>6.6624999999999996</v>
      </c>
      <c r="C169">
        <v>10.6586206896551</v>
      </c>
      <c r="D169">
        <v>9.1873376623376597</v>
      </c>
    </row>
    <row r="170" spans="1:4" x14ac:dyDescent="0.25">
      <c r="A170">
        <v>168</v>
      </c>
      <c r="B170">
        <v>6.015625</v>
      </c>
      <c r="C170">
        <v>10.7310344827586</v>
      </c>
      <c r="D170">
        <v>9.3000000000000007</v>
      </c>
    </row>
    <row r="171" spans="1:4" x14ac:dyDescent="0.25">
      <c r="A171">
        <v>169</v>
      </c>
      <c r="B171">
        <v>6.4772727272727204</v>
      </c>
      <c r="C171">
        <v>11.2603448275862</v>
      </c>
      <c r="D171">
        <v>9.0485930735930697</v>
      </c>
    </row>
    <row r="172" spans="1:4" x14ac:dyDescent="0.25">
      <c r="A172">
        <v>170</v>
      </c>
      <c r="B172">
        <v>6.3803030303030299</v>
      </c>
      <c r="C172">
        <v>10.906896551724101</v>
      </c>
      <c r="D172">
        <v>9.3318181818181802</v>
      </c>
    </row>
    <row r="173" spans="1:4" x14ac:dyDescent="0.25">
      <c r="A173">
        <v>171</v>
      </c>
      <c r="B173">
        <v>6.4439393939393899</v>
      </c>
      <c r="C173">
        <v>11.072413793103401</v>
      </c>
      <c r="D173">
        <v>8.5568181818181799</v>
      </c>
    </row>
    <row r="174" spans="1:4" x14ac:dyDescent="0.25">
      <c r="A174">
        <v>172</v>
      </c>
      <c r="B174">
        <v>6.5606060606060597</v>
      </c>
      <c r="C174">
        <v>11.1844827586206</v>
      </c>
      <c r="D174">
        <v>9.0977272727272709</v>
      </c>
    </row>
    <row r="175" spans="1:4" x14ac:dyDescent="0.25">
      <c r="A175">
        <v>173</v>
      </c>
      <c r="B175">
        <v>6.1424242424242399</v>
      </c>
      <c r="C175">
        <v>10.84</v>
      </c>
      <c r="D175">
        <v>8.1601731601731604</v>
      </c>
    </row>
    <row r="176" spans="1:4" x14ac:dyDescent="0.25">
      <c r="A176">
        <v>174</v>
      </c>
      <c r="B176">
        <v>6.20757575757575</v>
      </c>
      <c r="C176">
        <v>10.578333333333299</v>
      </c>
      <c r="D176">
        <v>8.8409090909090899</v>
      </c>
    </row>
    <row r="177" spans="1:4" x14ac:dyDescent="0.25">
      <c r="A177">
        <v>175</v>
      </c>
      <c r="B177">
        <v>6.5106060606060598</v>
      </c>
      <c r="C177">
        <v>10.6928571428571</v>
      </c>
      <c r="D177">
        <v>8.4772727272727195</v>
      </c>
    </row>
    <row r="178" spans="1:4" x14ac:dyDescent="0.25">
      <c r="A178">
        <v>176</v>
      </c>
      <c r="B178">
        <v>6.4439393939393899</v>
      </c>
      <c r="C178">
        <v>10.8642857142857</v>
      </c>
      <c r="D178">
        <v>8.4992424242424196</v>
      </c>
    </row>
    <row r="179" spans="1:4" x14ac:dyDescent="0.25">
      <c r="A179">
        <v>177</v>
      </c>
      <c r="B179">
        <v>6.6909090909090896</v>
      </c>
      <c r="C179">
        <v>10.492857142857099</v>
      </c>
      <c r="D179">
        <v>8.1190476190476097</v>
      </c>
    </row>
    <row r="180" spans="1:4" x14ac:dyDescent="0.25">
      <c r="A180">
        <v>178</v>
      </c>
      <c r="B180">
        <v>6.1848484848484802</v>
      </c>
      <c r="C180">
        <v>10.592857142857101</v>
      </c>
      <c r="D180">
        <v>8.35</v>
      </c>
    </row>
    <row r="181" spans="1:4" x14ac:dyDescent="0.25">
      <c r="A181">
        <v>179</v>
      </c>
      <c r="B181">
        <v>5.9242424242424203</v>
      </c>
      <c r="C181">
        <v>10.465517241379301</v>
      </c>
      <c r="D181">
        <v>8.0295454545454508</v>
      </c>
    </row>
    <row r="182" spans="1:4" x14ac:dyDescent="0.25">
      <c r="A182">
        <v>180</v>
      </c>
      <c r="B182">
        <v>6.1499999999999897</v>
      </c>
      <c r="C182">
        <v>10.572413793103401</v>
      </c>
      <c r="D182">
        <v>8.7095238095238106</v>
      </c>
    </row>
    <row r="183" spans="1:4" x14ac:dyDescent="0.25">
      <c r="A183">
        <v>181</v>
      </c>
      <c r="B183">
        <v>6.4909090909090903</v>
      </c>
      <c r="C183">
        <v>10.655357142857101</v>
      </c>
      <c r="D183">
        <v>8.2333333333333307</v>
      </c>
    </row>
    <row r="184" spans="1:4" x14ac:dyDescent="0.25">
      <c r="A184">
        <v>182</v>
      </c>
      <c r="B184">
        <v>5.80151515151515</v>
      </c>
      <c r="C184">
        <v>10.0517857142857</v>
      </c>
      <c r="D184">
        <v>8.6285714285714192</v>
      </c>
    </row>
    <row r="185" spans="1:4" x14ac:dyDescent="0.25">
      <c r="A185">
        <v>183</v>
      </c>
      <c r="B185">
        <v>5.4696969696969697</v>
      </c>
      <c r="C185">
        <v>9.5678571428571395</v>
      </c>
      <c r="D185">
        <v>8.3523809523809494</v>
      </c>
    </row>
    <row r="186" spans="1:4" x14ac:dyDescent="0.25">
      <c r="A186">
        <v>184</v>
      </c>
      <c r="B186">
        <v>6.01212121212121</v>
      </c>
      <c r="C186">
        <v>9.7035714285714292</v>
      </c>
      <c r="D186">
        <v>8.2065476190476101</v>
      </c>
    </row>
    <row r="187" spans="1:4" x14ac:dyDescent="0.25">
      <c r="A187">
        <v>185</v>
      </c>
      <c r="B187">
        <v>6.2727272727272698</v>
      </c>
      <c r="C187">
        <v>10.1785714285714</v>
      </c>
      <c r="D187">
        <v>8.4166666666666607</v>
      </c>
    </row>
    <row r="188" spans="1:4" x14ac:dyDescent="0.25">
      <c r="A188">
        <v>186</v>
      </c>
      <c r="B188">
        <v>6.5393939393939302</v>
      </c>
      <c r="C188">
        <v>10.675000000000001</v>
      </c>
      <c r="D188">
        <v>8.3928571428571406</v>
      </c>
    </row>
    <row r="189" spans="1:4" x14ac:dyDescent="0.25">
      <c r="A189">
        <v>187</v>
      </c>
      <c r="B189">
        <v>6.3272727272727201</v>
      </c>
      <c r="C189">
        <v>10.6303571428571</v>
      </c>
      <c r="D189">
        <v>8.5049999999999901</v>
      </c>
    </row>
    <row r="190" spans="1:4" x14ac:dyDescent="0.25">
      <c r="A190">
        <v>188</v>
      </c>
      <c r="B190">
        <v>5.5742424242424198</v>
      </c>
      <c r="C190">
        <v>10.5714285714285</v>
      </c>
      <c r="D190">
        <v>9.11666666666666</v>
      </c>
    </row>
    <row r="191" spans="1:4" x14ac:dyDescent="0.25">
      <c r="A191">
        <v>189</v>
      </c>
      <c r="B191">
        <v>5.2243939393939298</v>
      </c>
      <c r="C191">
        <v>10.2685185185185</v>
      </c>
      <c r="D191">
        <v>8.6547619047618998</v>
      </c>
    </row>
    <row r="192" spans="1:4" x14ac:dyDescent="0.25">
      <c r="A192">
        <v>190</v>
      </c>
      <c r="B192">
        <v>5.4590909090909001</v>
      </c>
      <c r="C192">
        <v>10.4166666666666</v>
      </c>
      <c r="D192">
        <v>8.3523809523809494</v>
      </c>
    </row>
    <row r="193" spans="1:4" x14ac:dyDescent="0.25">
      <c r="A193">
        <v>191</v>
      </c>
      <c r="B193">
        <v>5.67121212121212</v>
      </c>
      <c r="C193">
        <v>9.7703703703703706</v>
      </c>
      <c r="D193">
        <v>8.1119047619047606</v>
      </c>
    </row>
    <row r="194" spans="1:4" x14ac:dyDescent="0.25">
      <c r="A194">
        <v>192</v>
      </c>
      <c r="B194">
        <v>5.5803030303030301</v>
      </c>
      <c r="C194">
        <v>9.4057692307692307</v>
      </c>
      <c r="D194">
        <v>8.3619047619047606</v>
      </c>
    </row>
    <row r="195" spans="1:4" x14ac:dyDescent="0.25">
      <c r="A195">
        <v>193</v>
      </c>
      <c r="B195">
        <v>5.8181818181818103</v>
      </c>
      <c r="C195">
        <v>9.7037037037037006</v>
      </c>
      <c r="D195">
        <v>8.4476190476190407</v>
      </c>
    </row>
    <row r="196" spans="1:4" x14ac:dyDescent="0.25">
      <c r="A196">
        <v>194</v>
      </c>
      <c r="B196">
        <v>5.8984848484848396</v>
      </c>
      <c r="C196">
        <v>9.875</v>
      </c>
      <c r="D196">
        <v>8.0047619047618994</v>
      </c>
    </row>
    <row r="197" spans="1:4" x14ac:dyDescent="0.25">
      <c r="A197">
        <v>195</v>
      </c>
      <c r="B197">
        <v>6.1590909090909003</v>
      </c>
      <c r="C197">
        <v>9.4732142857142794</v>
      </c>
      <c r="D197">
        <v>7.5666666666666602</v>
      </c>
    </row>
    <row r="198" spans="1:4" x14ac:dyDescent="0.25">
      <c r="A198">
        <v>196</v>
      </c>
      <c r="B198">
        <v>5.8606060606060604</v>
      </c>
      <c r="C198">
        <v>10.3732142857142</v>
      </c>
      <c r="D198">
        <v>8.4499999999999993</v>
      </c>
    </row>
    <row r="199" spans="1:4" x14ac:dyDescent="0.25">
      <c r="A199">
        <v>197</v>
      </c>
      <c r="B199">
        <v>6.3318181818181802</v>
      </c>
      <c r="C199">
        <v>10.9428571428571</v>
      </c>
      <c r="D199">
        <v>8.6999999999999993</v>
      </c>
    </row>
    <row r="200" spans="1:4" x14ac:dyDescent="0.25">
      <c r="A200">
        <v>198</v>
      </c>
      <c r="B200">
        <v>6.4424242424242397</v>
      </c>
      <c r="C200">
        <v>10.689655172413699</v>
      </c>
      <c r="D200">
        <v>9.1380952380952305</v>
      </c>
    </row>
    <row r="201" spans="1:4" x14ac:dyDescent="0.25">
      <c r="A201">
        <v>199</v>
      </c>
      <c r="B201">
        <v>6.3242424242424198</v>
      </c>
      <c r="C201">
        <v>10.322413793103401</v>
      </c>
      <c r="D201">
        <v>8.3357142857142801</v>
      </c>
    </row>
    <row r="202" spans="1:4" x14ac:dyDescent="0.25">
      <c r="A202">
        <v>200</v>
      </c>
      <c r="B202">
        <v>6.5333333333333297</v>
      </c>
      <c r="C202">
        <v>10.189655172413699</v>
      </c>
      <c r="D202">
        <v>7.9571428571428502</v>
      </c>
    </row>
    <row r="203" spans="1:4" x14ac:dyDescent="0.25">
      <c r="A203">
        <v>201</v>
      </c>
      <c r="B203">
        <v>6.70757575757575</v>
      </c>
      <c r="C203">
        <v>10.668333333333299</v>
      </c>
      <c r="D203">
        <v>8.3547619047619008</v>
      </c>
    </row>
    <row r="204" spans="1:4" x14ac:dyDescent="0.25">
      <c r="A204">
        <v>202</v>
      </c>
      <c r="B204">
        <v>6.2909090909090901</v>
      </c>
      <c r="C204">
        <v>10.181666666666599</v>
      </c>
      <c r="D204">
        <v>8.2880952380952309</v>
      </c>
    </row>
    <row r="205" spans="1:4" x14ac:dyDescent="0.25">
      <c r="A205">
        <v>203</v>
      </c>
      <c r="B205">
        <v>6.5757575757575699</v>
      </c>
      <c r="C205">
        <v>10.761666666666599</v>
      </c>
      <c r="D205">
        <v>9.11666666666666</v>
      </c>
    </row>
    <row r="206" spans="1:4" x14ac:dyDescent="0.25">
      <c r="A206">
        <v>204</v>
      </c>
      <c r="B206">
        <v>6.8424242424242401</v>
      </c>
      <c r="C206">
        <v>10.623333333333299</v>
      </c>
      <c r="D206">
        <v>8.4619047619047603</v>
      </c>
    </row>
    <row r="207" spans="1:4" x14ac:dyDescent="0.25">
      <c r="A207">
        <v>205</v>
      </c>
      <c r="B207">
        <v>6.7236363636363601</v>
      </c>
      <c r="C207">
        <v>10.654999999999999</v>
      </c>
      <c r="D207">
        <v>9.2261904761904692</v>
      </c>
    </row>
    <row r="208" spans="1:4" x14ac:dyDescent="0.25">
      <c r="A208">
        <v>206</v>
      </c>
      <c r="B208">
        <v>6.8075757575757496</v>
      </c>
      <c r="C208">
        <v>10.085000000000001</v>
      </c>
      <c r="D208">
        <v>8.6071428571428505</v>
      </c>
    </row>
    <row r="209" spans="1:4" x14ac:dyDescent="0.25">
      <c r="A209">
        <v>207</v>
      </c>
      <c r="B209">
        <v>6.7636363636363601</v>
      </c>
      <c r="C209">
        <v>9.99</v>
      </c>
      <c r="D209">
        <v>8.2261904761904692</v>
      </c>
    </row>
    <row r="210" spans="1:4" x14ac:dyDescent="0.25">
      <c r="A210">
        <v>208</v>
      </c>
      <c r="B210">
        <v>7.0954545454545404</v>
      </c>
      <c r="C210">
        <v>10.4116666666666</v>
      </c>
      <c r="D210">
        <v>8.1785714285714199</v>
      </c>
    </row>
    <row r="211" spans="1:4" x14ac:dyDescent="0.25">
      <c r="A211">
        <v>209</v>
      </c>
      <c r="B211">
        <v>7.0287878787878704</v>
      </c>
      <c r="C211">
        <v>10.494999999999999</v>
      </c>
      <c r="D211">
        <v>8.9785714285714207</v>
      </c>
    </row>
    <row r="212" spans="1:4" x14ac:dyDescent="0.25">
      <c r="A212">
        <v>210</v>
      </c>
      <c r="B212">
        <v>7.4492424242424198</v>
      </c>
      <c r="C212">
        <v>10.685</v>
      </c>
      <c r="D212">
        <v>8.7595238095238095</v>
      </c>
    </row>
    <row r="213" spans="1:4" x14ac:dyDescent="0.25">
      <c r="A213">
        <v>211</v>
      </c>
      <c r="B213">
        <v>6.8409090909090899</v>
      </c>
      <c r="C213">
        <v>10.678333333333301</v>
      </c>
      <c r="D213">
        <v>8.9523809523809508</v>
      </c>
    </row>
    <row r="214" spans="1:4" x14ac:dyDescent="0.25">
      <c r="A214">
        <v>212</v>
      </c>
      <c r="B214">
        <v>7.1918181818181797</v>
      </c>
      <c r="C214">
        <v>10.767241379310301</v>
      </c>
      <c r="D214">
        <v>8.6119047619047606</v>
      </c>
    </row>
    <row r="215" spans="1:4" x14ac:dyDescent="0.25">
      <c r="A215">
        <v>213</v>
      </c>
      <c r="B215">
        <v>7.4148484848484797</v>
      </c>
      <c r="C215">
        <v>10.815</v>
      </c>
      <c r="D215">
        <v>9.4261904761904702</v>
      </c>
    </row>
    <row r="216" spans="1:4" x14ac:dyDescent="0.25">
      <c r="A216">
        <v>214</v>
      </c>
      <c r="B216">
        <v>7.1409090909090898</v>
      </c>
      <c r="C216">
        <v>11.156666666666601</v>
      </c>
      <c r="D216">
        <v>9.6904761904761898</v>
      </c>
    </row>
    <row r="217" spans="1:4" x14ac:dyDescent="0.25">
      <c r="A217">
        <v>215</v>
      </c>
      <c r="B217">
        <v>6.7681818181818096</v>
      </c>
      <c r="C217">
        <v>11.0879310344827</v>
      </c>
      <c r="D217">
        <v>9.2023809523809508</v>
      </c>
    </row>
    <row r="218" spans="1:4" x14ac:dyDescent="0.25">
      <c r="A218">
        <v>216</v>
      </c>
      <c r="B218">
        <v>7.2015151515151503</v>
      </c>
      <c r="C218">
        <v>10.9965517241379</v>
      </c>
      <c r="D218">
        <v>9.5428571428571392</v>
      </c>
    </row>
    <row r="219" spans="1:4" x14ac:dyDescent="0.25">
      <c r="A219">
        <v>217</v>
      </c>
      <c r="B219">
        <v>7.3742424242424196</v>
      </c>
      <c r="C219">
        <v>10.706395995550601</v>
      </c>
      <c r="D219">
        <v>8.5904761904761902</v>
      </c>
    </row>
    <row r="220" spans="1:4" x14ac:dyDescent="0.25">
      <c r="A220">
        <v>218</v>
      </c>
      <c r="B220">
        <v>7.4590909090909001</v>
      </c>
      <c r="C220">
        <v>10.6327586206896</v>
      </c>
      <c r="D220">
        <v>8.6952380952380892</v>
      </c>
    </row>
    <row r="221" spans="1:4" x14ac:dyDescent="0.25">
      <c r="A221">
        <v>219</v>
      </c>
      <c r="B221">
        <v>7.5939393939393902</v>
      </c>
      <c r="C221">
        <v>10.7362068965517</v>
      </c>
      <c r="D221">
        <v>9.5452380952380906</v>
      </c>
    </row>
    <row r="222" spans="1:4" x14ac:dyDescent="0.25">
      <c r="A222">
        <v>220</v>
      </c>
      <c r="B222">
        <v>7.3257575757575699</v>
      </c>
      <c r="C222">
        <v>10.733333333333301</v>
      </c>
      <c r="D222">
        <v>9.0214285714285705</v>
      </c>
    </row>
    <row r="223" spans="1:4" x14ac:dyDescent="0.25">
      <c r="A223">
        <v>221</v>
      </c>
      <c r="B223">
        <v>6.6333333333333302</v>
      </c>
      <c r="C223">
        <v>10.86</v>
      </c>
      <c r="D223">
        <v>8.4976190476190396</v>
      </c>
    </row>
    <row r="224" spans="1:4" x14ac:dyDescent="0.25">
      <c r="A224">
        <v>222</v>
      </c>
      <c r="B224">
        <v>7.0696969696969703</v>
      </c>
      <c r="C224">
        <v>10.6416666666666</v>
      </c>
      <c r="D224">
        <v>8.2119047619047603</v>
      </c>
    </row>
    <row r="225" spans="1:4" x14ac:dyDescent="0.25">
      <c r="A225">
        <v>223</v>
      </c>
      <c r="B225">
        <v>7.5106060606060598</v>
      </c>
      <c r="C225">
        <v>10.8983333333333</v>
      </c>
      <c r="D225">
        <v>8.5904761904761902</v>
      </c>
    </row>
    <row r="226" spans="1:4" x14ac:dyDescent="0.25">
      <c r="A226">
        <v>224</v>
      </c>
      <c r="B226">
        <v>7.7378787878787803</v>
      </c>
      <c r="C226">
        <v>10.62</v>
      </c>
      <c r="D226">
        <v>9.3119047619047599</v>
      </c>
    </row>
    <row r="227" spans="1:4" x14ac:dyDescent="0.25">
      <c r="A227">
        <v>225</v>
      </c>
      <c r="B227">
        <v>7.4378787878787804</v>
      </c>
      <c r="C227">
        <v>10.851666666666601</v>
      </c>
      <c r="D227">
        <v>9.1738095238095205</v>
      </c>
    </row>
    <row r="228" spans="1:4" x14ac:dyDescent="0.25">
      <c r="A228">
        <v>226</v>
      </c>
      <c r="B228">
        <v>7.3203125</v>
      </c>
      <c r="C228">
        <v>10.715517241379301</v>
      </c>
      <c r="D228">
        <v>9.0904761904761902</v>
      </c>
    </row>
    <row r="229" spans="1:4" x14ac:dyDescent="0.25">
      <c r="A229">
        <v>227</v>
      </c>
      <c r="B229">
        <v>6.9593749999999996</v>
      </c>
      <c r="C229">
        <v>10.171666666666599</v>
      </c>
      <c r="D229">
        <v>9.0095238095238095</v>
      </c>
    </row>
    <row r="230" spans="1:4" x14ac:dyDescent="0.25">
      <c r="A230">
        <v>228</v>
      </c>
      <c r="B230">
        <v>7.1937499999999996</v>
      </c>
      <c r="C230">
        <v>10.203333333333299</v>
      </c>
      <c r="D230">
        <v>8.9619047619047603</v>
      </c>
    </row>
    <row r="231" spans="1:4" x14ac:dyDescent="0.25">
      <c r="A231">
        <v>229</v>
      </c>
      <c r="B231">
        <v>7.7437500000000004</v>
      </c>
      <c r="C231">
        <v>10.0833333333333</v>
      </c>
      <c r="D231">
        <v>9.1857142857142797</v>
      </c>
    </row>
    <row r="232" spans="1:4" x14ac:dyDescent="0.25">
      <c r="A232">
        <v>230</v>
      </c>
      <c r="B232">
        <v>7.8</v>
      </c>
      <c r="C232">
        <v>10.0833333333333</v>
      </c>
      <c r="D232">
        <v>8.3095238095238102</v>
      </c>
    </row>
    <row r="233" spans="1:4" x14ac:dyDescent="0.25">
      <c r="A233">
        <v>231</v>
      </c>
      <c r="B233">
        <v>7.5171875000000004</v>
      </c>
      <c r="C233">
        <v>10.1383333333333</v>
      </c>
      <c r="D233">
        <v>8.7857142857142794</v>
      </c>
    </row>
    <row r="234" spans="1:4" x14ac:dyDescent="0.25">
      <c r="A234">
        <v>232</v>
      </c>
      <c r="B234">
        <v>7.5671875000000002</v>
      </c>
      <c r="C234">
        <v>10.421666666666599</v>
      </c>
      <c r="D234">
        <v>8.9404761904761898</v>
      </c>
    </row>
    <row r="235" spans="1:4" x14ac:dyDescent="0.25">
      <c r="A235">
        <v>233</v>
      </c>
      <c r="B235">
        <v>7.2593750000000004</v>
      </c>
      <c r="C235">
        <v>10.703333333333299</v>
      </c>
      <c r="D235">
        <v>9.1261904761904695</v>
      </c>
    </row>
    <row r="236" spans="1:4" x14ac:dyDescent="0.25">
      <c r="A236">
        <v>234</v>
      </c>
      <c r="B236">
        <v>7.5062499999999996</v>
      </c>
      <c r="C236">
        <v>10.8266666666666</v>
      </c>
      <c r="D236">
        <v>8.4119047619047596</v>
      </c>
    </row>
    <row r="237" spans="1:4" x14ac:dyDescent="0.25">
      <c r="A237">
        <v>235</v>
      </c>
      <c r="B237">
        <v>7.6363636363636296</v>
      </c>
      <c r="C237">
        <v>11.0766666666666</v>
      </c>
      <c r="D237">
        <v>8.3904761904761909</v>
      </c>
    </row>
    <row r="238" spans="1:4" x14ac:dyDescent="0.25">
      <c r="A238">
        <v>236</v>
      </c>
      <c r="B238">
        <v>8.1045454545454501</v>
      </c>
      <c r="C238">
        <v>11.088333333333299</v>
      </c>
      <c r="D238">
        <v>9.2833333333333297</v>
      </c>
    </row>
    <row r="239" spans="1:4" x14ac:dyDescent="0.25">
      <c r="A239">
        <v>237</v>
      </c>
      <c r="B239">
        <v>8.2954545454545396</v>
      </c>
      <c r="C239">
        <v>11.283333333333299</v>
      </c>
      <c r="D239">
        <v>9.4809523809523792</v>
      </c>
    </row>
    <row r="240" spans="1:4" x14ac:dyDescent="0.25">
      <c r="A240">
        <v>238</v>
      </c>
      <c r="B240">
        <v>8.2378787878787794</v>
      </c>
      <c r="C240">
        <v>11.1383333333333</v>
      </c>
      <c r="D240">
        <v>9.46904761904762</v>
      </c>
    </row>
    <row r="241" spans="1:4" x14ac:dyDescent="0.25">
      <c r="A241">
        <v>239</v>
      </c>
      <c r="B241">
        <v>8.2484848484848392</v>
      </c>
      <c r="C241">
        <v>11.1133333333333</v>
      </c>
      <c r="D241">
        <v>9.4833333333333307</v>
      </c>
    </row>
    <row r="242" spans="1:4" x14ac:dyDescent="0.25">
      <c r="A242">
        <v>240</v>
      </c>
      <c r="B242">
        <v>8.5593939393939298</v>
      </c>
      <c r="C242">
        <v>10.7724137931034</v>
      </c>
      <c r="D242">
        <v>9.8380952380952298</v>
      </c>
    </row>
    <row r="243" spans="1:4" x14ac:dyDescent="0.25">
      <c r="A243">
        <v>241</v>
      </c>
      <c r="B243">
        <v>8.2121212121212093</v>
      </c>
      <c r="C243">
        <v>10.753448275862</v>
      </c>
      <c r="D243">
        <v>9.7714285714285705</v>
      </c>
    </row>
    <row r="244" spans="1:4" x14ac:dyDescent="0.25">
      <c r="A244">
        <v>242</v>
      </c>
      <c r="B244">
        <v>8.8015151515151508</v>
      </c>
      <c r="C244">
        <v>10.891379310344799</v>
      </c>
      <c r="D244">
        <v>9.6738095238095205</v>
      </c>
    </row>
    <row r="245" spans="1:4" x14ac:dyDescent="0.25">
      <c r="A245">
        <v>243</v>
      </c>
      <c r="B245">
        <v>7.8968181818181797</v>
      </c>
      <c r="C245">
        <v>10.953448275862</v>
      </c>
      <c r="D245">
        <v>10.1238095238095</v>
      </c>
    </row>
    <row r="246" spans="1:4" x14ac:dyDescent="0.25">
      <c r="A246">
        <v>244</v>
      </c>
      <c r="B246">
        <v>8.5848484848484805</v>
      </c>
      <c r="C246">
        <v>10.803333333333301</v>
      </c>
      <c r="D246">
        <v>9.1642857142857093</v>
      </c>
    </row>
    <row r="247" spans="1:4" x14ac:dyDescent="0.25">
      <c r="A247">
        <v>245</v>
      </c>
      <c r="B247">
        <v>9.0333333333333297</v>
      </c>
      <c r="C247">
        <v>10.862068965517199</v>
      </c>
      <c r="D247">
        <v>9.4690476190476094</v>
      </c>
    </row>
    <row r="248" spans="1:4" x14ac:dyDescent="0.25">
      <c r="A248">
        <v>246</v>
      </c>
      <c r="B248">
        <v>8.7469696969696908</v>
      </c>
      <c r="C248">
        <v>11.4379310344827</v>
      </c>
      <c r="D248">
        <v>10.2071428571428</v>
      </c>
    </row>
    <row r="249" spans="1:4" x14ac:dyDescent="0.25">
      <c r="A249">
        <v>247</v>
      </c>
      <c r="B249">
        <v>8.7227272727272709</v>
      </c>
      <c r="C249">
        <v>11.5448275862068</v>
      </c>
      <c r="D249">
        <v>10.3119047619047</v>
      </c>
    </row>
    <row r="250" spans="1:4" x14ac:dyDescent="0.25">
      <c r="A250">
        <v>248</v>
      </c>
      <c r="B250">
        <v>8.4803030303030305</v>
      </c>
      <c r="C250">
        <v>11.734482758620601</v>
      </c>
      <c r="D250">
        <v>9.7476190476190396</v>
      </c>
    </row>
    <row r="251" spans="1:4" x14ac:dyDescent="0.25">
      <c r="A251">
        <v>249</v>
      </c>
      <c r="B251">
        <v>8.9078125000000004</v>
      </c>
      <c r="C251">
        <v>11.682758620689601</v>
      </c>
      <c r="D251">
        <v>11.288095238095201</v>
      </c>
    </row>
    <row r="252" spans="1:4" x14ac:dyDescent="0.25">
      <c r="A252">
        <v>250</v>
      </c>
      <c r="B252">
        <v>8.9656249999999993</v>
      </c>
      <c r="C252">
        <v>11.389655172413701</v>
      </c>
      <c r="D252">
        <v>10.159523809523799</v>
      </c>
    </row>
    <row r="253" spans="1:4" x14ac:dyDescent="0.25">
      <c r="A253">
        <v>251</v>
      </c>
      <c r="B253">
        <v>8.6015625</v>
      </c>
      <c r="C253">
        <v>11.834482758620601</v>
      </c>
      <c r="D253">
        <v>10.3904761904761</v>
      </c>
    </row>
    <row r="254" spans="1:4" x14ac:dyDescent="0.25">
      <c r="A254">
        <v>252</v>
      </c>
      <c r="B254">
        <v>8.0227272727272698</v>
      </c>
      <c r="C254">
        <v>11.465</v>
      </c>
      <c r="D254">
        <v>10.269047619047599</v>
      </c>
    </row>
    <row r="255" spans="1:4" x14ac:dyDescent="0.25">
      <c r="A255">
        <v>253</v>
      </c>
      <c r="B255">
        <v>9.0060606060606005</v>
      </c>
      <c r="C255">
        <v>11.62</v>
      </c>
      <c r="D255">
        <v>9.8571428571428505</v>
      </c>
    </row>
    <row r="256" spans="1:4" x14ac:dyDescent="0.25">
      <c r="A256">
        <v>254</v>
      </c>
      <c r="B256">
        <v>9.7090909090909001</v>
      </c>
      <c r="C256">
        <v>11.7633333333333</v>
      </c>
      <c r="D256">
        <v>10.383333333333301</v>
      </c>
    </row>
    <row r="257" spans="1:4" x14ac:dyDescent="0.25">
      <c r="A257">
        <v>255</v>
      </c>
      <c r="B257">
        <v>9.6212121212121193</v>
      </c>
      <c r="C257">
        <v>12.158333333333299</v>
      </c>
      <c r="D257">
        <v>10.8886363636363</v>
      </c>
    </row>
    <row r="258" spans="1:4" x14ac:dyDescent="0.25">
      <c r="A258">
        <v>256</v>
      </c>
      <c r="B258">
        <v>9.3833333333333293</v>
      </c>
      <c r="C258">
        <v>11.908333333333299</v>
      </c>
      <c r="D258">
        <v>10.647727272727201</v>
      </c>
    </row>
    <row r="259" spans="1:4" x14ac:dyDescent="0.25">
      <c r="A259">
        <v>257</v>
      </c>
      <c r="B259">
        <v>9.8590909090909093</v>
      </c>
      <c r="C259">
        <v>12.074999999999999</v>
      </c>
      <c r="D259">
        <v>10.4023809523809</v>
      </c>
    </row>
    <row r="260" spans="1:4" x14ac:dyDescent="0.25">
      <c r="A260">
        <v>258</v>
      </c>
      <c r="B260">
        <v>10.654545454545399</v>
      </c>
      <c r="C260">
        <v>12.3883333333333</v>
      </c>
      <c r="D260">
        <v>11.1642857142857</v>
      </c>
    </row>
    <row r="261" spans="1:4" x14ac:dyDescent="0.25">
      <c r="A261">
        <v>259</v>
      </c>
      <c r="B261">
        <v>10.4757575757575</v>
      </c>
      <c r="C261">
        <v>12.5766666666666</v>
      </c>
      <c r="D261">
        <v>11.395238095238</v>
      </c>
    </row>
    <row r="262" spans="1:4" x14ac:dyDescent="0.25">
      <c r="A262">
        <v>260</v>
      </c>
      <c r="B262">
        <v>9.8469696969696905</v>
      </c>
      <c r="C262">
        <v>12.482258064516101</v>
      </c>
      <c r="D262">
        <v>11.885714285714201</v>
      </c>
    </row>
    <row r="263" spans="1:4" x14ac:dyDescent="0.25">
      <c r="A263">
        <v>261</v>
      </c>
      <c r="B263">
        <v>9.6045454545454501</v>
      </c>
      <c r="C263">
        <v>12.261290322580599</v>
      </c>
      <c r="D263">
        <v>11.6181818181818</v>
      </c>
    </row>
    <row r="264" spans="1:4" x14ac:dyDescent="0.25">
      <c r="A264">
        <v>262</v>
      </c>
      <c r="B264">
        <v>9.8772727272727199</v>
      </c>
      <c r="C264">
        <v>12.1677419354838</v>
      </c>
      <c r="D264">
        <v>10.754761904761899</v>
      </c>
    </row>
    <row r="265" spans="1:4" x14ac:dyDescent="0.25">
      <c r="A265">
        <v>263</v>
      </c>
      <c r="B265">
        <v>9.4984848484848392</v>
      </c>
      <c r="C265">
        <v>12.1064516129032</v>
      </c>
      <c r="D265">
        <v>11.2022727272727</v>
      </c>
    </row>
    <row r="266" spans="1:4" x14ac:dyDescent="0.25">
      <c r="A266">
        <v>264</v>
      </c>
      <c r="B266">
        <v>9.9712121212121207</v>
      </c>
      <c r="C266">
        <v>12.012903225806401</v>
      </c>
      <c r="D266">
        <v>10.9977272727272</v>
      </c>
    </row>
    <row r="267" spans="1:4" x14ac:dyDescent="0.25">
      <c r="A267">
        <v>265</v>
      </c>
      <c r="B267">
        <v>9.6348484848484794</v>
      </c>
      <c r="C267">
        <v>12.1612903225806</v>
      </c>
      <c r="D267">
        <v>10.736363636363601</v>
      </c>
    </row>
    <row r="268" spans="1:4" x14ac:dyDescent="0.25">
      <c r="A268">
        <v>266</v>
      </c>
      <c r="B268">
        <v>9.4318181818181799</v>
      </c>
      <c r="C268">
        <v>12.285483870967701</v>
      </c>
      <c r="D268">
        <v>10.981818181818101</v>
      </c>
    </row>
    <row r="269" spans="1:4" x14ac:dyDescent="0.25">
      <c r="A269">
        <v>267</v>
      </c>
      <c r="B269">
        <v>9.9181818181818109</v>
      </c>
      <c r="C269">
        <v>12.7274193548387</v>
      </c>
      <c r="D269">
        <v>11.2477272727272</v>
      </c>
    </row>
    <row r="270" spans="1:4" x14ac:dyDescent="0.25">
      <c r="A270">
        <v>268</v>
      </c>
      <c r="B270">
        <v>9.4424242424242397</v>
      </c>
      <c r="C270">
        <v>12.4338709677419</v>
      </c>
      <c r="D270">
        <v>12.106818181818101</v>
      </c>
    </row>
    <row r="271" spans="1:4" x14ac:dyDescent="0.25">
      <c r="A271">
        <v>269</v>
      </c>
      <c r="B271">
        <v>10.2424242424242</v>
      </c>
      <c r="C271">
        <v>12.341666666666599</v>
      </c>
      <c r="D271">
        <v>11.213636363636301</v>
      </c>
    </row>
    <row r="272" spans="1:4" x14ac:dyDescent="0.25">
      <c r="A272">
        <v>270</v>
      </c>
      <c r="B272">
        <v>10.445454545454499</v>
      </c>
      <c r="C272">
        <v>12.7183333333333</v>
      </c>
      <c r="D272">
        <v>12.027272727272701</v>
      </c>
    </row>
    <row r="273" spans="1:4" x14ac:dyDescent="0.25">
      <c r="A273">
        <v>271</v>
      </c>
      <c r="B273">
        <v>10.198484848484799</v>
      </c>
      <c r="C273">
        <v>13.04</v>
      </c>
      <c r="D273">
        <v>11.4977272727272</v>
      </c>
    </row>
    <row r="274" spans="1:4" x14ac:dyDescent="0.25">
      <c r="A274">
        <v>272</v>
      </c>
      <c r="B274">
        <v>10.072727272727199</v>
      </c>
      <c r="C274">
        <v>13.381034482758601</v>
      </c>
      <c r="D274">
        <v>11.3095238095238</v>
      </c>
    </row>
    <row r="275" spans="1:4" x14ac:dyDescent="0.25">
      <c r="A275">
        <v>273</v>
      </c>
      <c r="B275">
        <v>11.2515151515151</v>
      </c>
      <c r="C275">
        <v>13.274137931034399</v>
      </c>
      <c r="D275">
        <v>11.7666666666666</v>
      </c>
    </row>
    <row r="276" spans="1:4" x14ac:dyDescent="0.25">
      <c r="A276">
        <v>274</v>
      </c>
      <c r="B276">
        <v>11.2893939393939</v>
      </c>
      <c r="C276">
        <v>13.0233333333333</v>
      </c>
      <c r="D276">
        <v>12.302380952380901</v>
      </c>
    </row>
    <row r="277" spans="1:4" x14ac:dyDescent="0.25">
      <c r="A277">
        <v>275</v>
      </c>
      <c r="B277">
        <v>11.590909090908999</v>
      </c>
      <c r="C277">
        <v>12.938333333333301</v>
      </c>
      <c r="D277">
        <v>12.966666666666599</v>
      </c>
    </row>
    <row r="278" spans="1:4" x14ac:dyDescent="0.25">
      <c r="A278">
        <v>276</v>
      </c>
      <c r="B278">
        <v>10.8530303030303</v>
      </c>
      <c r="C278">
        <v>13.2433333333333</v>
      </c>
      <c r="D278">
        <v>12.504761904761899</v>
      </c>
    </row>
    <row r="279" spans="1:4" x14ac:dyDescent="0.25">
      <c r="A279">
        <v>277</v>
      </c>
      <c r="B279">
        <v>10.580303030303</v>
      </c>
      <c r="C279">
        <v>12.85</v>
      </c>
      <c r="D279">
        <v>11.6119047619047</v>
      </c>
    </row>
    <row r="280" spans="1:4" x14ac:dyDescent="0.25">
      <c r="A280">
        <v>278</v>
      </c>
      <c r="B280">
        <v>10.5</v>
      </c>
      <c r="C280">
        <v>12.875806451612901</v>
      </c>
      <c r="D280">
        <v>11.8357142857142</v>
      </c>
    </row>
    <row r="281" spans="1:4" x14ac:dyDescent="0.25">
      <c r="A281">
        <v>279</v>
      </c>
      <c r="B281">
        <v>11.0757575757575</v>
      </c>
      <c r="C281">
        <v>12.9966666666666</v>
      </c>
      <c r="D281">
        <v>12.7357142857142</v>
      </c>
    </row>
    <row r="282" spans="1:4" x14ac:dyDescent="0.25">
      <c r="A282">
        <v>280</v>
      </c>
      <c r="B282">
        <v>11.1621212121212</v>
      </c>
      <c r="C282">
        <v>12.7633333333333</v>
      </c>
      <c r="D282">
        <v>12.5857142857142</v>
      </c>
    </row>
    <row r="283" spans="1:4" x14ac:dyDescent="0.25">
      <c r="A283">
        <v>281</v>
      </c>
      <c r="B283">
        <v>10.442424242424201</v>
      </c>
      <c r="C283">
        <v>13.4816666666666</v>
      </c>
      <c r="D283">
        <v>12.3595238095238</v>
      </c>
    </row>
    <row r="284" spans="1:4" x14ac:dyDescent="0.25">
      <c r="A284">
        <v>282</v>
      </c>
      <c r="B284">
        <v>10.1257575757575</v>
      </c>
      <c r="C284">
        <v>13.6933333333333</v>
      </c>
      <c r="D284">
        <v>12.4857142857142</v>
      </c>
    </row>
    <row r="285" spans="1:4" x14ac:dyDescent="0.25">
      <c r="A285">
        <v>283</v>
      </c>
      <c r="B285">
        <v>10.0590909090909</v>
      </c>
      <c r="C285">
        <v>12.9568965517241</v>
      </c>
      <c r="D285">
        <v>12.105</v>
      </c>
    </row>
    <row r="286" spans="1:4" x14ac:dyDescent="0.25">
      <c r="A286">
        <v>284</v>
      </c>
      <c r="B286">
        <v>10.7469696969696</v>
      </c>
      <c r="C286">
        <v>13.2293103448275</v>
      </c>
      <c r="D286">
        <v>11.6636363636363</v>
      </c>
    </row>
    <row r="287" spans="1:4" x14ac:dyDescent="0.25">
      <c r="A287">
        <v>285</v>
      </c>
      <c r="B287">
        <v>12.012121212121199</v>
      </c>
      <c r="C287">
        <v>13.7431034482758</v>
      </c>
      <c r="D287">
        <v>12.7340909090909</v>
      </c>
    </row>
    <row r="288" spans="1:4" x14ac:dyDescent="0.25">
      <c r="A288">
        <v>286</v>
      </c>
      <c r="B288">
        <v>11.445454545454499</v>
      </c>
      <c r="C288">
        <v>13.6551724137931</v>
      </c>
      <c r="D288">
        <v>12.865909090909</v>
      </c>
    </row>
    <row r="289" spans="1:4" x14ac:dyDescent="0.25">
      <c r="A289">
        <v>287</v>
      </c>
      <c r="B289">
        <v>11.0863636363636</v>
      </c>
      <c r="C289">
        <v>13.334482758620601</v>
      </c>
      <c r="D289">
        <v>13</v>
      </c>
    </row>
    <row r="290" spans="1:4" x14ac:dyDescent="0.25">
      <c r="A290">
        <v>288</v>
      </c>
      <c r="B290">
        <v>10.820454545454499</v>
      </c>
      <c r="C290">
        <v>13.0379310344827</v>
      </c>
      <c r="D290">
        <v>12.475</v>
      </c>
    </row>
    <row r="291" spans="1:4" x14ac:dyDescent="0.25">
      <c r="A291">
        <v>289</v>
      </c>
      <c r="B291">
        <v>11.382575757575699</v>
      </c>
      <c r="C291">
        <v>13.094827586206801</v>
      </c>
      <c r="D291">
        <v>12.947727272727199</v>
      </c>
    </row>
    <row r="292" spans="1:4" x14ac:dyDescent="0.25">
      <c r="A292">
        <v>290</v>
      </c>
      <c r="B292">
        <v>12.1743939393939</v>
      </c>
      <c r="C292">
        <v>13.6775862068965</v>
      </c>
      <c r="D292">
        <v>12.968181818181799</v>
      </c>
    </row>
    <row r="293" spans="1:4" x14ac:dyDescent="0.25">
      <c r="A293">
        <v>291</v>
      </c>
      <c r="B293">
        <v>11.5590909090909</v>
      </c>
      <c r="C293">
        <v>13.189655172413699</v>
      </c>
      <c r="D293">
        <v>13.1045454545454</v>
      </c>
    </row>
    <row r="294" spans="1:4" x14ac:dyDescent="0.25">
      <c r="A294">
        <v>292</v>
      </c>
      <c r="B294">
        <v>11.530303030302999</v>
      </c>
      <c r="C294">
        <v>12.9428571428571</v>
      </c>
      <c r="D294">
        <v>11.5318181818181</v>
      </c>
    </row>
    <row r="295" spans="1:4" x14ac:dyDescent="0.25">
      <c r="A295">
        <v>293</v>
      </c>
      <c r="B295">
        <v>11.592424242424199</v>
      </c>
      <c r="C295">
        <v>12.819642857142799</v>
      </c>
      <c r="D295">
        <v>12.4068181818181</v>
      </c>
    </row>
    <row r="296" spans="1:4" x14ac:dyDescent="0.25">
      <c r="A296">
        <v>294</v>
      </c>
      <c r="B296">
        <v>12.6712121212121</v>
      </c>
      <c r="C296">
        <v>13.2785714285714</v>
      </c>
      <c r="D296">
        <v>12.468181818181799</v>
      </c>
    </row>
    <row r="297" spans="1:4" x14ac:dyDescent="0.25">
      <c r="A297">
        <v>295</v>
      </c>
      <c r="B297">
        <v>11.5966666666666</v>
      </c>
      <c r="C297">
        <v>13.5625</v>
      </c>
      <c r="D297">
        <v>12.75</v>
      </c>
    </row>
    <row r="298" spans="1:4" x14ac:dyDescent="0.25">
      <c r="A298">
        <v>296</v>
      </c>
      <c r="B298">
        <v>11.5331818181818</v>
      </c>
      <c r="C298">
        <v>13.9310344827586</v>
      </c>
      <c r="D298">
        <v>12.131818181818099</v>
      </c>
    </row>
    <row r="299" spans="1:4" x14ac:dyDescent="0.25">
      <c r="A299">
        <v>297</v>
      </c>
      <c r="B299">
        <v>11.6060606060606</v>
      </c>
      <c r="C299">
        <v>13.336206896551699</v>
      </c>
      <c r="D299">
        <v>11.7931818181818</v>
      </c>
    </row>
    <row r="300" spans="1:4" x14ac:dyDescent="0.25">
      <c r="A300">
        <v>298</v>
      </c>
      <c r="B300">
        <v>11.821212121212101</v>
      </c>
      <c r="C300">
        <v>13.789655172413701</v>
      </c>
      <c r="D300">
        <v>12.5318181818181</v>
      </c>
    </row>
    <row r="301" spans="1:4" x14ac:dyDescent="0.25">
      <c r="A301">
        <v>299</v>
      </c>
      <c r="B301">
        <v>12.8742424242424</v>
      </c>
      <c r="C301">
        <v>14.0810344827586</v>
      </c>
      <c r="D301">
        <v>12.9363636363636</v>
      </c>
    </row>
    <row r="302" spans="1:4" x14ac:dyDescent="0.25">
      <c r="A302">
        <v>300</v>
      </c>
      <c r="B302">
        <v>12.3921212121212</v>
      </c>
      <c r="C302">
        <v>14.8396551724137</v>
      </c>
      <c r="D302">
        <v>13.006818181818099</v>
      </c>
    </row>
    <row r="303" spans="1:4" x14ac:dyDescent="0.25">
      <c r="A303">
        <v>301</v>
      </c>
      <c r="B303">
        <v>13.0242424242424</v>
      </c>
      <c r="C303">
        <v>14.274137931034399</v>
      </c>
      <c r="D303">
        <v>14.0818181818181</v>
      </c>
    </row>
    <row r="304" spans="1:4" x14ac:dyDescent="0.25">
      <c r="A304">
        <v>302</v>
      </c>
      <c r="B304">
        <v>13.2075757575757</v>
      </c>
      <c r="C304">
        <v>14.29</v>
      </c>
      <c r="D304">
        <v>14.1404761904761</v>
      </c>
    </row>
    <row r="305" spans="1:4" x14ac:dyDescent="0.25">
      <c r="A305">
        <v>303</v>
      </c>
      <c r="B305">
        <v>12.865151515151499</v>
      </c>
      <c r="C305">
        <v>14.715</v>
      </c>
      <c r="D305">
        <v>13.883333333333301</v>
      </c>
    </row>
    <row r="306" spans="1:4" x14ac:dyDescent="0.25">
      <c r="A306">
        <v>304</v>
      </c>
      <c r="B306">
        <v>12.8045454545454</v>
      </c>
      <c r="C306">
        <v>14.5266666666666</v>
      </c>
      <c r="D306">
        <v>13.3190476190476</v>
      </c>
    </row>
    <row r="307" spans="1:4" x14ac:dyDescent="0.25">
      <c r="A307">
        <v>305</v>
      </c>
      <c r="B307">
        <v>13.4363636363636</v>
      </c>
      <c r="C307">
        <v>14.0416666666666</v>
      </c>
      <c r="D307">
        <v>12.816666666666601</v>
      </c>
    </row>
    <row r="308" spans="1:4" x14ac:dyDescent="0.25">
      <c r="A308">
        <v>306</v>
      </c>
      <c r="B308">
        <v>12.756060606060601</v>
      </c>
      <c r="C308">
        <v>14.098333333333301</v>
      </c>
      <c r="D308">
        <v>13.1523809523809</v>
      </c>
    </row>
    <row r="309" spans="1:4" x14ac:dyDescent="0.25">
      <c r="A309">
        <v>307</v>
      </c>
      <c r="B309">
        <v>12.960606060606001</v>
      </c>
      <c r="C309">
        <v>13.9933333333333</v>
      </c>
      <c r="D309">
        <v>13.702380952380899</v>
      </c>
    </row>
    <row r="310" spans="1:4" x14ac:dyDescent="0.25">
      <c r="A310">
        <v>308</v>
      </c>
      <c r="B310">
        <v>13.0166666666666</v>
      </c>
      <c r="C310">
        <v>14.2016666666666</v>
      </c>
      <c r="D310">
        <v>13.8590909090909</v>
      </c>
    </row>
    <row r="311" spans="1:4" x14ac:dyDescent="0.25">
      <c r="A311">
        <v>309</v>
      </c>
      <c r="B311">
        <v>12.8439393939393</v>
      </c>
      <c r="C311">
        <v>14.5483333333333</v>
      </c>
      <c r="D311">
        <v>13.588636363636301</v>
      </c>
    </row>
    <row r="312" spans="1:4" x14ac:dyDescent="0.25">
      <c r="A312">
        <v>310</v>
      </c>
      <c r="B312">
        <v>12.319696969696899</v>
      </c>
      <c r="C312">
        <v>14.156666666666601</v>
      </c>
      <c r="D312">
        <v>12.7272727272727</v>
      </c>
    </row>
    <row r="313" spans="1:4" x14ac:dyDescent="0.25">
      <c r="A313">
        <v>311</v>
      </c>
      <c r="B313">
        <v>12.6025757575757</v>
      </c>
      <c r="C313">
        <v>14.466666666666599</v>
      </c>
      <c r="D313">
        <v>13.565909090909001</v>
      </c>
    </row>
    <row r="314" spans="1:4" x14ac:dyDescent="0.25">
      <c r="A314">
        <v>312</v>
      </c>
      <c r="B314">
        <v>12.547121212121199</v>
      </c>
      <c r="C314">
        <v>14.7283333333333</v>
      </c>
      <c r="D314">
        <v>14.324999999999999</v>
      </c>
    </row>
    <row r="315" spans="1:4" x14ac:dyDescent="0.25">
      <c r="A315">
        <v>313</v>
      </c>
      <c r="B315">
        <v>12.8168181818181</v>
      </c>
      <c r="C315">
        <v>14.37</v>
      </c>
      <c r="D315">
        <v>12.740909090909</v>
      </c>
    </row>
    <row r="316" spans="1:4" x14ac:dyDescent="0.25">
      <c r="A316">
        <v>314</v>
      </c>
      <c r="B316">
        <v>14.334848484848401</v>
      </c>
      <c r="C316">
        <v>14.7216666666666</v>
      </c>
      <c r="D316">
        <v>13.1886363636363</v>
      </c>
    </row>
    <row r="317" spans="1:4" x14ac:dyDescent="0.25">
      <c r="A317">
        <v>315</v>
      </c>
      <c r="B317">
        <v>13.660606060606</v>
      </c>
      <c r="C317">
        <v>14.816666666666601</v>
      </c>
      <c r="D317">
        <v>13.9727272727272</v>
      </c>
    </row>
    <row r="318" spans="1:4" x14ac:dyDescent="0.25">
      <c r="A318">
        <v>316</v>
      </c>
      <c r="B318">
        <v>13.3045454545454</v>
      </c>
      <c r="C318">
        <v>14.7883333333333</v>
      </c>
      <c r="D318">
        <v>13.988636363636299</v>
      </c>
    </row>
    <row r="319" spans="1:4" x14ac:dyDescent="0.25">
      <c r="A319">
        <v>317</v>
      </c>
      <c r="B319">
        <v>12.422727272727199</v>
      </c>
      <c r="C319">
        <v>14.5583333333333</v>
      </c>
      <c r="D319">
        <v>13.665909090909</v>
      </c>
    </row>
    <row r="320" spans="1:4" x14ac:dyDescent="0.25">
      <c r="A320">
        <v>318</v>
      </c>
      <c r="B320">
        <v>12.9954545454545</v>
      </c>
      <c r="C320">
        <v>14.5066666666666</v>
      </c>
      <c r="D320">
        <v>13.1863636363636</v>
      </c>
    </row>
    <row r="321" spans="1:4" x14ac:dyDescent="0.25">
      <c r="A321">
        <v>319</v>
      </c>
      <c r="B321">
        <v>13.430303030303</v>
      </c>
      <c r="C321">
        <v>14.8633333333333</v>
      </c>
      <c r="D321">
        <v>13.3545454545454</v>
      </c>
    </row>
    <row r="322" spans="1:4" x14ac:dyDescent="0.25">
      <c r="A322">
        <v>320</v>
      </c>
      <c r="B322">
        <v>13.7712121212121</v>
      </c>
      <c r="C322">
        <v>15.191666666666601</v>
      </c>
      <c r="D322">
        <v>14.5545454545454</v>
      </c>
    </row>
    <row r="323" spans="1:4" x14ac:dyDescent="0.25">
      <c r="A323">
        <v>321</v>
      </c>
      <c r="B323">
        <v>12.8924242424242</v>
      </c>
      <c r="C323">
        <v>14.805</v>
      </c>
      <c r="D323">
        <v>15.3886363636363</v>
      </c>
    </row>
    <row r="324" spans="1:4" x14ac:dyDescent="0.25">
      <c r="A324">
        <v>322</v>
      </c>
      <c r="B324">
        <v>12.363636363636299</v>
      </c>
      <c r="C324">
        <v>14.4366666666666</v>
      </c>
      <c r="D324">
        <v>14.525</v>
      </c>
    </row>
    <row r="325" spans="1:4" x14ac:dyDescent="0.25">
      <c r="A325">
        <v>323</v>
      </c>
      <c r="B325">
        <v>12.159090909090899</v>
      </c>
      <c r="C325">
        <v>14.4133333333333</v>
      </c>
      <c r="D325">
        <v>13.818181818181801</v>
      </c>
    </row>
    <row r="326" spans="1:4" x14ac:dyDescent="0.25">
      <c r="A326">
        <v>324</v>
      </c>
      <c r="B326">
        <v>13.048484848484801</v>
      </c>
      <c r="C326">
        <v>14.8266666666666</v>
      </c>
      <c r="D326">
        <v>13.754545454545401</v>
      </c>
    </row>
    <row r="327" spans="1:4" x14ac:dyDescent="0.25">
      <c r="A327">
        <v>325</v>
      </c>
      <c r="B327">
        <v>12.9621212121212</v>
      </c>
      <c r="C327">
        <v>14.899999999999901</v>
      </c>
      <c r="D327">
        <v>14.773809523809501</v>
      </c>
    </row>
    <row r="328" spans="1:4" x14ac:dyDescent="0.25">
      <c r="A328">
        <v>326</v>
      </c>
      <c r="B328">
        <v>12.268749999999899</v>
      </c>
      <c r="C328">
        <v>15.125</v>
      </c>
      <c r="D328">
        <v>14.6227272727272</v>
      </c>
    </row>
    <row r="329" spans="1:4" x14ac:dyDescent="0.25">
      <c r="A329">
        <v>327</v>
      </c>
      <c r="B329">
        <v>13.610937499999901</v>
      </c>
      <c r="C329">
        <v>15.358333333333301</v>
      </c>
      <c r="D329">
        <v>14.290909090909</v>
      </c>
    </row>
    <row r="330" spans="1:4" x14ac:dyDescent="0.25">
      <c r="A330">
        <v>328</v>
      </c>
      <c r="B330">
        <v>13.9</v>
      </c>
      <c r="C330">
        <v>15.2051724137931</v>
      </c>
      <c r="D330">
        <v>15.8523809523809</v>
      </c>
    </row>
    <row r="331" spans="1:4" x14ac:dyDescent="0.25">
      <c r="A331">
        <v>329</v>
      </c>
      <c r="B331">
        <v>14.229687499999899</v>
      </c>
      <c r="C331">
        <v>15.834482758620601</v>
      </c>
      <c r="D331">
        <v>15.107142857142801</v>
      </c>
    </row>
    <row r="332" spans="1:4" x14ac:dyDescent="0.25">
      <c r="A332">
        <v>330</v>
      </c>
      <c r="B332">
        <v>13.9375</v>
      </c>
      <c r="C332">
        <v>15.876666666666599</v>
      </c>
      <c r="D332">
        <v>15.9023809523809</v>
      </c>
    </row>
    <row r="333" spans="1:4" x14ac:dyDescent="0.25">
      <c r="A333">
        <v>331</v>
      </c>
      <c r="B333">
        <v>13.6234375</v>
      </c>
      <c r="C333">
        <v>15.52</v>
      </c>
      <c r="D333">
        <v>15.070454545454499</v>
      </c>
    </row>
    <row r="334" spans="1:4" x14ac:dyDescent="0.25">
      <c r="A334">
        <v>332</v>
      </c>
      <c r="B334">
        <v>13.4125</v>
      </c>
      <c r="C334">
        <v>15.438333333333301</v>
      </c>
      <c r="D334">
        <v>15.6090909090909</v>
      </c>
    </row>
    <row r="335" spans="1:4" x14ac:dyDescent="0.25">
      <c r="A335">
        <v>333</v>
      </c>
      <c r="B335">
        <v>13.120312499999899</v>
      </c>
      <c r="C335">
        <v>15.551724137931</v>
      </c>
      <c r="D335">
        <v>14.945454545454499</v>
      </c>
    </row>
    <row r="336" spans="1:4" x14ac:dyDescent="0.25">
      <c r="A336">
        <v>334</v>
      </c>
      <c r="B336">
        <v>13.534375000000001</v>
      </c>
      <c r="C336">
        <v>15.832758620689599</v>
      </c>
      <c r="D336">
        <v>15.547727272727199</v>
      </c>
    </row>
    <row r="337" spans="1:4" x14ac:dyDescent="0.25">
      <c r="A337">
        <v>335</v>
      </c>
      <c r="B337">
        <v>14.5196969696969</v>
      </c>
      <c r="C337">
        <v>16.082758620689599</v>
      </c>
      <c r="D337">
        <v>15.5772727272727</v>
      </c>
    </row>
    <row r="338" spans="1:4" x14ac:dyDescent="0.25">
      <c r="A338">
        <v>336</v>
      </c>
      <c r="B338">
        <v>14.7863636363636</v>
      </c>
      <c r="C338">
        <v>16.4931034482758</v>
      </c>
      <c r="D338">
        <v>15.7636363636363</v>
      </c>
    </row>
    <row r="339" spans="1:4" x14ac:dyDescent="0.25">
      <c r="A339">
        <v>337</v>
      </c>
      <c r="B339">
        <v>15.427272727272699</v>
      </c>
      <c r="C339">
        <v>16.78</v>
      </c>
      <c r="D339">
        <v>16.8340909090909</v>
      </c>
    </row>
    <row r="340" spans="1:4" x14ac:dyDescent="0.25">
      <c r="A340">
        <v>338</v>
      </c>
      <c r="B340">
        <v>15.004545454545401</v>
      </c>
      <c r="C340">
        <v>16.8266666666666</v>
      </c>
      <c r="D340">
        <v>16.904545454545399</v>
      </c>
    </row>
    <row r="341" spans="1:4" x14ac:dyDescent="0.25">
      <c r="A341">
        <v>339</v>
      </c>
      <c r="B341">
        <v>14.903030303030301</v>
      </c>
      <c r="C341">
        <v>16.6516666666666</v>
      </c>
      <c r="D341">
        <v>16.677272727272701</v>
      </c>
    </row>
    <row r="342" spans="1:4" x14ac:dyDescent="0.25">
      <c r="A342">
        <v>340</v>
      </c>
      <c r="B342">
        <v>14.301515151515099</v>
      </c>
      <c r="C342">
        <v>16.68</v>
      </c>
      <c r="D342">
        <v>16.865909090909</v>
      </c>
    </row>
    <row r="343" spans="1:4" x14ac:dyDescent="0.25">
      <c r="A343">
        <v>341</v>
      </c>
      <c r="B343">
        <v>14.8272727272727</v>
      </c>
      <c r="C343">
        <v>16.158333333333299</v>
      </c>
      <c r="D343">
        <v>16.686363636363598</v>
      </c>
    </row>
    <row r="344" spans="1:4" x14ac:dyDescent="0.25">
      <c r="A344">
        <v>342</v>
      </c>
      <c r="B344">
        <v>14.8772727272727</v>
      </c>
      <c r="C344">
        <v>16.105</v>
      </c>
      <c r="D344">
        <v>15.5840909090909</v>
      </c>
    </row>
    <row r="345" spans="1:4" x14ac:dyDescent="0.25">
      <c r="A345">
        <v>343</v>
      </c>
      <c r="B345">
        <v>14.215151515151501</v>
      </c>
      <c r="C345">
        <v>16.565000000000001</v>
      </c>
      <c r="D345">
        <v>15.6204545454545</v>
      </c>
    </row>
    <row r="346" spans="1:4" x14ac:dyDescent="0.25">
      <c r="A346">
        <v>344</v>
      </c>
      <c r="B346">
        <v>14.9121212121212</v>
      </c>
      <c r="C346">
        <v>16.483333333333299</v>
      </c>
      <c r="D346">
        <v>15.802272727272699</v>
      </c>
    </row>
    <row r="347" spans="1:4" x14ac:dyDescent="0.25">
      <c r="A347">
        <v>345</v>
      </c>
      <c r="B347">
        <v>15.940909090909001</v>
      </c>
      <c r="C347">
        <v>17.015000000000001</v>
      </c>
      <c r="D347">
        <v>16.568181818181799</v>
      </c>
    </row>
    <row r="348" spans="1:4" x14ac:dyDescent="0.25">
      <c r="A348">
        <v>346</v>
      </c>
      <c r="B348">
        <v>16.6272727272727</v>
      </c>
      <c r="C348">
        <v>17.483333333333299</v>
      </c>
      <c r="D348">
        <v>17.193181818181799</v>
      </c>
    </row>
    <row r="349" spans="1:4" x14ac:dyDescent="0.25">
      <c r="A349">
        <v>347</v>
      </c>
      <c r="B349">
        <v>15.6196969696969</v>
      </c>
      <c r="C349">
        <v>17.251666666666601</v>
      </c>
      <c r="D349">
        <v>17.2068181818181</v>
      </c>
    </row>
    <row r="350" spans="1:4" x14ac:dyDescent="0.25">
      <c r="A350">
        <v>348</v>
      </c>
      <c r="B350">
        <v>14.8939393939393</v>
      </c>
      <c r="C350">
        <v>17.1733333333333</v>
      </c>
      <c r="D350">
        <v>16.399999999999999</v>
      </c>
    </row>
    <row r="351" spans="1:4" x14ac:dyDescent="0.25">
      <c r="A351">
        <v>349</v>
      </c>
      <c r="B351">
        <v>16</v>
      </c>
      <c r="C351">
        <v>17.0068965517241</v>
      </c>
      <c r="D351">
        <v>16.524999999999999</v>
      </c>
    </row>
    <row r="352" spans="1:4" x14ac:dyDescent="0.25">
      <c r="A352">
        <v>350</v>
      </c>
      <c r="B352">
        <v>15.5590909090909</v>
      </c>
      <c r="C352">
        <v>17.105172413793099</v>
      </c>
      <c r="D352">
        <v>16.475000000000001</v>
      </c>
    </row>
    <row r="353" spans="1:4" x14ac:dyDescent="0.25">
      <c r="A353">
        <v>351</v>
      </c>
      <c r="B353">
        <v>15.2454545454545</v>
      </c>
      <c r="C353">
        <v>17.153448275862001</v>
      </c>
      <c r="D353">
        <v>16.9568181818181</v>
      </c>
    </row>
    <row r="354" spans="1:4" x14ac:dyDescent="0.25">
      <c r="A354">
        <v>352</v>
      </c>
      <c r="B354">
        <v>15.4969696969696</v>
      </c>
      <c r="C354">
        <v>16.853448275862</v>
      </c>
      <c r="D354">
        <v>17.061363636363598</v>
      </c>
    </row>
    <row r="355" spans="1:4" x14ac:dyDescent="0.25">
      <c r="A355">
        <v>353</v>
      </c>
      <c r="B355">
        <v>15.5242424242424</v>
      </c>
      <c r="C355">
        <v>17.030357142857099</v>
      </c>
      <c r="D355">
        <v>17.0363636363636</v>
      </c>
    </row>
    <row r="356" spans="1:4" x14ac:dyDescent="0.25">
      <c r="A356">
        <v>354</v>
      </c>
      <c r="B356">
        <v>15.1863636363636</v>
      </c>
      <c r="C356">
        <v>17.3086206896551</v>
      </c>
      <c r="D356">
        <v>17.152272727272699</v>
      </c>
    </row>
    <row r="357" spans="1:4" x14ac:dyDescent="0.25">
      <c r="A357">
        <v>355</v>
      </c>
      <c r="B357">
        <v>14.9893480257116</v>
      </c>
      <c r="C357">
        <v>17.3086206896551</v>
      </c>
      <c r="D357">
        <v>16.568181818181799</v>
      </c>
    </row>
    <row r="358" spans="1:4" x14ac:dyDescent="0.25">
      <c r="A358">
        <v>356</v>
      </c>
      <c r="B358">
        <v>15.318181818181801</v>
      </c>
      <c r="C358">
        <v>17.474137931034399</v>
      </c>
      <c r="D358">
        <v>16.468181818181801</v>
      </c>
    </row>
    <row r="359" spans="1:4" x14ac:dyDescent="0.25">
      <c r="A359">
        <v>357</v>
      </c>
      <c r="B359">
        <v>15.1030303030303</v>
      </c>
      <c r="C359">
        <v>17.091379310344799</v>
      </c>
      <c r="D359">
        <v>16.729545454545399</v>
      </c>
    </row>
    <row r="360" spans="1:4" x14ac:dyDescent="0.25">
      <c r="A360">
        <v>358</v>
      </c>
      <c r="B360">
        <v>15.75</v>
      </c>
      <c r="C360">
        <v>17.2275862068965</v>
      </c>
      <c r="D360">
        <v>16.7477272727272</v>
      </c>
    </row>
    <row r="361" spans="1:4" x14ac:dyDescent="0.25">
      <c r="A361">
        <v>359</v>
      </c>
      <c r="B361">
        <v>15.801515151515099</v>
      </c>
      <c r="C361">
        <v>17.475862068965501</v>
      </c>
      <c r="D361">
        <v>17.143181818181802</v>
      </c>
    </row>
    <row r="362" spans="1:4" x14ac:dyDescent="0.25">
      <c r="A362">
        <v>360</v>
      </c>
      <c r="B362">
        <v>15.1378787878787</v>
      </c>
      <c r="C362">
        <v>17.193103448275799</v>
      </c>
      <c r="D362">
        <v>17.1204545454545</v>
      </c>
    </row>
    <row r="363" spans="1:4" x14ac:dyDescent="0.25">
      <c r="A363">
        <v>361</v>
      </c>
      <c r="B363">
        <v>16.901515151515099</v>
      </c>
      <c r="C363">
        <v>17.263793103448201</v>
      </c>
      <c r="D363">
        <v>16.693181818181799</v>
      </c>
    </row>
    <row r="364" spans="1:4" x14ac:dyDescent="0.25">
      <c r="A364">
        <v>362</v>
      </c>
      <c r="B364">
        <v>17.143939393939299</v>
      </c>
      <c r="C364">
        <v>18.060344827586199</v>
      </c>
      <c r="D364">
        <v>16.863636363636299</v>
      </c>
    </row>
    <row r="365" spans="1:4" x14ac:dyDescent="0.25">
      <c r="A365">
        <v>363</v>
      </c>
      <c r="B365">
        <v>15.795454545454501</v>
      </c>
      <c r="C365">
        <v>18.386206896551698</v>
      </c>
      <c r="D365">
        <v>16.690909090908999</v>
      </c>
    </row>
    <row r="366" spans="1:4" x14ac:dyDescent="0.25">
      <c r="A366">
        <v>364</v>
      </c>
      <c r="B366">
        <v>16.3359375</v>
      </c>
      <c r="C366">
        <v>18.156896551724099</v>
      </c>
      <c r="D366">
        <v>16.518181818181802</v>
      </c>
    </row>
    <row r="367" spans="1:4" x14ac:dyDescent="0.25">
      <c r="A367">
        <v>365</v>
      </c>
      <c r="B367">
        <v>15.832812499999999</v>
      </c>
      <c r="C367">
        <v>17.8086206896551</v>
      </c>
      <c r="D367">
        <v>16.738636363636299</v>
      </c>
    </row>
    <row r="368" spans="1:4" x14ac:dyDescent="0.25">
      <c r="A368">
        <v>366</v>
      </c>
      <c r="B368">
        <v>16.3</v>
      </c>
      <c r="C368">
        <v>17.691666666666599</v>
      </c>
      <c r="D368">
        <v>16.71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59</vt:i4>
      </vt:variant>
    </vt:vector>
  </HeadingPairs>
  <TitlesOfParts>
    <vt:vector size="65" baseType="lpstr">
      <vt:lpstr>ConceptDemo</vt:lpstr>
      <vt:lpstr>Backend</vt:lpstr>
      <vt:lpstr>Model Interface</vt:lpstr>
      <vt:lpstr>ListMembers</vt:lpstr>
      <vt:lpstr>CropCoefficients</vt:lpstr>
      <vt:lpstr>meanT</vt:lpstr>
      <vt:lpstr>Annual_ryegrass</vt:lpstr>
      <vt:lpstr>Barley</vt:lpstr>
      <vt:lpstr>Bean</vt:lpstr>
      <vt:lpstr>Broad_bean</vt:lpstr>
      <vt:lpstr>Broccoli</vt:lpstr>
      <vt:lpstr>Brussel_sprout</vt:lpstr>
      <vt:lpstr>Bulb</vt:lpstr>
      <vt:lpstr>Cabbage</vt:lpstr>
      <vt:lpstr>Canola</vt:lpstr>
      <vt:lpstr>Carrot</vt:lpstr>
      <vt:lpstr>Cauliflower</vt:lpstr>
      <vt:lpstr>Celery</vt:lpstr>
      <vt:lpstr>Chickpea</vt:lpstr>
      <vt:lpstr>Choy_sum</vt:lpstr>
      <vt:lpstr>Cocksfoot</vt:lpstr>
      <vt:lpstr>Coriander</vt:lpstr>
      <vt:lpstr>Fibre</vt:lpstr>
      <vt:lpstr>Fodder</vt:lpstr>
      <vt:lpstr>Fodder_beet</vt:lpstr>
      <vt:lpstr>Garlic</vt:lpstr>
      <vt:lpstr>Grain</vt:lpstr>
      <vt:lpstr>Green_manure</vt:lpstr>
      <vt:lpstr>Hemp</vt:lpstr>
      <vt:lpstr>Kale</vt:lpstr>
      <vt:lpstr>Kumara</vt:lpstr>
      <vt:lpstr>Leek</vt:lpstr>
      <vt:lpstr>Lentil</vt:lpstr>
      <vt:lpstr>Lettuce</vt:lpstr>
      <vt:lpstr>Linseed</vt:lpstr>
      <vt:lpstr>Lupin</vt:lpstr>
      <vt:lpstr>Maize</vt:lpstr>
      <vt:lpstr>Mustard</vt:lpstr>
      <vt:lpstr>Oat</vt:lpstr>
      <vt:lpstr>Onion</vt:lpstr>
      <vt:lpstr>Pak_choi</vt:lpstr>
      <vt:lpstr>Parsnip</vt:lpstr>
      <vt:lpstr>Pea</vt:lpstr>
      <vt:lpstr>Phacelia</vt:lpstr>
      <vt:lpstr>Potato</vt:lpstr>
      <vt:lpstr>Pumpkin</vt:lpstr>
      <vt:lpstr>Radish</vt:lpstr>
      <vt:lpstr>Rape</vt:lpstr>
      <vt:lpstr>Red_beet</vt:lpstr>
      <vt:lpstr>Rock_melon</vt:lpstr>
      <vt:lpstr>Rye_corn</vt:lpstr>
      <vt:lpstr>Ryegrass</vt:lpstr>
      <vt:lpstr>Seed</vt:lpstr>
      <vt:lpstr>Silver_beet</vt:lpstr>
      <vt:lpstr>Spinach</vt:lpstr>
      <vt:lpstr>Spring_onion</vt:lpstr>
      <vt:lpstr>Squash</vt:lpstr>
      <vt:lpstr>Sunflower</vt:lpstr>
      <vt:lpstr>Swede</vt:lpstr>
      <vt:lpstr>Sweetcorn</vt:lpstr>
      <vt:lpstr>Tomato</vt:lpstr>
      <vt:lpstr>Triticale</vt:lpstr>
      <vt:lpstr>Tulip</vt:lpstr>
      <vt:lpstr>Turnip</vt:lpstr>
      <vt:lpstr>Vegetable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dc:creator>
  <cp:lastModifiedBy>Hamish Brown</cp:lastModifiedBy>
  <cp:lastPrinted>2022-11-21T07:06:21Z</cp:lastPrinted>
  <dcterms:created xsi:type="dcterms:W3CDTF">2022-11-13T19:21:57Z</dcterms:created>
  <dcterms:modified xsi:type="dcterms:W3CDTF">2023-02-03T03:32:16Z</dcterms:modified>
</cp:coreProperties>
</file>